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BASLANGIC" sheetId="2" state="visible" r:id="rId2"/>
    <sheet xmlns:r="http://schemas.openxmlformats.org/officeDocument/2006/relationships" name="MUSTERILER" sheetId="3" state="visible" r:id="rId3"/>
    <sheet xmlns:r="http://schemas.openxmlformats.org/officeDocument/2006/relationships" name="UCRETLER" sheetId="4" state="visible" r:id="rId4"/>
    <sheet xmlns:r="http://schemas.openxmlformats.org/officeDocument/2006/relationships" name="TAHSILAT" sheetId="5" state="visible" r:id="rId5"/>
    <sheet xmlns:r="http://schemas.openxmlformats.org/officeDocument/2006/relationships" name="GELIR_GIDER" sheetId="6" state="visible" r:id="rId6"/>
    <sheet xmlns:r="http://schemas.openxmlformats.org/officeDocument/2006/relationships" name="VIRMAN" sheetId="7" state="visible" r:id="rId7"/>
    <sheet xmlns:r="http://schemas.openxmlformats.org/officeDocument/2006/relationships" name="AKTIVITE" sheetId="8" state="visible" r:id="rId8"/>
    <sheet xmlns:r="http://schemas.openxmlformats.org/officeDocument/2006/relationships" name="MUSTERI_360" sheetId="9" state="visible" r:id="rId9"/>
    <sheet xmlns:r="http://schemas.openxmlformats.org/officeDocument/2006/relationships" name="HESAPLAR" sheetId="10" state="visible" r:id="rId10"/>
    <sheet xmlns:r="http://schemas.openxmlformats.org/officeDocument/2006/relationships" name="AY_SONU" sheetId="11" state="visible" r:id="rId11"/>
    <sheet xmlns:r="http://schemas.openxmlformats.org/officeDocument/2006/relationships" name="SISTEM" sheetId="12" state="visible" r:id="rId12"/>
  </sheets>
  <definedNames>
    <definedName name="LST_MUSTERI_ADI">MUSTERILER!$C$7:$C$106</definedName>
    <definedName name="LST_HESAP">HESAPLAR!$B$7:$B$16</definedName>
    <definedName name="LST_KATEGORI">SISTEM!$K$8:$K$37</definedName>
    <definedName name="CARI_BAKIYE">MUSTERI_360!$I$7:$I$106</definedName>
    <definedName name="GECIKMIS_29">MUSTERI_360!$M$7:$M$106</definedName>
    <definedName name="NAKIT_POZISYON">HESAPLAR!$K$18</definedName>
    <definedName name="SISTEM_SONUC">SISTEM!$F$23:$F$50</definedName>
    <definedName name="_xlnm.Print_Area" localSheetId="0">'PANO'!$A$1:$O$41</definedName>
    <definedName name="_xlnm.Print_Titles" localSheetId="1">'BASLANGIC'!$1:$2</definedName>
    <definedName name="_xlnm.Print_Area" localSheetId="1">'BASLANGIC'!$A$1:$I$75</definedName>
    <definedName name="_xlnm._FilterDatabase" localSheetId="2" hidden="1">'MUSTERILER'!$B$6:$P$106</definedName>
    <definedName name="_xlnm.Print_Titles" localSheetId="2">'MUSTERILER'!$6:$6</definedName>
    <definedName name="_xlnm.Print_Area" localSheetId="2">'MUSTERILER'!$A$1:$P$106</definedName>
    <definedName name="_xlnm._FilterDatabase" localSheetId="3" hidden="1">'UCRETLER'!$B$6:$N$406</definedName>
    <definedName name="_xlnm.Print_Titles" localSheetId="3">'UCRETLER'!$6:$6</definedName>
    <definedName name="_xlnm.Print_Area" localSheetId="3">'UCRETLER'!$A$1:$N$106</definedName>
    <definedName name="_xlnm._FilterDatabase" localSheetId="4" hidden="1">'TAHSILAT'!$B$6:$M$1506</definedName>
    <definedName name="_xlnm.Print_Titles" localSheetId="4">'TAHSILAT'!$6:$6</definedName>
    <definedName name="_xlnm.Print_Area" localSheetId="4">'TAHSILAT'!$A$1:$M$106</definedName>
    <definedName name="_xlnm._FilterDatabase" localSheetId="5" hidden="1">'GELIR_GIDER'!$B$6:$M$1206</definedName>
    <definedName name="_xlnm.Print_Titles" localSheetId="5">'GELIR_GIDER'!$6:$6</definedName>
    <definedName name="_xlnm.Print_Area" localSheetId="5">'GELIR_GIDER'!$A$1:$M$106</definedName>
    <definedName name="_xlnm._FilterDatabase" localSheetId="6" hidden="1">'VIRMAN'!$B$6:$J$406</definedName>
    <definedName name="_xlnm.Print_Titles" localSheetId="6">'VIRMAN'!$6:$6</definedName>
    <definedName name="_xlnm.Print_Area" localSheetId="6">'VIRMAN'!$A$1:$J$106</definedName>
    <definedName name="_xlnm._FilterDatabase" localSheetId="7" hidden="1">'AKTIVITE'!$B$6:$Q$1006</definedName>
    <definedName name="_xlnm.Print_Titles" localSheetId="7">'AKTIVITE'!$6:$6</definedName>
    <definedName name="_xlnm.Print_Area" localSheetId="7">'AKTIVITE'!$A$1:$Q$106</definedName>
    <definedName name="_xlnm._FilterDatabase" localSheetId="8" hidden="1">'MUSTERI_360'!$B$6:$U$106</definedName>
    <definedName name="_xlnm.Print_Titles" localSheetId="8">'MUSTERI_360'!$6:$6</definedName>
    <definedName name="_xlnm.Print_Area" localSheetId="8">'MUSTERI_360'!$A$1:$U$106</definedName>
    <definedName name="_xlnm.Print_Titles" localSheetId="9">'HESAPLAR'!$6:$6</definedName>
    <definedName name="_xlnm.Print_Area" localSheetId="9">'HESAPLAR'!$A$1:$K$18</definedName>
    <definedName name="_xlnm._FilterDatabase" localSheetId="10" hidden="1">'AY_SONU'!$B$6:$T$42</definedName>
    <definedName name="_xlnm.Print_Titles" localSheetId="10">'AY_SONU'!$6:$6</definedName>
    <definedName name="_xlnm.Print_Area" localSheetId="10">'AY_SONU'!$A$1:$T$42</definedName>
    <definedName name="_xlnm.Print_Titles" localSheetId="11">'SISTEM'!$1:$2</definedName>
    <definedName name="_xlnm.Print_Area" localSheetId="11">'SISTEM'!$A$1:$M$52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#,##0.00\ &quot;₺&quot;;[Red]-#,##0.00\ &quot;₺&quot;;&quot;–&quot;"/>
    <numFmt numFmtId="166" formatCode="#,##0;[Red]-#,##0;&quot;–&quot;"/>
    <numFmt numFmtId="167" formatCode="#,##0.0"/>
    <numFmt numFmtId="168" formatCode="mmmm yyyy"/>
    <numFmt numFmtId="169" formatCode="0.0%;[Red]-0.0%;&quot;–&quot;"/>
    <numFmt numFmtId="170" formatCode="#,##0\ &quot;₺&quot;;[Red]-#,##0\ &quot;₺&quot;;&quot;–&quot;"/>
  </numFmts>
  <fonts count="56">
    <font>
      <name val="Calibri"/>
      <family val="2"/>
      <color theme="1"/>
      <sz val="11"/>
      <scheme val="minor"/>
    </font>
    <font>
      <name val="Segoe UI"/>
      <color rgb="000F172A"/>
      <sz val="10"/>
    </font>
    <font>
      <name val="Segoe UI"/>
      <b val="1"/>
      <color rgb="00FFFFFF"/>
      <sz val="14"/>
    </font>
    <font>
      <name val="Segoe UI"/>
      <color rgb="00C3D6EA"/>
      <sz val="10.5"/>
    </font>
    <font>
      <name val="Segoe UI"/>
      <b val="1"/>
      <color rgb="002563EB"/>
      <sz val="10.5"/>
    </font>
    <font>
      <name val="Segoe UI"/>
      <color rgb="0064748B"/>
      <sz val="10.5"/>
    </font>
    <font>
      <name val="Segoe UI"/>
      <b val="1"/>
      <color rgb="00FFFFFF"/>
      <sz val="10.5"/>
    </font>
    <font>
      <name val="Segoe UI"/>
      <color rgb="001D4ED8"/>
      <sz val="11"/>
    </font>
    <font>
      <name val="Segoe UI"/>
      <color rgb="000F172A"/>
      <sz val="11"/>
    </font>
    <font>
      <name val="Segoe UI"/>
      <b val="1"/>
      <color rgb="0017324D"/>
      <sz val="12"/>
    </font>
    <font>
      <name val="Segoe UI"/>
      <i val="1"/>
      <color rgb="0064748B"/>
      <sz val="10.5"/>
    </font>
    <font>
      <name val="Segoe UI"/>
      <b val="1"/>
      <color rgb="0017324D"/>
      <sz val="13"/>
    </font>
    <font>
      <name val="Segoe UI"/>
      <b val="1"/>
      <color rgb="00FFFFFF"/>
      <sz val="11.5"/>
    </font>
    <font>
      <name val="Segoe UI"/>
      <color rgb="002563EB"/>
      <sz val="10.5"/>
    </font>
    <font>
      <name val="Segoe UI"/>
      <b val="1"/>
      <color rgb="0017324D"/>
      <sz val="18"/>
    </font>
    <font>
      <name val="Segoe UI"/>
      <i val="1"/>
      <color rgb="0064748B"/>
      <sz val="11"/>
    </font>
    <font>
      <name val="Segoe UI"/>
      <b val="1"/>
      <color rgb="0017324D"/>
      <sz val="11"/>
    </font>
    <font>
      <name val="Segoe UI"/>
      <b val="1"/>
      <color rgb="001D4ED8"/>
      <sz val="14"/>
    </font>
    <font>
      <name val="Segoe UI"/>
      <b val="1"/>
      <color rgb="001D4ED8"/>
      <sz val="11"/>
    </font>
    <font>
      <name val="Segoe UI"/>
      <b val="1"/>
      <color rgb="000F172A"/>
      <sz val="14"/>
    </font>
    <font>
      <name val="Segoe UI"/>
      <b val="1"/>
      <color rgb="000F172A"/>
      <sz val="11"/>
    </font>
    <font>
      <name val="Segoe UI"/>
      <b val="1"/>
      <color rgb="0017324D"/>
      <sz val="14"/>
    </font>
    <font>
      <name val="Segoe UI"/>
      <b val="1"/>
      <color rgb="000F6E56"/>
      <sz val="14"/>
    </font>
    <font>
      <name val="Segoe UI"/>
      <b val="1"/>
      <color rgb="000F6E56"/>
      <sz val="11"/>
    </font>
    <font>
      <name val="Segoe UI"/>
      <b val="1"/>
      <color rgb="00854F0B"/>
      <sz val="14"/>
    </font>
    <font>
      <name val="Segoe UI"/>
      <b val="1"/>
      <color rgb="00854F0B"/>
      <sz val="11"/>
    </font>
    <font>
      <name val="Segoe UI"/>
      <b val="1"/>
      <color rgb="00A32D2D"/>
      <sz val="14"/>
    </font>
    <font>
      <name val="Segoe UI"/>
      <b val="1"/>
      <color rgb="00A32D2D"/>
      <sz val="11"/>
    </font>
    <font>
      <name val="Segoe UI"/>
      <b val="1"/>
      <color rgb="0064748B"/>
      <sz val="14"/>
    </font>
    <font>
      <name val="Segoe UI"/>
      <b val="1"/>
      <color rgb="0064748B"/>
      <sz val="11"/>
    </font>
    <font>
      <name val="Segoe UI"/>
      <b val="1"/>
      <color rgb="002563EB"/>
      <sz val="11"/>
    </font>
    <font>
      <name val="Segoe UI"/>
      <b val="1"/>
      <color rgb="000F766E"/>
      <sz val="14"/>
    </font>
    <font>
      <name val="Segoe UI"/>
      <b val="1"/>
      <color rgb="006A4C93"/>
      <sz val="14"/>
    </font>
    <font>
      <name val="Segoe UI"/>
      <b val="1"/>
      <color rgb="001565C0"/>
      <sz val="14"/>
    </font>
    <font>
      <name val="Segoe UI"/>
      <b val="1"/>
      <color rgb="00D97706"/>
      <sz val="14"/>
    </font>
    <font>
      <name val="Segoe UI"/>
      <b val="1"/>
      <color rgb="000E7490"/>
      <sz val="14"/>
    </font>
    <font>
      <name val="Segoe UI"/>
      <b val="1"/>
      <color rgb="0015803D"/>
      <sz val="14"/>
    </font>
    <font>
      <name val="Segoe UI"/>
      <b val="1"/>
      <color rgb="007E22CE"/>
      <sz val="14"/>
    </font>
    <font>
      <name val="Segoe UI"/>
      <b val="1"/>
      <color rgb="00991B1B"/>
      <sz val="14"/>
    </font>
    <font>
      <name val="Segoe UI"/>
      <b val="1"/>
      <color rgb="00C6A15B"/>
      <sz val="13"/>
    </font>
    <font>
      <name val="Segoe UI"/>
      <color rgb="00A32D2D"/>
      <sz val="11"/>
    </font>
    <font>
      <name val="Segoe UI"/>
      <color rgb="00C6A15B"/>
      <sz val="11"/>
    </font>
    <font>
      <name val="Segoe UI"/>
      <b val="1"/>
      <color rgb="00C6A15B"/>
      <sz val="12"/>
    </font>
    <font>
      <name val="Segoe UI"/>
      <b val="1"/>
      <color rgb="00C6A15B"/>
      <sz val="9.5"/>
    </font>
    <font>
      <name val="Segoe UI"/>
      <color rgb="00C3D6EA"/>
      <sz val="11.5"/>
    </font>
    <font>
      <name val="Segoe UI"/>
      <b val="1"/>
      <color rgb="0064748B"/>
      <sz val="10.5"/>
    </font>
    <font>
      <name val="Segoe UI"/>
      <b val="1"/>
      <color rgb="000F172A"/>
      <sz val="16"/>
    </font>
    <font>
      <name val="Segoe UI"/>
      <b val="1"/>
      <color rgb="0017324D"/>
      <sz val="11.5"/>
    </font>
    <font>
      <name val="Segoe UI"/>
      <b val="1"/>
      <color rgb="001D4ED8"/>
      <sz val="12.5"/>
    </font>
    <font>
      <name val="Segoe UI"/>
      <color rgb="0064748B"/>
      <sz val="11"/>
    </font>
    <font>
      <name val="Segoe UI"/>
      <color rgb="000F172A"/>
      <sz val="11.5"/>
    </font>
    <font>
      <name val="Segoe UI"/>
      <b val="1"/>
      <color rgb="000F172A"/>
      <sz val="11.5"/>
    </font>
    <font>
      <name val="Segoe UI"/>
      <b val="1"/>
      <color rgb="00A32D2D"/>
      <sz val="13"/>
    </font>
    <font>
      <name val="Segoe UI"/>
      <b val="1"/>
      <color rgb="00854F0B"/>
      <sz val="13"/>
    </font>
    <font>
      <name val="Segoe UI"/>
      <b val="1"/>
      <color rgb="00185FA5"/>
      <sz val="13"/>
    </font>
    <font>
      <name val="Segoe UI"/>
      <color theme="1"/>
      <sz val="11"/>
    </font>
  </fonts>
  <fills count="2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2942"/>
      </patternFill>
    </fill>
    <fill>
      <patternFill patternType="solid">
        <fgColor rgb="00F4F6F9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E8F0FA"/>
      </patternFill>
    </fill>
    <fill>
      <patternFill patternType="solid">
        <fgColor rgb="001D3B58"/>
      </patternFill>
    </fill>
    <fill>
      <patternFill patternType="solid">
        <fgColor rgb="00E7F5EF"/>
      </patternFill>
    </fill>
    <fill>
      <patternFill patternType="solid">
        <fgColor rgb="00FDF3E3"/>
      </patternFill>
    </fill>
    <fill>
      <patternFill patternType="solid">
        <fgColor rgb="00FBECEC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0F6E56"/>
      </patternFill>
    </fill>
    <fill>
      <patternFill patternType="solid">
        <fgColor rgb="006A4C93"/>
      </patternFill>
    </fill>
    <fill>
      <patternFill patternType="solid">
        <fgColor rgb="001565C0"/>
      </patternFill>
    </fill>
    <fill>
      <patternFill patternType="solid">
        <fgColor rgb="00D97706"/>
      </patternFill>
    </fill>
    <fill>
      <patternFill patternType="solid">
        <fgColor rgb="001D4ED8"/>
      </patternFill>
    </fill>
    <fill>
      <patternFill patternType="solid">
        <fgColor rgb="000E7490"/>
      </patternFill>
    </fill>
    <fill>
      <patternFill patternType="solid">
        <fgColor rgb="00A32D2D"/>
      </patternFill>
    </fill>
    <fill>
      <patternFill patternType="solid">
        <fgColor rgb="0015803D"/>
      </patternFill>
    </fill>
    <fill>
      <patternFill patternType="solid">
        <fgColor rgb="007E22CE"/>
      </patternFill>
    </fill>
    <fill>
      <patternFill patternType="solid">
        <fgColor rgb="00991B1B"/>
      </patternFill>
    </fill>
    <fill>
      <patternFill patternType="solid">
        <fgColor rgb="002563EB"/>
      </patternFill>
    </fill>
  </fills>
  <borders count="21">
    <border>
      <left/>
      <right/>
      <top/>
      <bottom/>
      <diagonal/>
    </border>
    <border>
      <bottom style="medium">
        <color rgb="00C6A15B"/>
      </bottom>
    </border>
    <border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left/>
      <right/>
      <top/>
      <bottom style="thin">
        <color rgb="00E2E8F0"/>
      </bottom>
      <diagonal/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thick">
        <color rgb="00C6A15B"/>
      </left>
    </border>
    <border>
      <left style="thick">
        <color rgb="001D3B58"/>
      </left>
    </border>
    <border>
      <left style="thin">
        <color rgb="00E2E8F0"/>
      </left>
      <right style="thin">
        <color rgb="00E2E8F0"/>
      </right>
      <top style="medium">
        <color rgb="00185FA5"/>
      </top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right style="thin">
        <color rgb="00E2E8F0"/>
      </right>
      <top style="medium">
        <color rgb="0017324D"/>
      </top>
    </border>
    <border>
      <left style="thin">
        <color rgb="00E2E8F0"/>
      </left>
      <right style="thin">
        <color rgb="00E2E8F0"/>
      </right>
      <top style="medium">
        <color rgb="00A32D2D"/>
      </top>
    </border>
    <border>
      <left style="thin">
        <color rgb="00E2E8F0"/>
      </left>
      <right style="thin">
        <color rgb="00E2E8F0"/>
      </right>
      <top style="medium">
        <color rgb="000F6E56"/>
      </top>
    </border>
    <border>
      <left style="thin">
        <color rgb="00E2E8F0"/>
      </left>
      <right style="thin">
        <color rgb="00E2E8F0"/>
      </right>
      <top style="medium">
        <color rgb="00854F0B"/>
      </top>
    </border>
    <border>
      <left style="thin">
        <color rgb="00E2E8F0"/>
      </left>
      <top style="medium">
        <color rgb="002563EB"/>
      </top>
      <bottom style="thin">
        <color rgb="00E2E8F0"/>
      </bottom>
    </border>
    <border>
      <right style="thin">
        <color rgb="00E2E8F0"/>
      </right>
      <top style="medium">
        <color rgb="002563EB"/>
      </top>
      <bottom style="thin">
        <color rgb="00E2E8F0"/>
      </bottom>
    </border>
    <border/>
    <border>
      <left style="thin">
        <color rgb="00E2E8F0"/>
      </left>
      <top style="medium">
        <color rgb="0017324D"/>
      </top>
      <bottom style="thin">
        <color rgb="00E2E8F0"/>
      </bottom>
    </border>
    <border>
      <right style="thin">
        <color rgb="00E2E8F0"/>
      </right>
      <top style="medium">
        <color rgb="0017324D"/>
      </top>
      <bottom style="thin">
        <color rgb="00E2E8F0"/>
      </bottom>
    </border>
  </borders>
  <cellStyleXfs count="1">
    <xf numFmtId="0" fontId="1" fillId="0" borderId="0"/>
  </cellStyleXfs>
  <cellXfs count="135">
    <xf numFmtId="0" fontId="0" fillId="0" borderId="0" pivotButton="0" quotePrefix="0" xfId="0"/>
    <xf numFmtId="0" fontId="2" fillId="2" borderId="1" applyAlignment="1" pivotButton="0" quotePrefix="0" xfId="0">
      <alignment horizontal="left" vertical="center" indent="2"/>
    </xf>
    <xf numFmtId="0" fontId="2" fillId="2" borderId="1" pivotButton="0" quotePrefix="0" xfId="0"/>
    <xf numFmtId="0" fontId="55" fillId="0" borderId="0" pivotButton="0" quotePrefix="0" xfId="0"/>
    <xf numFmtId="0" fontId="3" fillId="3" borderId="0" applyAlignment="1" pivotButton="0" quotePrefix="0" xfId="0">
      <alignment horizontal="left" vertical="center" indent="2"/>
    </xf>
    <xf numFmtId="0" fontId="3" fillId="3" borderId="0" pivotButton="0" quotePrefix="0" xfId="0"/>
    <xf numFmtId="0" fontId="55" fillId="4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43" fillId="8" borderId="0" applyAlignment="1" pivotButton="0" quotePrefix="0" xfId="0">
      <alignment horizontal="left" vertical="center" indent="1"/>
    </xf>
    <xf numFmtId="0" fontId="45" fillId="6" borderId="10" applyAlignment="1" pivotButton="0" quotePrefix="0" xfId="0">
      <alignment horizontal="left" vertical="center" indent="1"/>
    </xf>
    <xf numFmtId="0" fontId="45" fillId="6" borderId="0" pivotButton="0" quotePrefix="0" xfId="0"/>
    <xf numFmtId="0" fontId="45" fillId="6" borderId="12" applyAlignment="1" pivotButton="0" quotePrefix="0" xfId="0">
      <alignment horizontal="left" vertical="center" indent="1"/>
    </xf>
    <xf numFmtId="0" fontId="45" fillId="6" borderId="13" applyAlignment="1" pivotButton="0" quotePrefix="0" xfId="0">
      <alignment horizontal="left" vertical="center" indent="1"/>
    </xf>
    <xf numFmtId="0" fontId="45" fillId="6" borderId="14" applyAlignment="1" pivotButton="0" quotePrefix="0" xfId="0">
      <alignment horizontal="left" vertical="center" indent="1"/>
    </xf>
    <xf numFmtId="0" fontId="12" fillId="24" borderId="8" applyAlignment="1" pivotButton="0" quotePrefix="0" xfId="0">
      <alignment horizontal="left" vertical="center" indent="1"/>
    </xf>
    <xf numFmtId="166" fontId="46" fillId="6" borderId="11" applyAlignment="1" pivotButton="0" quotePrefix="0" xfId="0">
      <alignment horizontal="left" vertical="center" indent="1"/>
    </xf>
    <xf numFmtId="0" fontId="46" fillId="6" borderId="0" pivotButton="0" quotePrefix="0" xfId="0"/>
    <xf numFmtId="170" fontId="46" fillId="6" borderId="11" applyAlignment="1" pivotButton="0" quotePrefix="0" xfId="0">
      <alignment horizontal="left" vertical="center" indent="1"/>
    </xf>
    <xf numFmtId="0" fontId="44" fillId="8" borderId="9" applyAlignment="1" pivotButton="0" quotePrefix="0" xfId="0">
      <alignment horizontal="left" vertical="center" indent="1"/>
    </xf>
    <xf numFmtId="0" fontId="5" fillId="6" borderId="7" applyAlignment="1" pivotButton="0" quotePrefix="0" xfId="0">
      <alignment horizontal="left" vertical="center" indent="1"/>
    </xf>
    <xf numFmtId="0" fontId="5" fillId="6" borderId="0" pivotButton="0" quotePrefix="0" xfId="0"/>
    <xf numFmtId="0" fontId="45" fillId="6" borderId="15" applyAlignment="1" pivotButton="0" quotePrefix="0" xfId="0">
      <alignment horizontal="left" vertical="center" indent="1"/>
    </xf>
    <xf numFmtId="0" fontId="47" fillId="4" borderId="1" applyAlignment="1" pivotButton="0" quotePrefix="0" xfId="0">
      <alignment horizontal="left" vertical="center"/>
    </xf>
    <xf numFmtId="0" fontId="55" fillId="8" borderId="0" pivotButton="0" quotePrefix="0" xfId="0"/>
    <xf numFmtId="0" fontId="47" fillId="6" borderId="16" applyAlignment="1" pivotButton="0" quotePrefix="0" xfId="0">
      <alignment horizontal="left" vertical="center" indent="1"/>
    </xf>
    <xf numFmtId="0" fontId="47" fillId="6" borderId="0" pivotButton="0" quotePrefix="0" xfId="0"/>
    <xf numFmtId="0" fontId="48" fillId="5" borderId="17" applyAlignment="1" applyProtection="1" pivotButton="0" quotePrefix="0" xfId="0">
      <alignment horizontal="left" vertical="center" indent="1"/>
      <protection locked="0" hidden="0"/>
    </xf>
    <xf numFmtId="0" fontId="48" fillId="5" borderId="0" pivotButton="0" quotePrefix="0" xfId="0"/>
    <xf numFmtId="0" fontId="8" fillId="6" borderId="19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166" fontId="52" fillId="6" borderId="20" applyAlignment="1" pivotButton="0" quotePrefix="0" xfId="0">
      <alignment horizontal="center" vertical="center"/>
    </xf>
    <xf numFmtId="0" fontId="49" fillId="6" borderId="18" applyAlignment="1" pivotButton="0" quotePrefix="0" xfId="0">
      <alignment horizontal="left" vertical="center" indent="1"/>
    </xf>
    <xf numFmtId="0" fontId="50" fillId="6" borderId="18" applyAlignment="1" pivotButton="0" quotePrefix="0" xfId="0">
      <alignment horizontal="left" vertical="center" indent="1"/>
    </xf>
    <xf numFmtId="0" fontId="8" fillId="6" borderId="5" applyAlignment="1" pivotButton="0" quotePrefix="0" xfId="0">
      <alignment horizontal="left" vertical="center" indent="1"/>
    </xf>
    <xf numFmtId="166" fontId="53" fillId="6" borderId="6" applyAlignment="1" pivotButton="0" quotePrefix="0" xfId="0">
      <alignment horizontal="center" vertical="center"/>
    </xf>
    <xf numFmtId="166" fontId="54" fillId="6" borderId="6" applyAlignment="1" pivotButton="0" quotePrefix="0" xfId="0">
      <alignment horizontal="center" vertical="center"/>
    </xf>
    <xf numFmtId="165" fontId="50" fillId="6" borderId="18" applyAlignment="1" pivotButton="0" quotePrefix="0" xfId="0">
      <alignment horizontal="right" vertical="center" indent="1"/>
    </xf>
    <xf numFmtId="0" fontId="50" fillId="6" borderId="18" applyAlignment="1" pivotButton="0" quotePrefix="0" xfId="0">
      <alignment horizontal="right" vertical="center" indent="1"/>
    </xf>
    <xf numFmtId="166" fontId="52" fillId="6" borderId="6" applyAlignment="1" pivotButton="0" quotePrefix="0" xfId="0">
      <alignment horizontal="center" vertical="center"/>
    </xf>
    <xf numFmtId="165" fontId="51" fillId="6" borderId="18" applyAlignment="1" pivotButton="0" quotePrefix="0" xfId="0">
      <alignment horizontal="right" vertical="center" indent="1"/>
    </xf>
    <xf numFmtId="0" fontId="51" fillId="6" borderId="18" applyAlignment="1" pivotButton="0" quotePrefix="0" xfId="0">
      <alignment horizontal="right" vertical="center" indent="1"/>
    </xf>
    <xf numFmtId="169" fontId="50" fillId="6" borderId="18" applyAlignment="1" pivotButton="0" quotePrefix="0" xfId="0">
      <alignment horizontal="right" vertical="center" indent="1"/>
    </xf>
    <xf numFmtId="164" fontId="50" fillId="6" borderId="18" applyAlignment="1" pivotButton="0" quotePrefix="0" xfId="0">
      <alignment horizontal="right" vertical="center" indent="1"/>
    </xf>
    <xf numFmtId="0" fontId="1" fillId="6" borderId="18" applyAlignment="1" pivotButton="0" quotePrefix="0" xfId="0">
      <alignment horizontal="left" vertical="center" wrapText="1" indent="1"/>
    </xf>
    <xf numFmtId="0" fontId="1" fillId="6" borderId="18" applyAlignment="1" pivotButton="0" quotePrefix="0" xfId="0">
      <alignment horizontal="left" vertical="center" indent="1"/>
    </xf>
    <xf numFmtId="0" fontId="55" fillId="2" borderId="0" pivotButton="0" quotePrefix="0" xfId="0"/>
    <xf numFmtId="0" fontId="55" fillId="3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14" fillId="4" borderId="0" applyAlignment="1" pivotButton="0" quotePrefix="0" xfId="0">
      <alignment horizontal="left" vertical="center"/>
    </xf>
    <xf numFmtId="0" fontId="14" fillId="0" borderId="0" pivotButton="0" quotePrefix="0" xfId="0"/>
    <xf numFmtId="0" fontId="15" fillId="4" borderId="0" applyAlignment="1" pivotButton="0" quotePrefix="0" xfId="0">
      <alignment horizontal="left" vertical="center"/>
    </xf>
    <xf numFmtId="0" fontId="15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0" borderId="0" pivotButton="0" quotePrefix="0" xfId="0"/>
    <xf numFmtId="0" fontId="6" fillId="8" borderId="0" applyAlignment="1" pivotButton="0" quotePrefix="0" xfId="0">
      <alignment horizontal="left" vertical="center" indent="1"/>
    </xf>
    <xf numFmtId="0" fontId="16" fillId="6" borderId="5" applyAlignment="1" pivotButton="0" quotePrefix="0" xfId="0">
      <alignment horizontal="left" vertical="center" wrapText="1" indent="1"/>
    </xf>
    <xf numFmtId="0" fontId="16" fillId="0" borderId="4" pivotButton="0" quotePrefix="0" xfId="0"/>
    <xf numFmtId="0" fontId="8" fillId="6" borderId="6" applyAlignment="1" pivotButton="0" quotePrefix="0" xfId="0">
      <alignment horizontal="left" vertical="center" wrapText="1" indent="1"/>
    </xf>
    <xf numFmtId="0" fontId="8" fillId="0" borderId="4" pivotButton="0" quotePrefix="0" xfId="0"/>
    <xf numFmtId="0" fontId="17" fillId="5" borderId="7" applyAlignment="1" pivotButton="0" quotePrefix="0" xfId="0">
      <alignment horizontal="center" vertical="center"/>
    </xf>
    <xf numFmtId="0" fontId="18" fillId="6" borderId="2" applyAlignment="1" pivotButton="0" quotePrefix="0" xfId="0">
      <alignment horizontal="left" vertical="center" wrapText="1" indent="1"/>
    </xf>
    <xf numFmtId="0" fontId="18" fillId="0" borderId="4" pivotButton="0" quotePrefix="0" xfId="0"/>
    <xf numFmtId="0" fontId="8" fillId="6" borderId="2" applyAlignment="1" pivotButton="0" quotePrefix="0" xfId="0">
      <alignment horizontal="left" vertical="center" wrapText="1" indent="1"/>
    </xf>
    <xf numFmtId="0" fontId="19" fillId="6" borderId="7" applyAlignment="1" pivotButton="0" quotePrefix="0" xfId="0">
      <alignment horizontal="center" vertical="center"/>
    </xf>
    <xf numFmtId="0" fontId="20" fillId="6" borderId="2" applyAlignment="1" pivotButton="0" quotePrefix="0" xfId="0">
      <alignment horizontal="left" vertical="center" wrapText="1" indent="1"/>
    </xf>
    <xf numFmtId="0" fontId="20" fillId="0" borderId="4" pivotButton="0" quotePrefix="0" xfId="0"/>
    <xf numFmtId="0" fontId="2" fillId="2" borderId="7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 indent="1"/>
    </xf>
    <xf numFmtId="0" fontId="21" fillId="7" borderId="7" applyAlignment="1" pivotButton="0" quotePrefix="0" xfId="0">
      <alignment horizontal="center" vertical="center"/>
    </xf>
    <xf numFmtId="0" fontId="22" fillId="9" borderId="7" applyAlignment="1" pivotButton="0" quotePrefix="0" xfId="0">
      <alignment horizontal="center" vertical="center"/>
    </xf>
    <xf numFmtId="0" fontId="23" fillId="6" borderId="2" applyAlignment="1" pivotButton="0" quotePrefix="0" xfId="0">
      <alignment horizontal="left" vertical="center" wrapText="1" indent="1"/>
    </xf>
    <xf numFmtId="0" fontId="23" fillId="0" borderId="4" pivotButton="0" quotePrefix="0" xfId="0"/>
    <xf numFmtId="0" fontId="24" fillId="10" borderId="7" applyAlignment="1" pivotButton="0" quotePrefix="0" xfId="0">
      <alignment horizontal="center" vertical="center"/>
    </xf>
    <xf numFmtId="0" fontId="25" fillId="6" borderId="2" applyAlignment="1" pivotButton="0" quotePrefix="0" xfId="0">
      <alignment horizontal="left" vertical="center" wrapText="1" indent="1"/>
    </xf>
    <xf numFmtId="0" fontId="25" fillId="0" borderId="4" pivotButton="0" quotePrefix="0" xfId="0"/>
    <xf numFmtId="0" fontId="26" fillId="11" borderId="7" applyAlignment="1" pivotButton="0" quotePrefix="0" xfId="0">
      <alignment horizontal="center" vertical="center"/>
    </xf>
    <xf numFmtId="0" fontId="27" fillId="6" borderId="2" applyAlignment="1" pivotButton="0" quotePrefix="0" xfId="0">
      <alignment horizontal="left" vertical="center" wrapText="1" indent="1"/>
    </xf>
    <xf numFmtId="0" fontId="27" fillId="0" borderId="4" pivotButton="0" quotePrefix="0" xfId="0"/>
    <xf numFmtId="0" fontId="28" fillId="12" borderId="7" applyAlignment="1" pivotButton="0" quotePrefix="0" xfId="0">
      <alignment horizontal="center" vertical="center"/>
    </xf>
    <xf numFmtId="0" fontId="29" fillId="6" borderId="2" applyAlignment="1" pivotButton="0" quotePrefix="0" xfId="0">
      <alignment horizontal="left" vertical="center" wrapText="1" indent="1"/>
    </xf>
    <xf numFmtId="0" fontId="29" fillId="0" borderId="4" pivotButton="0" quotePrefix="0" xfId="0"/>
    <xf numFmtId="0" fontId="21" fillId="2" borderId="7" applyAlignment="1" pivotButton="0" quotePrefix="0" xfId="0">
      <alignment horizontal="center" vertical="center"/>
    </xf>
    <xf numFmtId="0" fontId="30" fillId="6" borderId="2" applyAlignment="1" pivotButton="0" quotePrefix="0" xfId="0">
      <alignment horizontal="left" vertical="center" indent="1"/>
    </xf>
    <xf numFmtId="0" fontId="31" fillId="13" borderId="7" applyAlignment="1" pivotButton="0" quotePrefix="0" xfId="0">
      <alignment horizontal="center" vertical="center"/>
    </xf>
    <xf numFmtId="0" fontId="22" fillId="14" borderId="7" applyAlignment="1" pivotButton="0" quotePrefix="0" xfId="0">
      <alignment horizontal="center" vertical="center"/>
    </xf>
    <xf numFmtId="0" fontId="32" fillId="15" borderId="7" applyAlignment="1" pivotButton="0" quotePrefix="0" xfId="0">
      <alignment horizontal="center" vertical="center"/>
    </xf>
    <xf numFmtId="0" fontId="33" fillId="16" borderId="7" applyAlignment="1" pivotButton="0" quotePrefix="0" xfId="0">
      <alignment horizontal="center" vertical="center"/>
    </xf>
    <xf numFmtId="0" fontId="34" fillId="17" borderId="7" applyAlignment="1" pivotButton="0" quotePrefix="0" xfId="0">
      <alignment horizontal="center" vertical="center"/>
    </xf>
    <xf numFmtId="0" fontId="17" fillId="18" borderId="7" applyAlignment="1" pivotButton="0" quotePrefix="0" xfId="0">
      <alignment horizontal="center" vertical="center"/>
    </xf>
    <xf numFmtId="0" fontId="35" fillId="19" borderId="7" applyAlignment="1" pivotButton="0" quotePrefix="0" xfId="0">
      <alignment horizontal="center" vertical="center"/>
    </xf>
    <xf numFmtId="0" fontId="26" fillId="20" borderId="7" applyAlignment="1" pivotButton="0" quotePrefix="0" xfId="0">
      <alignment horizontal="center" vertical="center"/>
    </xf>
    <xf numFmtId="0" fontId="36" fillId="21" borderId="7" applyAlignment="1" pivotButton="0" quotePrefix="0" xfId="0">
      <alignment horizontal="center" vertical="center"/>
    </xf>
    <xf numFmtId="0" fontId="37" fillId="22" borderId="7" applyAlignment="1" pivotButton="0" quotePrefix="0" xfId="0">
      <alignment horizontal="center" vertical="center"/>
    </xf>
    <xf numFmtId="0" fontId="38" fillId="23" borderId="7" applyAlignment="1" pivotButton="0" quotePrefix="0" xfId="0">
      <alignment horizontal="center" vertical="center"/>
    </xf>
    <xf numFmtId="0" fontId="39" fillId="6" borderId="5" applyAlignment="1" pivotButton="0" quotePrefix="0" xfId="0">
      <alignment horizontal="center" vertical="center"/>
    </xf>
    <xf numFmtId="0" fontId="40" fillId="6" borderId="6" applyAlignment="1" pivotButton="0" quotePrefix="0" xfId="0">
      <alignment horizontal="left" vertical="center" wrapText="1" indent="1"/>
    </xf>
    <xf numFmtId="0" fontId="40" fillId="0" borderId="4" pivotButton="0" quotePrefix="0" xfId="0"/>
    <xf numFmtId="0" fontId="42" fillId="6" borderId="2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9" fillId="7" borderId="3" applyAlignment="1" pivotButton="0" quotePrefix="0" xfId="0">
      <alignment horizontal="right" vertical="center" indent="1"/>
    </xf>
    <xf numFmtId="0" fontId="9" fillId="7" borderId="3" applyAlignment="1" pivotButton="0" quotePrefix="0" xfId="0">
      <alignment horizontal="left" vertical="center" indent="1"/>
    </xf>
    <xf numFmtId="166" fontId="9" fillId="7" borderId="3" applyAlignment="1" pivotButton="0" quotePrefix="0" xfId="0">
      <alignment horizontal="right" vertical="center" indent="1"/>
    </xf>
    <xf numFmtId="165" fontId="9" fillId="7" borderId="3" applyAlignment="1" pivotButton="0" quotePrefix="0" xfId="0">
      <alignment horizontal="right" vertical="center" inden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right" vertical="center" wrapText="1"/>
    </xf>
    <xf numFmtId="0" fontId="7" fillId="5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applyProtection="1" pivotButton="0" quotePrefix="0" xfId="0">
      <alignment horizontal="left" vertical="center" indent="1"/>
      <protection locked="0" hidden="0"/>
    </xf>
    <xf numFmtId="164" fontId="7" fillId="5" borderId="2" applyAlignment="1" applyProtection="1" pivotButton="0" quotePrefix="0" xfId="0">
      <alignment horizontal="right" vertical="center" indent="1"/>
      <protection locked="0" hidden="0"/>
    </xf>
    <xf numFmtId="165" fontId="7" fillId="5" borderId="2" applyAlignment="1" applyProtection="1" pivotButton="0" quotePrefix="0" xfId="0">
      <alignment horizontal="center" vertical="center"/>
      <protection locked="0" hidden="0"/>
    </xf>
    <xf numFmtId="164" fontId="7" fillId="5" borderId="2" applyAlignment="1" applyProtection="1" pivotButton="0" quotePrefix="0" xfId="0">
      <alignment horizontal="left" vertical="center" indent="1"/>
      <protection locked="0" hidden="0"/>
    </xf>
    <xf numFmtId="0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indent="1"/>
    </xf>
    <xf numFmtId="164" fontId="7" fillId="5" borderId="2" applyAlignment="1" applyProtection="1" pivotButton="0" quotePrefix="0" xfId="0">
      <alignment horizontal="center" vertical="center"/>
      <protection locked="0" hidden="0"/>
    </xf>
    <xf numFmtId="165" fontId="7" fillId="5" borderId="2" applyAlignment="1" applyProtection="1" pivotButton="0" quotePrefix="0" xfId="0">
      <alignment horizontal="right" vertical="center" indent="1"/>
      <protection locked="0" hidden="0"/>
    </xf>
    <xf numFmtId="165" fontId="8" fillId="6" borderId="2" applyAlignment="1" pivotButton="0" quotePrefix="0" xfId="0">
      <alignment horizontal="right" vertical="center" indent="1"/>
    </xf>
    <xf numFmtId="167" fontId="8" fillId="6" borderId="2" applyAlignment="1" pivotButton="0" quotePrefix="0" xfId="0">
      <alignment horizontal="center" vertical="center"/>
    </xf>
    <xf numFmtId="166" fontId="9" fillId="7" borderId="3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166" fontId="8" fillId="6" borderId="2" applyAlignment="1" pivotButton="0" quotePrefix="0" xfId="0">
      <alignment horizontal="center" vertical="center"/>
    </xf>
    <xf numFmtId="169" fontId="9" fillId="7" borderId="3" applyAlignment="1" pivotButton="0" quotePrefix="0" xfId="0">
      <alignment horizontal="center" vertical="center"/>
    </xf>
    <xf numFmtId="169" fontId="8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5" fontId="11" fillId="7" borderId="3" applyAlignment="1" pivotButton="0" quotePrefix="0" xfId="0">
      <alignment horizontal="right" vertical="center" indent="1"/>
    </xf>
    <xf numFmtId="165" fontId="8" fillId="6" borderId="2" applyAlignment="1" pivotButton="0" quotePrefix="0" xfId="0">
      <alignment horizontal="left" vertical="center" indent="1"/>
    </xf>
    <xf numFmtId="165" fontId="7" fillId="5" borderId="2" applyAlignment="1" applyProtection="1" pivotButton="0" quotePrefix="0" xfId="0">
      <alignment horizontal="left" vertical="center" indent="1"/>
      <protection locked="0" hidden="0"/>
    </xf>
    <xf numFmtId="0" fontId="12" fillId="2" borderId="0" applyAlignment="1" pivotButton="0" quotePrefix="0" xfId="0">
      <alignment horizontal="left" vertical="center" indent="1"/>
    </xf>
    <xf numFmtId="0" fontId="12" fillId="2" borderId="0" pivotButton="0" quotePrefix="0" xfId="0"/>
    <xf numFmtId="0" fontId="6" fillId="8" borderId="0" applyAlignment="1" pivotButton="0" quotePrefix="0" xfId="0">
      <alignment horizontal="center" vertical="center"/>
    </xf>
    <xf numFmtId="169" fontId="7" fillId="5" borderId="2" applyAlignment="1" applyProtection="1" pivotButton="0" quotePrefix="0" xfId="0">
      <alignment horizontal="center" vertical="center"/>
      <protection locked="0" hidden="0"/>
    </xf>
    <xf numFmtId="164" fontId="7" fillId="6" borderId="2" applyAlignment="1" pivotButton="0" quotePrefix="0" xfId="0">
      <alignment horizontal="center" vertical="center"/>
    </xf>
    <xf numFmtId="0" fontId="7" fillId="5" borderId="2" applyProtection="1" pivotButton="0" quotePrefix="0" xfId="0">
      <protection locked="0" hidden="0"/>
    </xf>
    <xf numFmtId="0" fontId="13" fillId="6" borderId="2" applyAlignment="1" pivotButton="0" quotePrefix="0" xfId="0">
      <alignment horizontal="center" vertical="center"/>
    </xf>
    <xf numFmtId="165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10">
    <dxf>
      <font>
        <name val="Segoe UI"/>
        <b val="1"/>
        <color rgb="00A32D2D"/>
        <sz val="13"/>
      </font>
      <fill>
        <patternFill patternType="solid">
          <fgColor rgb="00FBECEC"/>
        </patternFill>
      </fill>
    </dxf>
    <dxf>
      <font>
        <name val="Segoe UI"/>
        <b val="1"/>
        <color rgb="00854F0B"/>
        <sz val="13"/>
      </font>
      <fill>
        <patternFill patternType="solid">
          <fgColor rgb="00FDF3E3"/>
        </patternFill>
      </fill>
    </dxf>
    <dxf>
      <font>
        <name val="Segoe UI"/>
        <b val="1"/>
        <color rgb="00185FA5"/>
        <sz val="13"/>
      </font>
      <fill>
        <patternFill patternType="solid">
          <fgColor rgb="00FDF3E3"/>
        </patternFill>
      </fill>
    </dxf>
    <dxf>
      <font>
        <name val="Segoe UI"/>
        <b val="1"/>
        <color rgb="000F6E56"/>
        <sz val="10.5"/>
      </font>
      <fill>
        <patternFill patternType="solid">
          <fgColor rgb="00E7F5EF"/>
        </patternFill>
      </fill>
    </dxf>
    <dxf>
      <font>
        <name val="Segoe UI"/>
        <b val="1"/>
        <color rgb="00854F0B"/>
        <sz val="10.5"/>
      </font>
      <fill>
        <patternFill patternType="solid">
          <fgColor rgb="00FDF3E3"/>
        </patternFill>
      </fill>
    </dxf>
    <dxf>
      <font>
        <name val="Segoe UI"/>
        <b val="1"/>
        <color rgb="00A32D2D"/>
        <sz val="10.5"/>
      </font>
      <fill>
        <patternFill patternType="solid">
          <fgColor rgb="00FBECEC"/>
        </patternFill>
      </fill>
    </dxf>
    <dxf>
      <font>
        <name val="Segoe UI"/>
        <b val="1"/>
        <color rgb="0064748B"/>
        <sz val="10.5"/>
      </font>
      <fill>
        <patternFill patternType="solid">
          <fgColor rgb="00F1F5F9"/>
        </patternFill>
      </fill>
    </dxf>
    <dxf>
      <font>
        <name val="Segoe UI"/>
        <b val="1"/>
        <color rgb="00185FA5"/>
        <sz val="10.5"/>
      </font>
      <fill>
        <patternFill patternType="solid">
          <fgColor rgb="00E8F0FA"/>
        </patternFill>
      </fill>
    </dxf>
    <dxf>
      <font>
        <name val="Segoe UI"/>
        <b val="1"/>
        <color rgb="00A32D2D"/>
        <sz val="11"/>
      </font>
    </dxf>
    <dxf>
      <font>
        <name val="Segoe UI"/>
        <b val="1"/>
        <color rgb="00A32D2D"/>
        <sz val="11"/>
      </font>
      <fill>
        <patternFill patternType="solid">
          <fgColor rgb="00FB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Aylık nakit kâr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'AY_SONU'!I6</f>
            </strRef>
          </tx>
          <spPr>
            <a:ln xmlns:a="http://schemas.openxmlformats.org/drawingml/2006/main" w="22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'AY_SONU'!$B$7:$B$18</f>
            </numRef>
          </cat>
          <val>
            <numRef>
              <f>'AY_SONU'!$I$7:$I$18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Tahakkuk ve tahsilat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'AY_SONU'!C6</f>
            </strRef>
          </tx>
          <spPr>
            <a:solidFill xmlns:a="http://schemas.openxmlformats.org/drawingml/2006/main">
              <a:srgbClr val="9FB8D0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'AY_SONU'!$C$7:$C$18</f>
            </numRef>
          </val>
        </ser>
        <ser>
          <idx val="1"/>
          <order val="1"/>
          <tx>
            <strRef>
              <f>'AY_SONU'!D6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'AY_SONU'!$D$7:$D$18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750" b="0">
              <a:solidFill>
                <a:srgbClr val="64748B"/>
              </a:solidFill>
              <a:latin typeface="Segoe UI"/>
            </a:defRPr>
          </a:pPr>
          <a:r>
            <a:t/>
          </a:r>
          <a:endParaRPr sz="750" b="0">
            <a:solidFill>
              <a:srgbClr val="64748B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Alacak yaşlandırması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5DCAA5"/>
            </a:solidFill>
            <a:ln xmlns:a="http://schemas.openxmlformats.org/drawingml/2006/main">
              <a:noFill/>
              <a:prstDash val="solid"/>
            </a:ln>
          </spPr>
          <cat>
            <numRef>
              <f>'MUSTERI_360'!$J$6:$M$6</f>
            </numRef>
          </cat>
          <val>
            <numRef>
              <f>'MUSTERI_360'!$J$5:$M$5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2664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2664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13</row>
      <rowOff>0</rowOff>
    </from>
    <ext cx="2664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Q41"/>
  <sheetViews>
    <sheetView showGridLines="0" tabSelected="1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4" customWidth="1" min="1" max="1"/>
    <col width="21" customWidth="1" min="2" max="2"/>
    <col width="1.4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</cols>
  <sheetData>
    <row r="1" ht="38" customHeight="1">
      <c r="A1" s="1" t="inlineStr">
        <is>
          <t>NECATİBEY OFİS YÖNETİM SİSTEMİ   │   YÖNETİM PANOSU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3" t="n"/>
    </row>
    <row r="2" ht="22" customHeight="1">
      <c r="A2" s="4">
        <f>"Bu ekran karar, alarm ve seçim ekranıdır   │   SİSTEM DURUMU:  "&amp;IF(COUNTIF(SISTEM!$F$23:$F$50,"KALDI")=0,"KULLANIMA UYGUN","KONTROL GEREKİR")&amp;"   │   "&amp;COUNTIF(SISTEM!$F$23:$F$50,"GEÇTİ")&amp;" / "&amp;COUNTIF(SISTEM!$F$23:$F$50,"&lt;&gt;BİLGİ")&amp;" kontrol geçti"</f>
        <v/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3" t="n"/>
      <c r="Q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20" customHeight="1">
      <c r="A4" s="6" t="n"/>
      <c r="B4" s="7">
        <f>TEXT(TODAY(),"dd.mm.yyyy")&amp;"   │   "&amp;SISTEM!$C$7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 ht="22" customHeight="1">
      <c r="A5" s="6" t="n"/>
      <c r="B5" s="8" t="inlineStr">
        <is>
          <t>MENÜ</t>
        </is>
      </c>
      <c r="C5" s="6" t="n"/>
      <c r="D5" s="9" t="inlineStr">
        <is>
          <t>AKTİF MÜŞTERİ</t>
        </is>
      </c>
      <c r="E5" s="10" t="n"/>
      <c r="F5" s="10" t="n"/>
      <c r="G5" s="11" t="inlineStr">
        <is>
          <t>TOPLAM CARİ ALACAK</t>
        </is>
      </c>
      <c r="H5" s="10" t="n"/>
      <c r="I5" s="10" t="n"/>
      <c r="J5" s="12" t="inlineStr">
        <is>
          <t>29+ GÜN GECİKMİŞ</t>
        </is>
      </c>
      <c r="K5" s="10" t="n"/>
      <c r="L5" s="10" t="n"/>
      <c r="M5" s="13" t="inlineStr">
        <is>
          <t>KASA + BANKA</t>
        </is>
      </c>
      <c r="N5" s="10" t="n"/>
      <c r="O5" s="10" t="n"/>
      <c r="P5" s="6" t="n"/>
      <c r="Q5" s="6" t="n"/>
    </row>
    <row r="6" ht="22" customHeight="1">
      <c r="A6" s="6" t="n"/>
      <c r="B6" s="14">
        <f>HYPERLINK("#PANO!A1","    PANO")</f>
        <v/>
      </c>
      <c r="C6" s="6" t="n"/>
      <c r="D6" s="15">
        <f>COUNTIF(MUSTERILER!$D$7:$D$106,"Aktif")</f>
        <v/>
      </c>
      <c r="E6" s="16" t="n"/>
      <c r="F6" s="16" t="n"/>
      <c r="G6" s="17">
        <f>SUM(MUSTERI_360!$I$7:$I$106)</f>
        <v/>
      </c>
      <c r="H6" s="16" t="n"/>
      <c r="I6" s="16" t="n"/>
      <c r="J6" s="17">
        <f>SUM(MUSTERI_360!$M$7:$M$106)</f>
        <v/>
      </c>
      <c r="K6" s="16" t="n"/>
      <c r="L6" s="16" t="n"/>
      <c r="M6" s="17">
        <f>HESAPLAR!$K$18</f>
        <v/>
      </c>
      <c r="N6" s="16" t="n"/>
      <c r="O6" s="16" t="n"/>
      <c r="P6" s="6" t="n"/>
      <c r="Q6" s="6" t="n"/>
    </row>
    <row r="7" ht="22" customHeight="1">
      <c r="A7" s="6" t="n"/>
      <c r="B7" s="18">
        <f>HYPERLINK("#MUSTERILER!A1","    Müşteriler")</f>
        <v/>
      </c>
      <c r="C7" s="6" t="n"/>
      <c r="D7" s="19">
        <f>COUNTA(MUSTERILER!$B$7:$B$106)&amp;" kayıtlı müşteri"</f>
        <v/>
      </c>
      <c r="E7" s="20" t="n"/>
      <c r="F7" s="20" t="n"/>
      <c r="G7" s="19">
        <f>COUNTIF(MUSTERI_360!$I$7:$I$106,"&gt;0")&amp;" müşteride açık bakiye"</f>
        <v/>
      </c>
      <c r="H7" s="20" t="n"/>
      <c r="I7" s="20" t="n"/>
      <c r="J7" s="19">
        <f>TEXT(IFERROR(SUM(MUSTERI_360!$M$7:$M$106)/SUM(MUSTERI_360!$I$7:$I$106),0),"0,0%")&amp;" toplam alacağın payı"</f>
        <v/>
      </c>
      <c r="K7" s="20" t="n"/>
      <c r="L7" s="20" t="n"/>
      <c r="M7" s="19">
        <f>COUNTIF(HESAPLAR!$D$7:$D$16,"Aktif")&amp;" aktif hesap"</f>
        <v/>
      </c>
      <c r="N7" s="20" t="n"/>
      <c r="O7" s="20" t="n"/>
      <c r="P7" s="6" t="n"/>
      <c r="Q7" s="6" t="n"/>
    </row>
    <row r="8" ht="22" customHeight="1">
      <c r="A8" s="6" t="n"/>
      <c r="B8" s="18">
        <f>HYPERLINK("#UCRETLER!A1","    Haftalık Ücretler")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 ht="22" customHeight="1">
      <c r="A9" s="6" t="n"/>
      <c r="B9" s="18">
        <f>HYPERLINK("#TAHSILAT!A1","    Tahsilat")</f>
        <v/>
      </c>
      <c r="C9" s="6" t="n"/>
      <c r="D9" s="13" t="inlineStr">
        <is>
          <t>BU AY NAKİT KÂR</t>
        </is>
      </c>
      <c r="E9" s="10" t="n"/>
      <c r="F9" s="10" t="n"/>
      <c r="G9" s="9" t="inlineStr">
        <is>
          <t>BU AY TAHSİLAT</t>
        </is>
      </c>
      <c r="H9" s="10" t="n"/>
      <c r="I9" s="10" t="n"/>
      <c r="J9" s="21" t="inlineStr">
        <is>
          <t>HAFTALIK TAHAKKUK</t>
        </is>
      </c>
      <c r="K9" s="10" t="n"/>
      <c r="L9" s="10" t="n"/>
      <c r="M9" s="12" t="inlineStr">
        <is>
          <t>GECİKMİŞ İŞ</t>
        </is>
      </c>
      <c r="N9" s="10" t="n"/>
      <c r="O9" s="10" t="n"/>
      <c r="P9" s="6" t="n"/>
      <c r="Q9" s="6" t="n"/>
    </row>
    <row r="10" ht="22" customHeight="1">
      <c r="A10" s="6" t="n"/>
      <c r="B10" s="18">
        <f>HYPERLINK("#GELIR_GIDER!A1","    Gelir / Gider")</f>
        <v/>
      </c>
      <c r="C10" s="6" t="n"/>
      <c r="D10" s="17">
        <f>SUMIFS(AY_SONU!$I$7:$I$42,AY_SONU!$B$7:$B$42,"&gt;="&amp;EOMONTH(TODAY(),-1)+1,AY_SONU!$B$7:$B$42,"&lt;="&amp;EOMONTH(TODAY(),0))</f>
        <v/>
      </c>
      <c r="E10" s="16" t="n"/>
      <c r="F10" s="16" t="n"/>
      <c r="G10" s="17">
        <f>SUMIFS(AY_SONU!$D$7:$D$42,AY_SONU!$B$7:$B$42,"&gt;="&amp;EOMONTH(TODAY(),-1)+1,AY_SONU!$B$7:$B$42,"&lt;="&amp;EOMONTH(TODAY(),0))</f>
        <v/>
      </c>
      <c r="H10" s="16" t="n"/>
      <c r="I10" s="16" t="n"/>
      <c r="J10" s="17">
        <f>SUMIFS(UCRETLER!$F$7:$F$406,UCRETLER!$G$7:$G$406,"Aktif")</f>
        <v/>
      </c>
      <c r="K10" s="16" t="n"/>
      <c r="L10" s="16" t="n"/>
      <c r="M10" s="15">
        <f>COUNTIF(AKTIVITE!$Q$7:$Q$1006,"GECİKMİŞ")</f>
        <v/>
      </c>
      <c r="N10" s="16" t="n"/>
      <c r="O10" s="16" t="n"/>
      <c r="P10" s="6" t="n"/>
      <c r="Q10" s="6" t="n"/>
    </row>
    <row r="11" ht="22" customHeight="1">
      <c r="A11" s="6" t="n"/>
      <c r="B11" s="18">
        <f>HYPERLINK("#VIRMAN!A1","    Virman")</f>
        <v/>
      </c>
      <c r="C11" s="6" t="n"/>
      <c r="D11" s="19">
        <f>TEXT(TODAY(),"mmmm yyyy")&amp;" dönemi"</f>
        <v/>
      </c>
      <c r="E11" s="20" t="n"/>
      <c r="F11" s="20" t="n"/>
      <c r="G11" s="19">
        <f>"Ay tahakkuku "&amp;TEXT(SUMIFS(AY_SONU!$C$7:$C$42,AY_SONU!$B$7:$B$42,"&gt;="&amp;EOMONTH(TODAY(),-1)+1,AY_SONU!$B$7:$B$42,"&lt;="&amp;EOMONTH(TODAY(),0)),"#,##0")&amp;" ₺"</f>
        <v/>
      </c>
      <c r="H11" s="20" t="n"/>
      <c r="I11" s="20" t="n"/>
      <c r="J11" s="19">
        <f>COUNTIFS(UCRETLER!$G$7:$G$406,"Aktif")&amp;" aktif ücret dönemi"</f>
        <v/>
      </c>
      <c r="K11" s="20" t="n"/>
      <c r="L11" s="20" t="n"/>
      <c r="M11" s="19">
        <f>COUNTIF(AKTIVITE!$Q$7:$Q$1006,"BUGÜN")&amp;" iş bugün teslim"</f>
        <v/>
      </c>
      <c r="N11" s="20" t="n"/>
      <c r="O11" s="20" t="n"/>
      <c r="P11" s="6" t="n"/>
      <c r="Q11" s="6" t="n"/>
    </row>
    <row r="12" ht="22" customHeight="1">
      <c r="A12" s="6" t="n"/>
      <c r="B12" s="18">
        <f>HYPERLINK("#AKTIVITE!A1","    Aktivite")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 ht="22" customHeight="1">
      <c r="A13" s="6" t="n"/>
      <c r="B13" s="18">
        <f>HYPERLINK("#MUSTERI_360!A1","    Müşteri 360")</f>
        <v/>
      </c>
      <c r="C13" s="6" t="n"/>
      <c r="D13" s="22" t="inlineStr">
        <is>
          <t>AYLIK NAKİT KÂR EĞRİSİ</t>
        </is>
      </c>
      <c r="E13" s="6" t="n"/>
      <c r="F13" s="6" t="n"/>
      <c r="G13" s="6" t="n"/>
      <c r="H13" s="22" t="inlineStr">
        <is>
          <t>TAHAKKUK ↔ TAHSİLAT</t>
        </is>
      </c>
      <c r="I13" s="6" t="n"/>
      <c r="J13" s="6" t="n"/>
      <c r="K13" s="6" t="n"/>
      <c r="L13" s="22" t="inlineStr">
        <is>
          <t>ALACAK YAŞLANDIRMASI</t>
        </is>
      </c>
      <c r="M13" s="6" t="n"/>
      <c r="N13" s="6" t="n"/>
      <c r="O13" s="6" t="n"/>
      <c r="P13" s="6" t="n"/>
      <c r="Q13" s="6" t="n"/>
    </row>
    <row r="14" ht="22" customHeight="1">
      <c r="A14" s="6" t="n"/>
      <c r="B14" s="18">
        <f>HYPERLINK("#HESAPLAR!A1","    Hesaplar")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 ht="22" customHeight="1">
      <c r="A15" s="6" t="n"/>
      <c r="B15" s="18">
        <f>HYPERLINK("#AY_SONU!A1","    Ay Sonu")</f>
        <v/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22" customHeight="1">
      <c r="A16" s="6" t="n"/>
      <c r="B16" s="18">
        <f>HYPERLINK("#SISTEM!A1","    Sistem &amp; Kontrol")</f>
        <v/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22" customHeight="1">
      <c r="A17" s="6" t="n"/>
      <c r="B17" s="18">
        <f>HYPERLINK("#BASLANGIC!A1","    Başlangıç")</f>
        <v/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22" customHeight="1">
      <c r="A18" s="6" t="n"/>
      <c r="B18" s="23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22" customHeight="1">
      <c r="A19" s="6" t="n"/>
      <c r="B19" s="23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22" customHeight="1">
      <c r="A20" s="6" t="n"/>
      <c r="B20" s="23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22" customHeight="1">
      <c r="A21" s="6" t="n"/>
      <c r="B21" s="23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22" customHeight="1">
      <c r="A22" s="6" t="n"/>
      <c r="B22" s="23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 ht="22" customHeight="1">
      <c r="A23" s="6" t="n"/>
      <c r="B23" s="23" t="n"/>
      <c r="C23" s="6" t="n"/>
      <c r="D23" s="22" t="inlineStr">
        <is>
          <t>MÜŞTERİ HIZLI KARTI</t>
        </is>
      </c>
      <c r="E23" s="6" t="n"/>
      <c r="F23" s="6" t="n"/>
      <c r="G23" s="6" t="n"/>
      <c r="H23" s="6" t="n"/>
      <c r="I23" s="6" t="n"/>
      <c r="J23" s="22" t="inlineStr">
        <is>
          <t>BUGÜNÜN UYARILARI</t>
        </is>
      </c>
      <c r="K23" s="6" t="n"/>
      <c r="L23" s="6" t="n"/>
      <c r="M23" s="6" t="n"/>
      <c r="N23" s="6" t="n"/>
      <c r="O23" s="6" t="n"/>
      <c r="P23" s="6" t="n"/>
      <c r="Q23" s="6" t="n"/>
    </row>
    <row r="24" ht="22" customHeight="1">
      <c r="A24" s="6" t="n"/>
      <c r="B24" s="23" t="n"/>
      <c r="C24" s="6" t="n"/>
      <c r="D24" s="24" t="inlineStr">
        <is>
          <t>Müşteri seçin</t>
        </is>
      </c>
      <c r="E24" s="25" t="n"/>
      <c r="F24" s="26" t="inlineStr">
        <is>
          <t>ANKARA HAVANA LTD.ŞTİ.</t>
        </is>
      </c>
      <c r="G24" s="27" t="n"/>
      <c r="H24" s="27" t="n"/>
      <c r="I24" s="27" t="n"/>
      <c r="J24" s="28" t="inlineStr">
        <is>
          <t>Gecikmiş müşteri işi</t>
        </is>
      </c>
      <c r="K24" s="29" t="n"/>
      <c r="L24" s="29" t="n"/>
      <c r="M24" s="29" t="n"/>
      <c r="N24" s="29" t="n"/>
      <c r="O24" s="30">
        <f>COUNTIF(AKTIVITE!$Q$7:$Q$1006,"GECİKMİŞ")</f>
        <v/>
      </c>
      <c r="P24" s="6" t="n"/>
      <c r="Q24" s="6" t="n"/>
    </row>
    <row r="25" ht="22" customHeight="1">
      <c r="A25" s="6" t="n"/>
      <c r="B25" s="23" t="n"/>
      <c r="C25" s="6" t="n"/>
      <c r="D25" s="31" t="inlineStr">
        <is>
          <t>Müşteri No</t>
        </is>
      </c>
      <c r="E25" s="31" t="n"/>
      <c r="F25" s="32">
        <f>IF($F$24="","",IFERROR(INDEX(MUSTERI_360!$C$7:$C$106,MATCH($F$24,MUSTERI_360!$C$7:$C$106,0)),""))</f>
        <v/>
      </c>
      <c r="G25" s="32" t="n"/>
      <c r="H25" s="32" t="n"/>
      <c r="I25" s="32" t="n"/>
      <c r="J25" s="33" t="inlineStr">
        <is>
          <t>Bugün teslim edilecek iş</t>
        </is>
      </c>
      <c r="K25" s="29" t="n"/>
      <c r="L25" s="29" t="n"/>
      <c r="M25" s="29" t="n"/>
      <c r="N25" s="29" t="n"/>
      <c r="O25" s="34">
        <f>COUNTIF(AKTIVITE!$Q$7:$Q$1006,"BUGÜN")</f>
        <v/>
      </c>
      <c r="P25" s="6" t="n"/>
      <c r="Q25" s="6" t="n"/>
    </row>
    <row r="26" ht="22" customHeight="1">
      <c r="A26" s="6" t="n"/>
      <c r="B26" s="23" t="n"/>
      <c r="C26" s="6" t="n"/>
      <c r="D26" s="31" t="inlineStr">
        <is>
          <t>Borç Durumu</t>
        </is>
      </c>
      <c r="E26" s="31" t="n"/>
      <c r="F26" s="32">
        <f>IF($F$24="","",IFERROR(INDEX(MUSTERI_360!$P$7:$P$106,MATCH($F$24,MUSTERI_360!$C$7:$C$106,0)),""))</f>
        <v/>
      </c>
      <c r="G26" s="32" t="n"/>
      <c r="H26" s="32" t="n"/>
      <c r="I26" s="32" t="n"/>
      <c r="J26" s="33" t="inlineStr">
        <is>
          <t>7 gün içindeki işler</t>
        </is>
      </c>
      <c r="K26" s="29" t="n"/>
      <c r="L26" s="29" t="n"/>
      <c r="M26" s="29" t="n"/>
      <c r="N26" s="29" t="n"/>
      <c r="O26" s="35">
        <f>COUNTIF(AKTIVITE!$Q$7:$Q$1006,"7 GÜN İÇİNDE")</f>
        <v/>
      </c>
      <c r="P26" s="6" t="n"/>
      <c r="Q26" s="6" t="n"/>
    </row>
    <row r="27" ht="22" customHeight="1">
      <c r="A27" s="6" t="n"/>
      <c r="B27" s="23" t="n"/>
      <c r="C27" s="6" t="n"/>
      <c r="D27" s="31" t="inlineStr">
        <is>
          <t>Haftalık Ücret</t>
        </is>
      </c>
      <c r="E27" s="31" t="n"/>
      <c r="F27" s="36">
        <f>IF($F$24="","",IFERROR(INDEX(MUSTERI_360!$D$7:$D$106,MATCH($F$24,MUSTERI_360!$C$7:$C$106,0)),""))</f>
        <v/>
      </c>
      <c r="G27" s="37" t="n"/>
      <c r="H27" s="37" t="n"/>
      <c r="I27" s="37" t="n"/>
      <c r="J27" s="33" t="inlineStr">
        <is>
          <t>Gecikmiş müşteri teması</t>
        </is>
      </c>
      <c r="K27" s="29" t="n"/>
      <c r="L27" s="29" t="n"/>
      <c r="M27" s="29" t="n"/>
      <c r="N27" s="29" t="n"/>
      <c r="O27" s="38">
        <f>COUNTIFS(AKTIVITE!$C$7:$C$1006,"Görüşme",AKTIVITE!$Q$7:$Q$1006,"GECİKMİŞ")</f>
        <v/>
      </c>
      <c r="P27" s="6" t="n"/>
      <c r="Q27" s="6" t="n"/>
    </row>
    <row r="28" ht="22" customHeight="1">
      <c r="A28" s="6" t="n"/>
      <c r="B28" s="23" t="n"/>
      <c r="C28" s="6" t="n"/>
      <c r="D28" s="31" t="inlineStr">
        <is>
          <t>Devir Alacağı</t>
        </is>
      </c>
      <c r="E28" s="31" t="n"/>
      <c r="F28" s="36">
        <f>IF($F$24="","",IFERROR(INDEX(MUSTERI_360!$E$7:$E$106,MATCH($F$24,MUSTERI_360!$C$7:$C$106,0)),""))</f>
        <v/>
      </c>
      <c r="G28" s="37" t="n"/>
      <c r="H28" s="37" t="n"/>
      <c r="I28" s="37" t="n"/>
      <c r="J28" s="33" t="inlineStr">
        <is>
          <t>Kritik borç durumundaki müşteri</t>
        </is>
      </c>
      <c r="K28" s="29" t="n"/>
      <c r="L28" s="29" t="n"/>
      <c r="M28" s="29" t="n"/>
      <c r="N28" s="29" t="n"/>
      <c r="O28" s="38">
        <f>COUNTIF(MUSTERI_360!$P$7:$P$106,"KRİTİK")</f>
        <v/>
      </c>
      <c r="P28" s="6" t="n"/>
      <c r="Q28" s="6" t="n"/>
    </row>
    <row r="29" ht="22" customHeight="1">
      <c r="A29" s="6" t="n"/>
      <c r="B29" s="23" t="n"/>
      <c r="C29" s="6" t="n"/>
      <c r="D29" s="31" t="inlineStr">
        <is>
          <t>Yeni Tahakkuk</t>
        </is>
      </c>
      <c r="E29" s="31" t="n"/>
      <c r="F29" s="36">
        <f>IF($F$24="","",IFERROR(INDEX(MUSTERI_360!$F$7:$F$106,MATCH($F$24,MUSTERI_360!$C$7:$C$106,0)),""))</f>
        <v/>
      </c>
      <c r="G29" s="37" t="n"/>
      <c r="H29" s="37" t="n"/>
      <c r="I29" s="37" t="n"/>
      <c r="J29" s="33" t="inlineStr">
        <is>
          <t>Bilgisi eksik müşteri kaydı</t>
        </is>
      </c>
      <c r="K29" s="29" t="n"/>
      <c r="L29" s="29" t="n"/>
      <c r="M29" s="29" t="n"/>
      <c r="N29" s="29" t="n"/>
      <c r="O29" s="34">
        <f>COUNTIF(MUSTERILER!$P$7:$P$106,"EKSİK")</f>
        <v/>
      </c>
      <c r="P29" s="6" t="n"/>
      <c r="Q29" s="6" t="n"/>
    </row>
    <row r="30" ht="22" customHeight="1">
      <c r="A30" s="6" t="n"/>
      <c r="B30" s="23" t="n"/>
      <c r="C30" s="6" t="n"/>
      <c r="D30" s="31" t="inlineStr">
        <is>
          <t>Toplam Borç</t>
        </is>
      </c>
      <c r="E30" s="31" t="n"/>
      <c r="F30" s="36">
        <f>IF($F$24="","",IFERROR(INDEX(MUSTERI_360!$G$7:$G$106,MATCH($F$24,MUSTERI_360!$C$7:$C$106,0)),""))</f>
        <v/>
      </c>
      <c r="G30" s="37" t="n"/>
      <c r="H30" s="37" t="n"/>
      <c r="I30" s="37" t="n"/>
      <c r="J30" s="33" t="inlineStr">
        <is>
          <t>Aktif ama ücretsiz müşteri</t>
        </is>
      </c>
      <c r="K30" s="29" t="n"/>
      <c r="L30" s="29" t="n"/>
      <c r="M30" s="29" t="n"/>
      <c r="N30" s="29" t="n"/>
      <c r="O30" s="34">
        <f>COUNTIFS(MUSTERILER!$D$7:$D$106,"Aktif",MUSTERILER!$O$7:$O$106,"HAYIR")</f>
        <v/>
      </c>
      <c r="P30" s="6" t="n"/>
      <c r="Q30" s="6" t="n"/>
    </row>
    <row r="31" ht="22" customHeight="1">
      <c r="A31" s="6" t="n"/>
      <c r="B31" s="23" t="n"/>
      <c r="C31" s="6" t="n"/>
      <c r="D31" s="31" t="inlineStr">
        <is>
          <t>Toplam Tahsilat</t>
        </is>
      </c>
      <c r="E31" s="31" t="n"/>
      <c r="F31" s="36">
        <f>IF($F$24="","",IFERROR(INDEX(MUSTERI_360!$H$7:$H$106,MATCH($F$24,MUSTERI_360!$C$7:$C$106,0)),""))</f>
        <v/>
      </c>
      <c r="G31" s="37" t="n"/>
      <c r="H31" s="37" t="n"/>
      <c r="I31" s="37" t="n"/>
      <c r="J31" s="33" t="inlineStr">
        <is>
          <t>Eksik tahsilat kaydı</t>
        </is>
      </c>
      <c r="K31" s="29" t="n"/>
      <c r="L31" s="29" t="n"/>
      <c r="M31" s="29" t="n"/>
      <c r="N31" s="29" t="n"/>
      <c r="O31" s="34">
        <f>COUNTIF(TAHSILAT!$M$7:$M$1506,"EKSİK")</f>
        <v/>
      </c>
      <c r="P31" s="6" t="n"/>
      <c r="Q31" s="6" t="n"/>
    </row>
    <row r="32" ht="22" customHeight="1">
      <c r="A32" s="6" t="n"/>
      <c r="B32" s="23" t="n"/>
      <c r="C32" s="6" t="n"/>
      <c r="D32" s="31" t="inlineStr">
        <is>
          <t>Cari Bakiye</t>
        </is>
      </c>
      <c r="E32" s="31" t="n"/>
      <c r="F32" s="39">
        <f>IF($F$24="","",IFERROR(INDEX(MUSTERI_360!$I$7:$I$106,MATCH($F$24,MUSTERI_360!$C$7:$C$106,0)),""))</f>
        <v/>
      </c>
      <c r="G32" s="40" t="n"/>
      <c r="H32" s="40" t="n"/>
      <c r="I32" s="40" t="n"/>
      <c r="J32" s="33" t="inlineStr">
        <is>
          <t>Eksik gelir/gider kaydı</t>
        </is>
      </c>
      <c r="K32" s="29" t="n"/>
      <c r="L32" s="29" t="n"/>
      <c r="M32" s="29" t="n"/>
      <c r="N32" s="29" t="n"/>
      <c r="O32" s="34">
        <f>COUNTIF(GELIR_GIDER!$M$7:$M$1206,"EKSİK")</f>
        <v/>
      </c>
      <c r="P32" s="6" t="n"/>
      <c r="Q32" s="6" t="n"/>
    </row>
    <row r="33" ht="22" customHeight="1">
      <c r="A33" s="6" t="n"/>
      <c r="B33" s="23" t="n"/>
      <c r="C33" s="6" t="n"/>
      <c r="D33" s="31" t="inlineStr">
        <is>
          <t>0–7 Gün</t>
        </is>
      </c>
      <c r="E33" s="31" t="n"/>
      <c r="F33" s="36">
        <f>IF($F$24="","",IFERROR(INDEX(MUSTERI_360!$J$7:$J$106,MATCH($F$24,MUSTERI_360!$C$7:$C$106,0)),""))</f>
        <v/>
      </c>
      <c r="G33" s="37" t="n"/>
      <c r="H33" s="37" t="n"/>
      <c r="I33" s="37" t="n"/>
      <c r="J33" s="33" t="inlineStr">
        <is>
          <t>Sistem kontrolünde KALDI satırı</t>
        </is>
      </c>
      <c r="K33" s="29" t="n"/>
      <c r="L33" s="29" t="n"/>
      <c r="M33" s="29" t="n"/>
      <c r="N33" s="29" t="n"/>
      <c r="O33" s="38">
        <f>COUNTIF(SISTEM!$F$23:$F$50,"KALDI")</f>
        <v/>
      </c>
      <c r="P33" s="6" t="n"/>
      <c r="Q33" s="6" t="n"/>
    </row>
    <row r="34" ht="22" customHeight="1">
      <c r="A34" s="6" t="n"/>
      <c r="B34" s="23" t="n"/>
      <c r="C34" s="6" t="n"/>
      <c r="D34" s="31" t="inlineStr">
        <is>
          <t>8–14 Gün</t>
        </is>
      </c>
      <c r="E34" s="31" t="n"/>
      <c r="F34" s="36">
        <f>IF($F$24="","",IFERROR(INDEX(MUSTERI_360!$K$7:$K$106,MATCH($F$24,MUSTERI_360!$C$7:$C$106,0)),""))</f>
        <v/>
      </c>
      <c r="G34" s="37" t="n"/>
      <c r="H34" s="37" t="n"/>
      <c r="I34" s="37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 ht="22" customHeight="1">
      <c r="A35" s="6" t="n"/>
      <c r="B35" s="23" t="n"/>
      <c r="C35" s="6" t="n"/>
      <c r="D35" s="31" t="inlineStr">
        <is>
          <t>15–28 Gün</t>
        </is>
      </c>
      <c r="E35" s="31" t="n"/>
      <c r="F35" s="36">
        <f>IF($F$24="","",IFERROR(INDEX(MUSTERI_360!$L$7:$L$106,MATCH($F$24,MUSTERI_360!$C$7:$C$106,0)),""))</f>
        <v/>
      </c>
      <c r="G35" s="37" t="n"/>
      <c r="H35" s="37" t="n"/>
      <c r="I35" s="37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 ht="22" customHeight="1">
      <c r="A36" s="6" t="n"/>
      <c r="B36" s="23" t="n"/>
      <c r="C36" s="6" t="n"/>
      <c r="D36" s="31" t="inlineStr">
        <is>
          <t>29+ Gün</t>
        </is>
      </c>
      <c r="E36" s="31" t="n"/>
      <c r="F36" s="39">
        <f>IF($F$24="","",IFERROR(INDEX(MUSTERI_360!$M$7:$M$106,MATCH($F$24,MUSTERI_360!$C$7:$C$106,0)),""))</f>
        <v/>
      </c>
      <c r="G36" s="40" t="n"/>
      <c r="H36" s="40" t="n"/>
      <c r="I36" s="40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 ht="22" customHeight="1">
      <c r="A37" s="6" t="n"/>
      <c r="B37" s="23" t="n"/>
      <c r="C37" s="6" t="n"/>
      <c r="D37" s="31" t="inlineStr">
        <is>
          <t>Tahsilat Oranı</t>
        </is>
      </c>
      <c r="E37" s="31" t="n"/>
      <c r="F37" s="41">
        <f>IF($F$24="","",IFERROR(INDEX(MUSTERI_360!$N$7:$N$106,MATCH($F$24,MUSTERI_360!$C$7:$C$106,0)),""))</f>
        <v/>
      </c>
      <c r="G37" s="37" t="n"/>
      <c r="H37" s="37" t="n"/>
      <c r="I37" s="37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 ht="22" customHeight="1">
      <c r="A38" s="6" t="n"/>
      <c r="B38" s="23" t="n"/>
      <c r="C38" s="6" t="n"/>
      <c r="D38" s="31" t="inlineStr">
        <is>
          <t>Son Tahsilat</t>
        </is>
      </c>
      <c r="E38" s="31" t="n"/>
      <c r="F38" s="42">
        <f>IF($F$24="","",IFERROR(INDEX(MUSTERI_360!$O$7:$O$106,MATCH($F$24,MUSTERI_360!$C$7:$C$106,0)),""))</f>
        <v/>
      </c>
      <c r="G38" s="37" t="n"/>
      <c r="H38" s="37" t="n"/>
      <c r="I38" s="37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 ht="36" customHeight="1">
      <c r="A39" s="6" t="n"/>
      <c r="B39" s="23" t="n"/>
      <c r="C39" s="6" t="n"/>
      <c r="D39" s="31" t="inlineStr">
        <is>
          <t>Önerilen İşlem</t>
        </is>
      </c>
      <c r="E39" s="31" t="n"/>
      <c r="F39" s="43">
        <f>IF($F$24="","",IFERROR(INDEX(MUSTERI_360!$Q$7:$Q$106,MATCH($F$24,MUSTERI_360!$C$7:$C$106,0)),""))</f>
        <v/>
      </c>
      <c r="G39" s="44" t="n"/>
      <c r="H39" s="44" t="n"/>
      <c r="I39" s="44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 ht="22" customHeight="1">
      <c r="A40" s="6" t="n"/>
      <c r="B40" s="23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 ht="22" customHeight="1">
      <c r="A41" s="6" t="n"/>
      <c r="B41" s="23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68">
    <mergeCell ref="M11:O11"/>
    <mergeCell ref="J6:L6"/>
    <mergeCell ref="F31:I31"/>
    <mergeCell ref="D11:F11"/>
    <mergeCell ref="G10:I10"/>
    <mergeCell ref="M10:O10"/>
    <mergeCell ref="F27:I27"/>
    <mergeCell ref="G6:I6"/>
    <mergeCell ref="D39:E39"/>
    <mergeCell ref="J29:N29"/>
    <mergeCell ref="D34:E34"/>
    <mergeCell ref="F39:I39"/>
    <mergeCell ref="J28:N28"/>
    <mergeCell ref="M7:O7"/>
    <mergeCell ref="F37:I37"/>
    <mergeCell ref="D7:F7"/>
    <mergeCell ref="D31:E31"/>
    <mergeCell ref="M6:O6"/>
    <mergeCell ref="D36:E36"/>
    <mergeCell ref="J11:L11"/>
    <mergeCell ref="J7:L7"/>
    <mergeCell ref="A2:O2"/>
    <mergeCell ref="J30:N30"/>
    <mergeCell ref="G5:I5"/>
    <mergeCell ref="D27:E27"/>
    <mergeCell ref="J24:N24"/>
    <mergeCell ref="D9:F9"/>
    <mergeCell ref="F29:I29"/>
    <mergeCell ref="D32:E32"/>
    <mergeCell ref="D26:E26"/>
    <mergeCell ref="F25:I25"/>
    <mergeCell ref="F34:I34"/>
    <mergeCell ref="J27:N27"/>
    <mergeCell ref="J26:N26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10:F10"/>
    <mergeCell ref="G11:I11"/>
    <mergeCell ref="J5:L5"/>
    <mergeCell ref="D25:E25"/>
    <mergeCell ref="F32:I32"/>
    <mergeCell ref="F26:I26"/>
    <mergeCell ref="F36:I36"/>
    <mergeCell ref="D24:E24"/>
    <mergeCell ref="J10:L10"/>
    <mergeCell ref="D30:E30"/>
    <mergeCell ref="F35:I35"/>
    <mergeCell ref="D33:E33"/>
    <mergeCell ref="M9:O9"/>
    <mergeCell ref="D29:E29"/>
    <mergeCell ref="M5:O5"/>
    <mergeCell ref="D6:F6"/>
    <mergeCell ref="D38:E38"/>
    <mergeCell ref="A1:O1"/>
    <mergeCell ref="F38:I38"/>
    <mergeCell ref="J33:N33"/>
    <mergeCell ref="J9:L9"/>
    <mergeCell ref="G7:I7"/>
    <mergeCell ref="D35:E35"/>
    <mergeCell ref="F28:I28"/>
  </mergeCells>
  <conditionalFormatting sqref="O24">
    <cfRule type="cellIs" priority="1" operator="greaterThan" dxfId="0">
      <formula>0</formula>
    </cfRule>
  </conditionalFormatting>
  <conditionalFormatting sqref="O25">
    <cfRule type="cellIs" priority="2" operator="greaterThan" dxfId="1">
      <formula>0</formula>
    </cfRule>
  </conditionalFormatting>
  <conditionalFormatting sqref="O26">
    <cfRule type="cellIs" priority="3" operator="greaterThan" dxfId="2">
      <formula>0</formula>
    </cfRule>
  </conditionalFormatting>
  <conditionalFormatting sqref="O27">
    <cfRule type="cellIs" priority="4" operator="greaterThan" dxfId="0">
      <formula>0</formula>
    </cfRule>
  </conditionalFormatting>
  <conditionalFormatting sqref="O28">
    <cfRule type="cellIs" priority="5" operator="greaterThan" dxfId="0">
      <formula>0</formula>
    </cfRule>
  </conditionalFormatting>
  <conditionalFormatting sqref="O29">
    <cfRule type="cellIs" priority="6" operator="greaterThan" dxfId="1">
      <formula>0</formula>
    </cfRule>
  </conditionalFormatting>
  <conditionalFormatting sqref="O30">
    <cfRule type="cellIs" priority="7" operator="greaterThan" dxfId="1">
      <formula>0</formula>
    </cfRule>
  </conditionalFormatting>
  <conditionalFormatting sqref="O31">
    <cfRule type="cellIs" priority="8" operator="greaterThan" dxfId="1">
      <formula>0</formula>
    </cfRule>
  </conditionalFormatting>
  <conditionalFormatting sqref="O32">
    <cfRule type="cellIs" priority="9" operator="greaterThan" dxfId="1">
      <formula>0</formula>
    </cfRule>
  </conditionalFormatting>
  <conditionalFormatting sqref="O33">
    <cfRule type="cellIs" priority="10" operator="greaterThan" dxfId="0">
      <formula>0</formula>
    </cfRule>
  </conditionalFormatting>
  <dataValidations count="1">
    <dataValidation sqref="F24" showDropDown="0" showInputMessage="0" showErrorMessage="1" allowBlank="1" errorTitle="Tanımsız müşteri" error="Müşteri listesinden seçin." type="list">
      <formula1>LST_MUSTERI_ADI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75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10" customWidth="1" min="2" max="2"/>
    <col width="26" customWidth="1" min="3" max="3"/>
    <col width="20" customWidth="1" min="4" max="4"/>
    <col width="20" customWidth="1" min="5" max="5"/>
    <col width="30" customWidth="1" min="6" max="6"/>
    <col width="34" customWidth="1" min="7" max="7"/>
    <col width="26" customWidth="1" min="8" max="8"/>
    <col width="18" customWidth="1" min="9" max="9"/>
    <col width="2.4" customWidth="1" min="10" max="10"/>
    <col width="2.4" customWidth="1" min="11" max="11"/>
  </cols>
  <sheetData>
    <row r="1" ht="38" customHeight="1">
      <c r="A1" s="1" t="inlineStr">
        <is>
          <t>NECATİBEY OFİS YÖNETİM SİSTEMİ   │   BAŞLANGIÇ  │  AMAÇ, RENK KİLAVUZU VE KULLANIM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45" t="n"/>
      <c r="K1" s="45" t="n"/>
    </row>
    <row r="2" ht="22" customHeight="1">
      <c r="A2" s="4" t="inlineStr">
        <is>
          <t>Bu ekran sistemin kimlik kartıdır │ İlk kez açıyorsanız baştan sona okuyun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46" t="n"/>
      <c r="K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4" customHeight="1">
      <c r="A5" s="6" t="n"/>
      <c r="B5" s="48" t="inlineStr">
        <is>
          <t>NECATİBEY MUHASEBE OFİSİ  │  OFİS YÖNETİM SİSTEMİ</t>
        </is>
      </c>
      <c r="C5" s="49" t="n"/>
      <c r="D5" s="49" t="n"/>
      <c r="E5" s="49" t="n"/>
      <c r="F5" s="49" t="n"/>
      <c r="G5" s="49" t="n"/>
      <c r="H5" s="49" t="n"/>
      <c r="I5" s="49" t="n"/>
      <c r="J5" s="6" t="n"/>
      <c r="K5" s="6" t="n"/>
    </row>
    <row r="6" ht="22" customHeight="1">
      <c r="A6" s="6" t="n"/>
      <c r="B6" s="50" t="inlineStr">
        <is>
          <t>Enterprise Exclusive sürüm │ Haftalık ücretle çalışan muhasebe ofisleri için müşteri, tahakkuk, tahsilat, cari, kasa ve ortak payı yönetimi</t>
        </is>
      </c>
      <c r="C6" s="51" t="n"/>
      <c r="D6" s="51" t="n"/>
      <c r="E6" s="51" t="n"/>
      <c r="F6" s="51" t="n"/>
      <c r="G6" s="51" t="n"/>
      <c r="H6" s="51" t="n"/>
      <c r="I6" s="51" t="n"/>
      <c r="J6" s="6" t="n"/>
      <c r="K6" s="6" t="n"/>
    </row>
    <row r="7" ht="1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8" customHeight="1">
      <c r="A8" s="6" t="n"/>
      <c r="B8" s="52" t="inlineStr">
        <is>
          <t>1.  BU EXCEL NE İÇİN ÜRETİLDİ?</t>
        </is>
      </c>
      <c r="C8" s="53" t="n"/>
      <c r="D8" s="53" t="n"/>
      <c r="E8" s="53" t="n"/>
      <c r="F8" s="53" t="n"/>
      <c r="G8" s="53" t="n"/>
      <c r="H8" s="53" t="n"/>
      <c r="I8" s="53" t="n"/>
      <c r="J8" s="6" t="n"/>
      <c r="K8" s="6" t="n"/>
    </row>
    <row r="9" ht="26" customHeight="1">
      <c r="A9" s="6" t="n"/>
      <c r="B9" s="54" t="inlineStr">
        <is>
          <t>Başlık</t>
        </is>
      </c>
      <c r="C9" s="54" t="n"/>
      <c r="D9" s="54" t="inlineStr">
        <is>
          <t>Açıklama</t>
        </is>
      </c>
      <c r="E9" s="54" t="n"/>
      <c r="F9" s="54" t="n"/>
      <c r="G9" s="54" t="n"/>
      <c r="H9" s="54" t="n"/>
      <c r="I9" s="54" t="n"/>
      <c r="J9" s="6" t="n"/>
      <c r="K9" s="6" t="n"/>
    </row>
    <row r="10" ht="32" customHeight="1">
      <c r="A10" s="6" t="n"/>
      <c r="B10" s="55" t="inlineStr">
        <is>
          <t>Amaç</t>
        </is>
      </c>
      <c r="C10" s="56" t="n"/>
      <c r="D10" s="57" t="inlineStr">
        <is>
          <t>Haftalık ücretle çalışan bir muhasebe ofisinin tüm ticari işleyişini tek dosyada, tek veri girişiyle ve kendi kendini denetleyen bir yapıyla yönetmek.</t>
        </is>
      </c>
      <c r="E10" s="58" t="n"/>
      <c r="F10" s="58" t="n"/>
      <c r="G10" s="58" t="n"/>
      <c r="H10" s="58" t="n"/>
      <c r="I10" s="58" t="n"/>
      <c r="J10" s="6" t="n"/>
      <c r="K10" s="6" t="n"/>
    </row>
    <row r="11" ht="32" customHeight="1">
      <c r="A11" s="6" t="n"/>
      <c r="B11" s="55" t="inlineStr">
        <is>
          <t>Kimin için?</t>
        </is>
      </c>
      <c r="C11" s="56" t="n"/>
      <c r="D11" s="57" t="inlineStr">
        <is>
          <t>Müşterilerinden haftalık / dönemsel ücret tahsil eden, ortaklı veya tek kişilik muhasebe ve mali müşavirlik ofisleri için.</t>
        </is>
      </c>
      <c r="E11" s="58" t="n"/>
      <c r="F11" s="58" t="n"/>
      <c r="G11" s="58" t="n"/>
      <c r="H11" s="58" t="n"/>
      <c r="I11" s="58" t="n"/>
      <c r="J11" s="6" t="n"/>
      <c r="K11" s="6" t="n"/>
    </row>
    <row r="12" ht="32" customHeight="1">
      <c r="A12" s="6" t="n"/>
      <c r="B12" s="55" t="inlineStr">
        <is>
          <t>Neyi çözer?</t>
        </is>
      </c>
      <c r="C12" s="56" t="n"/>
      <c r="D12" s="57" t="inlineStr">
        <is>
          <t>“Kim ne kadar borçlu, bu borç kaç günlük, kasada ne kadar param var, bu ay gerçekten ne kazandım ve ortaklara ne dağıtabilirim” sorularını tahmine dayanmadan cevaplar.</t>
        </is>
      </c>
      <c r="E12" s="58" t="n"/>
      <c r="F12" s="58" t="n"/>
      <c r="G12" s="58" t="n"/>
      <c r="H12" s="58" t="n"/>
      <c r="I12" s="58" t="n"/>
      <c r="J12" s="6" t="n"/>
      <c r="K12" s="6" t="n"/>
    </row>
    <row r="13" ht="32" customHeight="1">
      <c r="A13" s="6" t="n"/>
      <c r="B13" s="55" t="inlineStr">
        <is>
          <t>Nasıl çalışır?</t>
        </is>
      </c>
      <c r="C13" s="56" t="n"/>
      <c r="D13" s="57" t="inlineStr">
        <is>
          <t>Siz yalnızca sarı hücrelere gerçek işlemi girersiniz. Cari hesap, yaşlandırma, kasa bakiyesi, aylık kapanış ve ortak payları otomatik olarak hesaplanır.</t>
        </is>
      </c>
      <c r="E13" s="58" t="n"/>
      <c r="F13" s="58" t="n"/>
      <c r="G13" s="58" t="n"/>
      <c r="H13" s="58" t="n"/>
      <c r="I13" s="58" t="n"/>
      <c r="J13" s="6" t="n"/>
      <c r="K13" s="6" t="n"/>
    </row>
    <row r="14" ht="32" customHeight="1">
      <c r="A14" s="6" t="n"/>
      <c r="B14" s="55" t="inlineStr">
        <is>
          <t>Neden güvenilir?</t>
        </is>
      </c>
      <c r="C14" s="56" t="n"/>
      <c r="D14" s="57" t="inlineStr">
        <is>
          <t>Sistem her açılışta 28 otomatik kontrol çalıştırır. Bir tanesi bile KALDI verirse ay kapatılamaz; hata sessizce geçmez.</t>
        </is>
      </c>
      <c r="E14" s="58" t="n"/>
      <c r="F14" s="58" t="n"/>
      <c r="G14" s="58" t="n"/>
      <c r="H14" s="58" t="n"/>
      <c r="I14" s="58" t="n"/>
      <c r="J14" s="6" t="n"/>
      <c r="K14" s="6" t="n"/>
    </row>
    <row r="15" ht="32" customHeight="1">
      <c r="A15" s="6" t="n"/>
      <c r="B15" s="55" t="inlineStr">
        <is>
          <t>Tahakkuk esası</t>
        </is>
      </c>
      <c r="C15" s="56" t="n"/>
      <c r="D15" s="57" t="inlineStr">
        <is>
          <t>Haftalık ücret her Cumartesi otomatik tahakkuk eder. Ücret değiştiğinde eski dönem kapatılır, yeni dönem açılır; geçmiş hesaplar asla bozulmaz.</t>
        </is>
      </c>
      <c r="E15" s="58" t="n"/>
      <c r="F15" s="58" t="n"/>
      <c r="G15" s="58" t="n"/>
      <c r="H15" s="58" t="n"/>
      <c r="I15" s="58" t="n"/>
      <c r="J15" s="6" t="n"/>
      <c r="K15" s="6" t="n"/>
    </row>
    <row r="16" ht="32" customHeight="1">
      <c r="A16" s="6" t="n"/>
      <c r="B16" s="55" t="inlineStr">
        <is>
          <t>Kâr esası</t>
        </is>
      </c>
      <c r="C16" s="56" t="n"/>
      <c r="D16" s="57" t="inlineStr">
        <is>
          <t>Dağıtım yalnız tahsil edilmiş nakit kârdan yapılır. Tahsil edilmemiş müşteri alacağı kâr sayılmaz ve ortaklara dağıtılmaz.</t>
        </is>
      </c>
      <c r="E16" s="58" t="n"/>
      <c r="F16" s="58" t="n"/>
      <c r="G16" s="58" t="n"/>
      <c r="H16" s="58" t="n"/>
      <c r="I16" s="58" t="n"/>
      <c r="J16" s="6" t="n"/>
      <c r="K16" s="6" t="n"/>
    </row>
    <row r="17" ht="1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28" customHeight="1">
      <c r="A18" s="6" t="n"/>
      <c r="B18" s="52" t="inlineStr">
        <is>
          <t>2.  RENK KİLAVUZU  │  EKRANDAKİ RENKLER NE ANLAMA GELİR?</t>
        </is>
      </c>
      <c r="C18" s="53" t="n"/>
      <c r="D18" s="53" t="n"/>
      <c r="E18" s="53" t="n"/>
      <c r="F18" s="53" t="n"/>
      <c r="G18" s="53" t="n"/>
      <c r="H18" s="53" t="n"/>
      <c r="I18" s="53" t="n"/>
      <c r="J18" s="6" t="n"/>
      <c r="K18" s="6" t="n"/>
    </row>
    <row r="19" ht="26" customHeight="1">
      <c r="A19" s="6" t="n"/>
      <c r="B19" s="54" t="inlineStr">
        <is>
          <t>Renk</t>
        </is>
      </c>
      <c r="C19" s="54" t="inlineStr">
        <is>
          <t>Ne görünür</t>
        </is>
      </c>
      <c r="D19" s="54" t="n"/>
      <c r="E19" s="54" t="inlineStr">
        <is>
          <t>Anlamı</t>
        </is>
      </c>
      <c r="F19" s="54" t="n"/>
      <c r="G19" s="54" t="inlineStr">
        <is>
          <t>Ne yapmanız gerekir</t>
        </is>
      </c>
      <c r="H19" s="54" t="n"/>
      <c r="I19" s="54" t="n"/>
      <c r="J19" s="6" t="n"/>
      <c r="K19" s="6" t="n"/>
    </row>
    <row r="20" ht="30" customHeight="1">
      <c r="A20" s="6" t="n"/>
      <c r="B20" s="59" t="inlineStr">
        <is>
          <t>■</t>
        </is>
      </c>
      <c r="C20" s="60" t="inlineStr">
        <is>
          <t>SARI ZEMİN / MAVİ YAZI</t>
        </is>
      </c>
      <c r="D20" s="61" t="n"/>
      <c r="E20" s="62" t="inlineStr">
        <is>
          <t>Veri giriş alanı</t>
        </is>
      </c>
      <c r="F20" s="58" t="n"/>
      <c r="G20" s="57" t="inlineStr">
        <is>
          <t>Bu hücrelere siz yazarsınız. Sistemin tek besleme kaynağı bu alanlardır.</t>
        </is>
      </c>
      <c r="H20" s="58" t="n"/>
      <c r="I20" s="58" t="n"/>
      <c r="J20" s="6" t="n"/>
      <c r="K20" s="6" t="n"/>
    </row>
    <row r="21" ht="30" customHeight="1">
      <c r="A21" s="6" t="n"/>
      <c r="B21" s="63" t="inlineStr">
        <is>
          <t>■</t>
        </is>
      </c>
      <c r="C21" s="64" t="inlineStr">
        <is>
          <t>BEYAZ ZEMİN / SİYAH YAZI</t>
        </is>
      </c>
      <c r="D21" s="65" t="n"/>
      <c r="E21" s="62" t="inlineStr">
        <is>
          <t>Otomatik hesaplanan alan</t>
        </is>
      </c>
      <c r="F21" s="58" t="n"/>
      <c r="G21" s="57" t="inlineStr">
        <is>
          <t>Sistem hesaplar, kilitlidir. Elle değiştirilemez; değiştirmeye çalışırsanız uyarı alırsınız.</t>
        </is>
      </c>
      <c r="H21" s="58" t="n"/>
      <c r="I21" s="58" t="n"/>
      <c r="J21" s="6" t="n"/>
      <c r="K21" s="6" t="n"/>
    </row>
    <row r="22" ht="30" customHeight="1">
      <c r="A22" s="6" t="n"/>
      <c r="B22" s="66" t="inlineStr">
        <is>
          <t>■</t>
        </is>
      </c>
      <c r="C22" s="67" t="inlineStr">
        <is>
          <t>LACİVERT BANT</t>
        </is>
      </c>
      <c r="D22" s="56" t="n"/>
      <c r="E22" s="62" t="inlineStr">
        <is>
          <t>Başlık ve tablo başlığı</t>
        </is>
      </c>
      <c r="F22" s="58" t="n"/>
      <c r="G22" s="57" t="inlineStr">
        <is>
          <t>Ekran adı ve sütun başlıkları. Altındaki altın çizgi tablonun başladığı yeri gösterir.</t>
        </is>
      </c>
      <c r="H22" s="58" t="n"/>
      <c r="I22" s="58" t="n"/>
      <c r="J22" s="6" t="n"/>
      <c r="K22" s="6" t="n"/>
    </row>
    <row r="23" ht="30" customHeight="1">
      <c r="A23" s="6" t="n"/>
      <c r="B23" s="68" t="inlineStr">
        <is>
          <t>■</t>
        </is>
      </c>
      <c r="C23" s="67" t="inlineStr">
        <is>
          <t>AÇIK MAVİ SATIR</t>
        </is>
      </c>
      <c r="D23" s="56" t="n"/>
      <c r="E23" s="62" t="inlineStr">
        <is>
          <t>TOPLAM satırı</t>
        </is>
      </c>
      <c r="F23" s="58" t="n"/>
      <c r="G23" s="57" t="inlineStr">
        <is>
          <t>Tablo başlığının hemen üstünde durur ve aşağı kaydırsanız da ekranda kalır.</t>
        </is>
      </c>
      <c r="H23" s="58" t="n"/>
      <c r="I23" s="58" t="n"/>
      <c r="J23" s="6" t="n"/>
      <c r="K23" s="6" t="n"/>
    </row>
    <row r="24" ht="30" customHeight="1">
      <c r="A24" s="6" t="n"/>
      <c r="B24" s="69" t="inlineStr">
        <is>
          <t>■</t>
        </is>
      </c>
      <c r="C24" s="70" t="inlineStr">
        <is>
          <t>YEŞİL ROZET</t>
        </is>
      </c>
      <c r="D24" s="71" t="n"/>
      <c r="E24" s="62" t="inlineStr">
        <is>
          <t>UYGUN / GEÇTİ / TEMİZ</t>
        </is>
      </c>
      <c r="F24" s="58" t="n"/>
      <c r="G24" s="57" t="inlineStr">
        <is>
          <t>Kayıt eksiksiz, kontrol başarılı. Herhangi bir işlem gerekmiyor.</t>
        </is>
      </c>
      <c r="H24" s="58" t="n"/>
      <c r="I24" s="58" t="n"/>
      <c r="J24" s="6" t="n"/>
      <c r="K24" s="6" t="n"/>
    </row>
    <row r="25" ht="30" customHeight="1">
      <c r="A25" s="6" t="n"/>
      <c r="B25" s="72" t="inlineStr">
        <is>
          <t>■</t>
        </is>
      </c>
      <c r="C25" s="73" t="inlineStr">
        <is>
          <t>TURUNCU ROZET</t>
        </is>
      </c>
      <c r="D25" s="74" t="n"/>
      <c r="E25" s="62" t="inlineStr">
        <is>
          <t>EKSİK / BUGÜN / ORTA</t>
        </is>
      </c>
      <c r="F25" s="58" t="n"/>
      <c r="G25" s="57" t="inlineStr">
        <is>
          <t>Dikkat gerektirir. Kayıt tamamlanmalı veya iş bugün teslim edilmeli.</t>
        </is>
      </c>
      <c r="H25" s="58" t="n"/>
      <c r="I25" s="58" t="n"/>
      <c r="J25" s="6" t="n"/>
      <c r="K25" s="6" t="n"/>
    </row>
    <row r="26" ht="30" customHeight="1">
      <c r="A26" s="6" t="n"/>
      <c r="B26" s="75" t="inlineStr">
        <is>
          <t>■</t>
        </is>
      </c>
      <c r="C26" s="76" t="inlineStr">
        <is>
          <t>KIRMIZI ROZET</t>
        </is>
      </c>
      <c r="D26" s="77" t="n"/>
      <c r="E26" s="62" t="inlineStr">
        <is>
          <t>HATA / KALDI / KRİTİK / GECİKMİŞ</t>
        </is>
      </c>
      <c r="F26" s="58" t="n"/>
      <c r="G26" s="57" t="inlineStr">
        <is>
          <t>Acil müdahale. Kırmızı satır varken ay sonu kapatılmamalıdır.</t>
        </is>
      </c>
      <c r="H26" s="58" t="n"/>
      <c r="I26" s="58" t="n"/>
      <c r="J26" s="6" t="n"/>
      <c r="K26" s="6" t="n"/>
    </row>
    <row r="27" ht="30" customHeight="1">
      <c r="A27" s="6" t="n"/>
      <c r="B27" s="78" t="inlineStr">
        <is>
          <t>■</t>
        </is>
      </c>
      <c r="C27" s="79" t="inlineStr">
        <is>
          <t>GRİ ROZET</t>
        </is>
      </c>
      <c r="D27" s="80" t="n"/>
      <c r="E27" s="62" t="inlineStr">
        <is>
          <t>PASİF / PLANLI / İZLE</t>
        </is>
      </c>
      <c r="F27" s="58" t="n"/>
      <c r="G27" s="57" t="inlineStr">
        <is>
          <t>Bilgi amaçlıdır, işlem gerektirmez.</t>
        </is>
      </c>
      <c r="H27" s="58" t="n"/>
      <c r="I27" s="58" t="n"/>
      <c r="J27" s="6" t="n"/>
      <c r="K27" s="6" t="n"/>
    </row>
    <row r="28" ht="12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28" customHeight="1">
      <c r="A29" s="6" t="n"/>
      <c r="B29" s="52" t="inlineStr">
        <is>
          <t>3.  SEKME RENK HARİTASI  │  ALTTAKİ SEKME RENKLERİ NE İŞE YARAR?</t>
        </is>
      </c>
      <c r="C29" s="53" t="n"/>
      <c r="D29" s="53" t="n"/>
      <c r="E29" s="53" t="n"/>
      <c r="F29" s="53" t="n"/>
      <c r="G29" s="53" t="n"/>
      <c r="H29" s="53" t="n"/>
      <c r="I29" s="53" t="n"/>
      <c r="J29" s="6" t="n"/>
      <c r="K29" s="6" t="n"/>
    </row>
    <row r="30" ht="26" customHeight="1">
      <c r="A30" s="6" t="n"/>
      <c r="B30" s="54" t="inlineStr">
        <is>
          <t>Renk</t>
        </is>
      </c>
      <c r="C30" s="54" t="inlineStr">
        <is>
          <t>Sekme</t>
        </is>
      </c>
      <c r="D30" s="54" t="inlineStr">
        <is>
          <t>Ne için?</t>
        </is>
      </c>
      <c r="E30" s="54" t="n"/>
      <c r="F30" s="54" t="inlineStr">
        <is>
          <t>Açıklama</t>
        </is>
      </c>
      <c r="G30" s="54" t="n"/>
      <c r="H30" s="54" t="n"/>
      <c r="I30" s="54" t="n"/>
      <c r="J30" s="6" t="n"/>
      <c r="K30" s="6" t="n"/>
    </row>
    <row r="31" ht="26" customHeight="1">
      <c r="A31" s="6" t="n"/>
      <c r="B31" s="81" t="inlineStr">
        <is>
          <t>■</t>
        </is>
      </c>
      <c r="C31" s="82">
        <f>HYPERLINK("#PANO!A1","PANO")</f>
        <v/>
      </c>
      <c r="D31" s="62" t="inlineStr">
        <is>
          <t>Yönetim panosu</t>
        </is>
      </c>
      <c r="E31" s="58" t="n"/>
      <c r="F31" s="57" t="inlineStr">
        <is>
          <t>Günüe buradan başlayın: özet rakamlar, grafikler ve uyarılar.</t>
        </is>
      </c>
      <c r="G31" s="58" t="n"/>
      <c r="H31" s="58" t="n"/>
      <c r="I31" s="58" t="n"/>
      <c r="J31" s="6" t="n"/>
      <c r="K31" s="6" t="n"/>
    </row>
    <row r="32" ht="26" customHeight="1">
      <c r="A32" s="6" t="n"/>
      <c r="B32" s="83" t="inlineStr">
        <is>
          <t>■</t>
        </is>
      </c>
      <c r="C32" s="82">
        <f>HYPERLINK("#BASLANGIC!A1","BASLANGIC")</f>
        <v/>
      </c>
      <c r="D32" s="62" t="inlineStr">
        <is>
          <t>Kullanım kılavuzu</t>
        </is>
      </c>
      <c r="E32" s="58" t="n"/>
      <c r="F32" s="57" t="inlineStr">
        <is>
          <t>Şu an okuduğunuz ekran. Amaç, renk kuralı ve adımlar.</t>
        </is>
      </c>
      <c r="G32" s="58" t="n"/>
      <c r="H32" s="58" t="n"/>
      <c r="I32" s="58" t="n"/>
      <c r="J32" s="6" t="n"/>
      <c r="K32" s="6" t="n"/>
    </row>
    <row r="33" ht="26" customHeight="1">
      <c r="A33" s="6" t="n"/>
      <c r="B33" s="84" t="inlineStr">
        <is>
          <t>■</t>
        </is>
      </c>
      <c r="C33" s="82">
        <f>HYPERLINK("#MUSTERILER!A1","MUSTERILER")</f>
        <v/>
      </c>
      <c r="D33" s="62" t="inlineStr">
        <is>
          <t>Ana müşteri kartı</t>
        </is>
      </c>
      <c r="E33" s="58" t="n"/>
      <c r="F33" s="57" t="inlineStr">
        <is>
          <t>Her müşteri için tek kayıt. Devir alacağı burada tanımlanır.</t>
        </is>
      </c>
      <c r="G33" s="58" t="n"/>
      <c r="H33" s="58" t="n"/>
      <c r="I33" s="58" t="n"/>
      <c r="J33" s="6" t="n"/>
      <c r="K33" s="6" t="n"/>
    </row>
    <row r="34" ht="26" customHeight="1">
      <c r="A34" s="6" t="n"/>
      <c r="B34" s="85" t="inlineStr">
        <is>
          <t>■</t>
        </is>
      </c>
      <c r="C34" s="82">
        <f>HYPERLINK("#UCRETLER!A1","UCRETLER")</f>
        <v/>
      </c>
      <c r="D34" s="62" t="inlineStr">
        <is>
          <t>Haftalık ücret dönemleri</t>
        </is>
      </c>
      <c r="E34" s="58" t="n"/>
      <c r="F34" s="57" t="inlineStr">
        <is>
          <t>Fiyat geçmişi. Tahakkuk motorunun kaynağı.</t>
        </is>
      </c>
      <c r="G34" s="58" t="n"/>
      <c r="H34" s="58" t="n"/>
      <c r="I34" s="58" t="n"/>
      <c r="J34" s="6" t="n"/>
      <c r="K34" s="6" t="n"/>
    </row>
    <row r="35" ht="26" customHeight="1">
      <c r="A35" s="6" t="n"/>
      <c r="B35" s="86" t="inlineStr">
        <is>
          <t>■</t>
        </is>
      </c>
      <c r="C35" s="82">
        <f>HYPERLINK("#TAHSILAT!A1","TAHSILAT")</f>
        <v/>
      </c>
      <c r="D35" s="62" t="inlineStr">
        <is>
          <t>Müşteri tahsilatı</t>
        </is>
      </c>
      <c r="E35" s="58" t="n"/>
      <c r="F35" s="57" t="inlineStr">
        <is>
          <t>Müşteriden gelen her ödeme yalnız buraya girilir.</t>
        </is>
      </c>
      <c r="G35" s="58" t="n"/>
      <c r="H35" s="58" t="n"/>
      <c r="I35" s="58" t="n"/>
      <c r="J35" s="6" t="n"/>
      <c r="K35" s="6" t="n"/>
    </row>
    <row r="36" ht="26" customHeight="1">
      <c r="A36" s="6" t="n"/>
      <c r="B36" s="87" t="inlineStr">
        <is>
          <t>■</t>
        </is>
      </c>
      <c r="C36" s="82">
        <f>HYPERLINK("#GELIR_GIDER!A1","GELIR_GIDER")</f>
        <v/>
      </c>
      <c r="D36" s="62" t="inlineStr">
        <is>
          <t>Ofis gelir ve giderleri</t>
        </is>
      </c>
      <c r="E36" s="58" t="n"/>
      <c r="F36" s="57" t="inlineStr">
        <is>
          <t>Kira, personel, fatura gibi müşteri dışı hareketler.</t>
        </is>
      </c>
      <c r="G36" s="58" t="n"/>
      <c r="H36" s="58" t="n"/>
      <c r="I36" s="58" t="n"/>
      <c r="J36" s="6" t="n"/>
      <c r="K36" s="6" t="n"/>
    </row>
    <row r="37" ht="26" customHeight="1">
      <c r="A37" s="6" t="n"/>
      <c r="B37" s="88" t="inlineStr">
        <is>
          <t>■</t>
        </is>
      </c>
      <c r="C37" s="82">
        <f>HYPERLINK("#VIRMAN!A1","VIRMAN")</f>
        <v/>
      </c>
      <c r="D37" s="62" t="inlineStr">
        <is>
          <t>Hesaplar arası transfer</t>
        </is>
      </c>
      <c r="E37" s="58" t="n"/>
      <c r="F37" s="57" t="inlineStr">
        <is>
          <t>Kasadan bankaya para geçişi. Kârı etkilemez.</t>
        </is>
      </c>
      <c r="G37" s="58" t="n"/>
      <c r="H37" s="58" t="n"/>
      <c r="I37" s="58" t="n"/>
      <c r="J37" s="6" t="n"/>
      <c r="K37" s="6" t="n"/>
    </row>
    <row r="38" ht="26" customHeight="1">
      <c r="A38" s="6" t="n"/>
      <c r="B38" s="89" t="inlineStr">
        <is>
          <t>■</t>
        </is>
      </c>
      <c r="C38" s="82">
        <f>HYPERLINK("#AKTIVITE!A1","AKTIVITE")</f>
        <v/>
      </c>
      <c r="D38" s="62" t="inlineStr">
        <is>
          <t>İşler ve görüşmeler</t>
        </is>
      </c>
      <c r="E38" s="58" t="n"/>
      <c r="F38" s="57" t="inlineStr">
        <is>
          <t>Beyanname, bildirim, telefon, toplantı ve son tarihler.</t>
        </is>
      </c>
      <c r="G38" s="58" t="n"/>
      <c r="H38" s="58" t="n"/>
      <c r="I38" s="58" t="n"/>
      <c r="J38" s="6" t="n"/>
      <c r="K38" s="6" t="n"/>
    </row>
    <row r="39" ht="26" customHeight="1">
      <c r="A39" s="6" t="n"/>
      <c r="B39" s="90" t="inlineStr">
        <is>
          <t>■</t>
        </is>
      </c>
      <c r="C39" s="82">
        <f>HYPERLINK("#MUSTERI_360!A1","MUSTERI_360")</f>
        <v/>
      </c>
      <c r="D39" s="62" t="inlineStr">
        <is>
          <t>Cari ve yaşlandırma</t>
        </is>
      </c>
      <c r="E39" s="58" t="n"/>
      <c r="F39" s="57" t="inlineStr">
        <is>
          <t>Salt okunur karar ekranı. Kimden ne kadar alacaksınız?</t>
        </is>
      </c>
      <c r="G39" s="58" t="n"/>
      <c r="H39" s="58" t="n"/>
      <c r="I39" s="58" t="n"/>
      <c r="J39" s="6" t="n"/>
      <c r="K39" s="6" t="n"/>
    </row>
    <row r="40" ht="26" customHeight="1">
      <c r="A40" s="6" t="n"/>
      <c r="B40" s="91" t="inlineStr">
        <is>
          <t>■</t>
        </is>
      </c>
      <c r="C40" s="82">
        <f>HYPERLINK("#HESAPLAR!A1","HESAPLAR")</f>
        <v/>
      </c>
      <c r="D40" s="62" t="inlineStr">
        <is>
          <t>Kasa ve banka</t>
        </is>
      </c>
      <c r="E40" s="58" t="n"/>
      <c r="F40" s="57" t="inlineStr">
        <is>
          <t>Her hesabın güncel bakiyesi ve toplam nakit pozisyonu.</t>
        </is>
      </c>
      <c r="G40" s="58" t="n"/>
      <c r="H40" s="58" t="n"/>
      <c r="I40" s="58" t="n"/>
      <c r="J40" s="6" t="n"/>
      <c r="K40" s="6" t="n"/>
    </row>
    <row r="41" ht="26" customHeight="1">
      <c r="A41" s="6" t="n"/>
      <c r="B41" s="92" t="inlineStr">
        <is>
          <t>■</t>
        </is>
      </c>
      <c r="C41" s="82">
        <f>HYPERLINK("#AY_SONU!A1","AY_SONU")</f>
        <v/>
      </c>
      <c r="D41" s="62" t="inlineStr">
        <is>
          <t>Aylık kapanış</t>
        </is>
      </c>
      <c r="E41" s="58" t="n"/>
      <c r="F41" s="57" t="inlineStr">
        <is>
          <t>Nakit kâr, dağıtılabilir kâr ve ortak payları.</t>
        </is>
      </c>
      <c r="G41" s="58" t="n"/>
      <c r="H41" s="58" t="n"/>
      <c r="I41" s="58" t="n"/>
      <c r="J41" s="6" t="n"/>
      <c r="K41" s="6" t="n"/>
    </row>
    <row r="42" ht="26" customHeight="1">
      <c r="A42" s="6" t="n"/>
      <c r="B42" s="93" t="inlineStr">
        <is>
          <t>■</t>
        </is>
      </c>
      <c r="C42" s="82">
        <f>HYPERLINK("#SISTEM!A1","SISTEM")</f>
        <v/>
      </c>
      <c r="D42" s="62" t="inlineStr">
        <is>
          <t>Ayarlar ve kontrol</t>
        </is>
      </c>
      <c r="E42" s="58" t="n"/>
      <c r="F42" s="57" t="inlineStr">
        <is>
          <t>Ortak payları, kategoriler ve 28 otomatik denetim.</t>
        </is>
      </c>
      <c r="G42" s="58" t="n"/>
      <c r="H42" s="58" t="n"/>
      <c r="I42" s="58" t="n"/>
      <c r="J42" s="6" t="n"/>
      <c r="K42" s="6" t="n"/>
    </row>
    <row r="43" ht="12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 ht="28" customHeight="1">
      <c r="A44" s="6" t="n"/>
      <c r="B44" s="52" t="inlineStr">
        <is>
          <t>4.  11 ADIMDA KULLANIM  │  HANGİ EKRANA NE GİRİLİR?</t>
        </is>
      </c>
      <c r="C44" s="53" t="n"/>
      <c r="D44" s="53" t="n"/>
      <c r="E44" s="53" t="n"/>
      <c r="F44" s="53" t="n"/>
      <c r="G44" s="53" t="n"/>
      <c r="H44" s="53" t="n"/>
      <c r="I44" s="53" t="n"/>
      <c r="J44" s="6" t="n"/>
      <c r="K44" s="6" t="n"/>
    </row>
    <row r="45" ht="26" customHeight="1">
      <c r="A45" s="6" t="n"/>
      <c r="B45" s="54" t="inlineStr">
        <is>
          <t>Adım</t>
        </is>
      </c>
      <c r="C45" s="54" t="inlineStr">
        <is>
          <t>Ne yapılacak?</t>
        </is>
      </c>
      <c r="D45" s="54" t="inlineStr">
        <is>
          <t>Hangi ekran?</t>
        </is>
      </c>
      <c r="E45" s="54" t="inlineStr">
        <is>
          <t>Kullanıcı ne girer?</t>
        </is>
      </c>
      <c r="F45" s="54" t="n"/>
      <c r="G45" s="54" t="inlineStr">
        <is>
          <t>Sistem ne yapar?</t>
        </is>
      </c>
      <c r="H45" s="54" t="inlineStr">
        <is>
          <t>Kontrol noktası</t>
        </is>
      </c>
      <c r="I45" s="54" t="inlineStr">
        <is>
          <t>Sıklık</t>
        </is>
      </c>
      <c r="J45" s="6" t="n"/>
      <c r="K45" s="6" t="n"/>
    </row>
    <row r="46" ht="32" customHeight="1">
      <c r="A46" s="6" t="n"/>
      <c r="B46" s="94" t="inlineStr">
        <is>
          <t>1</t>
        </is>
      </c>
      <c r="C46" s="62" t="inlineStr">
        <is>
          <t>Müşteri kartı aç</t>
        </is>
      </c>
      <c r="D46" s="82">
        <f>HYPERLINK("#MUSTERILER!A1","MUSTERILER")</f>
        <v/>
      </c>
      <c r="E46" s="62" t="inlineStr">
        <is>
          <t>Müşteri no, unvan, durum ve varsa devir alacağı</t>
        </is>
      </c>
      <c r="F46" s="58" t="n"/>
      <c r="G46" s="62" t="inlineStr">
        <is>
          <t>Müşteri tüm ekranlara tanıtılır</t>
        </is>
      </c>
      <c r="H46" s="62" t="inlineStr">
        <is>
          <t>Kayıt Kontrolü = UYGUN</t>
        </is>
      </c>
      <c r="I46" s="57" t="inlineStr">
        <is>
          <t>Yeni müşteride</t>
        </is>
      </c>
      <c r="J46" s="6" t="n"/>
      <c r="K46" s="6" t="n"/>
    </row>
    <row r="47" ht="32" customHeight="1">
      <c r="A47" s="6" t="n"/>
      <c r="B47" s="94" t="inlineStr">
        <is>
          <t>2</t>
        </is>
      </c>
      <c r="C47" s="62" t="inlineStr">
        <is>
          <t>Haftalık ücreti tanımla</t>
        </is>
      </c>
      <c r="D47" s="82">
        <f>HYPERLINK("#UCRETLER!A1","UCRETLER")</f>
        <v/>
      </c>
      <c r="E47" s="62" t="inlineStr">
        <is>
          <t>Başlangıç Cumartesi tarihi ve haftalık ücret</t>
        </is>
      </c>
      <c r="F47" s="58" t="n"/>
      <c r="G47" s="62" t="inlineStr">
        <is>
          <t>Her Cumartesi otomatik tahakkuk oluşur</t>
        </is>
      </c>
      <c r="H47" s="62" t="inlineStr">
        <is>
          <t>Sistem Kontrolü = UYGUN</t>
        </is>
      </c>
      <c r="I47" s="57" t="inlineStr">
        <is>
          <t>Yeni müşteride</t>
        </is>
      </c>
      <c r="J47" s="6" t="n"/>
      <c r="K47" s="6" t="n"/>
    </row>
    <row r="48" ht="32" customHeight="1">
      <c r="A48" s="6" t="n"/>
      <c r="B48" s="94" t="inlineStr">
        <is>
          <t>3</t>
        </is>
      </c>
      <c r="C48" s="62" t="inlineStr">
        <is>
          <t>Ücret değişikliğini işle</t>
        </is>
      </c>
      <c r="D48" s="82">
        <f>HYPERLINK("#UCRETLER!A1","UCRETLER")</f>
        <v/>
      </c>
      <c r="E48" s="62" t="inlineStr">
        <is>
          <t>Eski satıra bitiş Cumartesi, yeni satıra yeni ücret</t>
        </is>
      </c>
      <c r="F48" s="58" t="n"/>
      <c r="G48" s="62" t="inlineStr">
        <is>
          <t>Geçmiş haftalar bozulmadan yeni fiyat uygulanır</t>
        </is>
      </c>
      <c r="H48" s="62" t="inlineStr">
        <is>
          <t>İki aktif dönem çakışmamalı</t>
        </is>
      </c>
      <c r="I48" s="57" t="inlineStr">
        <is>
          <t>Ücret değişinde</t>
        </is>
      </c>
      <c r="J48" s="6" t="n"/>
      <c r="K48" s="6" t="n"/>
    </row>
    <row r="49" ht="32" customHeight="1">
      <c r="A49" s="6" t="n"/>
      <c r="B49" s="94" t="inlineStr">
        <is>
          <t>4</t>
        </is>
      </c>
      <c r="C49" s="62" t="inlineStr">
        <is>
          <t>Tahsilat gir</t>
        </is>
      </c>
      <c r="D49" s="82">
        <f>HYPERLINK("#TAHSILAT!A1","TAHSILAT")</f>
        <v/>
      </c>
      <c r="E49" s="62" t="inlineStr">
        <is>
          <t>Müşteri no, tarih, tutar, kasa/banka</t>
        </is>
      </c>
      <c r="F49" s="58" t="n"/>
      <c r="G49" s="62" t="inlineStr">
        <is>
          <t>Cari, kasa, aylık kapanış ve nakit kâr güncellenir</t>
        </is>
      </c>
      <c r="H49" s="62" t="inlineStr">
        <is>
          <t>Kayıt Kontrolü = UYGUN</t>
        </is>
      </c>
      <c r="I49" s="57" t="inlineStr">
        <is>
          <t>Ödeme geldikçe</t>
        </is>
      </c>
      <c r="J49" s="6" t="n"/>
      <c r="K49" s="6" t="n"/>
    </row>
    <row r="50" ht="32" customHeight="1">
      <c r="A50" s="6" t="n"/>
      <c r="B50" s="94" t="inlineStr">
        <is>
          <t>5</t>
        </is>
      </c>
      <c r="C50" s="62" t="inlineStr">
        <is>
          <t>Gelir / gider gir</t>
        </is>
      </c>
      <c r="D50" s="82">
        <f>HYPERLINK("#GELIR_GIDER!A1","GELIR_GIDER")</f>
        <v/>
      </c>
      <c r="E50" s="62" t="inlineStr">
        <is>
          <t>Tarih, tür, kategori, tutar, hesap, gerçekleşti</t>
        </is>
      </c>
      <c r="F50" s="58" t="n"/>
      <c r="G50" s="62" t="inlineStr">
        <is>
          <t>Kasa bakiyesi ve nakit kâr güncellenir</t>
        </is>
      </c>
      <c r="H50" s="62" t="inlineStr">
        <is>
          <t>Gerçekleşti = Evet olmalı</t>
        </is>
      </c>
      <c r="I50" s="57" t="inlineStr">
        <is>
          <t>Harcama oldukça</t>
        </is>
      </c>
      <c r="J50" s="6" t="n"/>
      <c r="K50" s="6" t="n"/>
    </row>
    <row r="51" ht="32" customHeight="1">
      <c r="A51" s="6" t="n"/>
      <c r="B51" s="94" t="inlineStr">
        <is>
          <t>6</t>
        </is>
      </c>
      <c r="C51" s="62" t="inlineStr">
        <is>
          <t>Hesaplar arası transfer</t>
        </is>
      </c>
      <c r="D51" s="82">
        <f>HYPERLINK("#VIRMAN!A1","VIRMAN")</f>
        <v/>
      </c>
      <c r="E51" s="62" t="inlineStr">
        <is>
          <t>Çıkan hesap, giren hesap, tutar</t>
        </is>
      </c>
      <c r="F51" s="58" t="n"/>
      <c r="G51" s="62" t="inlineStr">
        <is>
          <t>Yalnız paranın yeri değişir, kâr etkilenmez</t>
        </is>
      </c>
      <c r="H51" s="62" t="inlineStr">
        <is>
          <t>Sistem Kontrolü = UYGUN</t>
        </is>
      </c>
      <c r="I51" s="57" t="inlineStr">
        <is>
          <t>Para taşınınca</t>
        </is>
      </c>
      <c r="J51" s="6" t="n"/>
      <c r="K51" s="6" t="n"/>
    </row>
    <row r="52" ht="32" customHeight="1">
      <c r="A52" s="6" t="n"/>
      <c r="B52" s="94" t="inlineStr">
        <is>
          <t>7</t>
        </is>
      </c>
      <c r="C52" s="62" t="inlineStr">
        <is>
          <t>İş ve görüşme kaydet</t>
        </is>
      </c>
      <c r="D52" s="82">
        <f>HYPERLINK("#AKTIVITE!A1","AKTIVITE")</f>
        <v/>
      </c>
      <c r="E52" s="62" t="inlineStr">
        <is>
          <t>Tür, müşteri, konu, son tarih, sorumlu</t>
        </is>
      </c>
      <c r="F52" s="58" t="n"/>
      <c r="G52" s="62" t="inlineStr">
        <is>
          <t>Gecikme uyarısı ve sonraki adım üretir</t>
        </is>
      </c>
      <c r="H52" s="62" t="inlineStr">
        <is>
          <t>Uyarı = GECİKMİŞ olmamalı</t>
        </is>
      </c>
      <c r="I52" s="57" t="inlineStr">
        <is>
          <t>Her gün</t>
        </is>
      </c>
      <c r="J52" s="6" t="n"/>
      <c r="K52" s="6" t="n"/>
    </row>
    <row r="53" ht="32" customHeight="1">
      <c r="A53" s="6" t="n"/>
      <c r="B53" s="94" t="inlineStr">
        <is>
          <t>8</t>
        </is>
      </c>
      <c r="C53" s="62" t="inlineStr">
        <is>
          <t>Alacağı izle</t>
        </is>
      </c>
      <c r="D53" s="82">
        <f>HYPERLINK("#MUSTERI_360!A1","MUSTERI_360")</f>
        <v/>
      </c>
      <c r="E53" s="62" t="inlineStr">
        <is>
          <t>Veri girilmez, yalnız okunur</t>
        </is>
      </c>
      <c r="F53" s="58" t="n"/>
      <c r="G53" s="62" t="inlineStr">
        <is>
          <t>Cari, yaşlandırma ve önerilen işlem</t>
        </is>
      </c>
      <c r="H53" s="62" t="inlineStr">
        <is>
          <t>Kontrol = UYGUN</t>
        </is>
      </c>
      <c r="I53" s="57" t="inlineStr">
        <is>
          <t>Haftada bir</t>
        </is>
      </c>
      <c r="J53" s="6" t="n"/>
      <c r="K53" s="6" t="n"/>
    </row>
    <row r="54" ht="32" customHeight="1">
      <c r="A54" s="6" t="n"/>
      <c r="B54" s="94" t="inlineStr">
        <is>
          <t>9</t>
        </is>
      </c>
      <c r="C54" s="62" t="inlineStr">
        <is>
          <t>Nakit pozisyonunu gör</t>
        </is>
      </c>
      <c r="D54" s="82">
        <f>HYPERLINK("#HESAPLAR!A1","HESAPLAR")</f>
        <v/>
      </c>
      <c r="E54" s="62" t="inlineStr">
        <is>
          <t>Yeni hesap adı ve açılış bakiyesi</t>
        </is>
      </c>
      <c r="F54" s="58" t="n"/>
      <c r="G54" s="62" t="inlineStr">
        <is>
          <t>Her hesabın güncel bakiyesi hesaplanır</t>
        </is>
      </c>
      <c r="H54" s="62" t="inlineStr">
        <is>
          <t>Toplam nakit pozisyonu</t>
        </is>
      </c>
      <c r="I54" s="57" t="inlineStr">
        <is>
          <t>Her gün</t>
        </is>
      </c>
      <c r="J54" s="6" t="n"/>
      <c r="K54" s="6" t="n"/>
    </row>
    <row r="55" ht="32" customHeight="1">
      <c r="A55" s="6" t="n"/>
      <c r="B55" s="94" t="inlineStr">
        <is>
          <t>10</t>
        </is>
      </c>
      <c r="C55" s="62" t="inlineStr">
        <is>
          <t>Ayı kapat</t>
        </is>
      </c>
      <c r="D55" s="82">
        <f>HYPERLINK("#AY_SONU!A1","AY_SONU")</f>
        <v/>
      </c>
      <c r="E55" s="62" t="inlineStr">
        <is>
          <t>Dağıtıldı mı ve ortak ödemeleri</t>
        </is>
      </c>
      <c r="F55" s="58" t="n"/>
      <c r="G55" s="62" t="inlineStr">
        <is>
          <t>Nakit kâr, dağıtılabilir kâr ve ortak payları</t>
        </is>
      </c>
      <c r="H55" s="62" t="inlineStr">
        <is>
          <t>Dönem Durumu = KAPANABİLİR</t>
        </is>
      </c>
      <c r="I55" s="57" t="inlineStr">
        <is>
          <t>Ay sonunda</t>
        </is>
      </c>
      <c r="J55" s="6" t="n"/>
      <c r="K55" s="6" t="n"/>
    </row>
    <row r="56" ht="32" customHeight="1">
      <c r="A56" s="6" t="n"/>
      <c r="B56" s="94" t="inlineStr">
        <is>
          <t>11</t>
        </is>
      </c>
      <c r="C56" s="62" t="inlineStr">
        <is>
          <t>Sistemi denetle</t>
        </is>
      </c>
      <c r="D56" s="82">
        <f>HYPERLINK("#SISTEM!A1","SISTEM")</f>
        <v/>
      </c>
      <c r="E56" s="62" t="inlineStr">
        <is>
          <t>Ortak payı, kasa tamponu, kategoriler</t>
        </is>
      </c>
      <c r="F56" s="58" t="n"/>
      <c r="G56" s="62" t="inlineStr">
        <is>
          <t>28 otomatik kontrol çalışır</t>
        </is>
      </c>
      <c r="H56" s="62" t="inlineStr">
        <is>
          <t>Tüm satırlar GEÇTİ olmalı</t>
        </is>
      </c>
      <c r="I56" s="57" t="inlineStr">
        <is>
          <t>Ay kapatmadan önce</t>
        </is>
      </c>
      <c r="J56" s="6" t="n"/>
      <c r="K56" s="6" t="n"/>
    </row>
    <row r="57" ht="12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 ht="28" customHeight="1">
      <c r="A58" s="6" t="n"/>
      <c r="B58" s="52" t="inlineStr">
        <is>
          <t>5.  DEĞİŞMEZ KURALLAR  │  BU KURALLAR BOZULURSA SİSTEM YANLIŞ SONUÇ VERİR</t>
        </is>
      </c>
      <c r="C58" s="53" t="n"/>
      <c r="D58" s="53" t="n"/>
      <c r="E58" s="53" t="n"/>
      <c r="F58" s="53" t="n"/>
      <c r="G58" s="53" t="n"/>
      <c r="H58" s="53" t="n"/>
      <c r="I58" s="53" t="n"/>
      <c r="J58" s="6" t="n"/>
      <c r="K58" s="6" t="n"/>
    </row>
    <row r="59" ht="26" customHeight="1">
      <c r="A59" s="6" t="n"/>
      <c r="B59" s="54" t="inlineStr">
        <is>
          <t>Kural</t>
        </is>
      </c>
      <c r="C59" s="54" t="n"/>
      <c r="D59" s="54" t="inlineStr">
        <is>
          <t>Uygulama</t>
        </is>
      </c>
      <c r="E59" s="54" t="n"/>
      <c r="F59" s="54" t="n"/>
      <c r="G59" s="54" t="inlineStr">
        <is>
          <t>Yasak</t>
        </is>
      </c>
      <c r="H59" s="54" t="n"/>
      <c r="I59" s="54" t="n"/>
      <c r="J59" s="6" t="n"/>
      <c r="K59" s="6" t="n"/>
    </row>
    <row r="60" ht="30" customHeight="1">
      <c r="A60" s="6" t="n"/>
      <c r="B60" s="55" t="inlineStr">
        <is>
          <t>Tek veri girişi</t>
        </is>
      </c>
      <c r="C60" s="56" t="n"/>
      <c r="D60" s="62" t="inlineStr">
        <is>
          <t>Bir gerçek işlem yalnız bir ekrana girilir.</t>
        </is>
      </c>
      <c r="E60" s="58" t="n"/>
      <c r="F60" s="58" t="n"/>
      <c r="G60" s="95" t="inlineStr">
        <is>
          <t>✖  Aynı tahsilatı cariye veya kasaya tekrar yazmak</t>
        </is>
      </c>
      <c r="H60" s="96" t="n"/>
      <c r="I60" s="96" t="n"/>
      <c r="J60" s="6" t="n"/>
      <c r="K60" s="6" t="n"/>
    </row>
    <row r="61" ht="30" customHeight="1">
      <c r="A61" s="6" t="n"/>
      <c r="B61" s="55" t="inlineStr">
        <is>
          <t>Ücret geçmişi</t>
        </is>
      </c>
      <c r="C61" s="56" t="n"/>
      <c r="D61" s="62" t="inlineStr">
        <is>
          <t>Eski dönemi kapat, yeni dönem aç.</t>
        </is>
      </c>
      <c r="E61" s="58" t="n"/>
      <c r="F61" s="58" t="n"/>
      <c r="G61" s="95" t="inlineStr">
        <is>
          <t>✖  Eski ücreti geriye dönük değiştirmek</t>
        </is>
      </c>
      <c r="H61" s="96" t="n"/>
      <c r="I61" s="96" t="n"/>
      <c r="J61" s="6" t="n"/>
      <c r="K61" s="6" t="n"/>
    </row>
    <row r="62" ht="30" customHeight="1">
      <c r="A62" s="6" t="n"/>
      <c r="B62" s="55" t="inlineStr">
        <is>
          <t>Kâr dağıtımı</t>
        </is>
      </c>
      <c r="C62" s="56" t="n"/>
      <c r="D62" s="62" t="inlineStr">
        <is>
          <t>Dağıtım yalnız tahsil edilmiş nakit kârdan yapılır.</t>
        </is>
      </c>
      <c r="E62" s="58" t="n"/>
      <c r="F62" s="58" t="n"/>
      <c r="G62" s="95" t="inlineStr">
        <is>
          <t>✖  Tahsil edilmemiş cari alacağı kâr sayarak dağıtmak</t>
        </is>
      </c>
      <c r="H62" s="96" t="n"/>
      <c r="I62" s="96" t="n"/>
      <c r="J62" s="6" t="n"/>
      <c r="K62" s="6" t="n"/>
    </row>
    <row r="63" ht="30" customHeight="1">
      <c r="A63" s="6" t="n"/>
      <c r="B63" s="55" t="inlineStr">
        <is>
          <t>Formül disiplini</t>
        </is>
      </c>
      <c r="C63" s="56" t="n"/>
      <c r="D63" s="62" t="inlineStr">
        <is>
          <t>Her fark ayrı bir işlem satırı olarak girilir.</t>
        </is>
      </c>
      <c r="E63" s="58" t="n"/>
      <c r="F63" s="58" t="n"/>
      <c r="G63" s="95" t="inlineStr">
        <is>
          <t>✖  Formülün içine elle rakam eklemek</t>
        </is>
      </c>
      <c r="H63" s="96" t="n"/>
      <c r="I63" s="96" t="n"/>
      <c r="J63" s="6" t="n"/>
      <c r="K63" s="6" t="n"/>
    </row>
    <row r="64" ht="30" customHeight="1">
      <c r="A64" s="6" t="n"/>
      <c r="B64" s="55" t="inlineStr">
        <is>
          <t>Virman</t>
        </is>
      </c>
      <c r="C64" s="56" t="n"/>
      <c r="D64" s="62" t="inlineStr">
        <is>
          <t>Hesaplar arası transfer VIRMAN ekranına girilir.</t>
        </is>
      </c>
      <c r="E64" s="58" t="n"/>
      <c r="F64" s="58" t="n"/>
      <c r="G64" s="95" t="inlineStr">
        <is>
          <t>✖  Transferi gelir veya gider olarak yazmak</t>
        </is>
      </c>
      <c r="H64" s="96" t="n"/>
      <c r="I64" s="96" t="n"/>
      <c r="J64" s="6" t="n"/>
      <c r="K64" s="6" t="n"/>
    </row>
    <row r="65" ht="30" customHeight="1">
      <c r="A65" s="6" t="n"/>
      <c r="B65" s="55" t="inlineStr">
        <is>
          <t>Devir bakiyesi</t>
        </is>
      </c>
      <c r="C65" s="56" t="n"/>
      <c r="D65" s="62" t="inlineStr">
        <is>
          <t>Eski alacak tek satırda devir olarak taşınır.</t>
        </is>
      </c>
      <c r="E65" s="58" t="n"/>
      <c r="F65" s="58" t="n"/>
      <c r="G65" s="95" t="inlineStr">
        <is>
          <t>✖  Geçmiş haftalık tahakkukları uydurarak yeniden üretmek</t>
        </is>
      </c>
      <c r="H65" s="96" t="n"/>
      <c r="I65" s="96" t="n"/>
      <c r="J65" s="6" t="n"/>
      <c r="K65" s="6" t="n"/>
    </row>
    <row r="66" ht="12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 ht="28" customHeight="1">
      <c r="A67" s="6" t="n"/>
      <c r="B67" s="52" t="inlineStr">
        <is>
          <t>6.  KORUMA VE GÜVENLİK</t>
        </is>
      </c>
      <c r="C67" s="53" t="n"/>
      <c r="D67" s="53" t="n"/>
      <c r="E67" s="53" t="n"/>
      <c r="F67" s="53" t="n"/>
      <c r="G67" s="53" t="n"/>
      <c r="H67" s="53" t="n"/>
      <c r="I67" s="53" t="n"/>
      <c r="J67" s="6" t="n"/>
      <c r="K67" s="6" t="n"/>
    </row>
    <row r="68" ht="26" customHeight="1">
      <c r="A68" s="6" t="n"/>
      <c r="B68" s="54" t="inlineStr">
        <is>
          <t>Konu</t>
        </is>
      </c>
      <c r="C68" s="54" t="n"/>
      <c r="D68" s="54" t="inlineStr">
        <is>
          <t>Değer</t>
        </is>
      </c>
      <c r="E68" s="54" t="inlineStr">
        <is>
          <t>Açıklama</t>
        </is>
      </c>
      <c r="F68" s="54" t="n"/>
      <c r="G68" s="54" t="n"/>
      <c r="H68" s="54" t="n"/>
      <c r="I68" s="54" t="n"/>
      <c r="J68" s="6" t="n"/>
      <c r="K68" s="6" t="n"/>
    </row>
    <row r="69" ht="30" customHeight="1">
      <c r="A69" s="6" t="n"/>
      <c r="B69" s="55" t="inlineStr">
        <is>
          <t>Sayfa şifresi</t>
        </is>
      </c>
      <c r="C69" s="56" t="n"/>
      <c r="D69" s="97" t="inlineStr">
        <is>
          <t>1234</t>
        </is>
      </c>
      <c r="E69" s="57" t="inlineStr">
        <is>
          <t>Otomatik hücreler kilitlidir. Yapıyı değiştirmek gerekirse: Gözden Geçir ▸ Sayfa Korumasını Kaldır ▸ Şifre: 1234</t>
        </is>
      </c>
      <c r="F69" s="58" t="n"/>
      <c r="G69" s="58" t="n"/>
      <c r="H69" s="58" t="n"/>
      <c r="I69" s="58" t="n"/>
      <c r="J69" s="6" t="n"/>
      <c r="K69" s="6" t="n"/>
    </row>
    <row r="70" ht="30" customHeight="1">
      <c r="A70" s="6" t="n"/>
      <c r="B70" s="55" t="inlineStr">
        <is>
          <t>Yedekleme</t>
        </is>
      </c>
      <c r="C70" s="56" t="n"/>
      <c r="D70" s="97" t="inlineStr">
        <is>
          <t>Haftada bir</t>
        </is>
      </c>
      <c r="E70" s="57" t="inlineStr">
        <is>
          <t>Dosyayı hafta sonu tarih ekleyerek kopyalayın (örnek: Ofis_Yonetim_2026-08-29.xlsx).</t>
        </is>
      </c>
      <c r="F70" s="58" t="n"/>
      <c r="G70" s="58" t="n"/>
      <c r="H70" s="58" t="n"/>
      <c r="I70" s="58" t="n"/>
      <c r="J70" s="6" t="n"/>
      <c r="K70" s="6" t="n"/>
    </row>
    <row r="71" ht="30" customHeight="1">
      <c r="A71" s="6" t="n"/>
      <c r="B71" s="55" t="inlineStr">
        <is>
          <t>Uyumluluk</t>
        </is>
      </c>
      <c r="C71" s="56" t="n"/>
      <c r="D71" s="97" t="inlineStr">
        <is>
          <t>Windows Excel</t>
        </is>
      </c>
      <c r="E71" s="57" t="inlineStr">
        <is>
          <t>Windows üzerinde Microsoft Excel 2016 ve üzeri için optimize edilmiştir. Makro içermez, güvenlik uyarısı vermez.</t>
        </is>
      </c>
      <c r="F71" s="58" t="n"/>
      <c r="G71" s="58" t="n"/>
      <c r="H71" s="58" t="n"/>
      <c r="I71" s="58" t="n"/>
      <c r="J71" s="6" t="n"/>
      <c r="K71" s="6" t="n"/>
    </row>
    <row r="72" ht="30" customHeight="1">
      <c r="A72" s="6" t="n"/>
      <c r="B72" s="55" t="inlineStr">
        <is>
          <t>Kapasite</t>
        </is>
      </c>
      <c r="C72" s="56" t="n"/>
      <c r="D72" s="97" t="inlineStr">
        <is>
          <t>Hazır satır</t>
        </is>
      </c>
      <c r="E72" s="57" t="inlineStr">
        <is>
          <t>100 müşteri │ 400 ücret dönemi │ 1.500 tahsilat │ 1.200 gelir-gider │ 400 virman │ 1.000 aktivite │ 36 ay kapanış.</t>
        </is>
      </c>
      <c r="F72" s="58" t="n"/>
      <c r="G72" s="58" t="n"/>
      <c r="H72" s="58" t="n"/>
      <c r="I72" s="58" t="n"/>
      <c r="J72" s="6" t="n"/>
      <c r="K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22">
    <mergeCell ref="E68:I68"/>
    <mergeCell ref="G62:I62"/>
    <mergeCell ref="E23:F23"/>
    <mergeCell ref="D36:E36"/>
    <mergeCell ref="D16:I16"/>
    <mergeCell ref="D31:E31"/>
    <mergeCell ref="B12:C12"/>
    <mergeCell ref="G24:I24"/>
    <mergeCell ref="E51:F51"/>
    <mergeCell ref="A2:I2"/>
    <mergeCell ref="G65:I65"/>
    <mergeCell ref="B61:C61"/>
    <mergeCell ref="B14:C14"/>
    <mergeCell ref="G26:I26"/>
    <mergeCell ref="B8:I8"/>
    <mergeCell ref="G63:I63"/>
    <mergeCell ref="B13:C13"/>
    <mergeCell ref="B69:C69"/>
    <mergeCell ref="C27:D27"/>
    <mergeCell ref="E49:F49"/>
    <mergeCell ref="E27:F27"/>
    <mergeCell ref="B64:C64"/>
    <mergeCell ref="D33:E33"/>
    <mergeCell ref="C19:D19"/>
    <mergeCell ref="B5:I5"/>
    <mergeCell ref="E22:F22"/>
    <mergeCell ref="E53:F53"/>
    <mergeCell ref="B63:C63"/>
    <mergeCell ref="D35:E35"/>
    <mergeCell ref="B16:C16"/>
    <mergeCell ref="E55:F55"/>
    <mergeCell ref="D34:E34"/>
    <mergeCell ref="F37:I37"/>
    <mergeCell ref="E48:F48"/>
    <mergeCell ref="B11:C11"/>
    <mergeCell ref="G64:I64"/>
    <mergeCell ref="F34:I34"/>
    <mergeCell ref="E69:I69"/>
    <mergeCell ref="D37:E37"/>
    <mergeCell ref="F30:I30"/>
    <mergeCell ref="D60:F60"/>
    <mergeCell ref="E26:F26"/>
    <mergeCell ref="F33:I33"/>
    <mergeCell ref="E70:I70"/>
    <mergeCell ref="D39:E39"/>
    <mergeCell ref="F42:I42"/>
    <mergeCell ref="B15:C15"/>
    <mergeCell ref="G27:I27"/>
    <mergeCell ref="E25:F25"/>
    <mergeCell ref="E72:I72"/>
    <mergeCell ref="A1:I1"/>
    <mergeCell ref="D38:E38"/>
    <mergeCell ref="D11:I11"/>
    <mergeCell ref="E50:F50"/>
    <mergeCell ref="D13:I13"/>
    <mergeCell ref="G19:I19"/>
    <mergeCell ref="B72:C72"/>
    <mergeCell ref="F39:I39"/>
    <mergeCell ref="E52:F52"/>
    <mergeCell ref="B71:C71"/>
    <mergeCell ref="C20:D20"/>
    <mergeCell ref="E20:F20"/>
    <mergeCell ref="D9:I9"/>
    <mergeCell ref="B60:C60"/>
    <mergeCell ref="G20:I20"/>
    <mergeCell ref="C22:D22"/>
    <mergeCell ref="B67:I67"/>
    <mergeCell ref="D15:I15"/>
    <mergeCell ref="C21:D21"/>
    <mergeCell ref="B29:I29"/>
    <mergeCell ref="E46:F46"/>
    <mergeCell ref="G22:I22"/>
    <mergeCell ref="D59:F59"/>
    <mergeCell ref="B9:C9"/>
    <mergeCell ref="G21:I21"/>
    <mergeCell ref="C23:D23"/>
    <mergeCell ref="F36:I36"/>
    <mergeCell ref="D10:I10"/>
    <mergeCell ref="D30:E30"/>
    <mergeCell ref="E54:F54"/>
    <mergeCell ref="G23:I23"/>
    <mergeCell ref="E56:F56"/>
    <mergeCell ref="F31:I31"/>
    <mergeCell ref="B62:C62"/>
    <mergeCell ref="C24:D24"/>
    <mergeCell ref="E24:F24"/>
    <mergeCell ref="B59:C59"/>
    <mergeCell ref="D61:F61"/>
    <mergeCell ref="E71:I71"/>
    <mergeCell ref="D40:E40"/>
    <mergeCell ref="C26:D26"/>
    <mergeCell ref="B18:I18"/>
    <mergeCell ref="B58:I58"/>
    <mergeCell ref="B70:C70"/>
    <mergeCell ref="C25:D25"/>
    <mergeCell ref="E19:F19"/>
    <mergeCell ref="D62:F62"/>
    <mergeCell ref="D32:E32"/>
    <mergeCell ref="D12:I12"/>
    <mergeCell ref="D41:E41"/>
    <mergeCell ref="G25:I25"/>
    <mergeCell ref="D64:F64"/>
    <mergeCell ref="F40:I40"/>
    <mergeCell ref="B44:I44"/>
    <mergeCell ref="D14:I14"/>
    <mergeCell ref="G60:I60"/>
    <mergeCell ref="B10:C10"/>
    <mergeCell ref="E45:F45"/>
    <mergeCell ref="G59:I59"/>
    <mergeCell ref="B65:C65"/>
    <mergeCell ref="D63:F63"/>
    <mergeCell ref="F32:I32"/>
    <mergeCell ref="B68:C68"/>
    <mergeCell ref="F41:I41"/>
    <mergeCell ref="D42:E42"/>
    <mergeCell ref="F35:I35"/>
    <mergeCell ref="B6:I6"/>
    <mergeCell ref="D65:F65"/>
    <mergeCell ref="G61:I61"/>
    <mergeCell ref="F38:I38"/>
    <mergeCell ref="E47:F47"/>
    <mergeCell ref="E21:F21"/>
  </mergeCell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6E56"/>
    <outlinePr summaryBelow="1" summaryRight="1"/>
    <pageSetUpPr fitToPage="1"/>
  </sheetPr>
  <dimension ref="A1:R108"/>
  <sheetViews>
    <sheetView showGridLines="0" tabSelected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2" customWidth="1" min="3" max="3"/>
    <col width="12" customWidth="1" min="4" max="4"/>
    <col width="18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5" customWidth="1" min="11" max="11"/>
    <col width="24" customWidth="1" min="12" max="12"/>
    <col width="26" customWidth="1" min="13" max="13"/>
    <col width="15" customWidth="1" min="14" max="14"/>
    <col width="14" customWidth="1" min="15" max="15"/>
    <col width="15" customWidth="1" min="16" max="16"/>
    <col width="2.4" customWidth="1" min="17" max="17"/>
    <col width="2.4" customWidth="1" min="18" max="18"/>
  </cols>
  <sheetData>
    <row r="1" ht="38" customHeight="1">
      <c r="A1" s="1" t="inlineStr">
        <is>
          <t>NECATİBEY OFİS YÖNETİM SİSTEMİ   │   MÜŞTERİLER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45" t="n"/>
      <c r="R1" s="45" t="n"/>
    </row>
    <row r="2" ht="22" customHeight="1">
      <c r="A2" s="4" t="inlineStr">
        <is>
          <t>Ana müşteri kartı │ Her müşteri için tek kayıt │ Devir alacağı bu ekranda tanımlanır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46" t="n"/>
      <c r="R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 ht="20" customHeight="1">
      <c r="A4" s="6" t="n"/>
      <c r="B4" s="47">
        <f>HYPERLINK("#PANO!A1","←  PANO")</f>
        <v/>
      </c>
      <c r="C4" s="6" t="n"/>
      <c r="D4" s="98">
        <f>HYPERLINK("#UCRETLER!A1","Haftalık Ücretler")</f>
        <v/>
      </c>
      <c r="E4" s="6" t="n"/>
      <c r="F4" s="98">
        <f>HYPERLINK("#MUSTERI_360!A1","Müşteri 360")</f>
        <v/>
      </c>
      <c r="G4" s="6" t="n"/>
      <c r="H4" s="99" t="inlineStr">
        <is>
          <t>Sarı hücreler veri girişidir. Beyaz hücreler sistem tarafından hesaplanır ve kilitlidir. Devir Alacak Tarihi yaşlandırmayı belirler — boş bırakılırsa tutar 29+ gün kabul edilir.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 ht="26" customHeight="1">
      <c r="A5" s="6" t="n"/>
      <c r="B5" s="100" t="n"/>
      <c r="C5" s="101" t="inlineStr">
        <is>
          <t>TOPLAM  │  Aktif müşteri ve devir alacağı</t>
        </is>
      </c>
      <c r="D5" s="102">
        <f>COUNTIF($D$7:$D$106,"Aktif")</f>
        <v/>
      </c>
      <c r="E5" s="100" t="n"/>
      <c r="F5" s="100" t="n"/>
      <c r="G5" s="100" t="n"/>
      <c r="H5" s="100" t="n"/>
      <c r="I5" s="100" t="n"/>
      <c r="J5" s="103">
        <f>SUM($J$7:$J$106)</f>
        <v/>
      </c>
      <c r="K5" s="100" t="n"/>
      <c r="L5" s="100" t="n"/>
      <c r="M5" s="100" t="n"/>
      <c r="N5" s="100" t="n"/>
      <c r="O5" s="100" t="n"/>
      <c r="P5" s="100" t="n"/>
      <c r="Q5" s="6" t="n"/>
      <c r="R5" s="6" t="n"/>
    </row>
    <row r="6" ht="40" customHeight="1">
      <c r="A6" s="6" t="n"/>
      <c r="B6" s="104" t="inlineStr">
        <is>
          <t>Müşteri No</t>
        </is>
      </c>
      <c r="C6" s="105" t="inlineStr">
        <is>
          <t>Müşteri / Mükellef Unvanı</t>
        </is>
      </c>
      <c r="D6" s="104" t="inlineStr">
        <is>
          <t>Durum</t>
        </is>
      </c>
      <c r="E6" s="105" t="inlineStr">
        <is>
          <t>Sorumlu Kişi</t>
        </is>
      </c>
      <c r="F6" s="105" t="inlineStr">
        <is>
          <t>Telefon</t>
        </is>
      </c>
      <c r="G6" s="105" t="inlineStr">
        <is>
          <t>Vergi No</t>
        </is>
      </c>
      <c r="H6" s="104" t="inlineStr">
        <is>
          <t>Ödeme Şekli</t>
        </is>
      </c>
      <c r="I6" s="104" t="inlineStr">
        <is>
          <t>Başlangıç Tarihi</t>
        </is>
      </c>
      <c r="J6" s="106" t="inlineStr">
        <is>
          <t>Devir Alacağı</t>
        </is>
      </c>
      <c r="K6" s="104" t="inlineStr">
        <is>
          <t>Devir Alacak Tarihi</t>
        </is>
      </c>
      <c r="L6" s="105" t="inlineStr">
        <is>
          <t>Devir Kaynağı</t>
        </is>
      </c>
      <c r="M6" s="105" t="inlineStr">
        <is>
          <t>Özel Not</t>
        </is>
      </c>
      <c r="N6" s="104" t="inlineStr">
        <is>
          <t>Bilgi Durumu</t>
        </is>
      </c>
      <c r="O6" s="104" t="inlineStr">
        <is>
          <t>Aktif Ücret Tanımı</t>
        </is>
      </c>
      <c r="P6" s="104" t="inlineStr">
        <is>
          <t>Kayıt Kontrolü</t>
        </is>
      </c>
      <c r="Q6" s="6" t="n"/>
      <c r="R6" s="6" t="n"/>
    </row>
    <row r="7">
      <c r="A7" s="6" t="n"/>
      <c r="B7" s="107" t="inlineStr">
        <is>
          <t>M001</t>
        </is>
      </c>
      <c r="C7" s="108" t="inlineStr">
        <is>
          <t>ANKARA HAVANA LTD.ŞTİ.</t>
        </is>
      </c>
      <c r="D7" s="107" t="inlineStr">
        <is>
          <t>Aktif</t>
        </is>
      </c>
      <c r="E7" s="108" t="n"/>
      <c r="F7" s="108" t="n"/>
      <c r="G7" s="108" t="n"/>
      <c r="H7" s="107" t="n"/>
      <c r="I7" s="109" t="n"/>
      <c r="J7" s="110" t="n">
        <v>16200</v>
      </c>
      <c r="K7" s="111" t="n">
        <v>46200</v>
      </c>
      <c r="L7" s="108" t="inlineStr">
        <is>
          <t>Eski dosya │ 27.06.2026 dahil alacaklar</t>
        </is>
      </c>
      <c r="M7" s="108" t="n"/>
      <c r="N7" s="107" t="inlineStr">
        <is>
          <t>Doğrulandı</t>
        </is>
      </c>
      <c r="O7" s="112">
        <f>IF($B7="","",IF(COUNTIFS(UCRETLER!$B$7:$B$406,$B7,UCRETLER!$G$7:$G$406,"Aktif")&gt;0,"EVET","HAYIR"))</f>
        <v/>
      </c>
      <c r="P7" s="112">
        <f>IF($B7="","",IF($C7="","EKSİK",IF(COUNTIF($B$7:$B$106,$B7)&gt;1,"NO TEKRARI",IF(AND($J7&gt;0,$K7=""),"DEVİR TARİHİ EKSİK","UYGUN"))))</f>
        <v/>
      </c>
      <c r="Q7" s="6" t="n"/>
      <c r="R7" s="6" t="n"/>
    </row>
    <row r="8">
      <c r="A8" s="6" t="n"/>
      <c r="B8" s="107" t="inlineStr">
        <is>
          <t>M002</t>
        </is>
      </c>
      <c r="C8" s="108" t="inlineStr">
        <is>
          <t>ESERLİ LTD.ŞTİ.</t>
        </is>
      </c>
      <c r="D8" s="107" t="inlineStr">
        <is>
          <t>Aktif</t>
        </is>
      </c>
      <c r="E8" s="108" t="n"/>
      <c r="F8" s="108" t="n"/>
      <c r="G8" s="108" t="n"/>
      <c r="H8" s="107" t="n"/>
      <c r="I8" s="109" t="n"/>
      <c r="J8" s="110" t="n">
        <v>109700</v>
      </c>
      <c r="K8" s="111" t="n">
        <v>46200</v>
      </c>
      <c r="L8" s="108" t="inlineStr">
        <is>
          <t>Eski dosya │ 27.06.2026 dahil alacaklar</t>
        </is>
      </c>
      <c r="M8" s="108" t="n"/>
      <c r="N8" s="107" t="inlineStr">
        <is>
          <t>Doğrulandı</t>
        </is>
      </c>
      <c r="O8" s="112">
        <f>IF($B8="","",IF(COUNTIFS(UCRETLER!$B$7:$B$406,$B8,UCRETLER!$G$7:$G$406,"Aktif")&gt;0,"EVET","HAYIR"))</f>
        <v/>
      </c>
      <c r="P8" s="112">
        <f>IF($B8="","",IF($C8="","EKSİK",IF(COUNTIF($B$7:$B$106,$B8)&gt;1,"NO TEKRARI",IF(AND($J8&gt;0,$K8=""),"DEVİR TARİHİ EKSİK","UYGUN"))))</f>
        <v/>
      </c>
      <c r="Q8" s="6" t="n"/>
      <c r="R8" s="6" t="n"/>
    </row>
    <row r="9">
      <c r="A9" s="6" t="n"/>
      <c r="B9" s="107" t="inlineStr">
        <is>
          <t>M003</t>
        </is>
      </c>
      <c r="C9" s="108" t="inlineStr">
        <is>
          <t>TYANA LTD.ŞTİ.</t>
        </is>
      </c>
      <c r="D9" s="107" t="inlineStr">
        <is>
          <t>Aktif</t>
        </is>
      </c>
      <c r="E9" s="108" t="n"/>
      <c r="F9" s="108" t="n"/>
      <c r="G9" s="108" t="n"/>
      <c r="H9" s="107" t="n"/>
      <c r="I9" s="109" t="n"/>
      <c r="J9" s="110" t="n">
        <v>87950</v>
      </c>
      <c r="K9" s="111" t="n">
        <v>46200</v>
      </c>
      <c r="L9" s="108" t="inlineStr">
        <is>
          <t>Eski dosya │ 27.06.2026 dahil alacaklar</t>
        </is>
      </c>
      <c r="M9" s="108" t="n"/>
      <c r="N9" s="107" t="inlineStr">
        <is>
          <t>Doğrulandı</t>
        </is>
      </c>
      <c r="O9" s="112">
        <f>IF($B9="","",IF(COUNTIFS(UCRETLER!$B$7:$B$406,$B9,UCRETLER!$G$7:$G$406,"Aktif")&gt;0,"EVET","HAYIR"))</f>
        <v/>
      </c>
      <c r="P9" s="112">
        <f>IF($B9="","",IF($C9="","EKSİK",IF(COUNTIF($B$7:$B$106,$B9)&gt;1,"NO TEKRARI",IF(AND($J9&gt;0,$K9=""),"DEVİR TARİHİ EKSİK","UYGUN"))))</f>
        <v/>
      </c>
      <c r="Q9" s="6" t="n"/>
      <c r="R9" s="6" t="n"/>
    </row>
    <row r="10">
      <c r="A10" s="6" t="n"/>
      <c r="B10" s="107" t="inlineStr">
        <is>
          <t>M004</t>
        </is>
      </c>
      <c r="C10" s="108" t="inlineStr">
        <is>
          <t>ZÜMRÜT EĞLENCE LTD.ŞTİ.</t>
        </is>
      </c>
      <c r="D10" s="107" t="inlineStr">
        <is>
          <t>Aktif</t>
        </is>
      </c>
      <c r="E10" s="108" t="n"/>
      <c r="F10" s="108" t="n"/>
      <c r="G10" s="108" t="n"/>
      <c r="H10" s="107" t="n"/>
      <c r="I10" s="109" t="n"/>
      <c r="J10" s="110" t="n">
        <v>31900</v>
      </c>
      <c r="K10" s="111" t="n">
        <v>46200</v>
      </c>
      <c r="L10" s="108" t="inlineStr">
        <is>
          <t>Eski dosya │ 27.06.2026 dahil alacaklar</t>
        </is>
      </c>
      <c r="M10" s="108" t="n"/>
      <c r="N10" s="107" t="inlineStr">
        <is>
          <t>Doğrulandı</t>
        </is>
      </c>
      <c r="O10" s="112">
        <f>IF($B10="","",IF(COUNTIFS(UCRETLER!$B$7:$B$406,$B10,UCRETLER!$G$7:$G$406,"Aktif")&gt;0,"EVET","HAYIR"))</f>
        <v/>
      </c>
      <c r="P10" s="112">
        <f>IF($B10="","",IF($C10="","EKSİK",IF(COUNTIF($B$7:$B$106,$B10)&gt;1,"NO TEKRARI",IF(AND($J10&gt;0,$K10=""),"DEVİR TARİHİ EKSİK","UYGUN"))))</f>
        <v/>
      </c>
      <c r="Q10" s="6" t="n"/>
      <c r="R10" s="6" t="n"/>
    </row>
    <row r="11">
      <c r="A11" s="6" t="n"/>
      <c r="B11" s="107" t="inlineStr">
        <is>
          <t>M005</t>
        </is>
      </c>
      <c r="C11" s="108" t="inlineStr">
        <is>
          <t>ZÜMRÜT GRUP LTD.ŞTİ.</t>
        </is>
      </c>
      <c r="D11" s="107" t="inlineStr">
        <is>
          <t>Aktif</t>
        </is>
      </c>
      <c r="E11" s="108" t="n"/>
      <c r="F11" s="108" t="n"/>
      <c r="G11" s="108" t="n"/>
      <c r="H11" s="107" t="n"/>
      <c r="I11" s="109" t="n"/>
      <c r="J11" s="110" t="n">
        <v>34700</v>
      </c>
      <c r="K11" s="111" t="n">
        <v>46200</v>
      </c>
      <c r="L11" s="108" t="inlineStr">
        <is>
          <t>Eski dosya │ 27.06.2026 dahil alacaklar</t>
        </is>
      </c>
      <c r="M11" s="108" t="n"/>
      <c r="N11" s="107" t="inlineStr">
        <is>
          <t>Doğrulandı</t>
        </is>
      </c>
      <c r="O11" s="112">
        <f>IF($B11="","",IF(COUNTIFS(UCRETLER!$B$7:$B$406,$B11,UCRETLER!$G$7:$G$406,"Aktif")&gt;0,"EVET","HAYIR"))</f>
        <v/>
      </c>
      <c r="P11" s="112">
        <f>IF($B11="","",IF($C11="","EKSİK",IF(COUNTIF($B$7:$B$106,$B11)&gt;1,"NO TEKRARI",IF(AND($J11&gt;0,$K11=""),"DEVİR TARİHİ EKSİK","UYGUN"))))</f>
        <v/>
      </c>
      <c r="Q11" s="6" t="n"/>
      <c r="R11" s="6" t="n"/>
    </row>
    <row r="12">
      <c r="A12" s="6" t="n"/>
      <c r="B12" s="107" t="inlineStr">
        <is>
          <t>M006</t>
        </is>
      </c>
      <c r="C12" s="108" t="inlineStr">
        <is>
          <t>VOLKAN AÇIK</t>
        </is>
      </c>
      <c r="D12" s="107" t="inlineStr">
        <is>
          <t>Aktif</t>
        </is>
      </c>
      <c r="E12" s="108" t="n"/>
      <c r="F12" s="108" t="n"/>
      <c r="G12" s="108" t="n"/>
      <c r="H12" s="107" t="n"/>
      <c r="I12" s="109" t="n"/>
      <c r="J12" s="110" t="n">
        <v>25000</v>
      </c>
      <c r="K12" s="111" t="n">
        <v>46200</v>
      </c>
      <c r="L12" s="108" t="inlineStr">
        <is>
          <t>Eski dosya │ 27.06.2026 dahil alacaklar</t>
        </is>
      </c>
      <c r="M12" s="108" t="n"/>
      <c r="N12" s="107" t="inlineStr">
        <is>
          <t>Doğrulandı</t>
        </is>
      </c>
      <c r="O12" s="112">
        <f>IF($B12="","",IF(COUNTIFS(UCRETLER!$B$7:$B$406,$B12,UCRETLER!$G$7:$G$406,"Aktif")&gt;0,"EVET","HAYIR"))</f>
        <v/>
      </c>
      <c r="P12" s="112">
        <f>IF($B12="","",IF($C12="","EKSİK",IF(COUNTIF($B$7:$B$106,$B12)&gt;1,"NO TEKRARI",IF(AND($J12&gt;0,$K12=""),"DEVİR TARİHİ EKSİK","UYGUN"))))</f>
        <v/>
      </c>
      <c r="Q12" s="6" t="n"/>
      <c r="R12" s="6" t="n"/>
    </row>
    <row r="13">
      <c r="A13" s="6" t="n"/>
      <c r="B13" s="107" t="inlineStr">
        <is>
          <t>M007</t>
        </is>
      </c>
      <c r="C13" s="108" t="inlineStr">
        <is>
          <t>MONAMOUR LTD.ŞTİ.</t>
        </is>
      </c>
      <c r="D13" s="107" t="inlineStr">
        <is>
          <t>Aktif</t>
        </is>
      </c>
      <c r="E13" s="108" t="n"/>
      <c r="F13" s="108" t="n"/>
      <c r="G13" s="108" t="n"/>
      <c r="H13" s="107" t="n"/>
      <c r="I13" s="109" t="n"/>
      <c r="J13" s="110" t="n">
        <v>30900</v>
      </c>
      <c r="K13" s="111" t="n">
        <v>46200</v>
      </c>
      <c r="L13" s="108" t="inlineStr">
        <is>
          <t>Eski dosya │ 27.06.2026 dahil alacaklar</t>
        </is>
      </c>
      <c r="M13" s="108" t="n"/>
      <c r="N13" s="107" t="inlineStr">
        <is>
          <t>Doğrulandı</t>
        </is>
      </c>
      <c r="O13" s="112">
        <f>IF($B13="","",IF(COUNTIFS(UCRETLER!$B$7:$B$406,$B13,UCRETLER!$G$7:$G$406,"Aktif")&gt;0,"EVET","HAYIR"))</f>
        <v/>
      </c>
      <c r="P13" s="112">
        <f>IF($B13="","",IF($C13="","EKSİK",IF(COUNTIF($B$7:$B$106,$B13)&gt;1,"NO TEKRARI",IF(AND($J13&gt;0,$K13=""),"DEVİR TARİHİ EKSİK","UYGUN"))))</f>
        <v/>
      </c>
      <c r="Q13" s="6" t="n"/>
      <c r="R13" s="6" t="n"/>
    </row>
    <row r="14">
      <c r="A14" s="6" t="n"/>
      <c r="B14" s="107" t="inlineStr">
        <is>
          <t>M008</t>
        </is>
      </c>
      <c r="C14" s="108" t="inlineStr">
        <is>
          <t>KÖŞK YÜKSELEN LTD.ŞTİ.</t>
        </is>
      </c>
      <c r="D14" s="107" t="inlineStr">
        <is>
          <t>Aktif</t>
        </is>
      </c>
      <c r="E14" s="108" t="n"/>
      <c r="F14" s="108" t="n"/>
      <c r="G14" s="108" t="n"/>
      <c r="H14" s="107" t="n"/>
      <c r="I14" s="109" t="n"/>
      <c r="J14" s="110" t="n">
        <v>132650</v>
      </c>
      <c r="K14" s="111" t="n">
        <v>46200</v>
      </c>
      <c r="L14" s="108" t="inlineStr">
        <is>
          <t>Eski dosya │ 27.06.2026 dahil alacaklar</t>
        </is>
      </c>
      <c r="M14" s="108" t="n"/>
      <c r="N14" s="107" t="inlineStr">
        <is>
          <t>Doğrulandı</t>
        </is>
      </c>
      <c r="O14" s="112">
        <f>IF($B14="","",IF(COUNTIFS(UCRETLER!$B$7:$B$406,$B14,UCRETLER!$G$7:$G$406,"Aktif")&gt;0,"EVET","HAYIR"))</f>
        <v/>
      </c>
      <c r="P14" s="112">
        <f>IF($B14="","",IF($C14="","EKSİK",IF(COUNTIF($B$7:$B$106,$B14)&gt;1,"NO TEKRARI",IF(AND($J14&gt;0,$K14=""),"DEVİR TARİHİ EKSİK","UYGUN"))))</f>
        <v/>
      </c>
      <c r="Q14" s="6" t="n"/>
      <c r="R14" s="6" t="n"/>
    </row>
    <row r="15">
      <c r="A15" s="6" t="n"/>
      <c r="B15" s="107" t="inlineStr">
        <is>
          <t>M009</t>
        </is>
      </c>
      <c r="C15" s="108" t="inlineStr">
        <is>
          <t>PakYıldız Ltd.Şti.</t>
        </is>
      </c>
      <c r="D15" s="107" t="inlineStr">
        <is>
          <t>Beklemede</t>
        </is>
      </c>
      <c r="E15" s="108" t="n"/>
      <c r="F15" s="108" t="n"/>
      <c r="G15" s="108" t="n"/>
      <c r="H15" s="107" t="n"/>
      <c r="I15" s="109" t="n"/>
      <c r="J15" s="110" t="n"/>
      <c r="K15" s="111" t="n"/>
      <c r="L15" s="108" t="n"/>
      <c r="M15" s="108" t="n"/>
      <c r="N15" s="107" t="inlineStr">
        <is>
          <t>Ücret doğrulanmalı</t>
        </is>
      </c>
      <c r="O15" s="112">
        <f>IF($B15="","",IF(COUNTIFS(UCRETLER!$B$7:$B$406,$B15,UCRETLER!$G$7:$G$406,"Aktif")&gt;0,"EVET","HAYIR"))</f>
        <v/>
      </c>
      <c r="P15" s="112">
        <f>IF($B15="","",IF($C15="","EKSİK",IF(COUNTIF($B$7:$B$106,$B15)&gt;1,"NO TEKRARI",IF(AND($J15&gt;0,$K15=""),"DEVİR TARİHİ EKSİK","UYGUN"))))</f>
        <v/>
      </c>
      <c r="Q15" s="6" t="n"/>
      <c r="R15" s="6" t="n"/>
    </row>
    <row r="16">
      <c r="A16" s="6" t="n"/>
      <c r="B16" s="107" t="inlineStr">
        <is>
          <t>M010</t>
        </is>
      </c>
      <c r="C16" s="108" t="inlineStr">
        <is>
          <t>Özfidanlar Ltd.Şti.</t>
        </is>
      </c>
      <c r="D16" s="107" t="inlineStr">
        <is>
          <t>Beklemede</t>
        </is>
      </c>
      <c r="E16" s="108" t="n"/>
      <c r="F16" s="108" t="n"/>
      <c r="G16" s="108" t="n"/>
      <c r="H16" s="107" t="n"/>
      <c r="I16" s="109" t="n"/>
      <c r="J16" s="110" t="n"/>
      <c r="K16" s="111" t="n"/>
      <c r="L16" s="108" t="n"/>
      <c r="M16" s="108" t="n"/>
      <c r="N16" s="107" t="inlineStr">
        <is>
          <t>Ücret doğrulanmalı</t>
        </is>
      </c>
      <c r="O16" s="112">
        <f>IF($B16="","",IF(COUNTIFS(UCRETLER!$B$7:$B$406,$B16,UCRETLER!$G$7:$G$406,"Aktif")&gt;0,"EVET","HAYIR"))</f>
        <v/>
      </c>
      <c r="P16" s="112">
        <f>IF($B16="","",IF($C16="","EKSİK",IF(COUNTIF($B$7:$B$106,$B16)&gt;1,"NO TEKRARI",IF(AND($J16&gt;0,$K16=""),"DEVİR TARİHİ EKSİK","UYGUN"))))</f>
        <v/>
      </c>
      <c r="Q16" s="6" t="n"/>
      <c r="R16" s="6" t="n"/>
    </row>
    <row r="17">
      <c r="A17" s="6" t="n"/>
      <c r="B17" s="107" t="inlineStr">
        <is>
          <t>M011</t>
        </is>
      </c>
      <c r="C17" s="108" t="inlineStr">
        <is>
          <t>Eğlengör Ltd.Şti.</t>
        </is>
      </c>
      <c r="D17" s="107" t="inlineStr">
        <is>
          <t>Beklemede</t>
        </is>
      </c>
      <c r="E17" s="108" t="n"/>
      <c r="F17" s="108" t="n"/>
      <c r="G17" s="108" t="n"/>
      <c r="H17" s="107" t="n"/>
      <c r="I17" s="109" t="n"/>
      <c r="J17" s="110" t="n"/>
      <c r="K17" s="111" t="n"/>
      <c r="L17" s="108" t="n"/>
      <c r="M17" s="108" t="n"/>
      <c r="N17" s="107" t="inlineStr">
        <is>
          <t>Ücret doğrulanmalı</t>
        </is>
      </c>
      <c r="O17" s="112">
        <f>IF($B17="","",IF(COUNTIFS(UCRETLER!$B$7:$B$406,$B17,UCRETLER!$G$7:$G$406,"Aktif")&gt;0,"EVET","HAYIR"))</f>
        <v/>
      </c>
      <c r="P17" s="112">
        <f>IF($B17="","",IF($C17="","EKSİK",IF(COUNTIF($B$7:$B$106,$B17)&gt;1,"NO TEKRARI",IF(AND($J17&gt;0,$K17=""),"DEVİR TARİHİ EKSİK","UYGUN"))))</f>
        <v/>
      </c>
      <c r="Q17" s="6" t="n"/>
      <c r="R17" s="6" t="n"/>
    </row>
    <row r="18">
      <c r="A18" s="6" t="n"/>
      <c r="B18" s="107" t="inlineStr">
        <is>
          <t>M012</t>
        </is>
      </c>
      <c r="C18" s="108" t="inlineStr">
        <is>
          <t>İldeş Ltd.Şti.</t>
        </is>
      </c>
      <c r="D18" s="107" t="inlineStr">
        <is>
          <t>Beklemede</t>
        </is>
      </c>
      <c r="E18" s="108" t="n"/>
      <c r="F18" s="108" t="n"/>
      <c r="G18" s="108" t="n"/>
      <c r="H18" s="107" t="n"/>
      <c r="I18" s="109" t="n"/>
      <c r="J18" s="110" t="n"/>
      <c r="K18" s="111" t="n"/>
      <c r="L18" s="108" t="n"/>
      <c r="M18" s="108" t="n"/>
      <c r="N18" s="107" t="inlineStr">
        <is>
          <t>Ücret doğrulanmalı</t>
        </is>
      </c>
      <c r="O18" s="112">
        <f>IF($B18="","",IF(COUNTIFS(UCRETLER!$B$7:$B$406,$B18,UCRETLER!$G$7:$G$406,"Aktif")&gt;0,"EVET","HAYIR"))</f>
        <v/>
      </c>
      <c r="P18" s="112">
        <f>IF($B18="","",IF($C18="","EKSİK",IF(COUNTIF($B$7:$B$106,$B18)&gt;1,"NO TEKRARI",IF(AND($J18&gt;0,$K18=""),"DEVİR TARİHİ EKSİK","UYGUN"))))</f>
        <v/>
      </c>
      <c r="Q18" s="6" t="n"/>
      <c r="R18" s="6" t="n"/>
    </row>
    <row r="19">
      <c r="A19" s="6" t="n"/>
      <c r="B19" s="107" t="inlineStr">
        <is>
          <t>M013</t>
        </is>
      </c>
      <c r="C19" s="108" t="inlineStr">
        <is>
          <t>Naz 1 Gıda Ltd.Şti.</t>
        </is>
      </c>
      <c r="D19" s="107" t="inlineStr">
        <is>
          <t>Beklemede</t>
        </is>
      </c>
      <c r="E19" s="108" t="n"/>
      <c r="F19" s="108" t="n"/>
      <c r="G19" s="108" t="n"/>
      <c r="H19" s="107" t="n"/>
      <c r="I19" s="109" t="n"/>
      <c r="J19" s="110" t="n"/>
      <c r="K19" s="111" t="n"/>
      <c r="L19" s="108" t="n"/>
      <c r="M19" s="108" t="n"/>
      <c r="N19" s="107" t="inlineStr">
        <is>
          <t>Ücret doğrulanmalı</t>
        </is>
      </c>
      <c r="O19" s="112">
        <f>IF($B19="","",IF(COUNTIFS(UCRETLER!$B$7:$B$406,$B19,UCRETLER!$G$7:$G$406,"Aktif")&gt;0,"EVET","HAYIR"))</f>
        <v/>
      </c>
      <c r="P19" s="112">
        <f>IF($B19="","",IF($C19="","EKSİK",IF(COUNTIF($B$7:$B$106,$B19)&gt;1,"NO TEKRARI",IF(AND($J19&gt;0,$K19=""),"DEVİR TARİHİ EKSİK","UYGUN"))))</f>
        <v/>
      </c>
      <c r="Q19" s="6" t="n"/>
      <c r="R19" s="6" t="n"/>
    </row>
    <row r="20">
      <c r="A20" s="6" t="n"/>
      <c r="B20" s="107" t="inlineStr">
        <is>
          <t>M014</t>
        </is>
      </c>
      <c r="C20" s="108" t="inlineStr">
        <is>
          <t>Final Siyah Beyaz Ltd.Şti.</t>
        </is>
      </c>
      <c r="D20" s="107" t="inlineStr">
        <is>
          <t>Beklemede</t>
        </is>
      </c>
      <c r="E20" s="108" t="n"/>
      <c r="F20" s="108" t="n"/>
      <c r="G20" s="108" t="n"/>
      <c r="H20" s="107" t="n"/>
      <c r="I20" s="109" t="n"/>
      <c r="J20" s="110" t="n"/>
      <c r="K20" s="111" t="n"/>
      <c r="L20" s="108" t="n"/>
      <c r="M20" s="108" t="n"/>
      <c r="N20" s="107" t="inlineStr">
        <is>
          <t>Ücret doğrulanmalı</t>
        </is>
      </c>
      <c r="O20" s="112">
        <f>IF($B20="","",IF(COUNTIFS(UCRETLER!$B$7:$B$406,$B20,UCRETLER!$G$7:$G$406,"Aktif")&gt;0,"EVET","HAYIR"))</f>
        <v/>
      </c>
      <c r="P20" s="112">
        <f>IF($B20="","",IF($C20="","EKSİK",IF(COUNTIF($B$7:$B$106,$B20)&gt;1,"NO TEKRARI",IF(AND($J20&gt;0,$K20=""),"DEVİR TARİHİ EKSİK","UYGUN"))))</f>
        <v/>
      </c>
      <c r="Q20" s="6" t="n"/>
      <c r="R20" s="6" t="n"/>
    </row>
    <row r="21">
      <c r="A21" s="6" t="n"/>
      <c r="B21" s="107" t="inlineStr">
        <is>
          <t>M015</t>
        </is>
      </c>
      <c r="C21" s="108" t="inlineStr">
        <is>
          <t>Çayıralan Ltd.Şti.</t>
        </is>
      </c>
      <c r="D21" s="107" t="inlineStr">
        <is>
          <t>Beklemede</t>
        </is>
      </c>
      <c r="E21" s="108" t="n"/>
      <c r="F21" s="108" t="n"/>
      <c r="G21" s="108" t="n"/>
      <c r="H21" s="107" t="n"/>
      <c r="I21" s="109" t="n"/>
      <c r="J21" s="110" t="n"/>
      <c r="K21" s="111" t="n"/>
      <c r="L21" s="108" t="n"/>
      <c r="M21" s="108" t="n"/>
      <c r="N21" s="107" t="inlineStr">
        <is>
          <t>Ücret doğrulanmalı</t>
        </is>
      </c>
      <c r="O21" s="112">
        <f>IF($B21="","",IF(COUNTIFS(UCRETLER!$B$7:$B$406,$B21,UCRETLER!$G$7:$G$406,"Aktif")&gt;0,"EVET","HAYIR"))</f>
        <v/>
      </c>
      <c r="P21" s="112">
        <f>IF($B21="","",IF($C21="","EKSİK",IF(COUNTIF($B$7:$B$106,$B21)&gt;1,"NO TEKRARI",IF(AND($J21&gt;0,$K21=""),"DEVİR TARİHİ EKSİK","UYGUN"))))</f>
        <v/>
      </c>
      <c r="Q21" s="6" t="n"/>
      <c r="R21" s="6" t="n"/>
    </row>
    <row r="22">
      <c r="A22" s="6" t="n"/>
      <c r="B22" s="107" t="inlineStr">
        <is>
          <t>M016</t>
        </is>
      </c>
      <c r="C22" s="108" t="inlineStr">
        <is>
          <t>Rix Şow Ltd.Şti.</t>
        </is>
      </c>
      <c r="D22" s="107" t="inlineStr">
        <is>
          <t>Beklemede</t>
        </is>
      </c>
      <c r="E22" s="108" t="n"/>
      <c r="F22" s="108" t="n"/>
      <c r="G22" s="108" t="n"/>
      <c r="H22" s="107" t="n"/>
      <c r="I22" s="109" t="n"/>
      <c r="J22" s="110" t="n"/>
      <c r="K22" s="111" t="n"/>
      <c r="L22" s="108" t="n"/>
      <c r="M22" s="108" t="n"/>
      <c r="N22" s="107" t="inlineStr">
        <is>
          <t>Ücret doğrulanmalı</t>
        </is>
      </c>
      <c r="O22" s="112">
        <f>IF($B22="","",IF(COUNTIFS(UCRETLER!$B$7:$B$406,$B22,UCRETLER!$G$7:$G$406,"Aktif")&gt;0,"EVET","HAYIR"))</f>
        <v/>
      </c>
      <c r="P22" s="112">
        <f>IF($B22="","",IF($C22="","EKSİK",IF(COUNTIF($B$7:$B$106,$B22)&gt;1,"NO TEKRARI",IF(AND($J22&gt;0,$K22=""),"DEVİR TARİHİ EKSİK","UYGUN"))))</f>
        <v/>
      </c>
      <c r="Q22" s="6" t="n"/>
      <c r="R22" s="6" t="n"/>
    </row>
    <row r="23">
      <c r="A23" s="6" t="n"/>
      <c r="B23" s="107" t="inlineStr">
        <is>
          <t>M017</t>
        </is>
      </c>
      <c r="C23" s="108" t="inlineStr">
        <is>
          <t>ASM Eğlence Ltd.Şti.</t>
        </is>
      </c>
      <c r="D23" s="107" t="inlineStr">
        <is>
          <t>Beklemede</t>
        </is>
      </c>
      <c r="E23" s="108" t="n"/>
      <c r="F23" s="108" t="n"/>
      <c r="G23" s="108" t="n"/>
      <c r="H23" s="107" t="n"/>
      <c r="I23" s="109" t="n"/>
      <c r="J23" s="110" t="n"/>
      <c r="K23" s="111" t="n"/>
      <c r="L23" s="108" t="n"/>
      <c r="M23" s="108" t="n"/>
      <c r="N23" s="107" t="inlineStr">
        <is>
          <t>Ücret doğrulanmalı</t>
        </is>
      </c>
      <c r="O23" s="112">
        <f>IF($B23="","",IF(COUNTIFS(UCRETLER!$B$7:$B$406,$B23,UCRETLER!$G$7:$G$406,"Aktif")&gt;0,"EVET","HAYIR"))</f>
        <v/>
      </c>
      <c r="P23" s="112">
        <f>IF($B23="","",IF($C23="","EKSİK",IF(COUNTIF($B$7:$B$106,$B23)&gt;1,"NO TEKRARI",IF(AND($J23&gt;0,$K23=""),"DEVİR TARİHİ EKSİK","UYGUN"))))</f>
        <v/>
      </c>
      <c r="Q23" s="6" t="n"/>
      <c r="R23" s="6" t="n"/>
    </row>
    <row r="24">
      <c r="A24" s="6" t="n"/>
      <c r="B24" s="107" t="inlineStr">
        <is>
          <t>M018</t>
        </is>
      </c>
      <c r="C24" s="108" t="inlineStr">
        <is>
          <t>Çınarhan Ltd.Şti.</t>
        </is>
      </c>
      <c r="D24" s="107" t="inlineStr">
        <is>
          <t>Beklemede</t>
        </is>
      </c>
      <c r="E24" s="108" t="n"/>
      <c r="F24" s="108" t="n"/>
      <c r="G24" s="108" t="n"/>
      <c r="H24" s="107" t="n"/>
      <c r="I24" s="109" t="n"/>
      <c r="J24" s="110" t="n"/>
      <c r="K24" s="111" t="n"/>
      <c r="L24" s="108" t="n"/>
      <c r="M24" s="108" t="n"/>
      <c r="N24" s="107" t="inlineStr">
        <is>
          <t>Ücret doğrulanmalı</t>
        </is>
      </c>
      <c r="O24" s="112">
        <f>IF($B24="","",IF(COUNTIFS(UCRETLER!$B$7:$B$406,$B24,UCRETLER!$G$7:$G$406,"Aktif")&gt;0,"EVET","HAYIR"))</f>
        <v/>
      </c>
      <c r="P24" s="112">
        <f>IF($B24="","",IF($C24="","EKSİK",IF(COUNTIF($B$7:$B$106,$B24)&gt;1,"NO TEKRARI",IF(AND($J24&gt;0,$K24=""),"DEVİR TARİHİ EKSİK","UYGUN"))))</f>
        <v/>
      </c>
      <c r="Q24" s="6" t="n"/>
      <c r="R24" s="6" t="n"/>
    </row>
    <row r="25">
      <c r="A25" s="6" t="n"/>
      <c r="B25" s="107" t="inlineStr">
        <is>
          <t>M019</t>
        </is>
      </c>
      <c r="C25" s="108" t="inlineStr">
        <is>
          <t>AC Otel Ltd.Şti.</t>
        </is>
      </c>
      <c r="D25" s="107" t="inlineStr">
        <is>
          <t>Beklemede</t>
        </is>
      </c>
      <c r="E25" s="108" t="n"/>
      <c r="F25" s="108" t="n"/>
      <c r="G25" s="108" t="n"/>
      <c r="H25" s="107" t="n"/>
      <c r="I25" s="109" t="n"/>
      <c r="J25" s="110" t="n"/>
      <c r="K25" s="111" t="n"/>
      <c r="L25" s="108" t="n"/>
      <c r="M25" s="108" t="n"/>
      <c r="N25" s="107" t="inlineStr">
        <is>
          <t>Ücret doğrulanmalı</t>
        </is>
      </c>
      <c r="O25" s="112">
        <f>IF($B25="","",IF(COUNTIFS(UCRETLER!$B$7:$B$406,$B25,UCRETLER!$G$7:$G$406,"Aktif")&gt;0,"EVET","HAYIR"))</f>
        <v/>
      </c>
      <c r="P25" s="112">
        <f>IF($B25="","",IF($C25="","EKSİK",IF(COUNTIF($B$7:$B$106,$B25)&gt;1,"NO TEKRARI",IF(AND($J25&gt;0,$K25=""),"DEVİR TARİHİ EKSİK","UYGUN"))))</f>
        <v/>
      </c>
      <c r="Q25" s="6" t="n"/>
      <c r="R25" s="6" t="n"/>
    </row>
    <row r="26">
      <c r="A26" s="6" t="n"/>
      <c r="B26" s="107" t="inlineStr">
        <is>
          <t>M020</t>
        </is>
      </c>
      <c r="C26" s="108" t="inlineStr">
        <is>
          <t>Kristal Ltd.Şti.</t>
        </is>
      </c>
      <c r="D26" s="107" t="inlineStr">
        <is>
          <t>Beklemede</t>
        </is>
      </c>
      <c r="E26" s="108" t="n"/>
      <c r="F26" s="108" t="n"/>
      <c r="G26" s="108" t="n"/>
      <c r="H26" s="107" t="n"/>
      <c r="I26" s="109" t="n"/>
      <c r="J26" s="110" t="n"/>
      <c r="K26" s="111" t="n"/>
      <c r="L26" s="108" t="n"/>
      <c r="M26" s="108" t="n"/>
      <c r="N26" s="107" t="inlineStr">
        <is>
          <t>Ücret doğrulanmalı</t>
        </is>
      </c>
      <c r="O26" s="112">
        <f>IF($B26="","",IF(COUNTIFS(UCRETLER!$B$7:$B$406,$B26,UCRETLER!$G$7:$G$406,"Aktif")&gt;0,"EVET","HAYIR"))</f>
        <v/>
      </c>
      <c r="P26" s="112">
        <f>IF($B26="","",IF($C26="","EKSİK",IF(COUNTIF($B$7:$B$106,$B26)&gt;1,"NO TEKRARI",IF(AND($J26&gt;0,$K26=""),"DEVİR TARİHİ EKSİK","UYGUN"))))</f>
        <v/>
      </c>
      <c r="Q26" s="6" t="n"/>
      <c r="R26" s="6" t="n"/>
    </row>
    <row r="27">
      <c r="A27" s="6" t="n"/>
      <c r="B27" s="107" t="inlineStr">
        <is>
          <t>M021</t>
        </is>
      </c>
      <c r="C27" s="108" t="inlineStr">
        <is>
          <t>Aron Toptan Ltd.Şti.</t>
        </is>
      </c>
      <c r="D27" s="107" t="inlineStr">
        <is>
          <t>Beklemede</t>
        </is>
      </c>
      <c r="E27" s="108" t="n"/>
      <c r="F27" s="108" t="n"/>
      <c r="G27" s="108" t="n"/>
      <c r="H27" s="107" t="n"/>
      <c r="I27" s="109" t="n"/>
      <c r="J27" s="110" t="n"/>
      <c r="K27" s="111" t="n"/>
      <c r="L27" s="108" t="n"/>
      <c r="M27" s="108" t="n"/>
      <c r="N27" s="107" t="inlineStr">
        <is>
          <t>Ücret doğrulanmalı</t>
        </is>
      </c>
      <c r="O27" s="112">
        <f>IF($B27="","",IF(COUNTIFS(UCRETLER!$B$7:$B$406,$B27,UCRETLER!$G$7:$G$406,"Aktif")&gt;0,"EVET","HAYIR"))</f>
        <v/>
      </c>
      <c r="P27" s="112">
        <f>IF($B27="","",IF($C27="","EKSİK",IF(COUNTIF($B$7:$B$106,$B27)&gt;1,"NO TEKRARI",IF(AND($J27&gt;0,$K27=""),"DEVİR TARİHİ EKSİK","UYGUN"))))</f>
        <v/>
      </c>
      <c r="Q27" s="6" t="n"/>
      <c r="R27" s="6" t="n"/>
    </row>
    <row r="28">
      <c r="A28" s="6" t="n"/>
      <c r="B28" s="107" t="n"/>
      <c r="C28" s="108" t="n"/>
      <c r="D28" s="107" t="n"/>
      <c r="E28" s="108" t="n"/>
      <c r="F28" s="108" t="n"/>
      <c r="G28" s="108" t="n"/>
      <c r="H28" s="107" t="n"/>
      <c r="I28" s="109" t="n"/>
      <c r="J28" s="110" t="n"/>
      <c r="K28" s="111" t="n"/>
      <c r="L28" s="108" t="n"/>
      <c r="M28" s="108" t="n"/>
      <c r="N28" s="107" t="n"/>
      <c r="O28" s="112">
        <f>IF($B28="","",IF(COUNTIFS(UCRETLER!$B$7:$B$406,$B28,UCRETLER!$G$7:$G$406,"Aktif")&gt;0,"EVET","HAYIR"))</f>
        <v/>
      </c>
      <c r="P28" s="112">
        <f>IF($B28="","",IF($C28="","EKSİK",IF(COUNTIF($B$7:$B$106,$B28)&gt;1,"NO TEKRARI",IF(AND($J28&gt;0,$K28=""),"DEVİR TARİHİ EKSİK","UYGUN"))))</f>
        <v/>
      </c>
      <c r="Q28" s="6" t="n"/>
      <c r="R28" s="6" t="n"/>
    </row>
    <row r="29">
      <c r="A29" s="6" t="n"/>
      <c r="B29" s="107" t="n"/>
      <c r="C29" s="108" t="n"/>
      <c r="D29" s="107" t="n"/>
      <c r="E29" s="108" t="n"/>
      <c r="F29" s="108" t="n"/>
      <c r="G29" s="108" t="n"/>
      <c r="H29" s="107" t="n"/>
      <c r="I29" s="109" t="n"/>
      <c r="J29" s="110" t="n"/>
      <c r="K29" s="111" t="n"/>
      <c r="L29" s="108" t="n"/>
      <c r="M29" s="108" t="n"/>
      <c r="N29" s="107" t="n"/>
      <c r="O29" s="112">
        <f>IF($B29="","",IF(COUNTIFS(UCRETLER!$B$7:$B$406,$B29,UCRETLER!$G$7:$G$406,"Aktif")&gt;0,"EVET","HAYIR"))</f>
        <v/>
      </c>
      <c r="P29" s="112">
        <f>IF($B29="","",IF($C29="","EKSİK",IF(COUNTIF($B$7:$B$106,$B29)&gt;1,"NO TEKRARI",IF(AND($J29&gt;0,$K29=""),"DEVİR TARİHİ EKSİK","UYGUN"))))</f>
        <v/>
      </c>
      <c r="Q29" s="6" t="n"/>
      <c r="R29" s="6" t="n"/>
    </row>
    <row r="30">
      <c r="A30" s="6" t="n"/>
      <c r="B30" s="107" t="n"/>
      <c r="C30" s="108" t="n"/>
      <c r="D30" s="107" t="n"/>
      <c r="E30" s="108" t="n"/>
      <c r="F30" s="108" t="n"/>
      <c r="G30" s="108" t="n"/>
      <c r="H30" s="107" t="n"/>
      <c r="I30" s="109" t="n"/>
      <c r="J30" s="110" t="n"/>
      <c r="K30" s="111" t="n"/>
      <c r="L30" s="108" t="n"/>
      <c r="M30" s="108" t="n"/>
      <c r="N30" s="107" t="n"/>
      <c r="O30" s="112">
        <f>IF($B30="","",IF(COUNTIFS(UCRETLER!$B$7:$B$406,$B30,UCRETLER!$G$7:$G$406,"Aktif")&gt;0,"EVET","HAYIR"))</f>
        <v/>
      </c>
      <c r="P30" s="112">
        <f>IF($B30="","",IF($C30="","EKSİK",IF(COUNTIF($B$7:$B$106,$B30)&gt;1,"NO TEKRARI",IF(AND($J30&gt;0,$K30=""),"DEVİR TARİHİ EKSİK","UYGUN"))))</f>
        <v/>
      </c>
      <c r="Q30" s="6" t="n"/>
      <c r="R30" s="6" t="n"/>
    </row>
    <row r="31">
      <c r="A31" s="6" t="n"/>
      <c r="B31" s="107" t="n"/>
      <c r="C31" s="108" t="n"/>
      <c r="D31" s="107" t="n"/>
      <c r="E31" s="108" t="n"/>
      <c r="F31" s="108" t="n"/>
      <c r="G31" s="108" t="n"/>
      <c r="H31" s="107" t="n"/>
      <c r="I31" s="109" t="n"/>
      <c r="J31" s="110" t="n"/>
      <c r="K31" s="111" t="n"/>
      <c r="L31" s="108" t="n"/>
      <c r="M31" s="108" t="n"/>
      <c r="N31" s="107" t="n"/>
      <c r="O31" s="112">
        <f>IF($B31="","",IF(COUNTIFS(UCRETLER!$B$7:$B$406,$B31,UCRETLER!$G$7:$G$406,"Aktif")&gt;0,"EVET","HAYIR"))</f>
        <v/>
      </c>
      <c r="P31" s="112">
        <f>IF($B31="","",IF($C31="","EKSİK",IF(COUNTIF($B$7:$B$106,$B31)&gt;1,"NO TEKRARI",IF(AND($J31&gt;0,$K31=""),"DEVİR TARİHİ EKSİK","UYGUN"))))</f>
        <v/>
      </c>
      <c r="Q31" s="6" t="n"/>
      <c r="R31" s="6" t="n"/>
    </row>
    <row r="32">
      <c r="A32" s="6" t="n"/>
      <c r="B32" s="107" t="n"/>
      <c r="C32" s="108" t="n"/>
      <c r="D32" s="107" t="n"/>
      <c r="E32" s="108" t="n"/>
      <c r="F32" s="108" t="n"/>
      <c r="G32" s="108" t="n"/>
      <c r="H32" s="107" t="n"/>
      <c r="I32" s="109" t="n"/>
      <c r="J32" s="110" t="n"/>
      <c r="K32" s="111" t="n"/>
      <c r="L32" s="108" t="n"/>
      <c r="M32" s="108" t="n"/>
      <c r="N32" s="107" t="n"/>
      <c r="O32" s="112">
        <f>IF($B32="","",IF(COUNTIFS(UCRETLER!$B$7:$B$406,$B32,UCRETLER!$G$7:$G$406,"Aktif")&gt;0,"EVET","HAYIR"))</f>
        <v/>
      </c>
      <c r="P32" s="112">
        <f>IF($B32="","",IF($C32="","EKSİK",IF(COUNTIF($B$7:$B$106,$B32)&gt;1,"NO TEKRARI",IF(AND($J32&gt;0,$K32=""),"DEVİR TARİHİ EKSİK","UYGUN"))))</f>
        <v/>
      </c>
      <c r="Q32" s="6" t="n"/>
      <c r="R32" s="6" t="n"/>
    </row>
    <row r="33">
      <c r="A33" s="6" t="n"/>
      <c r="B33" s="107" t="n"/>
      <c r="C33" s="108" t="n"/>
      <c r="D33" s="107" t="n"/>
      <c r="E33" s="108" t="n"/>
      <c r="F33" s="108" t="n"/>
      <c r="G33" s="108" t="n"/>
      <c r="H33" s="107" t="n"/>
      <c r="I33" s="109" t="n"/>
      <c r="J33" s="110" t="n"/>
      <c r="K33" s="111" t="n"/>
      <c r="L33" s="108" t="n"/>
      <c r="M33" s="108" t="n"/>
      <c r="N33" s="107" t="n"/>
      <c r="O33" s="112">
        <f>IF($B33="","",IF(COUNTIFS(UCRETLER!$B$7:$B$406,$B33,UCRETLER!$G$7:$G$406,"Aktif")&gt;0,"EVET","HAYIR"))</f>
        <v/>
      </c>
      <c r="P33" s="112">
        <f>IF($B33="","",IF($C33="","EKSİK",IF(COUNTIF($B$7:$B$106,$B33)&gt;1,"NO TEKRARI",IF(AND($J33&gt;0,$K33=""),"DEVİR TARİHİ EKSİK","UYGUN"))))</f>
        <v/>
      </c>
      <c r="Q33" s="6" t="n"/>
      <c r="R33" s="6" t="n"/>
    </row>
    <row r="34">
      <c r="A34" s="6" t="n"/>
      <c r="B34" s="107" t="n"/>
      <c r="C34" s="108" t="n"/>
      <c r="D34" s="107" t="n"/>
      <c r="E34" s="108" t="n"/>
      <c r="F34" s="108" t="n"/>
      <c r="G34" s="108" t="n"/>
      <c r="H34" s="107" t="n"/>
      <c r="I34" s="109" t="n"/>
      <c r="J34" s="110" t="n"/>
      <c r="K34" s="111" t="n"/>
      <c r="L34" s="108" t="n"/>
      <c r="M34" s="108" t="n"/>
      <c r="N34" s="107" t="n"/>
      <c r="O34" s="112">
        <f>IF($B34="","",IF(COUNTIFS(UCRETLER!$B$7:$B$406,$B34,UCRETLER!$G$7:$G$406,"Aktif")&gt;0,"EVET","HAYIR"))</f>
        <v/>
      </c>
      <c r="P34" s="112">
        <f>IF($B34="","",IF($C34="","EKSİK",IF(COUNTIF($B$7:$B$106,$B34)&gt;1,"NO TEKRARI",IF(AND($J34&gt;0,$K34=""),"DEVİR TARİHİ EKSİK","UYGUN"))))</f>
        <v/>
      </c>
      <c r="Q34" s="6" t="n"/>
      <c r="R34" s="6" t="n"/>
    </row>
    <row r="35">
      <c r="A35" s="6" t="n"/>
      <c r="B35" s="107" t="n"/>
      <c r="C35" s="108" t="n"/>
      <c r="D35" s="107" t="n"/>
      <c r="E35" s="108" t="n"/>
      <c r="F35" s="108" t="n"/>
      <c r="G35" s="108" t="n"/>
      <c r="H35" s="107" t="n"/>
      <c r="I35" s="109" t="n"/>
      <c r="J35" s="110" t="n"/>
      <c r="K35" s="111" t="n"/>
      <c r="L35" s="108" t="n"/>
      <c r="M35" s="108" t="n"/>
      <c r="N35" s="107" t="n"/>
      <c r="O35" s="112">
        <f>IF($B35="","",IF(COUNTIFS(UCRETLER!$B$7:$B$406,$B35,UCRETLER!$G$7:$G$406,"Aktif")&gt;0,"EVET","HAYIR"))</f>
        <v/>
      </c>
      <c r="P35" s="112">
        <f>IF($B35="","",IF($C35="","EKSİK",IF(COUNTIF($B$7:$B$106,$B35)&gt;1,"NO TEKRARI",IF(AND($J35&gt;0,$K35=""),"DEVİR TARİHİ EKSİK","UYGUN"))))</f>
        <v/>
      </c>
      <c r="Q35" s="6" t="n"/>
      <c r="R35" s="6" t="n"/>
    </row>
    <row r="36">
      <c r="A36" s="6" t="n"/>
      <c r="B36" s="107" t="n"/>
      <c r="C36" s="108" t="n"/>
      <c r="D36" s="107" t="n"/>
      <c r="E36" s="108" t="n"/>
      <c r="F36" s="108" t="n"/>
      <c r="G36" s="108" t="n"/>
      <c r="H36" s="107" t="n"/>
      <c r="I36" s="109" t="n"/>
      <c r="J36" s="110" t="n"/>
      <c r="K36" s="111" t="n"/>
      <c r="L36" s="108" t="n"/>
      <c r="M36" s="108" t="n"/>
      <c r="N36" s="107" t="n"/>
      <c r="O36" s="112">
        <f>IF($B36="","",IF(COUNTIFS(UCRETLER!$B$7:$B$406,$B36,UCRETLER!$G$7:$G$406,"Aktif")&gt;0,"EVET","HAYIR"))</f>
        <v/>
      </c>
      <c r="P36" s="112">
        <f>IF($B36="","",IF($C36="","EKSİK",IF(COUNTIF($B$7:$B$106,$B36)&gt;1,"NO TEKRARI",IF(AND($J36&gt;0,$K36=""),"DEVİR TARİHİ EKSİK","UYGUN"))))</f>
        <v/>
      </c>
      <c r="Q36" s="6" t="n"/>
      <c r="R36" s="6" t="n"/>
    </row>
    <row r="37">
      <c r="A37" s="6" t="n"/>
      <c r="B37" s="107" t="n"/>
      <c r="C37" s="108" t="n"/>
      <c r="D37" s="107" t="n"/>
      <c r="E37" s="108" t="n"/>
      <c r="F37" s="108" t="n"/>
      <c r="G37" s="108" t="n"/>
      <c r="H37" s="107" t="n"/>
      <c r="I37" s="109" t="n"/>
      <c r="J37" s="110" t="n"/>
      <c r="K37" s="111" t="n"/>
      <c r="L37" s="108" t="n"/>
      <c r="M37" s="108" t="n"/>
      <c r="N37" s="107" t="n"/>
      <c r="O37" s="112">
        <f>IF($B37="","",IF(COUNTIFS(UCRETLER!$B$7:$B$406,$B37,UCRETLER!$G$7:$G$406,"Aktif")&gt;0,"EVET","HAYIR"))</f>
        <v/>
      </c>
      <c r="P37" s="112">
        <f>IF($B37="","",IF($C37="","EKSİK",IF(COUNTIF($B$7:$B$106,$B37)&gt;1,"NO TEKRARI",IF(AND($J37&gt;0,$K37=""),"DEVİR TARİHİ EKSİK","UYGUN"))))</f>
        <v/>
      </c>
      <c r="Q37" s="6" t="n"/>
      <c r="R37" s="6" t="n"/>
    </row>
    <row r="38">
      <c r="A38" s="6" t="n"/>
      <c r="B38" s="107" t="n"/>
      <c r="C38" s="108" t="n"/>
      <c r="D38" s="107" t="n"/>
      <c r="E38" s="108" t="n"/>
      <c r="F38" s="108" t="n"/>
      <c r="G38" s="108" t="n"/>
      <c r="H38" s="107" t="n"/>
      <c r="I38" s="109" t="n"/>
      <c r="J38" s="110" t="n"/>
      <c r="K38" s="111" t="n"/>
      <c r="L38" s="108" t="n"/>
      <c r="M38" s="108" t="n"/>
      <c r="N38" s="107" t="n"/>
      <c r="O38" s="112">
        <f>IF($B38="","",IF(COUNTIFS(UCRETLER!$B$7:$B$406,$B38,UCRETLER!$G$7:$G$406,"Aktif")&gt;0,"EVET","HAYIR"))</f>
        <v/>
      </c>
      <c r="P38" s="112">
        <f>IF($B38="","",IF($C38="","EKSİK",IF(COUNTIF($B$7:$B$106,$B38)&gt;1,"NO TEKRARI",IF(AND($J38&gt;0,$K38=""),"DEVİR TARİHİ EKSİK","UYGUN"))))</f>
        <v/>
      </c>
      <c r="Q38" s="6" t="n"/>
      <c r="R38" s="6" t="n"/>
    </row>
    <row r="39">
      <c r="A39" s="6" t="n"/>
      <c r="B39" s="107" t="n"/>
      <c r="C39" s="108" t="n"/>
      <c r="D39" s="107" t="n"/>
      <c r="E39" s="108" t="n"/>
      <c r="F39" s="108" t="n"/>
      <c r="G39" s="108" t="n"/>
      <c r="H39" s="107" t="n"/>
      <c r="I39" s="109" t="n"/>
      <c r="J39" s="110" t="n"/>
      <c r="K39" s="111" t="n"/>
      <c r="L39" s="108" t="n"/>
      <c r="M39" s="108" t="n"/>
      <c r="N39" s="107" t="n"/>
      <c r="O39" s="112">
        <f>IF($B39="","",IF(COUNTIFS(UCRETLER!$B$7:$B$406,$B39,UCRETLER!$G$7:$G$406,"Aktif")&gt;0,"EVET","HAYIR"))</f>
        <v/>
      </c>
      <c r="P39" s="112">
        <f>IF($B39="","",IF($C39="","EKSİK",IF(COUNTIF($B$7:$B$106,$B39)&gt;1,"NO TEKRARI",IF(AND($J39&gt;0,$K39=""),"DEVİR TARİHİ EKSİK","UYGUN"))))</f>
        <v/>
      </c>
      <c r="Q39" s="6" t="n"/>
      <c r="R39" s="6" t="n"/>
    </row>
    <row r="40">
      <c r="A40" s="6" t="n"/>
      <c r="B40" s="107" t="n"/>
      <c r="C40" s="108" t="n"/>
      <c r="D40" s="107" t="n"/>
      <c r="E40" s="108" t="n"/>
      <c r="F40" s="108" t="n"/>
      <c r="G40" s="108" t="n"/>
      <c r="H40" s="107" t="n"/>
      <c r="I40" s="109" t="n"/>
      <c r="J40" s="110" t="n"/>
      <c r="K40" s="111" t="n"/>
      <c r="L40" s="108" t="n"/>
      <c r="M40" s="108" t="n"/>
      <c r="N40" s="107" t="n"/>
      <c r="O40" s="112">
        <f>IF($B40="","",IF(COUNTIFS(UCRETLER!$B$7:$B$406,$B40,UCRETLER!$G$7:$G$406,"Aktif")&gt;0,"EVET","HAYIR"))</f>
        <v/>
      </c>
      <c r="P40" s="112">
        <f>IF($B40="","",IF($C40="","EKSİK",IF(COUNTIF($B$7:$B$106,$B40)&gt;1,"NO TEKRARI",IF(AND($J40&gt;0,$K40=""),"DEVİR TARİHİ EKSİK","UYGUN"))))</f>
        <v/>
      </c>
      <c r="Q40" s="6" t="n"/>
      <c r="R40" s="6" t="n"/>
    </row>
    <row r="41">
      <c r="A41" s="6" t="n"/>
      <c r="B41" s="107" t="n"/>
      <c r="C41" s="108" t="n"/>
      <c r="D41" s="107" t="n"/>
      <c r="E41" s="108" t="n"/>
      <c r="F41" s="108" t="n"/>
      <c r="G41" s="108" t="n"/>
      <c r="H41" s="107" t="n"/>
      <c r="I41" s="109" t="n"/>
      <c r="J41" s="110" t="n"/>
      <c r="K41" s="111" t="n"/>
      <c r="L41" s="108" t="n"/>
      <c r="M41" s="108" t="n"/>
      <c r="N41" s="107" t="n"/>
      <c r="O41" s="112">
        <f>IF($B41="","",IF(COUNTIFS(UCRETLER!$B$7:$B$406,$B41,UCRETLER!$G$7:$G$406,"Aktif")&gt;0,"EVET","HAYIR"))</f>
        <v/>
      </c>
      <c r="P41" s="112">
        <f>IF($B41="","",IF($C41="","EKSİK",IF(COUNTIF($B$7:$B$106,$B41)&gt;1,"NO TEKRARI",IF(AND($J41&gt;0,$K41=""),"DEVİR TARİHİ EKSİK","UYGUN"))))</f>
        <v/>
      </c>
      <c r="Q41" s="6" t="n"/>
      <c r="R41" s="6" t="n"/>
    </row>
    <row r="42">
      <c r="A42" s="6" t="n"/>
      <c r="B42" s="107" t="n"/>
      <c r="C42" s="108" t="n"/>
      <c r="D42" s="107" t="n"/>
      <c r="E42" s="108" t="n"/>
      <c r="F42" s="108" t="n"/>
      <c r="G42" s="108" t="n"/>
      <c r="H42" s="107" t="n"/>
      <c r="I42" s="109" t="n"/>
      <c r="J42" s="110" t="n"/>
      <c r="K42" s="111" t="n"/>
      <c r="L42" s="108" t="n"/>
      <c r="M42" s="108" t="n"/>
      <c r="N42" s="107" t="n"/>
      <c r="O42" s="112">
        <f>IF($B42="","",IF(COUNTIFS(UCRETLER!$B$7:$B$406,$B42,UCRETLER!$G$7:$G$406,"Aktif")&gt;0,"EVET","HAYIR"))</f>
        <v/>
      </c>
      <c r="P42" s="112">
        <f>IF($B42="","",IF($C42="","EKSİK",IF(COUNTIF($B$7:$B$106,$B42)&gt;1,"NO TEKRARI",IF(AND($J42&gt;0,$K42=""),"DEVİR TARİHİ EKSİK","UYGUN"))))</f>
        <v/>
      </c>
      <c r="Q42" s="6" t="n"/>
      <c r="R42" s="6" t="n"/>
    </row>
    <row r="43">
      <c r="A43" s="6" t="n"/>
      <c r="B43" s="107" t="n"/>
      <c r="C43" s="108" t="n"/>
      <c r="D43" s="107" t="n"/>
      <c r="E43" s="108" t="n"/>
      <c r="F43" s="108" t="n"/>
      <c r="G43" s="108" t="n"/>
      <c r="H43" s="107" t="n"/>
      <c r="I43" s="109" t="n"/>
      <c r="J43" s="110" t="n"/>
      <c r="K43" s="111" t="n"/>
      <c r="L43" s="108" t="n"/>
      <c r="M43" s="108" t="n"/>
      <c r="N43" s="107" t="n"/>
      <c r="O43" s="112">
        <f>IF($B43="","",IF(COUNTIFS(UCRETLER!$B$7:$B$406,$B43,UCRETLER!$G$7:$G$406,"Aktif")&gt;0,"EVET","HAYIR"))</f>
        <v/>
      </c>
      <c r="P43" s="112">
        <f>IF($B43="","",IF($C43="","EKSİK",IF(COUNTIF($B$7:$B$106,$B43)&gt;1,"NO TEKRARI",IF(AND($J43&gt;0,$K43=""),"DEVİR TARİHİ EKSİK","UYGUN"))))</f>
        <v/>
      </c>
      <c r="Q43" s="6" t="n"/>
      <c r="R43" s="6" t="n"/>
    </row>
    <row r="44">
      <c r="A44" s="6" t="n"/>
      <c r="B44" s="107" t="n"/>
      <c r="C44" s="108" t="n"/>
      <c r="D44" s="107" t="n"/>
      <c r="E44" s="108" t="n"/>
      <c r="F44" s="108" t="n"/>
      <c r="G44" s="108" t="n"/>
      <c r="H44" s="107" t="n"/>
      <c r="I44" s="109" t="n"/>
      <c r="J44" s="110" t="n"/>
      <c r="K44" s="111" t="n"/>
      <c r="L44" s="108" t="n"/>
      <c r="M44" s="108" t="n"/>
      <c r="N44" s="107" t="n"/>
      <c r="O44" s="112">
        <f>IF($B44="","",IF(COUNTIFS(UCRETLER!$B$7:$B$406,$B44,UCRETLER!$G$7:$G$406,"Aktif")&gt;0,"EVET","HAYIR"))</f>
        <v/>
      </c>
      <c r="P44" s="112">
        <f>IF($B44="","",IF($C44="","EKSİK",IF(COUNTIF($B$7:$B$106,$B44)&gt;1,"NO TEKRARI",IF(AND($J44&gt;0,$K44=""),"DEVİR TARİHİ EKSİK","UYGUN"))))</f>
        <v/>
      </c>
      <c r="Q44" s="6" t="n"/>
      <c r="R44" s="6" t="n"/>
    </row>
    <row r="45">
      <c r="A45" s="6" t="n"/>
      <c r="B45" s="107" t="n"/>
      <c r="C45" s="108" t="n"/>
      <c r="D45" s="107" t="n"/>
      <c r="E45" s="108" t="n"/>
      <c r="F45" s="108" t="n"/>
      <c r="G45" s="108" t="n"/>
      <c r="H45" s="107" t="n"/>
      <c r="I45" s="109" t="n"/>
      <c r="J45" s="110" t="n"/>
      <c r="K45" s="111" t="n"/>
      <c r="L45" s="108" t="n"/>
      <c r="M45" s="108" t="n"/>
      <c r="N45" s="107" t="n"/>
      <c r="O45" s="112">
        <f>IF($B45="","",IF(COUNTIFS(UCRETLER!$B$7:$B$406,$B45,UCRETLER!$G$7:$G$406,"Aktif")&gt;0,"EVET","HAYIR"))</f>
        <v/>
      </c>
      <c r="P45" s="112">
        <f>IF($B45="","",IF($C45="","EKSİK",IF(COUNTIF($B$7:$B$106,$B45)&gt;1,"NO TEKRARI",IF(AND($J45&gt;0,$K45=""),"DEVİR TARİHİ EKSİK","UYGUN"))))</f>
        <v/>
      </c>
      <c r="Q45" s="6" t="n"/>
      <c r="R45" s="6" t="n"/>
    </row>
    <row r="46">
      <c r="A46" s="6" t="n"/>
      <c r="B46" s="107" t="n"/>
      <c r="C46" s="108" t="n"/>
      <c r="D46" s="107" t="n"/>
      <c r="E46" s="108" t="n"/>
      <c r="F46" s="108" t="n"/>
      <c r="G46" s="108" t="n"/>
      <c r="H46" s="107" t="n"/>
      <c r="I46" s="109" t="n"/>
      <c r="J46" s="110" t="n"/>
      <c r="K46" s="111" t="n"/>
      <c r="L46" s="108" t="n"/>
      <c r="M46" s="108" t="n"/>
      <c r="N46" s="107" t="n"/>
      <c r="O46" s="112">
        <f>IF($B46="","",IF(COUNTIFS(UCRETLER!$B$7:$B$406,$B46,UCRETLER!$G$7:$G$406,"Aktif")&gt;0,"EVET","HAYIR"))</f>
        <v/>
      </c>
      <c r="P46" s="112">
        <f>IF($B46="","",IF($C46="","EKSİK",IF(COUNTIF($B$7:$B$106,$B46)&gt;1,"NO TEKRARI",IF(AND($J46&gt;0,$K46=""),"DEVİR TARİHİ EKSİK","UYGUN"))))</f>
        <v/>
      </c>
      <c r="Q46" s="6" t="n"/>
      <c r="R46" s="6" t="n"/>
    </row>
    <row r="47">
      <c r="A47" s="6" t="n"/>
      <c r="B47" s="107" t="n"/>
      <c r="C47" s="108" t="n"/>
      <c r="D47" s="107" t="n"/>
      <c r="E47" s="108" t="n"/>
      <c r="F47" s="108" t="n"/>
      <c r="G47" s="108" t="n"/>
      <c r="H47" s="107" t="n"/>
      <c r="I47" s="109" t="n"/>
      <c r="J47" s="110" t="n"/>
      <c r="K47" s="111" t="n"/>
      <c r="L47" s="108" t="n"/>
      <c r="M47" s="108" t="n"/>
      <c r="N47" s="107" t="n"/>
      <c r="O47" s="112">
        <f>IF($B47="","",IF(COUNTIFS(UCRETLER!$B$7:$B$406,$B47,UCRETLER!$G$7:$G$406,"Aktif")&gt;0,"EVET","HAYIR"))</f>
        <v/>
      </c>
      <c r="P47" s="112">
        <f>IF($B47="","",IF($C47="","EKSİK",IF(COUNTIF($B$7:$B$106,$B47)&gt;1,"NO TEKRARI",IF(AND($J47&gt;0,$K47=""),"DEVİR TARİHİ EKSİK","UYGUN"))))</f>
        <v/>
      </c>
      <c r="Q47" s="6" t="n"/>
      <c r="R47" s="6" t="n"/>
    </row>
    <row r="48">
      <c r="A48" s="6" t="n"/>
      <c r="B48" s="107" t="n"/>
      <c r="C48" s="108" t="n"/>
      <c r="D48" s="107" t="n"/>
      <c r="E48" s="108" t="n"/>
      <c r="F48" s="108" t="n"/>
      <c r="G48" s="108" t="n"/>
      <c r="H48" s="107" t="n"/>
      <c r="I48" s="109" t="n"/>
      <c r="J48" s="110" t="n"/>
      <c r="K48" s="111" t="n"/>
      <c r="L48" s="108" t="n"/>
      <c r="M48" s="108" t="n"/>
      <c r="N48" s="107" t="n"/>
      <c r="O48" s="112">
        <f>IF($B48="","",IF(COUNTIFS(UCRETLER!$B$7:$B$406,$B48,UCRETLER!$G$7:$G$406,"Aktif")&gt;0,"EVET","HAYIR"))</f>
        <v/>
      </c>
      <c r="P48" s="112">
        <f>IF($B48="","",IF($C48="","EKSİK",IF(COUNTIF($B$7:$B$106,$B48)&gt;1,"NO TEKRARI",IF(AND($J48&gt;0,$K48=""),"DEVİR TARİHİ EKSİK","UYGUN"))))</f>
        <v/>
      </c>
      <c r="Q48" s="6" t="n"/>
      <c r="R48" s="6" t="n"/>
    </row>
    <row r="49">
      <c r="A49" s="6" t="n"/>
      <c r="B49" s="107" t="n"/>
      <c r="C49" s="108" t="n"/>
      <c r="D49" s="107" t="n"/>
      <c r="E49" s="108" t="n"/>
      <c r="F49" s="108" t="n"/>
      <c r="G49" s="108" t="n"/>
      <c r="H49" s="107" t="n"/>
      <c r="I49" s="109" t="n"/>
      <c r="J49" s="110" t="n"/>
      <c r="K49" s="111" t="n"/>
      <c r="L49" s="108" t="n"/>
      <c r="M49" s="108" t="n"/>
      <c r="N49" s="107" t="n"/>
      <c r="O49" s="112">
        <f>IF($B49="","",IF(COUNTIFS(UCRETLER!$B$7:$B$406,$B49,UCRETLER!$G$7:$G$406,"Aktif")&gt;0,"EVET","HAYIR"))</f>
        <v/>
      </c>
      <c r="P49" s="112">
        <f>IF($B49="","",IF($C49="","EKSİK",IF(COUNTIF($B$7:$B$106,$B49)&gt;1,"NO TEKRARI",IF(AND($J49&gt;0,$K49=""),"DEVİR TARİHİ EKSİK","UYGUN"))))</f>
        <v/>
      </c>
      <c r="Q49" s="6" t="n"/>
      <c r="R49" s="6" t="n"/>
    </row>
    <row r="50">
      <c r="A50" s="6" t="n"/>
      <c r="B50" s="107" t="n"/>
      <c r="C50" s="108" t="n"/>
      <c r="D50" s="107" t="n"/>
      <c r="E50" s="108" t="n"/>
      <c r="F50" s="108" t="n"/>
      <c r="G50" s="108" t="n"/>
      <c r="H50" s="107" t="n"/>
      <c r="I50" s="109" t="n"/>
      <c r="J50" s="110" t="n"/>
      <c r="K50" s="111" t="n"/>
      <c r="L50" s="108" t="n"/>
      <c r="M50" s="108" t="n"/>
      <c r="N50" s="107" t="n"/>
      <c r="O50" s="112">
        <f>IF($B50="","",IF(COUNTIFS(UCRETLER!$B$7:$B$406,$B50,UCRETLER!$G$7:$G$406,"Aktif")&gt;0,"EVET","HAYIR"))</f>
        <v/>
      </c>
      <c r="P50" s="112">
        <f>IF($B50="","",IF($C50="","EKSİK",IF(COUNTIF($B$7:$B$106,$B50)&gt;1,"NO TEKRARI",IF(AND($J50&gt;0,$K50=""),"DEVİR TARİHİ EKSİK","UYGUN"))))</f>
        <v/>
      </c>
      <c r="Q50" s="6" t="n"/>
      <c r="R50" s="6" t="n"/>
    </row>
    <row r="51">
      <c r="A51" s="6" t="n"/>
      <c r="B51" s="107" t="n"/>
      <c r="C51" s="108" t="n"/>
      <c r="D51" s="107" t="n"/>
      <c r="E51" s="108" t="n"/>
      <c r="F51" s="108" t="n"/>
      <c r="G51" s="108" t="n"/>
      <c r="H51" s="107" t="n"/>
      <c r="I51" s="109" t="n"/>
      <c r="J51" s="110" t="n"/>
      <c r="K51" s="111" t="n"/>
      <c r="L51" s="108" t="n"/>
      <c r="M51" s="108" t="n"/>
      <c r="N51" s="107" t="n"/>
      <c r="O51" s="112">
        <f>IF($B51="","",IF(COUNTIFS(UCRETLER!$B$7:$B$406,$B51,UCRETLER!$G$7:$G$406,"Aktif")&gt;0,"EVET","HAYIR"))</f>
        <v/>
      </c>
      <c r="P51" s="112">
        <f>IF($B51="","",IF($C51="","EKSİK",IF(COUNTIF($B$7:$B$106,$B51)&gt;1,"NO TEKRARI",IF(AND($J51&gt;0,$K51=""),"DEVİR TARİHİ EKSİK","UYGUN"))))</f>
        <v/>
      </c>
      <c r="Q51" s="6" t="n"/>
      <c r="R51" s="6" t="n"/>
    </row>
    <row r="52">
      <c r="A52" s="6" t="n"/>
      <c r="B52" s="107" t="n"/>
      <c r="C52" s="108" t="n"/>
      <c r="D52" s="107" t="n"/>
      <c r="E52" s="108" t="n"/>
      <c r="F52" s="108" t="n"/>
      <c r="G52" s="108" t="n"/>
      <c r="H52" s="107" t="n"/>
      <c r="I52" s="109" t="n"/>
      <c r="J52" s="110" t="n"/>
      <c r="K52" s="111" t="n"/>
      <c r="L52" s="108" t="n"/>
      <c r="M52" s="108" t="n"/>
      <c r="N52" s="107" t="n"/>
      <c r="O52" s="112">
        <f>IF($B52="","",IF(COUNTIFS(UCRETLER!$B$7:$B$406,$B52,UCRETLER!$G$7:$G$406,"Aktif")&gt;0,"EVET","HAYIR"))</f>
        <v/>
      </c>
      <c r="P52" s="112">
        <f>IF($B52="","",IF($C52="","EKSİK",IF(COUNTIF($B$7:$B$106,$B52)&gt;1,"NO TEKRARI",IF(AND($J52&gt;0,$K52=""),"DEVİR TARİHİ EKSİK","UYGUN"))))</f>
        <v/>
      </c>
      <c r="Q52" s="6" t="n"/>
      <c r="R52" s="6" t="n"/>
    </row>
    <row r="53">
      <c r="A53" s="6" t="n"/>
      <c r="B53" s="107" t="n"/>
      <c r="C53" s="108" t="n"/>
      <c r="D53" s="107" t="n"/>
      <c r="E53" s="108" t="n"/>
      <c r="F53" s="108" t="n"/>
      <c r="G53" s="108" t="n"/>
      <c r="H53" s="107" t="n"/>
      <c r="I53" s="109" t="n"/>
      <c r="J53" s="110" t="n"/>
      <c r="K53" s="111" t="n"/>
      <c r="L53" s="108" t="n"/>
      <c r="M53" s="108" t="n"/>
      <c r="N53" s="107" t="n"/>
      <c r="O53" s="112">
        <f>IF($B53="","",IF(COUNTIFS(UCRETLER!$B$7:$B$406,$B53,UCRETLER!$G$7:$G$406,"Aktif")&gt;0,"EVET","HAYIR"))</f>
        <v/>
      </c>
      <c r="P53" s="112">
        <f>IF($B53="","",IF($C53="","EKSİK",IF(COUNTIF($B$7:$B$106,$B53)&gt;1,"NO TEKRARI",IF(AND($J53&gt;0,$K53=""),"DEVİR TARİHİ EKSİK","UYGUN"))))</f>
        <v/>
      </c>
      <c r="Q53" s="6" t="n"/>
      <c r="R53" s="6" t="n"/>
    </row>
    <row r="54">
      <c r="A54" s="6" t="n"/>
      <c r="B54" s="107" t="n"/>
      <c r="C54" s="108" t="n"/>
      <c r="D54" s="107" t="n"/>
      <c r="E54" s="108" t="n"/>
      <c r="F54" s="108" t="n"/>
      <c r="G54" s="108" t="n"/>
      <c r="H54" s="107" t="n"/>
      <c r="I54" s="109" t="n"/>
      <c r="J54" s="110" t="n"/>
      <c r="K54" s="111" t="n"/>
      <c r="L54" s="108" t="n"/>
      <c r="M54" s="108" t="n"/>
      <c r="N54" s="107" t="n"/>
      <c r="O54" s="112">
        <f>IF($B54="","",IF(COUNTIFS(UCRETLER!$B$7:$B$406,$B54,UCRETLER!$G$7:$G$406,"Aktif")&gt;0,"EVET","HAYIR"))</f>
        <v/>
      </c>
      <c r="P54" s="112">
        <f>IF($B54="","",IF($C54="","EKSİK",IF(COUNTIF($B$7:$B$106,$B54)&gt;1,"NO TEKRARI",IF(AND($J54&gt;0,$K54=""),"DEVİR TARİHİ EKSİK","UYGUN"))))</f>
        <v/>
      </c>
      <c r="Q54" s="6" t="n"/>
      <c r="R54" s="6" t="n"/>
    </row>
    <row r="55">
      <c r="A55" s="6" t="n"/>
      <c r="B55" s="107" t="n"/>
      <c r="C55" s="108" t="n"/>
      <c r="D55" s="107" t="n"/>
      <c r="E55" s="108" t="n"/>
      <c r="F55" s="108" t="n"/>
      <c r="G55" s="108" t="n"/>
      <c r="H55" s="107" t="n"/>
      <c r="I55" s="109" t="n"/>
      <c r="J55" s="110" t="n"/>
      <c r="K55" s="111" t="n"/>
      <c r="L55" s="108" t="n"/>
      <c r="M55" s="108" t="n"/>
      <c r="N55" s="107" t="n"/>
      <c r="O55" s="112">
        <f>IF($B55="","",IF(COUNTIFS(UCRETLER!$B$7:$B$406,$B55,UCRETLER!$G$7:$G$406,"Aktif")&gt;0,"EVET","HAYIR"))</f>
        <v/>
      </c>
      <c r="P55" s="112">
        <f>IF($B55="","",IF($C55="","EKSİK",IF(COUNTIF($B$7:$B$106,$B55)&gt;1,"NO TEKRARI",IF(AND($J55&gt;0,$K55=""),"DEVİR TARİHİ EKSİK","UYGUN"))))</f>
        <v/>
      </c>
      <c r="Q55" s="6" t="n"/>
      <c r="R55" s="6" t="n"/>
    </row>
    <row r="56">
      <c r="A56" s="6" t="n"/>
      <c r="B56" s="107" t="n"/>
      <c r="C56" s="108" t="n"/>
      <c r="D56" s="107" t="n"/>
      <c r="E56" s="108" t="n"/>
      <c r="F56" s="108" t="n"/>
      <c r="G56" s="108" t="n"/>
      <c r="H56" s="107" t="n"/>
      <c r="I56" s="109" t="n"/>
      <c r="J56" s="110" t="n"/>
      <c r="K56" s="111" t="n"/>
      <c r="L56" s="108" t="n"/>
      <c r="M56" s="108" t="n"/>
      <c r="N56" s="107" t="n"/>
      <c r="O56" s="112">
        <f>IF($B56="","",IF(COUNTIFS(UCRETLER!$B$7:$B$406,$B56,UCRETLER!$G$7:$G$406,"Aktif")&gt;0,"EVET","HAYIR"))</f>
        <v/>
      </c>
      <c r="P56" s="112">
        <f>IF($B56="","",IF($C56="","EKSİK",IF(COUNTIF($B$7:$B$106,$B56)&gt;1,"NO TEKRARI",IF(AND($J56&gt;0,$K56=""),"DEVİR TARİHİ EKSİK","UYGUN"))))</f>
        <v/>
      </c>
      <c r="Q56" s="6" t="n"/>
      <c r="R56" s="6" t="n"/>
    </row>
    <row r="57">
      <c r="A57" s="6" t="n"/>
      <c r="B57" s="107" t="n"/>
      <c r="C57" s="108" t="n"/>
      <c r="D57" s="107" t="n"/>
      <c r="E57" s="108" t="n"/>
      <c r="F57" s="108" t="n"/>
      <c r="G57" s="108" t="n"/>
      <c r="H57" s="107" t="n"/>
      <c r="I57" s="109" t="n"/>
      <c r="J57" s="110" t="n"/>
      <c r="K57" s="111" t="n"/>
      <c r="L57" s="108" t="n"/>
      <c r="M57" s="108" t="n"/>
      <c r="N57" s="107" t="n"/>
      <c r="O57" s="112">
        <f>IF($B57="","",IF(COUNTIFS(UCRETLER!$B$7:$B$406,$B57,UCRETLER!$G$7:$G$406,"Aktif")&gt;0,"EVET","HAYIR"))</f>
        <v/>
      </c>
      <c r="P57" s="112">
        <f>IF($B57="","",IF($C57="","EKSİK",IF(COUNTIF($B$7:$B$106,$B57)&gt;1,"NO TEKRARI",IF(AND($J57&gt;0,$K57=""),"DEVİR TARİHİ EKSİK","UYGUN"))))</f>
        <v/>
      </c>
      <c r="Q57" s="6" t="n"/>
      <c r="R57" s="6" t="n"/>
    </row>
    <row r="58">
      <c r="A58" s="6" t="n"/>
      <c r="B58" s="107" t="n"/>
      <c r="C58" s="108" t="n"/>
      <c r="D58" s="107" t="n"/>
      <c r="E58" s="108" t="n"/>
      <c r="F58" s="108" t="n"/>
      <c r="G58" s="108" t="n"/>
      <c r="H58" s="107" t="n"/>
      <c r="I58" s="109" t="n"/>
      <c r="J58" s="110" t="n"/>
      <c r="K58" s="111" t="n"/>
      <c r="L58" s="108" t="n"/>
      <c r="M58" s="108" t="n"/>
      <c r="N58" s="107" t="n"/>
      <c r="O58" s="112">
        <f>IF($B58="","",IF(COUNTIFS(UCRETLER!$B$7:$B$406,$B58,UCRETLER!$G$7:$G$406,"Aktif")&gt;0,"EVET","HAYIR"))</f>
        <v/>
      </c>
      <c r="P58" s="112">
        <f>IF($B58="","",IF($C58="","EKSİK",IF(COUNTIF($B$7:$B$106,$B58)&gt;1,"NO TEKRARI",IF(AND($J58&gt;0,$K58=""),"DEVİR TARİHİ EKSİK","UYGUN"))))</f>
        <v/>
      </c>
      <c r="Q58" s="6" t="n"/>
      <c r="R58" s="6" t="n"/>
    </row>
    <row r="59">
      <c r="A59" s="6" t="n"/>
      <c r="B59" s="107" t="n"/>
      <c r="C59" s="108" t="n"/>
      <c r="D59" s="107" t="n"/>
      <c r="E59" s="108" t="n"/>
      <c r="F59" s="108" t="n"/>
      <c r="G59" s="108" t="n"/>
      <c r="H59" s="107" t="n"/>
      <c r="I59" s="109" t="n"/>
      <c r="J59" s="110" t="n"/>
      <c r="K59" s="111" t="n"/>
      <c r="L59" s="108" t="n"/>
      <c r="M59" s="108" t="n"/>
      <c r="N59" s="107" t="n"/>
      <c r="O59" s="112">
        <f>IF($B59="","",IF(COUNTIFS(UCRETLER!$B$7:$B$406,$B59,UCRETLER!$G$7:$G$406,"Aktif")&gt;0,"EVET","HAYIR"))</f>
        <v/>
      </c>
      <c r="P59" s="112">
        <f>IF($B59="","",IF($C59="","EKSİK",IF(COUNTIF($B$7:$B$106,$B59)&gt;1,"NO TEKRARI",IF(AND($J59&gt;0,$K59=""),"DEVİR TARİHİ EKSİK","UYGUN"))))</f>
        <v/>
      </c>
      <c r="Q59" s="6" t="n"/>
      <c r="R59" s="6" t="n"/>
    </row>
    <row r="60">
      <c r="A60" s="6" t="n"/>
      <c r="B60" s="107" t="n"/>
      <c r="C60" s="108" t="n"/>
      <c r="D60" s="107" t="n"/>
      <c r="E60" s="108" t="n"/>
      <c r="F60" s="108" t="n"/>
      <c r="G60" s="108" t="n"/>
      <c r="H60" s="107" t="n"/>
      <c r="I60" s="109" t="n"/>
      <c r="J60" s="110" t="n"/>
      <c r="K60" s="111" t="n"/>
      <c r="L60" s="108" t="n"/>
      <c r="M60" s="108" t="n"/>
      <c r="N60" s="107" t="n"/>
      <c r="O60" s="112">
        <f>IF($B60="","",IF(COUNTIFS(UCRETLER!$B$7:$B$406,$B60,UCRETLER!$G$7:$G$406,"Aktif")&gt;0,"EVET","HAYIR"))</f>
        <v/>
      </c>
      <c r="P60" s="112">
        <f>IF($B60="","",IF($C60="","EKSİK",IF(COUNTIF($B$7:$B$106,$B60)&gt;1,"NO TEKRARI",IF(AND($J60&gt;0,$K60=""),"DEVİR TARİHİ EKSİK","UYGUN"))))</f>
        <v/>
      </c>
      <c r="Q60" s="6" t="n"/>
      <c r="R60" s="6" t="n"/>
    </row>
    <row r="61">
      <c r="A61" s="6" t="n"/>
      <c r="B61" s="107" t="n"/>
      <c r="C61" s="108" t="n"/>
      <c r="D61" s="107" t="n"/>
      <c r="E61" s="108" t="n"/>
      <c r="F61" s="108" t="n"/>
      <c r="G61" s="108" t="n"/>
      <c r="H61" s="107" t="n"/>
      <c r="I61" s="109" t="n"/>
      <c r="J61" s="110" t="n"/>
      <c r="K61" s="111" t="n"/>
      <c r="L61" s="108" t="n"/>
      <c r="M61" s="108" t="n"/>
      <c r="N61" s="107" t="n"/>
      <c r="O61" s="112">
        <f>IF($B61="","",IF(COUNTIFS(UCRETLER!$B$7:$B$406,$B61,UCRETLER!$G$7:$G$406,"Aktif")&gt;0,"EVET","HAYIR"))</f>
        <v/>
      </c>
      <c r="P61" s="112">
        <f>IF($B61="","",IF($C61="","EKSİK",IF(COUNTIF($B$7:$B$106,$B61)&gt;1,"NO TEKRARI",IF(AND($J61&gt;0,$K61=""),"DEVİR TARİHİ EKSİK","UYGUN"))))</f>
        <v/>
      </c>
      <c r="Q61" s="6" t="n"/>
      <c r="R61" s="6" t="n"/>
    </row>
    <row r="62">
      <c r="A62" s="6" t="n"/>
      <c r="B62" s="107" t="n"/>
      <c r="C62" s="108" t="n"/>
      <c r="D62" s="107" t="n"/>
      <c r="E62" s="108" t="n"/>
      <c r="F62" s="108" t="n"/>
      <c r="G62" s="108" t="n"/>
      <c r="H62" s="107" t="n"/>
      <c r="I62" s="109" t="n"/>
      <c r="J62" s="110" t="n"/>
      <c r="K62" s="111" t="n"/>
      <c r="L62" s="108" t="n"/>
      <c r="M62" s="108" t="n"/>
      <c r="N62" s="107" t="n"/>
      <c r="O62" s="112">
        <f>IF($B62="","",IF(COUNTIFS(UCRETLER!$B$7:$B$406,$B62,UCRETLER!$G$7:$G$406,"Aktif")&gt;0,"EVET","HAYIR"))</f>
        <v/>
      </c>
      <c r="P62" s="112">
        <f>IF($B62="","",IF($C62="","EKSİK",IF(COUNTIF($B$7:$B$106,$B62)&gt;1,"NO TEKRARI",IF(AND($J62&gt;0,$K62=""),"DEVİR TARİHİ EKSİK","UYGUN"))))</f>
        <v/>
      </c>
      <c r="Q62" s="6" t="n"/>
      <c r="R62" s="6" t="n"/>
    </row>
    <row r="63">
      <c r="A63" s="6" t="n"/>
      <c r="B63" s="107" t="n"/>
      <c r="C63" s="108" t="n"/>
      <c r="D63" s="107" t="n"/>
      <c r="E63" s="108" t="n"/>
      <c r="F63" s="108" t="n"/>
      <c r="G63" s="108" t="n"/>
      <c r="H63" s="107" t="n"/>
      <c r="I63" s="109" t="n"/>
      <c r="J63" s="110" t="n"/>
      <c r="K63" s="111" t="n"/>
      <c r="L63" s="108" t="n"/>
      <c r="M63" s="108" t="n"/>
      <c r="N63" s="107" t="n"/>
      <c r="O63" s="112">
        <f>IF($B63="","",IF(COUNTIFS(UCRETLER!$B$7:$B$406,$B63,UCRETLER!$G$7:$G$406,"Aktif")&gt;0,"EVET","HAYIR"))</f>
        <v/>
      </c>
      <c r="P63" s="112">
        <f>IF($B63="","",IF($C63="","EKSİK",IF(COUNTIF($B$7:$B$106,$B63)&gt;1,"NO TEKRARI",IF(AND($J63&gt;0,$K63=""),"DEVİR TARİHİ EKSİK","UYGUN"))))</f>
        <v/>
      </c>
      <c r="Q63" s="6" t="n"/>
      <c r="R63" s="6" t="n"/>
    </row>
    <row r="64">
      <c r="A64" s="6" t="n"/>
      <c r="B64" s="107" t="n"/>
      <c r="C64" s="108" t="n"/>
      <c r="D64" s="107" t="n"/>
      <c r="E64" s="108" t="n"/>
      <c r="F64" s="108" t="n"/>
      <c r="G64" s="108" t="n"/>
      <c r="H64" s="107" t="n"/>
      <c r="I64" s="109" t="n"/>
      <c r="J64" s="110" t="n"/>
      <c r="K64" s="111" t="n"/>
      <c r="L64" s="108" t="n"/>
      <c r="M64" s="108" t="n"/>
      <c r="N64" s="107" t="n"/>
      <c r="O64" s="112">
        <f>IF($B64="","",IF(COUNTIFS(UCRETLER!$B$7:$B$406,$B64,UCRETLER!$G$7:$G$406,"Aktif")&gt;0,"EVET","HAYIR"))</f>
        <v/>
      </c>
      <c r="P64" s="112">
        <f>IF($B64="","",IF($C64="","EKSİK",IF(COUNTIF($B$7:$B$106,$B64)&gt;1,"NO TEKRARI",IF(AND($J64&gt;0,$K64=""),"DEVİR TARİHİ EKSİK","UYGUN"))))</f>
        <v/>
      </c>
      <c r="Q64" s="6" t="n"/>
      <c r="R64" s="6" t="n"/>
    </row>
    <row r="65">
      <c r="A65" s="6" t="n"/>
      <c r="B65" s="107" t="n"/>
      <c r="C65" s="108" t="n"/>
      <c r="D65" s="107" t="n"/>
      <c r="E65" s="108" t="n"/>
      <c r="F65" s="108" t="n"/>
      <c r="G65" s="108" t="n"/>
      <c r="H65" s="107" t="n"/>
      <c r="I65" s="109" t="n"/>
      <c r="J65" s="110" t="n"/>
      <c r="K65" s="111" t="n"/>
      <c r="L65" s="108" t="n"/>
      <c r="M65" s="108" t="n"/>
      <c r="N65" s="107" t="n"/>
      <c r="O65" s="112">
        <f>IF($B65="","",IF(COUNTIFS(UCRETLER!$B$7:$B$406,$B65,UCRETLER!$G$7:$G$406,"Aktif")&gt;0,"EVET","HAYIR"))</f>
        <v/>
      </c>
      <c r="P65" s="112">
        <f>IF($B65="","",IF($C65="","EKSİK",IF(COUNTIF($B$7:$B$106,$B65)&gt;1,"NO TEKRARI",IF(AND($J65&gt;0,$K65=""),"DEVİR TARİHİ EKSİK","UYGUN"))))</f>
        <v/>
      </c>
      <c r="Q65" s="6" t="n"/>
      <c r="R65" s="6" t="n"/>
    </row>
    <row r="66">
      <c r="A66" s="6" t="n"/>
      <c r="B66" s="107" t="n"/>
      <c r="C66" s="108" t="n"/>
      <c r="D66" s="107" t="n"/>
      <c r="E66" s="108" t="n"/>
      <c r="F66" s="108" t="n"/>
      <c r="G66" s="108" t="n"/>
      <c r="H66" s="107" t="n"/>
      <c r="I66" s="109" t="n"/>
      <c r="J66" s="110" t="n"/>
      <c r="K66" s="111" t="n"/>
      <c r="L66" s="108" t="n"/>
      <c r="M66" s="108" t="n"/>
      <c r="N66" s="107" t="n"/>
      <c r="O66" s="112">
        <f>IF($B66="","",IF(COUNTIFS(UCRETLER!$B$7:$B$406,$B66,UCRETLER!$G$7:$G$406,"Aktif")&gt;0,"EVET","HAYIR"))</f>
        <v/>
      </c>
      <c r="P66" s="112">
        <f>IF($B66="","",IF($C66="","EKSİK",IF(COUNTIF($B$7:$B$106,$B66)&gt;1,"NO TEKRARI",IF(AND($J66&gt;0,$K66=""),"DEVİR TARİHİ EKSİK","UYGUN"))))</f>
        <v/>
      </c>
      <c r="Q66" s="6" t="n"/>
      <c r="R66" s="6" t="n"/>
    </row>
    <row r="67">
      <c r="A67" s="6" t="n"/>
      <c r="B67" s="107" t="n"/>
      <c r="C67" s="108" t="n"/>
      <c r="D67" s="107" t="n"/>
      <c r="E67" s="108" t="n"/>
      <c r="F67" s="108" t="n"/>
      <c r="G67" s="108" t="n"/>
      <c r="H67" s="107" t="n"/>
      <c r="I67" s="109" t="n"/>
      <c r="J67" s="110" t="n"/>
      <c r="K67" s="111" t="n"/>
      <c r="L67" s="108" t="n"/>
      <c r="M67" s="108" t="n"/>
      <c r="N67" s="107" t="n"/>
      <c r="O67" s="112">
        <f>IF($B67="","",IF(COUNTIFS(UCRETLER!$B$7:$B$406,$B67,UCRETLER!$G$7:$G$406,"Aktif")&gt;0,"EVET","HAYIR"))</f>
        <v/>
      </c>
      <c r="P67" s="112">
        <f>IF($B67="","",IF($C67="","EKSİK",IF(COUNTIF($B$7:$B$106,$B67)&gt;1,"NO TEKRARI",IF(AND($J67&gt;0,$K67=""),"DEVİR TARİHİ EKSİK","UYGUN"))))</f>
        <v/>
      </c>
      <c r="Q67" s="6" t="n"/>
      <c r="R67" s="6" t="n"/>
    </row>
    <row r="68">
      <c r="A68" s="6" t="n"/>
      <c r="B68" s="107" t="n"/>
      <c r="C68" s="108" t="n"/>
      <c r="D68" s="107" t="n"/>
      <c r="E68" s="108" t="n"/>
      <c r="F68" s="108" t="n"/>
      <c r="G68" s="108" t="n"/>
      <c r="H68" s="107" t="n"/>
      <c r="I68" s="109" t="n"/>
      <c r="J68" s="110" t="n"/>
      <c r="K68" s="111" t="n"/>
      <c r="L68" s="108" t="n"/>
      <c r="M68" s="108" t="n"/>
      <c r="N68" s="107" t="n"/>
      <c r="O68" s="112">
        <f>IF($B68="","",IF(COUNTIFS(UCRETLER!$B$7:$B$406,$B68,UCRETLER!$G$7:$G$406,"Aktif")&gt;0,"EVET","HAYIR"))</f>
        <v/>
      </c>
      <c r="P68" s="112">
        <f>IF($B68="","",IF($C68="","EKSİK",IF(COUNTIF($B$7:$B$106,$B68)&gt;1,"NO TEKRARI",IF(AND($J68&gt;0,$K68=""),"DEVİR TARİHİ EKSİK","UYGUN"))))</f>
        <v/>
      </c>
      <c r="Q68" s="6" t="n"/>
      <c r="R68" s="6" t="n"/>
    </row>
    <row r="69">
      <c r="A69" s="6" t="n"/>
      <c r="B69" s="107" t="n"/>
      <c r="C69" s="108" t="n"/>
      <c r="D69" s="107" t="n"/>
      <c r="E69" s="108" t="n"/>
      <c r="F69" s="108" t="n"/>
      <c r="G69" s="108" t="n"/>
      <c r="H69" s="107" t="n"/>
      <c r="I69" s="109" t="n"/>
      <c r="J69" s="110" t="n"/>
      <c r="K69" s="111" t="n"/>
      <c r="L69" s="108" t="n"/>
      <c r="M69" s="108" t="n"/>
      <c r="N69" s="107" t="n"/>
      <c r="O69" s="112">
        <f>IF($B69="","",IF(COUNTIFS(UCRETLER!$B$7:$B$406,$B69,UCRETLER!$G$7:$G$406,"Aktif")&gt;0,"EVET","HAYIR"))</f>
        <v/>
      </c>
      <c r="P69" s="112">
        <f>IF($B69="","",IF($C69="","EKSİK",IF(COUNTIF($B$7:$B$106,$B69)&gt;1,"NO TEKRARI",IF(AND($J69&gt;0,$K69=""),"DEVİR TARİHİ EKSİK","UYGUN"))))</f>
        <v/>
      </c>
      <c r="Q69" s="6" t="n"/>
      <c r="R69" s="6" t="n"/>
    </row>
    <row r="70">
      <c r="A70" s="6" t="n"/>
      <c r="B70" s="107" t="n"/>
      <c r="C70" s="108" t="n"/>
      <c r="D70" s="107" t="n"/>
      <c r="E70" s="108" t="n"/>
      <c r="F70" s="108" t="n"/>
      <c r="G70" s="108" t="n"/>
      <c r="H70" s="107" t="n"/>
      <c r="I70" s="109" t="n"/>
      <c r="J70" s="110" t="n"/>
      <c r="K70" s="111" t="n"/>
      <c r="L70" s="108" t="n"/>
      <c r="M70" s="108" t="n"/>
      <c r="N70" s="107" t="n"/>
      <c r="O70" s="112">
        <f>IF($B70="","",IF(COUNTIFS(UCRETLER!$B$7:$B$406,$B70,UCRETLER!$G$7:$G$406,"Aktif")&gt;0,"EVET","HAYIR"))</f>
        <v/>
      </c>
      <c r="P70" s="112">
        <f>IF($B70="","",IF($C70="","EKSİK",IF(COUNTIF($B$7:$B$106,$B70)&gt;1,"NO TEKRARI",IF(AND($J70&gt;0,$K70=""),"DEVİR TARİHİ EKSİK","UYGUN"))))</f>
        <v/>
      </c>
      <c r="Q70" s="6" t="n"/>
      <c r="R70" s="6" t="n"/>
    </row>
    <row r="71">
      <c r="A71" s="6" t="n"/>
      <c r="B71" s="107" t="n"/>
      <c r="C71" s="108" t="n"/>
      <c r="D71" s="107" t="n"/>
      <c r="E71" s="108" t="n"/>
      <c r="F71" s="108" t="n"/>
      <c r="G71" s="108" t="n"/>
      <c r="H71" s="107" t="n"/>
      <c r="I71" s="109" t="n"/>
      <c r="J71" s="110" t="n"/>
      <c r="K71" s="111" t="n"/>
      <c r="L71" s="108" t="n"/>
      <c r="M71" s="108" t="n"/>
      <c r="N71" s="107" t="n"/>
      <c r="O71" s="112">
        <f>IF($B71="","",IF(COUNTIFS(UCRETLER!$B$7:$B$406,$B71,UCRETLER!$G$7:$G$406,"Aktif")&gt;0,"EVET","HAYIR"))</f>
        <v/>
      </c>
      <c r="P71" s="112">
        <f>IF($B71="","",IF($C71="","EKSİK",IF(COUNTIF($B$7:$B$106,$B71)&gt;1,"NO TEKRARI",IF(AND($J71&gt;0,$K71=""),"DEVİR TARİHİ EKSİK","UYGUN"))))</f>
        <v/>
      </c>
      <c r="Q71" s="6" t="n"/>
      <c r="R71" s="6" t="n"/>
    </row>
    <row r="72">
      <c r="A72" s="6" t="n"/>
      <c r="B72" s="107" t="n"/>
      <c r="C72" s="108" t="n"/>
      <c r="D72" s="107" t="n"/>
      <c r="E72" s="108" t="n"/>
      <c r="F72" s="108" t="n"/>
      <c r="G72" s="108" t="n"/>
      <c r="H72" s="107" t="n"/>
      <c r="I72" s="109" t="n"/>
      <c r="J72" s="110" t="n"/>
      <c r="K72" s="111" t="n"/>
      <c r="L72" s="108" t="n"/>
      <c r="M72" s="108" t="n"/>
      <c r="N72" s="107" t="n"/>
      <c r="O72" s="112">
        <f>IF($B72="","",IF(COUNTIFS(UCRETLER!$B$7:$B$406,$B72,UCRETLER!$G$7:$G$406,"Aktif")&gt;0,"EVET","HAYIR"))</f>
        <v/>
      </c>
      <c r="P72" s="112">
        <f>IF($B72="","",IF($C72="","EKSİK",IF(COUNTIF($B$7:$B$106,$B72)&gt;1,"NO TEKRARI",IF(AND($J72&gt;0,$K72=""),"DEVİR TARİHİ EKSİK","UYGUN"))))</f>
        <v/>
      </c>
      <c r="Q72" s="6" t="n"/>
      <c r="R72" s="6" t="n"/>
    </row>
    <row r="73">
      <c r="A73" s="6" t="n"/>
      <c r="B73" s="107" t="n"/>
      <c r="C73" s="108" t="n"/>
      <c r="D73" s="107" t="n"/>
      <c r="E73" s="108" t="n"/>
      <c r="F73" s="108" t="n"/>
      <c r="G73" s="108" t="n"/>
      <c r="H73" s="107" t="n"/>
      <c r="I73" s="109" t="n"/>
      <c r="J73" s="110" t="n"/>
      <c r="K73" s="111" t="n"/>
      <c r="L73" s="108" t="n"/>
      <c r="M73" s="108" t="n"/>
      <c r="N73" s="107" t="n"/>
      <c r="O73" s="112">
        <f>IF($B73="","",IF(COUNTIFS(UCRETLER!$B$7:$B$406,$B73,UCRETLER!$G$7:$G$406,"Aktif")&gt;0,"EVET","HAYIR"))</f>
        <v/>
      </c>
      <c r="P73" s="112">
        <f>IF($B73="","",IF($C73="","EKSİK",IF(COUNTIF($B$7:$B$106,$B73)&gt;1,"NO TEKRARI",IF(AND($J73&gt;0,$K73=""),"DEVİR TARİHİ EKSİK","UYGUN"))))</f>
        <v/>
      </c>
      <c r="Q73" s="6" t="n"/>
      <c r="R73" s="6" t="n"/>
    </row>
    <row r="74">
      <c r="A74" s="6" t="n"/>
      <c r="B74" s="107" t="n"/>
      <c r="C74" s="108" t="n"/>
      <c r="D74" s="107" t="n"/>
      <c r="E74" s="108" t="n"/>
      <c r="F74" s="108" t="n"/>
      <c r="G74" s="108" t="n"/>
      <c r="H74" s="107" t="n"/>
      <c r="I74" s="109" t="n"/>
      <c r="J74" s="110" t="n"/>
      <c r="K74" s="111" t="n"/>
      <c r="L74" s="108" t="n"/>
      <c r="M74" s="108" t="n"/>
      <c r="N74" s="107" t="n"/>
      <c r="O74" s="112">
        <f>IF($B74="","",IF(COUNTIFS(UCRETLER!$B$7:$B$406,$B74,UCRETLER!$G$7:$G$406,"Aktif")&gt;0,"EVET","HAYIR"))</f>
        <v/>
      </c>
      <c r="P74" s="112">
        <f>IF($B74="","",IF($C74="","EKSİK",IF(COUNTIF($B$7:$B$106,$B74)&gt;1,"NO TEKRARI",IF(AND($J74&gt;0,$K74=""),"DEVİR TARİHİ EKSİK","UYGUN"))))</f>
        <v/>
      </c>
      <c r="Q74" s="6" t="n"/>
      <c r="R74" s="6" t="n"/>
    </row>
    <row r="75">
      <c r="A75" s="6" t="n"/>
      <c r="B75" s="107" t="n"/>
      <c r="C75" s="108" t="n"/>
      <c r="D75" s="107" t="n"/>
      <c r="E75" s="108" t="n"/>
      <c r="F75" s="108" t="n"/>
      <c r="G75" s="108" t="n"/>
      <c r="H75" s="107" t="n"/>
      <c r="I75" s="109" t="n"/>
      <c r="J75" s="110" t="n"/>
      <c r="K75" s="111" t="n"/>
      <c r="L75" s="108" t="n"/>
      <c r="M75" s="108" t="n"/>
      <c r="N75" s="107" t="n"/>
      <c r="O75" s="112">
        <f>IF($B75="","",IF(COUNTIFS(UCRETLER!$B$7:$B$406,$B75,UCRETLER!$G$7:$G$406,"Aktif")&gt;0,"EVET","HAYIR"))</f>
        <v/>
      </c>
      <c r="P75" s="112">
        <f>IF($B75="","",IF($C75="","EKSİK",IF(COUNTIF($B$7:$B$106,$B75)&gt;1,"NO TEKRARI",IF(AND($J75&gt;0,$K75=""),"DEVİR TARİHİ EKSİK","UYGUN"))))</f>
        <v/>
      </c>
      <c r="Q75" s="6" t="n"/>
      <c r="R75" s="6" t="n"/>
    </row>
    <row r="76">
      <c r="A76" s="6" t="n"/>
      <c r="B76" s="107" t="n"/>
      <c r="C76" s="108" t="n"/>
      <c r="D76" s="107" t="n"/>
      <c r="E76" s="108" t="n"/>
      <c r="F76" s="108" t="n"/>
      <c r="G76" s="108" t="n"/>
      <c r="H76" s="107" t="n"/>
      <c r="I76" s="109" t="n"/>
      <c r="J76" s="110" t="n"/>
      <c r="K76" s="111" t="n"/>
      <c r="L76" s="108" t="n"/>
      <c r="M76" s="108" t="n"/>
      <c r="N76" s="107" t="n"/>
      <c r="O76" s="112">
        <f>IF($B76="","",IF(COUNTIFS(UCRETLER!$B$7:$B$406,$B76,UCRETLER!$G$7:$G$406,"Aktif")&gt;0,"EVET","HAYIR"))</f>
        <v/>
      </c>
      <c r="P76" s="112">
        <f>IF($B76="","",IF($C76="","EKSİK",IF(COUNTIF($B$7:$B$106,$B76)&gt;1,"NO TEKRARI",IF(AND($J76&gt;0,$K76=""),"DEVİR TARİHİ EKSİK","UYGUN"))))</f>
        <v/>
      </c>
      <c r="Q76" s="6" t="n"/>
      <c r="R76" s="6" t="n"/>
    </row>
    <row r="77">
      <c r="A77" s="6" t="n"/>
      <c r="B77" s="107" t="n"/>
      <c r="C77" s="108" t="n"/>
      <c r="D77" s="107" t="n"/>
      <c r="E77" s="108" t="n"/>
      <c r="F77" s="108" t="n"/>
      <c r="G77" s="108" t="n"/>
      <c r="H77" s="107" t="n"/>
      <c r="I77" s="109" t="n"/>
      <c r="J77" s="110" t="n"/>
      <c r="K77" s="111" t="n"/>
      <c r="L77" s="108" t="n"/>
      <c r="M77" s="108" t="n"/>
      <c r="N77" s="107" t="n"/>
      <c r="O77" s="112">
        <f>IF($B77="","",IF(COUNTIFS(UCRETLER!$B$7:$B$406,$B77,UCRETLER!$G$7:$G$406,"Aktif")&gt;0,"EVET","HAYIR"))</f>
        <v/>
      </c>
      <c r="P77" s="112">
        <f>IF($B77="","",IF($C77="","EKSİK",IF(COUNTIF($B$7:$B$106,$B77)&gt;1,"NO TEKRARI",IF(AND($J77&gt;0,$K77=""),"DEVİR TARİHİ EKSİK","UYGUN"))))</f>
        <v/>
      </c>
      <c r="Q77" s="6" t="n"/>
      <c r="R77" s="6" t="n"/>
    </row>
    <row r="78">
      <c r="A78" s="6" t="n"/>
      <c r="B78" s="107" t="n"/>
      <c r="C78" s="108" t="n"/>
      <c r="D78" s="107" t="n"/>
      <c r="E78" s="108" t="n"/>
      <c r="F78" s="108" t="n"/>
      <c r="G78" s="108" t="n"/>
      <c r="H78" s="107" t="n"/>
      <c r="I78" s="109" t="n"/>
      <c r="J78" s="110" t="n"/>
      <c r="K78" s="111" t="n"/>
      <c r="L78" s="108" t="n"/>
      <c r="M78" s="108" t="n"/>
      <c r="N78" s="107" t="n"/>
      <c r="O78" s="112">
        <f>IF($B78="","",IF(COUNTIFS(UCRETLER!$B$7:$B$406,$B78,UCRETLER!$G$7:$G$406,"Aktif")&gt;0,"EVET","HAYIR"))</f>
        <v/>
      </c>
      <c r="P78" s="112">
        <f>IF($B78="","",IF($C78="","EKSİK",IF(COUNTIF($B$7:$B$106,$B78)&gt;1,"NO TEKRARI",IF(AND($J78&gt;0,$K78=""),"DEVİR TARİHİ EKSİK","UYGUN"))))</f>
        <v/>
      </c>
      <c r="Q78" s="6" t="n"/>
      <c r="R78" s="6" t="n"/>
    </row>
    <row r="79">
      <c r="A79" s="6" t="n"/>
      <c r="B79" s="107" t="n"/>
      <c r="C79" s="108" t="n"/>
      <c r="D79" s="107" t="n"/>
      <c r="E79" s="108" t="n"/>
      <c r="F79" s="108" t="n"/>
      <c r="G79" s="108" t="n"/>
      <c r="H79" s="107" t="n"/>
      <c r="I79" s="109" t="n"/>
      <c r="J79" s="110" t="n"/>
      <c r="K79" s="111" t="n"/>
      <c r="L79" s="108" t="n"/>
      <c r="M79" s="108" t="n"/>
      <c r="N79" s="107" t="n"/>
      <c r="O79" s="112">
        <f>IF($B79="","",IF(COUNTIFS(UCRETLER!$B$7:$B$406,$B79,UCRETLER!$G$7:$G$406,"Aktif")&gt;0,"EVET","HAYIR"))</f>
        <v/>
      </c>
      <c r="P79" s="112">
        <f>IF($B79="","",IF($C79="","EKSİK",IF(COUNTIF($B$7:$B$106,$B79)&gt;1,"NO TEKRARI",IF(AND($J79&gt;0,$K79=""),"DEVİR TARİHİ EKSİK","UYGUN"))))</f>
        <v/>
      </c>
      <c r="Q79" s="6" t="n"/>
      <c r="R79" s="6" t="n"/>
    </row>
    <row r="80">
      <c r="A80" s="6" t="n"/>
      <c r="B80" s="107" t="n"/>
      <c r="C80" s="108" t="n"/>
      <c r="D80" s="107" t="n"/>
      <c r="E80" s="108" t="n"/>
      <c r="F80" s="108" t="n"/>
      <c r="G80" s="108" t="n"/>
      <c r="H80" s="107" t="n"/>
      <c r="I80" s="109" t="n"/>
      <c r="J80" s="110" t="n"/>
      <c r="K80" s="111" t="n"/>
      <c r="L80" s="108" t="n"/>
      <c r="M80" s="108" t="n"/>
      <c r="N80" s="107" t="n"/>
      <c r="O80" s="112">
        <f>IF($B80="","",IF(COUNTIFS(UCRETLER!$B$7:$B$406,$B80,UCRETLER!$G$7:$G$406,"Aktif")&gt;0,"EVET","HAYIR"))</f>
        <v/>
      </c>
      <c r="P80" s="112">
        <f>IF($B80="","",IF($C80="","EKSİK",IF(COUNTIF($B$7:$B$106,$B80)&gt;1,"NO TEKRARI",IF(AND($J80&gt;0,$K80=""),"DEVİR TARİHİ EKSİK","UYGUN"))))</f>
        <v/>
      </c>
      <c r="Q80" s="6" t="n"/>
      <c r="R80" s="6" t="n"/>
    </row>
    <row r="81">
      <c r="A81" s="6" t="n"/>
      <c r="B81" s="107" t="n"/>
      <c r="C81" s="108" t="n"/>
      <c r="D81" s="107" t="n"/>
      <c r="E81" s="108" t="n"/>
      <c r="F81" s="108" t="n"/>
      <c r="G81" s="108" t="n"/>
      <c r="H81" s="107" t="n"/>
      <c r="I81" s="109" t="n"/>
      <c r="J81" s="110" t="n"/>
      <c r="K81" s="111" t="n"/>
      <c r="L81" s="108" t="n"/>
      <c r="M81" s="108" t="n"/>
      <c r="N81" s="107" t="n"/>
      <c r="O81" s="112">
        <f>IF($B81="","",IF(COUNTIFS(UCRETLER!$B$7:$B$406,$B81,UCRETLER!$G$7:$G$406,"Aktif")&gt;0,"EVET","HAYIR"))</f>
        <v/>
      </c>
      <c r="P81" s="112">
        <f>IF($B81="","",IF($C81="","EKSİK",IF(COUNTIF($B$7:$B$106,$B81)&gt;1,"NO TEKRARI",IF(AND($J81&gt;0,$K81=""),"DEVİR TARİHİ EKSİK","UYGUN"))))</f>
        <v/>
      </c>
      <c r="Q81" s="6" t="n"/>
      <c r="R81" s="6" t="n"/>
    </row>
    <row r="82">
      <c r="A82" s="6" t="n"/>
      <c r="B82" s="107" t="n"/>
      <c r="C82" s="108" t="n"/>
      <c r="D82" s="107" t="n"/>
      <c r="E82" s="108" t="n"/>
      <c r="F82" s="108" t="n"/>
      <c r="G82" s="108" t="n"/>
      <c r="H82" s="107" t="n"/>
      <c r="I82" s="109" t="n"/>
      <c r="J82" s="110" t="n"/>
      <c r="K82" s="111" t="n"/>
      <c r="L82" s="108" t="n"/>
      <c r="M82" s="108" t="n"/>
      <c r="N82" s="107" t="n"/>
      <c r="O82" s="112">
        <f>IF($B82="","",IF(COUNTIFS(UCRETLER!$B$7:$B$406,$B82,UCRETLER!$G$7:$G$406,"Aktif")&gt;0,"EVET","HAYIR"))</f>
        <v/>
      </c>
      <c r="P82" s="112">
        <f>IF($B82="","",IF($C82="","EKSİK",IF(COUNTIF($B$7:$B$106,$B82)&gt;1,"NO TEKRARI",IF(AND($J82&gt;0,$K82=""),"DEVİR TARİHİ EKSİK","UYGUN"))))</f>
        <v/>
      </c>
      <c r="Q82" s="6" t="n"/>
      <c r="R82" s="6" t="n"/>
    </row>
    <row r="83">
      <c r="A83" s="6" t="n"/>
      <c r="B83" s="107" t="n"/>
      <c r="C83" s="108" t="n"/>
      <c r="D83" s="107" t="n"/>
      <c r="E83" s="108" t="n"/>
      <c r="F83" s="108" t="n"/>
      <c r="G83" s="108" t="n"/>
      <c r="H83" s="107" t="n"/>
      <c r="I83" s="109" t="n"/>
      <c r="J83" s="110" t="n"/>
      <c r="K83" s="111" t="n"/>
      <c r="L83" s="108" t="n"/>
      <c r="M83" s="108" t="n"/>
      <c r="N83" s="107" t="n"/>
      <c r="O83" s="112">
        <f>IF($B83="","",IF(COUNTIFS(UCRETLER!$B$7:$B$406,$B83,UCRETLER!$G$7:$G$406,"Aktif")&gt;0,"EVET","HAYIR"))</f>
        <v/>
      </c>
      <c r="P83" s="112">
        <f>IF($B83="","",IF($C83="","EKSİK",IF(COUNTIF($B$7:$B$106,$B83)&gt;1,"NO TEKRARI",IF(AND($J83&gt;0,$K83=""),"DEVİR TARİHİ EKSİK","UYGUN"))))</f>
        <v/>
      </c>
      <c r="Q83" s="6" t="n"/>
      <c r="R83" s="6" t="n"/>
    </row>
    <row r="84">
      <c r="A84" s="6" t="n"/>
      <c r="B84" s="107" t="n"/>
      <c r="C84" s="108" t="n"/>
      <c r="D84" s="107" t="n"/>
      <c r="E84" s="108" t="n"/>
      <c r="F84" s="108" t="n"/>
      <c r="G84" s="108" t="n"/>
      <c r="H84" s="107" t="n"/>
      <c r="I84" s="109" t="n"/>
      <c r="J84" s="110" t="n"/>
      <c r="K84" s="111" t="n"/>
      <c r="L84" s="108" t="n"/>
      <c r="M84" s="108" t="n"/>
      <c r="N84" s="107" t="n"/>
      <c r="O84" s="112">
        <f>IF($B84="","",IF(COUNTIFS(UCRETLER!$B$7:$B$406,$B84,UCRETLER!$G$7:$G$406,"Aktif")&gt;0,"EVET","HAYIR"))</f>
        <v/>
      </c>
      <c r="P84" s="112">
        <f>IF($B84="","",IF($C84="","EKSİK",IF(COUNTIF($B$7:$B$106,$B84)&gt;1,"NO TEKRARI",IF(AND($J84&gt;0,$K84=""),"DEVİR TARİHİ EKSİK","UYGUN"))))</f>
        <v/>
      </c>
      <c r="Q84" s="6" t="n"/>
      <c r="R84" s="6" t="n"/>
    </row>
    <row r="85">
      <c r="A85" s="6" t="n"/>
      <c r="B85" s="107" t="n"/>
      <c r="C85" s="108" t="n"/>
      <c r="D85" s="107" t="n"/>
      <c r="E85" s="108" t="n"/>
      <c r="F85" s="108" t="n"/>
      <c r="G85" s="108" t="n"/>
      <c r="H85" s="107" t="n"/>
      <c r="I85" s="109" t="n"/>
      <c r="J85" s="110" t="n"/>
      <c r="K85" s="111" t="n"/>
      <c r="L85" s="108" t="n"/>
      <c r="M85" s="108" t="n"/>
      <c r="N85" s="107" t="n"/>
      <c r="O85" s="112">
        <f>IF($B85="","",IF(COUNTIFS(UCRETLER!$B$7:$B$406,$B85,UCRETLER!$G$7:$G$406,"Aktif")&gt;0,"EVET","HAYIR"))</f>
        <v/>
      </c>
      <c r="P85" s="112">
        <f>IF($B85="","",IF($C85="","EKSİK",IF(COUNTIF($B$7:$B$106,$B85)&gt;1,"NO TEKRARI",IF(AND($J85&gt;0,$K85=""),"DEVİR TARİHİ EKSİK","UYGUN"))))</f>
        <v/>
      </c>
      <c r="Q85" s="6" t="n"/>
      <c r="R85" s="6" t="n"/>
    </row>
    <row r="86">
      <c r="A86" s="6" t="n"/>
      <c r="B86" s="107" t="n"/>
      <c r="C86" s="108" t="n"/>
      <c r="D86" s="107" t="n"/>
      <c r="E86" s="108" t="n"/>
      <c r="F86" s="108" t="n"/>
      <c r="G86" s="108" t="n"/>
      <c r="H86" s="107" t="n"/>
      <c r="I86" s="109" t="n"/>
      <c r="J86" s="110" t="n"/>
      <c r="K86" s="111" t="n"/>
      <c r="L86" s="108" t="n"/>
      <c r="M86" s="108" t="n"/>
      <c r="N86" s="107" t="n"/>
      <c r="O86" s="112">
        <f>IF($B86="","",IF(COUNTIFS(UCRETLER!$B$7:$B$406,$B86,UCRETLER!$G$7:$G$406,"Aktif")&gt;0,"EVET","HAYIR"))</f>
        <v/>
      </c>
      <c r="P86" s="112">
        <f>IF($B86="","",IF($C86="","EKSİK",IF(COUNTIF($B$7:$B$106,$B86)&gt;1,"NO TEKRARI",IF(AND($J86&gt;0,$K86=""),"DEVİR TARİHİ EKSİK","UYGUN"))))</f>
        <v/>
      </c>
      <c r="Q86" s="6" t="n"/>
      <c r="R86" s="6" t="n"/>
    </row>
    <row r="87">
      <c r="A87" s="6" t="n"/>
      <c r="B87" s="107" t="n"/>
      <c r="C87" s="108" t="n"/>
      <c r="D87" s="107" t="n"/>
      <c r="E87" s="108" t="n"/>
      <c r="F87" s="108" t="n"/>
      <c r="G87" s="108" t="n"/>
      <c r="H87" s="107" t="n"/>
      <c r="I87" s="109" t="n"/>
      <c r="J87" s="110" t="n"/>
      <c r="K87" s="111" t="n"/>
      <c r="L87" s="108" t="n"/>
      <c r="M87" s="108" t="n"/>
      <c r="N87" s="107" t="n"/>
      <c r="O87" s="112">
        <f>IF($B87="","",IF(COUNTIFS(UCRETLER!$B$7:$B$406,$B87,UCRETLER!$G$7:$G$406,"Aktif")&gt;0,"EVET","HAYIR"))</f>
        <v/>
      </c>
      <c r="P87" s="112">
        <f>IF($B87="","",IF($C87="","EKSİK",IF(COUNTIF($B$7:$B$106,$B87)&gt;1,"NO TEKRARI",IF(AND($J87&gt;0,$K87=""),"DEVİR TARİHİ EKSİK","UYGUN"))))</f>
        <v/>
      </c>
      <c r="Q87" s="6" t="n"/>
      <c r="R87" s="6" t="n"/>
    </row>
    <row r="88">
      <c r="A88" s="6" t="n"/>
      <c r="B88" s="107" t="n"/>
      <c r="C88" s="108" t="n"/>
      <c r="D88" s="107" t="n"/>
      <c r="E88" s="108" t="n"/>
      <c r="F88" s="108" t="n"/>
      <c r="G88" s="108" t="n"/>
      <c r="H88" s="107" t="n"/>
      <c r="I88" s="109" t="n"/>
      <c r="J88" s="110" t="n"/>
      <c r="K88" s="111" t="n"/>
      <c r="L88" s="108" t="n"/>
      <c r="M88" s="108" t="n"/>
      <c r="N88" s="107" t="n"/>
      <c r="O88" s="112">
        <f>IF($B88="","",IF(COUNTIFS(UCRETLER!$B$7:$B$406,$B88,UCRETLER!$G$7:$G$406,"Aktif")&gt;0,"EVET","HAYIR"))</f>
        <v/>
      </c>
      <c r="P88" s="112">
        <f>IF($B88="","",IF($C88="","EKSİK",IF(COUNTIF($B$7:$B$106,$B88)&gt;1,"NO TEKRARI",IF(AND($J88&gt;0,$K88=""),"DEVİR TARİHİ EKSİK","UYGUN"))))</f>
        <v/>
      </c>
      <c r="Q88" s="6" t="n"/>
      <c r="R88" s="6" t="n"/>
    </row>
    <row r="89">
      <c r="A89" s="6" t="n"/>
      <c r="B89" s="107" t="n"/>
      <c r="C89" s="108" t="n"/>
      <c r="D89" s="107" t="n"/>
      <c r="E89" s="108" t="n"/>
      <c r="F89" s="108" t="n"/>
      <c r="G89" s="108" t="n"/>
      <c r="H89" s="107" t="n"/>
      <c r="I89" s="109" t="n"/>
      <c r="J89" s="110" t="n"/>
      <c r="K89" s="111" t="n"/>
      <c r="L89" s="108" t="n"/>
      <c r="M89" s="108" t="n"/>
      <c r="N89" s="107" t="n"/>
      <c r="O89" s="112">
        <f>IF($B89="","",IF(COUNTIFS(UCRETLER!$B$7:$B$406,$B89,UCRETLER!$G$7:$G$406,"Aktif")&gt;0,"EVET","HAYIR"))</f>
        <v/>
      </c>
      <c r="P89" s="112">
        <f>IF($B89="","",IF($C89="","EKSİK",IF(COUNTIF($B$7:$B$106,$B89)&gt;1,"NO TEKRARI",IF(AND($J89&gt;0,$K89=""),"DEVİR TARİHİ EKSİK","UYGUN"))))</f>
        <v/>
      </c>
      <c r="Q89" s="6" t="n"/>
      <c r="R89" s="6" t="n"/>
    </row>
    <row r="90">
      <c r="A90" s="6" t="n"/>
      <c r="B90" s="107" t="n"/>
      <c r="C90" s="108" t="n"/>
      <c r="D90" s="107" t="n"/>
      <c r="E90" s="108" t="n"/>
      <c r="F90" s="108" t="n"/>
      <c r="G90" s="108" t="n"/>
      <c r="H90" s="107" t="n"/>
      <c r="I90" s="109" t="n"/>
      <c r="J90" s="110" t="n"/>
      <c r="K90" s="111" t="n"/>
      <c r="L90" s="108" t="n"/>
      <c r="M90" s="108" t="n"/>
      <c r="N90" s="107" t="n"/>
      <c r="O90" s="112">
        <f>IF($B90="","",IF(COUNTIFS(UCRETLER!$B$7:$B$406,$B90,UCRETLER!$G$7:$G$406,"Aktif")&gt;0,"EVET","HAYIR"))</f>
        <v/>
      </c>
      <c r="P90" s="112">
        <f>IF($B90="","",IF($C90="","EKSİK",IF(COUNTIF($B$7:$B$106,$B90)&gt;1,"NO TEKRARI",IF(AND($J90&gt;0,$K90=""),"DEVİR TARİHİ EKSİK","UYGUN"))))</f>
        <v/>
      </c>
      <c r="Q90" s="6" t="n"/>
      <c r="R90" s="6" t="n"/>
    </row>
    <row r="91">
      <c r="A91" s="6" t="n"/>
      <c r="B91" s="107" t="n"/>
      <c r="C91" s="108" t="n"/>
      <c r="D91" s="107" t="n"/>
      <c r="E91" s="108" t="n"/>
      <c r="F91" s="108" t="n"/>
      <c r="G91" s="108" t="n"/>
      <c r="H91" s="107" t="n"/>
      <c r="I91" s="109" t="n"/>
      <c r="J91" s="110" t="n"/>
      <c r="K91" s="111" t="n"/>
      <c r="L91" s="108" t="n"/>
      <c r="M91" s="108" t="n"/>
      <c r="N91" s="107" t="n"/>
      <c r="O91" s="112">
        <f>IF($B91="","",IF(COUNTIFS(UCRETLER!$B$7:$B$406,$B91,UCRETLER!$G$7:$G$406,"Aktif")&gt;0,"EVET","HAYIR"))</f>
        <v/>
      </c>
      <c r="P91" s="112">
        <f>IF($B91="","",IF($C91="","EKSİK",IF(COUNTIF($B$7:$B$106,$B91)&gt;1,"NO TEKRARI",IF(AND($J91&gt;0,$K91=""),"DEVİR TARİHİ EKSİK","UYGUN"))))</f>
        <v/>
      </c>
      <c r="Q91" s="6" t="n"/>
      <c r="R91" s="6" t="n"/>
    </row>
    <row r="92">
      <c r="A92" s="6" t="n"/>
      <c r="B92" s="107" t="n"/>
      <c r="C92" s="108" t="n"/>
      <c r="D92" s="107" t="n"/>
      <c r="E92" s="108" t="n"/>
      <c r="F92" s="108" t="n"/>
      <c r="G92" s="108" t="n"/>
      <c r="H92" s="107" t="n"/>
      <c r="I92" s="109" t="n"/>
      <c r="J92" s="110" t="n"/>
      <c r="K92" s="111" t="n"/>
      <c r="L92" s="108" t="n"/>
      <c r="M92" s="108" t="n"/>
      <c r="N92" s="107" t="n"/>
      <c r="O92" s="112">
        <f>IF($B92="","",IF(COUNTIFS(UCRETLER!$B$7:$B$406,$B92,UCRETLER!$G$7:$G$406,"Aktif")&gt;0,"EVET","HAYIR"))</f>
        <v/>
      </c>
      <c r="P92" s="112">
        <f>IF($B92="","",IF($C92="","EKSİK",IF(COUNTIF($B$7:$B$106,$B92)&gt;1,"NO TEKRARI",IF(AND($J92&gt;0,$K92=""),"DEVİR TARİHİ EKSİK","UYGUN"))))</f>
        <v/>
      </c>
      <c r="Q92" s="6" t="n"/>
      <c r="R92" s="6" t="n"/>
    </row>
    <row r="93">
      <c r="A93" s="6" t="n"/>
      <c r="B93" s="107" t="n"/>
      <c r="C93" s="108" t="n"/>
      <c r="D93" s="107" t="n"/>
      <c r="E93" s="108" t="n"/>
      <c r="F93" s="108" t="n"/>
      <c r="G93" s="108" t="n"/>
      <c r="H93" s="107" t="n"/>
      <c r="I93" s="109" t="n"/>
      <c r="J93" s="110" t="n"/>
      <c r="K93" s="111" t="n"/>
      <c r="L93" s="108" t="n"/>
      <c r="M93" s="108" t="n"/>
      <c r="N93" s="107" t="n"/>
      <c r="O93" s="112">
        <f>IF($B93="","",IF(COUNTIFS(UCRETLER!$B$7:$B$406,$B93,UCRETLER!$G$7:$G$406,"Aktif")&gt;0,"EVET","HAYIR"))</f>
        <v/>
      </c>
      <c r="P93" s="112">
        <f>IF($B93="","",IF($C93="","EKSİK",IF(COUNTIF($B$7:$B$106,$B93)&gt;1,"NO TEKRARI",IF(AND($J93&gt;0,$K93=""),"DEVİR TARİHİ EKSİK","UYGUN"))))</f>
        <v/>
      </c>
      <c r="Q93" s="6" t="n"/>
      <c r="R93" s="6" t="n"/>
    </row>
    <row r="94">
      <c r="A94" s="6" t="n"/>
      <c r="B94" s="107" t="n"/>
      <c r="C94" s="108" t="n"/>
      <c r="D94" s="107" t="n"/>
      <c r="E94" s="108" t="n"/>
      <c r="F94" s="108" t="n"/>
      <c r="G94" s="108" t="n"/>
      <c r="H94" s="107" t="n"/>
      <c r="I94" s="109" t="n"/>
      <c r="J94" s="110" t="n"/>
      <c r="K94" s="111" t="n"/>
      <c r="L94" s="108" t="n"/>
      <c r="M94" s="108" t="n"/>
      <c r="N94" s="107" t="n"/>
      <c r="O94" s="112">
        <f>IF($B94="","",IF(COUNTIFS(UCRETLER!$B$7:$B$406,$B94,UCRETLER!$G$7:$G$406,"Aktif")&gt;0,"EVET","HAYIR"))</f>
        <v/>
      </c>
      <c r="P94" s="112">
        <f>IF($B94="","",IF($C94="","EKSİK",IF(COUNTIF($B$7:$B$106,$B94)&gt;1,"NO TEKRARI",IF(AND($J94&gt;0,$K94=""),"DEVİR TARİHİ EKSİK","UYGUN"))))</f>
        <v/>
      </c>
      <c r="Q94" s="6" t="n"/>
      <c r="R94" s="6" t="n"/>
    </row>
    <row r="95">
      <c r="A95" s="6" t="n"/>
      <c r="B95" s="107" t="n"/>
      <c r="C95" s="108" t="n"/>
      <c r="D95" s="107" t="n"/>
      <c r="E95" s="108" t="n"/>
      <c r="F95" s="108" t="n"/>
      <c r="G95" s="108" t="n"/>
      <c r="H95" s="107" t="n"/>
      <c r="I95" s="109" t="n"/>
      <c r="J95" s="110" t="n"/>
      <c r="K95" s="111" t="n"/>
      <c r="L95" s="108" t="n"/>
      <c r="M95" s="108" t="n"/>
      <c r="N95" s="107" t="n"/>
      <c r="O95" s="112">
        <f>IF($B95="","",IF(COUNTIFS(UCRETLER!$B$7:$B$406,$B95,UCRETLER!$G$7:$G$406,"Aktif")&gt;0,"EVET","HAYIR"))</f>
        <v/>
      </c>
      <c r="P95" s="112">
        <f>IF($B95="","",IF($C95="","EKSİK",IF(COUNTIF($B$7:$B$106,$B95)&gt;1,"NO TEKRARI",IF(AND($J95&gt;0,$K95=""),"DEVİR TARİHİ EKSİK","UYGUN"))))</f>
        <v/>
      </c>
      <c r="Q95" s="6" t="n"/>
      <c r="R95" s="6" t="n"/>
    </row>
    <row r="96">
      <c r="A96" s="6" t="n"/>
      <c r="B96" s="107" t="n"/>
      <c r="C96" s="108" t="n"/>
      <c r="D96" s="107" t="n"/>
      <c r="E96" s="108" t="n"/>
      <c r="F96" s="108" t="n"/>
      <c r="G96" s="108" t="n"/>
      <c r="H96" s="107" t="n"/>
      <c r="I96" s="109" t="n"/>
      <c r="J96" s="110" t="n"/>
      <c r="K96" s="111" t="n"/>
      <c r="L96" s="108" t="n"/>
      <c r="M96" s="108" t="n"/>
      <c r="N96" s="107" t="n"/>
      <c r="O96" s="112">
        <f>IF($B96="","",IF(COUNTIFS(UCRETLER!$B$7:$B$406,$B96,UCRETLER!$G$7:$G$406,"Aktif")&gt;0,"EVET","HAYIR"))</f>
        <v/>
      </c>
      <c r="P96" s="112">
        <f>IF($B96="","",IF($C96="","EKSİK",IF(COUNTIF($B$7:$B$106,$B96)&gt;1,"NO TEKRARI",IF(AND($J96&gt;0,$K96=""),"DEVİR TARİHİ EKSİK","UYGUN"))))</f>
        <v/>
      </c>
      <c r="Q96" s="6" t="n"/>
      <c r="R96" s="6" t="n"/>
    </row>
    <row r="97">
      <c r="A97" s="6" t="n"/>
      <c r="B97" s="107" t="n"/>
      <c r="C97" s="108" t="n"/>
      <c r="D97" s="107" t="n"/>
      <c r="E97" s="108" t="n"/>
      <c r="F97" s="108" t="n"/>
      <c r="G97" s="108" t="n"/>
      <c r="H97" s="107" t="n"/>
      <c r="I97" s="109" t="n"/>
      <c r="J97" s="110" t="n"/>
      <c r="K97" s="111" t="n"/>
      <c r="L97" s="108" t="n"/>
      <c r="M97" s="108" t="n"/>
      <c r="N97" s="107" t="n"/>
      <c r="O97" s="112">
        <f>IF($B97="","",IF(COUNTIFS(UCRETLER!$B$7:$B$406,$B97,UCRETLER!$G$7:$G$406,"Aktif")&gt;0,"EVET","HAYIR"))</f>
        <v/>
      </c>
      <c r="P97" s="112">
        <f>IF($B97="","",IF($C97="","EKSİK",IF(COUNTIF($B$7:$B$106,$B97)&gt;1,"NO TEKRARI",IF(AND($J97&gt;0,$K97=""),"DEVİR TARİHİ EKSİK","UYGUN"))))</f>
        <v/>
      </c>
      <c r="Q97" s="6" t="n"/>
      <c r="R97" s="6" t="n"/>
    </row>
    <row r="98">
      <c r="A98" s="6" t="n"/>
      <c r="B98" s="107" t="n"/>
      <c r="C98" s="108" t="n"/>
      <c r="D98" s="107" t="n"/>
      <c r="E98" s="108" t="n"/>
      <c r="F98" s="108" t="n"/>
      <c r="G98" s="108" t="n"/>
      <c r="H98" s="107" t="n"/>
      <c r="I98" s="109" t="n"/>
      <c r="J98" s="110" t="n"/>
      <c r="K98" s="111" t="n"/>
      <c r="L98" s="108" t="n"/>
      <c r="M98" s="108" t="n"/>
      <c r="N98" s="107" t="n"/>
      <c r="O98" s="112">
        <f>IF($B98="","",IF(COUNTIFS(UCRETLER!$B$7:$B$406,$B98,UCRETLER!$G$7:$G$406,"Aktif")&gt;0,"EVET","HAYIR"))</f>
        <v/>
      </c>
      <c r="P98" s="112">
        <f>IF($B98="","",IF($C98="","EKSİK",IF(COUNTIF($B$7:$B$106,$B98)&gt;1,"NO TEKRARI",IF(AND($J98&gt;0,$K98=""),"DEVİR TARİHİ EKSİK","UYGUN"))))</f>
        <v/>
      </c>
      <c r="Q98" s="6" t="n"/>
      <c r="R98" s="6" t="n"/>
    </row>
    <row r="99">
      <c r="A99" s="6" t="n"/>
      <c r="B99" s="107" t="n"/>
      <c r="C99" s="108" t="n"/>
      <c r="D99" s="107" t="n"/>
      <c r="E99" s="108" t="n"/>
      <c r="F99" s="108" t="n"/>
      <c r="G99" s="108" t="n"/>
      <c r="H99" s="107" t="n"/>
      <c r="I99" s="109" t="n"/>
      <c r="J99" s="110" t="n"/>
      <c r="K99" s="111" t="n"/>
      <c r="L99" s="108" t="n"/>
      <c r="M99" s="108" t="n"/>
      <c r="N99" s="107" t="n"/>
      <c r="O99" s="112">
        <f>IF($B99="","",IF(COUNTIFS(UCRETLER!$B$7:$B$406,$B99,UCRETLER!$G$7:$G$406,"Aktif")&gt;0,"EVET","HAYIR"))</f>
        <v/>
      </c>
      <c r="P99" s="112">
        <f>IF($B99="","",IF($C99="","EKSİK",IF(COUNTIF($B$7:$B$106,$B99)&gt;1,"NO TEKRARI",IF(AND($J99&gt;0,$K99=""),"DEVİR TARİHİ EKSİK","UYGUN"))))</f>
        <v/>
      </c>
      <c r="Q99" s="6" t="n"/>
      <c r="R99" s="6" t="n"/>
    </row>
    <row r="100">
      <c r="A100" s="6" t="n"/>
      <c r="B100" s="107" t="n"/>
      <c r="C100" s="108" t="n"/>
      <c r="D100" s="107" t="n"/>
      <c r="E100" s="108" t="n"/>
      <c r="F100" s="108" t="n"/>
      <c r="G100" s="108" t="n"/>
      <c r="H100" s="107" t="n"/>
      <c r="I100" s="109" t="n"/>
      <c r="J100" s="110" t="n"/>
      <c r="K100" s="111" t="n"/>
      <c r="L100" s="108" t="n"/>
      <c r="M100" s="108" t="n"/>
      <c r="N100" s="107" t="n"/>
      <c r="O100" s="112">
        <f>IF($B100="","",IF(COUNTIFS(UCRETLER!$B$7:$B$406,$B100,UCRETLER!$G$7:$G$406,"Aktif")&gt;0,"EVET","HAYIR"))</f>
        <v/>
      </c>
      <c r="P100" s="112">
        <f>IF($B100="","",IF($C100="","EKSİK",IF(COUNTIF($B$7:$B$106,$B100)&gt;1,"NO TEKRARI",IF(AND($J100&gt;0,$K100=""),"DEVİR TARİHİ EKSİK","UYGUN"))))</f>
        <v/>
      </c>
      <c r="Q100" s="6" t="n"/>
      <c r="R100" s="6" t="n"/>
    </row>
    <row r="101">
      <c r="A101" s="6" t="n"/>
      <c r="B101" s="107" t="n"/>
      <c r="C101" s="108" t="n"/>
      <c r="D101" s="107" t="n"/>
      <c r="E101" s="108" t="n"/>
      <c r="F101" s="108" t="n"/>
      <c r="G101" s="108" t="n"/>
      <c r="H101" s="107" t="n"/>
      <c r="I101" s="109" t="n"/>
      <c r="J101" s="110" t="n"/>
      <c r="K101" s="111" t="n"/>
      <c r="L101" s="108" t="n"/>
      <c r="M101" s="108" t="n"/>
      <c r="N101" s="107" t="n"/>
      <c r="O101" s="112">
        <f>IF($B101="","",IF(COUNTIFS(UCRETLER!$B$7:$B$406,$B101,UCRETLER!$G$7:$G$406,"Aktif")&gt;0,"EVET","HAYIR"))</f>
        <v/>
      </c>
      <c r="P101" s="112">
        <f>IF($B101="","",IF($C101="","EKSİK",IF(COUNTIF($B$7:$B$106,$B101)&gt;1,"NO TEKRARI",IF(AND($J101&gt;0,$K101=""),"DEVİR TARİHİ EKSİK","UYGUN"))))</f>
        <v/>
      </c>
      <c r="Q101" s="6" t="n"/>
      <c r="R101" s="6" t="n"/>
    </row>
    <row r="102">
      <c r="A102" s="6" t="n"/>
      <c r="B102" s="107" t="n"/>
      <c r="C102" s="108" t="n"/>
      <c r="D102" s="107" t="n"/>
      <c r="E102" s="108" t="n"/>
      <c r="F102" s="108" t="n"/>
      <c r="G102" s="108" t="n"/>
      <c r="H102" s="107" t="n"/>
      <c r="I102" s="109" t="n"/>
      <c r="J102" s="110" t="n"/>
      <c r="K102" s="111" t="n"/>
      <c r="L102" s="108" t="n"/>
      <c r="M102" s="108" t="n"/>
      <c r="N102" s="107" t="n"/>
      <c r="O102" s="112">
        <f>IF($B102="","",IF(COUNTIFS(UCRETLER!$B$7:$B$406,$B102,UCRETLER!$G$7:$G$406,"Aktif")&gt;0,"EVET","HAYIR"))</f>
        <v/>
      </c>
      <c r="P102" s="112">
        <f>IF($B102="","",IF($C102="","EKSİK",IF(COUNTIF($B$7:$B$106,$B102)&gt;1,"NO TEKRARI",IF(AND($J102&gt;0,$K102=""),"DEVİR TARİHİ EKSİK","UYGUN"))))</f>
        <v/>
      </c>
      <c r="Q102" s="6" t="n"/>
      <c r="R102" s="6" t="n"/>
    </row>
    <row r="103">
      <c r="A103" s="6" t="n"/>
      <c r="B103" s="107" t="n"/>
      <c r="C103" s="108" t="n"/>
      <c r="D103" s="107" t="n"/>
      <c r="E103" s="108" t="n"/>
      <c r="F103" s="108" t="n"/>
      <c r="G103" s="108" t="n"/>
      <c r="H103" s="107" t="n"/>
      <c r="I103" s="109" t="n"/>
      <c r="J103" s="110" t="n"/>
      <c r="K103" s="111" t="n"/>
      <c r="L103" s="108" t="n"/>
      <c r="M103" s="108" t="n"/>
      <c r="N103" s="107" t="n"/>
      <c r="O103" s="112">
        <f>IF($B103="","",IF(COUNTIFS(UCRETLER!$B$7:$B$406,$B103,UCRETLER!$G$7:$G$406,"Aktif")&gt;0,"EVET","HAYIR"))</f>
        <v/>
      </c>
      <c r="P103" s="112">
        <f>IF($B103="","",IF($C103="","EKSİK",IF(COUNTIF($B$7:$B$106,$B103)&gt;1,"NO TEKRARI",IF(AND($J103&gt;0,$K103=""),"DEVİR TARİHİ EKSİK","UYGUN"))))</f>
        <v/>
      </c>
      <c r="Q103" s="6" t="n"/>
      <c r="R103" s="6" t="n"/>
    </row>
    <row r="104">
      <c r="A104" s="6" t="n"/>
      <c r="B104" s="107" t="n"/>
      <c r="C104" s="108" t="n"/>
      <c r="D104" s="107" t="n"/>
      <c r="E104" s="108" t="n"/>
      <c r="F104" s="108" t="n"/>
      <c r="G104" s="108" t="n"/>
      <c r="H104" s="107" t="n"/>
      <c r="I104" s="109" t="n"/>
      <c r="J104" s="110" t="n"/>
      <c r="K104" s="111" t="n"/>
      <c r="L104" s="108" t="n"/>
      <c r="M104" s="108" t="n"/>
      <c r="N104" s="107" t="n"/>
      <c r="O104" s="112">
        <f>IF($B104="","",IF(COUNTIFS(UCRETLER!$B$7:$B$406,$B104,UCRETLER!$G$7:$G$406,"Aktif")&gt;0,"EVET","HAYIR"))</f>
        <v/>
      </c>
      <c r="P104" s="112">
        <f>IF($B104="","",IF($C104="","EKSİK",IF(COUNTIF($B$7:$B$106,$B104)&gt;1,"NO TEKRARI",IF(AND($J104&gt;0,$K104=""),"DEVİR TARİHİ EKSİK","UYGUN"))))</f>
        <v/>
      </c>
      <c r="Q104" s="6" t="n"/>
      <c r="R104" s="6" t="n"/>
    </row>
    <row r="105">
      <c r="A105" s="6" t="n"/>
      <c r="B105" s="107" t="n"/>
      <c r="C105" s="108" t="n"/>
      <c r="D105" s="107" t="n"/>
      <c r="E105" s="108" t="n"/>
      <c r="F105" s="108" t="n"/>
      <c r="G105" s="108" t="n"/>
      <c r="H105" s="107" t="n"/>
      <c r="I105" s="109" t="n"/>
      <c r="J105" s="110" t="n"/>
      <c r="K105" s="111" t="n"/>
      <c r="L105" s="108" t="n"/>
      <c r="M105" s="108" t="n"/>
      <c r="N105" s="107" t="n"/>
      <c r="O105" s="112">
        <f>IF($B105="","",IF(COUNTIFS(UCRETLER!$B$7:$B$406,$B105,UCRETLER!$G$7:$G$406,"Aktif")&gt;0,"EVET","HAYIR"))</f>
        <v/>
      </c>
      <c r="P105" s="112">
        <f>IF($B105="","",IF($C105="","EKSİK",IF(COUNTIF($B$7:$B$106,$B105)&gt;1,"NO TEKRARI",IF(AND($J105&gt;0,$K105=""),"DEVİR TARİHİ EKSİK","UYGUN"))))</f>
        <v/>
      </c>
      <c r="Q105" s="6" t="n"/>
      <c r="R105" s="6" t="n"/>
    </row>
    <row r="106">
      <c r="A106" s="6" t="n"/>
      <c r="B106" s="107" t="n"/>
      <c r="C106" s="108" t="n"/>
      <c r="D106" s="107" t="n"/>
      <c r="E106" s="108" t="n"/>
      <c r="F106" s="108" t="n"/>
      <c r="G106" s="108" t="n"/>
      <c r="H106" s="107" t="n"/>
      <c r="I106" s="109" t="n"/>
      <c r="J106" s="110" t="n"/>
      <c r="K106" s="111" t="n"/>
      <c r="L106" s="108" t="n"/>
      <c r="M106" s="108" t="n"/>
      <c r="N106" s="107" t="n"/>
      <c r="O106" s="112">
        <f>IF($B106="","",IF(COUNTIFS(UCRETLER!$B$7:$B$406,$B106,UCRETLER!$G$7:$G$406,"Aktif")&gt;0,"EVET","HAYIR"))</f>
        <v/>
      </c>
      <c r="P106" s="112">
        <f>IF($B106="","",IF($C106="","EKSİK",IF(COUNTIF($B$7:$B$106,$B106)&gt;1,"NO TEKRARI",IF(AND($J106&gt;0,$K106=""),"DEVİR TARİHİ EKSİK","UYGUN"))))</f>
        <v/>
      </c>
      <c r="Q106" s="6" t="n"/>
      <c r="R106" s="6" t="n"/>
    </row>
    <row r="107">
      <c r="A107" s="6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6" t="n"/>
      <c r="R107" s="6" t="n"/>
    </row>
    <row r="108">
      <c r="A108" s="6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6" t="n"/>
      <c r="R1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06"/>
  <mergeCells count="2">
    <mergeCell ref="A1:P1"/>
    <mergeCell ref="A2:P2"/>
  </mergeCells>
  <conditionalFormatting sqref="P7:P106">
    <cfRule type="expression" priority="1" dxfId="3" stopIfTrue="1">
      <formula>EXACT($P7,"UYGUN")</formula>
    </cfRule>
    <cfRule type="expression" priority="2" dxfId="4" stopIfTrue="1">
      <formula>EXACT($P7,"EKSİK")</formula>
    </cfRule>
    <cfRule type="expression" priority="3" dxfId="5" stopIfTrue="1">
      <formula>EXACT($P7,"NO TEKRARI")</formula>
    </cfRule>
    <cfRule type="expression" priority="4" dxfId="4" stopIfTrue="1">
      <formula>EXACT($P7,"DEVİR TARİHİ EKSİK")</formula>
    </cfRule>
  </conditionalFormatting>
  <conditionalFormatting sqref="O7:O106">
    <cfRule type="expression" priority="5" dxfId="3" stopIfTrue="1">
      <formula>EXACT($O7,"EVET")</formula>
    </cfRule>
    <cfRule type="expression" priority="6" dxfId="4" stopIfTrue="1">
      <formula>EXACT($O7,"HAYIR")</formula>
    </cfRule>
  </conditionalFormatting>
  <dataValidations count="3">
    <dataValidation sqref="D7:D106" showDropDown="0" showInputMessage="0" showErrorMessage="1" allowBlank="1" errorTitle="Geçersiz durum" error="Listeden seçin." type="list">
      <formula1>"Aktif,Beklemede,Pasif"</formula1>
    </dataValidation>
    <dataValidation sqref="H7:H106" showDropDown="0" showInputMessage="0" showErrorMessage="1" allowBlank="1" errorTitle="Geçersiz ödeme şekli" error="Listeden seçin." type="list">
      <formula1>"Nakit,Havale/EFT,Kredi Kartı,Çek,Mahsup"</formula1>
    </dataValidation>
    <dataValidation sqref="N7:N106" showDropDown="0" showInputMessage="0" showErrorMessage="1" allowBlank="1" errorTitle="Geçersiz değer" error="Listeden seçin." type="list">
      <formula1>"Doğrulandı,Eksik,Ücret doğrulanmalı"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A4C93"/>
    <outlinePr summaryBelow="1" summaryRight="1"/>
    <pageSetUpPr fitToPage="1"/>
  </sheetPr>
  <dimension ref="A1:P408"/>
  <sheetViews>
    <sheetView showGridLines="0" tabSelected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6" customWidth="1" min="4" max="4"/>
    <col width="16" customWidth="1" min="5" max="5"/>
    <col width="15" customWidth="1" min="6" max="6"/>
    <col width="13" customWidth="1" min="7" max="7"/>
    <col width="16" customWidth="1" min="8" max="8"/>
    <col width="15" customWidth="1" min="9" max="9"/>
    <col width="15" customWidth="1" min="10" max="10"/>
    <col width="15" customWidth="1" min="11" max="11"/>
    <col width="12" customWidth="1" min="12" max="12"/>
    <col width="15" customWidth="1" min="13" max="13"/>
    <col width="26" customWidth="1" min="14" max="14"/>
    <col width="2.4" customWidth="1" min="15" max="15"/>
    <col width="2.4" customWidth="1" min="16" max="16"/>
  </cols>
  <sheetData>
    <row r="1" ht="38" customHeight="1">
      <c r="A1" s="1" t="inlineStr">
        <is>
          <t>NECATİBEY OFİS YÖNETİM SİSTEMİ   │   HAFTALIK ÜCRET DÖNEMLERİ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45" t="n"/>
      <c r="P1" s="45" t="n"/>
    </row>
    <row r="2" ht="22" customHeight="1">
      <c r="A2" s="4" t="inlineStr">
        <is>
          <t>Ücret değişince eski dönemi kapat, yeni satır aç │ Geçmiş tahakkuk asla bozulmaz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46" t="n"/>
      <c r="P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 ht="20" customHeight="1">
      <c r="A4" s="6" t="n"/>
      <c r="B4" s="47">
        <f>HYPERLINK("#PANO!A1","←  PANO")</f>
        <v/>
      </c>
      <c r="C4" s="6" t="n"/>
      <c r="D4" s="98">
        <f>HYPERLINK("#MUSTERILER!A1","Müşteriler")</f>
        <v/>
      </c>
      <c r="E4" s="6" t="n"/>
      <c r="F4" s="98">
        <f>HYPERLINK("#MUSTERI_360!A1","Müşteri 360")</f>
        <v/>
      </c>
      <c r="G4" s="6" t="n"/>
      <c r="H4" s="99" t="inlineStr">
        <is>
          <t>Sarı hücreler veri girişidir. Beyaz hücreler sistem tarafından hesaplanır ve kilitlidir. Başlangıç ve bitiş mutlaka Cumartesi olmalıdır.</t>
        </is>
      </c>
      <c r="I4" s="6" t="n"/>
      <c r="J4" s="6" t="n"/>
      <c r="K4" s="6" t="n"/>
      <c r="L4" s="6" t="n"/>
      <c r="M4" s="6" t="n"/>
      <c r="N4" s="6" t="n"/>
      <c r="O4" s="6" t="n"/>
      <c r="P4" s="6" t="n"/>
    </row>
    <row r="5" ht="26" customHeight="1">
      <c r="A5" s="6" t="n"/>
      <c r="B5" s="100" t="n"/>
      <c r="C5" s="101" t="inlineStr">
        <is>
          <t>TOPLAM  │  Aktif haftalık tahakkuk ve oluşan ücret</t>
        </is>
      </c>
      <c r="D5" s="100" t="n"/>
      <c r="E5" s="100" t="n"/>
      <c r="F5" s="103">
        <f>SUMIFS($F$7:$F$406,$G$7:$G$406,"Aktif")</f>
        <v/>
      </c>
      <c r="G5" s="100" t="n"/>
      <c r="H5" s="103">
        <f>SUM($H$7:$H$406)</f>
        <v/>
      </c>
      <c r="I5" s="100" t="n"/>
      <c r="J5" s="100" t="n"/>
      <c r="K5" s="100" t="n"/>
      <c r="L5" s="100" t="n"/>
      <c r="M5" s="100" t="n"/>
      <c r="N5" s="100" t="n"/>
      <c r="O5" s="6" t="n"/>
      <c r="P5" s="6" t="n"/>
    </row>
    <row r="6" ht="40" customHeight="1">
      <c r="A6" s="6" t="n"/>
      <c r="B6" s="104" t="inlineStr">
        <is>
          <t>Müşteri No</t>
        </is>
      </c>
      <c r="C6" s="105" t="inlineStr">
        <is>
          <t>Müşteri</t>
        </is>
      </c>
      <c r="D6" s="104" t="inlineStr">
        <is>
          <t>Ücret Başlangıç (Cumartesi)</t>
        </is>
      </c>
      <c r="E6" s="104" t="inlineStr">
        <is>
          <t>Ücret Bitiş (Cumartesi)</t>
        </is>
      </c>
      <c r="F6" s="106" t="inlineStr">
        <is>
          <t>Haftalık Ücret</t>
        </is>
      </c>
      <c r="G6" s="104" t="inlineStr">
        <is>
          <t>Dönem Durumu</t>
        </is>
      </c>
      <c r="H6" s="106" t="inlineStr">
        <is>
          <t>Bugüne Kadar Oluşan</t>
        </is>
      </c>
      <c r="I6" s="106" t="inlineStr">
        <is>
          <t>8 Gün Öncesine Kadar</t>
        </is>
      </c>
      <c r="J6" s="106" t="inlineStr">
        <is>
          <t>15 Gün Öncesine Kadar</t>
        </is>
      </c>
      <c r="K6" s="106" t="inlineStr">
        <is>
          <t>29 Gün Öncesine Kadar</t>
        </is>
      </c>
      <c r="L6" s="104" t="inlineStr">
        <is>
          <t>Oluşan Hafta</t>
        </is>
      </c>
      <c r="M6" s="104" t="inlineStr">
        <is>
          <t>Sistem Kontrolü</t>
        </is>
      </c>
      <c r="N6" s="105" t="inlineStr">
        <is>
          <t>Not</t>
        </is>
      </c>
      <c r="O6" s="6" t="n"/>
      <c r="P6" s="6" t="n"/>
    </row>
    <row r="7">
      <c r="A7" s="6" t="n"/>
      <c r="B7" s="107" t="inlineStr">
        <is>
          <t>M001</t>
        </is>
      </c>
      <c r="C7" s="113">
        <f>IF($B7="","",IFERROR(INDEX(MUSTERILER!$C$7:$C$106,MATCH($B7,MUSTERILER!$B$7:$B$106,0)),"TANIMSIZ MÜŞTERİ"))</f>
        <v/>
      </c>
      <c r="D7" s="114" t="n">
        <v>46263</v>
      </c>
      <c r="E7" s="114" t="n"/>
      <c r="F7" s="115" t="n">
        <v>4000</v>
      </c>
      <c r="G7" s="107" t="inlineStr">
        <is>
          <t>Aktif</t>
        </is>
      </c>
      <c r="H7" s="116">
        <f>IF(OR($B7="",$D7="",$F7=""),0,$F7*MAX(0,INT((MIN(IF($E7="",TODAY(),$E7),TODAY())-$D7)/7)+1))</f>
        <v/>
      </c>
      <c r="I7" s="116">
        <f>IF(OR($B7="",$D7="",$F7=""),0,$F7*MAX(0,INT((MIN(IF($E7="",TODAY()-8,$E7),TODAY()-8)-$D7)/7)+1))</f>
        <v/>
      </c>
      <c r="J7" s="116">
        <f>IF(OR($B7="",$D7="",$F7=""),0,$F7*MAX(0,INT((MIN(IF($E7="",TODAY()-15,$E7),TODAY()-15)-$D7)/7)+1))</f>
        <v/>
      </c>
      <c r="K7" s="116">
        <f>IF(OR($B7="",$D7="",$F7=""),0,$F7*MAX(0,INT((MIN(IF($E7="",TODAY()-29,$E7),TODAY()-29)-$D7)/7)+1))</f>
        <v/>
      </c>
      <c r="L7" s="117">
        <f>IF($F7&gt;0,$H7/$F7,0)</f>
        <v/>
      </c>
      <c r="M7" s="112">
        <f>IF($B7="","",IF($C7="TANIMSIZ MÜŞTERİ","HATA",IF($G7="Pasif","PASİF",IF(AND(WEEKDAY($D7,2)=6,OR($E7="",WEEKDAY($E7,2)=6),$F7&gt;0),"UYGUN","HATA"))))</f>
        <v/>
      </c>
      <c r="N7" s="108" t="inlineStr">
        <is>
          <t>Mevcut dosyadan aktarıldı</t>
        </is>
      </c>
      <c r="O7" s="6" t="n"/>
      <c r="P7" s="6" t="n"/>
    </row>
    <row r="8">
      <c r="A8" s="6" t="n"/>
      <c r="B8" s="107" t="inlineStr">
        <is>
          <t>M002</t>
        </is>
      </c>
      <c r="C8" s="113">
        <f>IF($B8="","",IFERROR(INDEX(MUSTERILER!$C$7:$C$106,MATCH($B8,MUSTERILER!$B$7:$B$106,0)),"TANIMSIZ MÜŞTERİ"))</f>
        <v/>
      </c>
      <c r="D8" s="114" t="n">
        <v>46263</v>
      </c>
      <c r="E8" s="114" t="n"/>
      <c r="F8" s="115" t="n">
        <v>3500</v>
      </c>
      <c r="G8" s="107" t="inlineStr">
        <is>
          <t>Aktif</t>
        </is>
      </c>
      <c r="H8" s="116">
        <f>IF(OR($B8="",$D8="",$F8=""),0,$F8*MAX(0,INT((MIN(IF($E8="",TODAY(),$E8),TODAY())-$D8)/7)+1))</f>
        <v/>
      </c>
      <c r="I8" s="116">
        <f>IF(OR($B8="",$D8="",$F8=""),0,$F8*MAX(0,INT((MIN(IF($E8="",TODAY()-8,$E8),TODAY()-8)-$D8)/7)+1))</f>
        <v/>
      </c>
      <c r="J8" s="116">
        <f>IF(OR($B8="",$D8="",$F8=""),0,$F8*MAX(0,INT((MIN(IF($E8="",TODAY()-15,$E8),TODAY()-15)-$D8)/7)+1))</f>
        <v/>
      </c>
      <c r="K8" s="116">
        <f>IF(OR($B8="",$D8="",$F8=""),0,$F8*MAX(0,INT((MIN(IF($E8="",TODAY()-29,$E8),TODAY()-29)-$D8)/7)+1))</f>
        <v/>
      </c>
      <c r="L8" s="117">
        <f>IF($F8&gt;0,$H8/$F8,0)</f>
        <v/>
      </c>
      <c r="M8" s="112">
        <f>IF($B8="","",IF($C8="TANIMSIZ MÜŞTERİ","HATA",IF($G8="Pasif","PASİF",IF(AND(WEEKDAY($D8,2)=6,OR($E8="",WEEKDAY($E8,2)=6),$F8&gt;0),"UYGUN","HATA"))))</f>
        <v/>
      </c>
      <c r="N8" s="108" t="inlineStr">
        <is>
          <t>Mevcut dosyadan aktarıldı</t>
        </is>
      </c>
      <c r="O8" s="6" t="n"/>
      <c r="P8" s="6" t="n"/>
    </row>
    <row r="9">
      <c r="A9" s="6" t="n"/>
      <c r="B9" s="107" t="inlineStr">
        <is>
          <t>M003</t>
        </is>
      </c>
      <c r="C9" s="113">
        <f>IF($B9="","",IFERROR(INDEX(MUSTERILER!$C$7:$C$106,MATCH($B9,MUSTERILER!$B$7:$B$106,0)),"TANIMSIZ MÜŞTERİ"))</f>
        <v/>
      </c>
      <c r="D9" s="114" t="n">
        <v>46263</v>
      </c>
      <c r="E9" s="114" t="n"/>
      <c r="F9" s="115" t="n">
        <v>4000</v>
      </c>
      <c r="G9" s="107" t="inlineStr">
        <is>
          <t>Aktif</t>
        </is>
      </c>
      <c r="H9" s="116">
        <f>IF(OR($B9="",$D9="",$F9=""),0,$F9*MAX(0,INT((MIN(IF($E9="",TODAY(),$E9),TODAY())-$D9)/7)+1))</f>
        <v/>
      </c>
      <c r="I9" s="116">
        <f>IF(OR($B9="",$D9="",$F9=""),0,$F9*MAX(0,INT((MIN(IF($E9="",TODAY()-8,$E9),TODAY()-8)-$D9)/7)+1))</f>
        <v/>
      </c>
      <c r="J9" s="116">
        <f>IF(OR($B9="",$D9="",$F9=""),0,$F9*MAX(0,INT((MIN(IF($E9="",TODAY()-15,$E9),TODAY()-15)-$D9)/7)+1))</f>
        <v/>
      </c>
      <c r="K9" s="116">
        <f>IF(OR($B9="",$D9="",$F9=""),0,$F9*MAX(0,INT((MIN(IF($E9="",TODAY()-29,$E9),TODAY()-29)-$D9)/7)+1))</f>
        <v/>
      </c>
      <c r="L9" s="117">
        <f>IF($F9&gt;0,$H9/$F9,0)</f>
        <v/>
      </c>
      <c r="M9" s="112">
        <f>IF($B9="","",IF($C9="TANIMSIZ MÜŞTERİ","HATA",IF($G9="Pasif","PASİF",IF(AND(WEEKDAY($D9,2)=6,OR($E9="",WEEKDAY($E9,2)=6),$F9&gt;0),"UYGUN","HATA"))))</f>
        <v/>
      </c>
      <c r="N9" s="108" t="inlineStr">
        <is>
          <t>Mevcut dosyadan aktarıldı</t>
        </is>
      </c>
      <c r="O9" s="6" t="n"/>
      <c r="P9" s="6" t="n"/>
    </row>
    <row r="10">
      <c r="A10" s="6" t="n"/>
      <c r="B10" s="107" t="inlineStr">
        <is>
          <t>M004</t>
        </is>
      </c>
      <c r="C10" s="113">
        <f>IF($B10="","",IFERROR(INDEX(MUSTERILER!$C$7:$C$106,MATCH($B10,MUSTERILER!$B$7:$B$106,0)),"TANIMSIZ MÜŞTERİ"))</f>
        <v/>
      </c>
      <c r="D10" s="114" t="n">
        <v>46263</v>
      </c>
      <c r="E10" s="114" t="n"/>
      <c r="F10" s="115" t="n">
        <v>1750</v>
      </c>
      <c r="G10" s="107" t="inlineStr">
        <is>
          <t>Aktif</t>
        </is>
      </c>
      <c r="H10" s="116">
        <f>IF(OR($B10="",$D10="",$F10=""),0,$F10*MAX(0,INT((MIN(IF($E10="",TODAY(),$E10),TODAY())-$D10)/7)+1))</f>
        <v/>
      </c>
      <c r="I10" s="116">
        <f>IF(OR($B10="",$D10="",$F10=""),0,$F10*MAX(0,INT((MIN(IF($E10="",TODAY()-8,$E10),TODAY()-8)-$D10)/7)+1))</f>
        <v/>
      </c>
      <c r="J10" s="116">
        <f>IF(OR($B10="",$D10="",$F10=""),0,$F10*MAX(0,INT((MIN(IF($E10="",TODAY()-15,$E10),TODAY()-15)-$D10)/7)+1))</f>
        <v/>
      </c>
      <c r="K10" s="116">
        <f>IF(OR($B10="",$D10="",$F10=""),0,$F10*MAX(0,INT((MIN(IF($E10="",TODAY()-29,$E10),TODAY()-29)-$D10)/7)+1))</f>
        <v/>
      </c>
      <c r="L10" s="117">
        <f>IF($F10&gt;0,$H10/$F10,0)</f>
        <v/>
      </c>
      <c r="M10" s="112">
        <f>IF($B10="","",IF($C10="TANIMSIZ MÜŞTERİ","HATA",IF($G10="Pasif","PASİF",IF(AND(WEEKDAY($D10,2)=6,OR($E10="",WEEKDAY($E10,2)=6),$F10&gt;0),"UYGUN","HATA"))))</f>
        <v/>
      </c>
      <c r="N10" s="108" t="inlineStr">
        <is>
          <t>Mevcut dosyadan aktarıldı</t>
        </is>
      </c>
      <c r="O10" s="6" t="n"/>
      <c r="P10" s="6" t="n"/>
    </row>
    <row r="11">
      <c r="A11" s="6" t="n"/>
      <c r="B11" s="107" t="inlineStr">
        <is>
          <t>M005</t>
        </is>
      </c>
      <c r="C11" s="113">
        <f>IF($B11="","",IFERROR(INDEX(MUSTERILER!$C$7:$C$106,MATCH($B11,MUSTERILER!$B$7:$B$106,0)),"TANIMSIZ MÜŞTERİ"))</f>
        <v/>
      </c>
      <c r="D11" s="114" t="n">
        <v>46263</v>
      </c>
      <c r="E11" s="114" t="n"/>
      <c r="F11" s="115" t="n">
        <v>1750</v>
      </c>
      <c r="G11" s="107" t="inlineStr">
        <is>
          <t>Aktif</t>
        </is>
      </c>
      <c r="H11" s="116">
        <f>IF(OR($B11="",$D11="",$F11=""),0,$F11*MAX(0,INT((MIN(IF($E11="",TODAY(),$E11),TODAY())-$D11)/7)+1))</f>
        <v/>
      </c>
      <c r="I11" s="116">
        <f>IF(OR($B11="",$D11="",$F11=""),0,$F11*MAX(0,INT((MIN(IF($E11="",TODAY()-8,$E11),TODAY()-8)-$D11)/7)+1))</f>
        <v/>
      </c>
      <c r="J11" s="116">
        <f>IF(OR($B11="",$D11="",$F11=""),0,$F11*MAX(0,INT((MIN(IF($E11="",TODAY()-15,$E11),TODAY()-15)-$D11)/7)+1))</f>
        <v/>
      </c>
      <c r="K11" s="116">
        <f>IF(OR($B11="",$D11="",$F11=""),0,$F11*MAX(0,INT((MIN(IF($E11="",TODAY()-29,$E11),TODAY()-29)-$D11)/7)+1))</f>
        <v/>
      </c>
      <c r="L11" s="117">
        <f>IF($F11&gt;0,$H11/$F11,0)</f>
        <v/>
      </c>
      <c r="M11" s="112">
        <f>IF($B11="","",IF($C11="TANIMSIZ MÜŞTERİ","HATA",IF($G11="Pasif","PASİF",IF(AND(WEEKDAY($D11,2)=6,OR($E11="",WEEKDAY($E11,2)=6),$F11&gt;0),"UYGUN","HATA"))))</f>
        <v/>
      </c>
      <c r="N11" s="108" t="inlineStr">
        <is>
          <t>Mevcut dosyadan aktarıldı</t>
        </is>
      </c>
      <c r="O11" s="6" t="n"/>
      <c r="P11" s="6" t="n"/>
    </row>
    <row r="12">
      <c r="A12" s="6" t="n"/>
      <c r="B12" s="107" t="inlineStr">
        <is>
          <t>M006</t>
        </is>
      </c>
      <c r="C12" s="113">
        <f>IF($B12="","",IFERROR(INDEX(MUSTERILER!$C$7:$C$106,MATCH($B12,MUSTERILER!$B$7:$B$106,0)),"TANIMSIZ MÜŞTERİ"))</f>
        <v/>
      </c>
      <c r="D12" s="114" t="n">
        <v>46263</v>
      </c>
      <c r="E12" s="114" t="n"/>
      <c r="F12" s="115" t="n">
        <v>1000</v>
      </c>
      <c r="G12" s="107" t="inlineStr">
        <is>
          <t>Aktif</t>
        </is>
      </c>
      <c r="H12" s="116">
        <f>IF(OR($B12="",$D12="",$F12=""),0,$F12*MAX(0,INT((MIN(IF($E12="",TODAY(),$E12),TODAY())-$D12)/7)+1))</f>
        <v/>
      </c>
      <c r="I12" s="116">
        <f>IF(OR($B12="",$D12="",$F12=""),0,$F12*MAX(0,INT((MIN(IF($E12="",TODAY()-8,$E12),TODAY()-8)-$D12)/7)+1))</f>
        <v/>
      </c>
      <c r="J12" s="116">
        <f>IF(OR($B12="",$D12="",$F12=""),0,$F12*MAX(0,INT((MIN(IF($E12="",TODAY()-15,$E12),TODAY()-15)-$D12)/7)+1))</f>
        <v/>
      </c>
      <c r="K12" s="116">
        <f>IF(OR($B12="",$D12="",$F12=""),0,$F12*MAX(0,INT((MIN(IF($E12="",TODAY()-29,$E12),TODAY()-29)-$D12)/7)+1))</f>
        <v/>
      </c>
      <c r="L12" s="117">
        <f>IF($F12&gt;0,$H12/$F12,0)</f>
        <v/>
      </c>
      <c r="M12" s="112">
        <f>IF($B12="","",IF($C12="TANIMSIZ MÜŞTERİ","HATA",IF($G12="Pasif","PASİF",IF(AND(WEEKDAY($D12,2)=6,OR($E12="",WEEKDAY($E12,2)=6),$F12&gt;0),"UYGUN","HATA"))))</f>
        <v/>
      </c>
      <c r="N12" s="108" t="inlineStr">
        <is>
          <t>Mevcut dosyadan aktarıldı</t>
        </is>
      </c>
      <c r="O12" s="6" t="n"/>
      <c r="P12" s="6" t="n"/>
    </row>
    <row r="13">
      <c r="A13" s="6" t="n"/>
      <c r="B13" s="107" t="inlineStr">
        <is>
          <t>M007</t>
        </is>
      </c>
      <c r="C13" s="113">
        <f>IF($B13="","",IFERROR(INDEX(MUSTERILER!$C$7:$C$106,MATCH($B13,MUSTERILER!$B$7:$B$106,0)),"TANIMSIZ MÜŞTERİ"))</f>
        <v/>
      </c>
      <c r="D13" s="114" t="n">
        <v>46263</v>
      </c>
      <c r="E13" s="114" t="n"/>
      <c r="F13" s="115" t="n">
        <v>3500</v>
      </c>
      <c r="G13" s="107" t="inlineStr">
        <is>
          <t>Aktif</t>
        </is>
      </c>
      <c r="H13" s="116">
        <f>IF(OR($B13="",$D13="",$F13=""),0,$F13*MAX(0,INT((MIN(IF($E13="",TODAY(),$E13),TODAY())-$D13)/7)+1))</f>
        <v/>
      </c>
      <c r="I13" s="116">
        <f>IF(OR($B13="",$D13="",$F13=""),0,$F13*MAX(0,INT((MIN(IF($E13="",TODAY()-8,$E13),TODAY()-8)-$D13)/7)+1))</f>
        <v/>
      </c>
      <c r="J13" s="116">
        <f>IF(OR($B13="",$D13="",$F13=""),0,$F13*MAX(0,INT((MIN(IF($E13="",TODAY()-15,$E13),TODAY()-15)-$D13)/7)+1))</f>
        <v/>
      </c>
      <c r="K13" s="116">
        <f>IF(OR($B13="",$D13="",$F13=""),0,$F13*MAX(0,INT((MIN(IF($E13="",TODAY()-29,$E13),TODAY()-29)-$D13)/7)+1))</f>
        <v/>
      </c>
      <c r="L13" s="117">
        <f>IF($F13&gt;0,$H13/$F13,0)</f>
        <v/>
      </c>
      <c r="M13" s="112">
        <f>IF($B13="","",IF($C13="TANIMSIZ MÜŞTERİ","HATA",IF($G13="Pasif","PASİF",IF(AND(WEEKDAY($D13,2)=6,OR($E13="",WEEKDAY($E13,2)=6),$F13&gt;0),"UYGUN","HATA"))))</f>
        <v/>
      </c>
      <c r="N13" s="108" t="inlineStr">
        <is>
          <t>Mevcut dosyadan aktarıldı</t>
        </is>
      </c>
      <c r="O13" s="6" t="n"/>
      <c r="P13" s="6" t="n"/>
    </row>
    <row r="14">
      <c r="A14" s="6" t="n"/>
      <c r="B14" s="107" t="inlineStr">
        <is>
          <t>M008</t>
        </is>
      </c>
      <c r="C14" s="113">
        <f>IF($B14="","",IFERROR(INDEX(MUSTERILER!$C$7:$C$106,MATCH($B14,MUSTERILER!$B$7:$B$106,0)),"TANIMSIZ MÜŞTERİ"))</f>
        <v/>
      </c>
      <c r="D14" s="114" t="n">
        <v>46263</v>
      </c>
      <c r="E14" s="114" t="n"/>
      <c r="F14" s="115" t="n">
        <v>3500</v>
      </c>
      <c r="G14" s="107" t="inlineStr">
        <is>
          <t>Aktif</t>
        </is>
      </c>
      <c r="H14" s="116">
        <f>IF(OR($B14="",$D14="",$F14=""),0,$F14*MAX(0,INT((MIN(IF($E14="",TODAY(),$E14),TODAY())-$D14)/7)+1))</f>
        <v/>
      </c>
      <c r="I14" s="116">
        <f>IF(OR($B14="",$D14="",$F14=""),0,$F14*MAX(0,INT((MIN(IF($E14="",TODAY()-8,$E14),TODAY()-8)-$D14)/7)+1))</f>
        <v/>
      </c>
      <c r="J14" s="116">
        <f>IF(OR($B14="",$D14="",$F14=""),0,$F14*MAX(0,INT((MIN(IF($E14="",TODAY()-15,$E14),TODAY()-15)-$D14)/7)+1))</f>
        <v/>
      </c>
      <c r="K14" s="116">
        <f>IF(OR($B14="",$D14="",$F14=""),0,$F14*MAX(0,INT((MIN(IF($E14="",TODAY()-29,$E14),TODAY()-29)-$D14)/7)+1))</f>
        <v/>
      </c>
      <c r="L14" s="117">
        <f>IF($F14&gt;0,$H14/$F14,0)</f>
        <v/>
      </c>
      <c r="M14" s="112">
        <f>IF($B14="","",IF($C14="TANIMSIZ MÜŞTERİ","HATA",IF($G14="Pasif","PASİF",IF(AND(WEEKDAY($D14,2)=6,OR($E14="",WEEKDAY($E14,2)=6),$F14&gt;0),"UYGUN","HATA"))))</f>
        <v/>
      </c>
      <c r="N14" s="108" t="inlineStr">
        <is>
          <t>Mevcut dosyadan aktarıldı</t>
        </is>
      </c>
      <c r="O14" s="6" t="n"/>
      <c r="P14" s="6" t="n"/>
    </row>
    <row r="15">
      <c r="A15" s="6" t="n"/>
      <c r="B15" s="107" t="inlineStr">
        <is>
          <t>M009</t>
        </is>
      </c>
      <c r="C15" s="113">
        <f>IF($B15="","",IFERROR(INDEX(MUSTERILER!$C$7:$C$106,MATCH($B15,MUSTERILER!$B$7:$B$106,0)),"TANIMSIZ MÜŞTERİ"))</f>
        <v/>
      </c>
      <c r="D15" s="114" t="n"/>
      <c r="E15" s="114" t="n"/>
      <c r="F15" s="115" t="n"/>
      <c r="G15" s="107" t="inlineStr">
        <is>
          <t>Pasif</t>
        </is>
      </c>
      <c r="H15" s="116">
        <f>IF(OR($B15="",$D15="",$F15=""),0,$F15*MAX(0,INT((MIN(IF($E15="",TODAY(),$E15),TODAY())-$D15)/7)+1))</f>
        <v/>
      </c>
      <c r="I15" s="116">
        <f>IF(OR($B15="",$D15="",$F15=""),0,$F15*MAX(0,INT((MIN(IF($E15="",TODAY()-8,$E15),TODAY()-8)-$D15)/7)+1))</f>
        <v/>
      </c>
      <c r="J15" s="116">
        <f>IF(OR($B15="",$D15="",$F15=""),0,$F15*MAX(0,INT((MIN(IF($E15="",TODAY()-15,$E15),TODAY()-15)-$D15)/7)+1))</f>
        <v/>
      </c>
      <c r="K15" s="116">
        <f>IF(OR($B15="",$D15="",$F15=""),0,$F15*MAX(0,INT((MIN(IF($E15="",TODAY()-29,$E15),TODAY()-29)-$D15)/7)+1))</f>
        <v/>
      </c>
      <c r="L15" s="117">
        <f>IF($F15&gt;0,$H15/$F15,0)</f>
        <v/>
      </c>
      <c r="M15" s="112">
        <f>IF($B15="","",IF($C15="TANIMSIZ MÜŞTERİ","HATA",IF($G15="Pasif","PASİF",IF(AND(WEEKDAY($D15,2)=6,OR($E15="",WEEKDAY($E15,2)=6),$F15&gt;0),"UYGUN","HATA"))))</f>
        <v/>
      </c>
      <c r="N15" s="108" t="inlineStr">
        <is>
          <t>Haftalık ücret girilmeli</t>
        </is>
      </c>
      <c r="O15" s="6" t="n"/>
      <c r="P15" s="6" t="n"/>
    </row>
    <row r="16">
      <c r="A16" s="6" t="n"/>
      <c r="B16" s="107" t="inlineStr">
        <is>
          <t>M010</t>
        </is>
      </c>
      <c r="C16" s="113">
        <f>IF($B16="","",IFERROR(INDEX(MUSTERILER!$C$7:$C$106,MATCH($B16,MUSTERILER!$B$7:$B$106,0)),"TANIMSIZ MÜŞTERİ"))</f>
        <v/>
      </c>
      <c r="D16" s="114" t="n"/>
      <c r="E16" s="114" t="n"/>
      <c r="F16" s="115" t="n"/>
      <c r="G16" s="107" t="inlineStr">
        <is>
          <t>Pasif</t>
        </is>
      </c>
      <c r="H16" s="116">
        <f>IF(OR($B16="",$D16="",$F16=""),0,$F16*MAX(0,INT((MIN(IF($E16="",TODAY(),$E16),TODAY())-$D16)/7)+1))</f>
        <v/>
      </c>
      <c r="I16" s="116">
        <f>IF(OR($B16="",$D16="",$F16=""),0,$F16*MAX(0,INT((MIN(IF($E16="",TODAY()-8,$E16),TODAY()-8)-$D16)/7)+1))</f>
        <v/>
      </c>
      <c r="J16" s="116">
        <f>IF(OR($B16="",$D16="",$F16=""),0,$F16*MAX(0,INT((MIN(IF($E16="",TODAY()-15,$E16),TODAY()-15)-$D16)/7)+1))</f>
        <v/>
      </c>
      <c r="K16" s="116">
        <f>IF(OR($B16="",$D16="",$F16=""),0,$F16*MAX(0,INT((MIN(IF($E16="",TODAY()-29,$E16),TODAY()-29)-$D16)/7)+1))</f>
        <v/>
      </c>
      <c r="L16" s="117">
        <f>IF($F16&gt;0,$H16/$F16,0)</f>
        <v/>
      </c>
      <c r="M16" s="112">
        <f>IF($B16="","",IF($C16="TANIMSIZ MÜŞTERİ","HATA",IF($G16="Pasif","PASİF",IF(AND(WEEKDAY($D16,2)=6,OR($E16="",WEEKDAY($E16,2)=6),$F16&gt;0),"UYGUN","HATA"))))</f>
        <v/>
      </c>
      <c r="N16" s="108" t="inlineStr">
        <is>
          <t>Haftalık ücret girilmeli</t>
        </is>
      </c>
      <c r="O16" s="6" t="n"/>
      <c r="P16" s="6" t="n"/>
    </row>
    <row r="17">
      <c r="A17" s="6" t="n"/>
      <c r="B17" s="107" t="inlineStr">
        <is>
          <t>M011</t>
        </is>
      </c>
      <c r="C17" s="113">
        <f>IF($B17="","",IFERROR(INDEX(MUSTERILER!$C$7:$C$106,MATCH($B17,MUSTERILER!$B$7:$B$106,0)),"TANIMSIZ MÜŞTERİ"))</f>
        <v/>
      </c>
      <c r="D17" s="114" t="n"/>
      <c r="E17" s="114" t="n"/>
      <c r="F17" s="115" t="n"/>
      <c r="G17" s="107" t="inlineStr">
        <is>
          <t>Pasif</t>
        </is>
      </c>
      <c r="H17" s="116">
        <f>IF(OR($B17="",$D17="",$F17=""),0,$F17*MAX(0,INT((MIN(IF($E17="",TODAY(),$E17),TODAY())-$D17)/7)+1))</f>
        <v/>
      </c>
      <c r="I17" s="116">
        <f>IF(OR($B17="",$D17="",$F17=""),0,$F17*MAX(0,INT((MIN(IF($E17="",TODAY()-8,$E17),TODAY()-8)-$D17)/7)+1))</f>
        <v/>
      </c>
      <c r="J17" s="116">
        <f>IF(OR($B17="",$D17="",$F17=""),0,$F17*MAX(0,INT((MIN(IF($E17="",TODAY()-15,$E17),TODAY()-15)-$D17)/7)+1))</f>
        <v/>
      </c>
      <c r="K17" s="116">
        <f>IF(OR($B17="",$D17="",$F17=""),0,$F17*MAX(0,INT((MIN(IF($E17="",TODAY()-29,$E17),TODAY()-29)-$D17)/7)+1))</f>
        <v/>
      </c>
      <c r="L17" s="117">
        <f>IF($F17&gt;0,$H17/$F17,0)</f>
        <v/>
      </c>
      <c r="M17" s="112">
        <f>IF($B17="","",IF($C17="TANIMSIZ MÜŞTERİ","HATA",IF($G17="Pasif","PASİF",IF(AND(WEEKDAY($D17,2)=6,OR($E17="",WEEKDAY($E17,2)=6),$F17&gt;0),"UYGUN","HATA"))))</f>
        <v/>
      </c>
      <c r="N17" s="108" t="inlineStr">
        <is>
          <t>Haftalık ücret girilmeli</t>
        </is>
      </c>
      <c r="O17" s="6" t="n"/>
      <c r="P17" s="6" t="n"/>
    </row>
    <row r="18">
      <c r="A18" s="6" t="n"/>
      <c r="B18" s="107" t="inlineStr">
        <is>
          <t>M012</t>
        </is>
      </c>
      <c r="C18" s="113">
        <f>IF($B18="","",IFERROR(INDEX(MUSTERILER!$C$7:$C$106,MATCH($B18,MUSTERILER!$B$7:$B$106,0)),"TANIMSIZ MÜŞTERİ"))</f>
        <v/>
      </c>
      <c r="D18" s="114" t="n"/>
      <c r="E18" s="114" t="n"/>
      <c r="F18" s="115" t="n"/>
      <c r="G18" s="107" t="inlineStr">
        <is>
          <t>Pasif</t>
        </is>
      </c>
      <c r="H18" s="116">
        <f>IF(OR($B18="",$D18="",$F18=""),0,$F18*MAX(0,INT((MIN(IF($E18="",TODAY(),$E18),TODAY())-$D18)/7)+1))</f>
        <v/>
      </c>
      <c r="I18" s="116">
        <f>IF(OR($B18="",$D18="",$F18=""),0,$F18*MAX(0,INT((MIN(IF($E18="",TODAY()-8,$E18),TODAY()-8)-$D18)/7)+1))</f>
        <v/>
      </c>
      <c r="J18" s="116">
        <f>IF(OR($B18="",$D18="",$F18=""),0,$F18*MAX(0,INT((MIN(IF($E18="",TODAY()-15,$E18),TODAY()-15)-$D18)/7)+1))</f>
        <v/>
      </c>
      <c r="K18" s="116">
        <f>IF(OR($B18="",$D18="",$F18=""),0,$F18*MAX(0,INT((MIN(IF($E18="",TODAY()-29,$E18),TODAY()-29)-$D18)/7)+1))</f>
        <v/>
      </c>
      <c r="L18" s="117">
        <f>IF($F18&gt;0,$H18/$F18,0)</f>
        <v/>
      </c>
      <c r="M18" s="112">
        <f>IF($B18="","",IF($C18="TANIMSIZ MÜŞTERİ","HATA",IF($G18="Pasif","PASİF",IF(AND(WEEKDAY($D18,2)=6,OR($E18="",WEEKDAY($E18,2)=6),$F18&gt;0),"UYGUN","HATA"))))</f>
        <v/>
      </c>
      <c r="N18" s="108" t="inlineStr">
        <is>
          <t>Haftalık ücret girilmeli</t>
        </is>
      </c>
      <c r="O18" s="6" t="n"/>
      <c r="P18" s="6" t="n"/>
    </row>
    <row r="19">
      <c r="A19" s="6" t="n"/>
      <c r="B19" s="107" t="inlineStr">
        <is>
          <t>M013</t>
        </is>
      </c>
      <c r="C19" s="113">
        <f>IF($B19="","",IFERROR(INDEX(MUSTERILER!$C$7:$C$106,MATCH($B19,MUSTERILER!$B$7:$B$106,0)),"TANIMSIZ MÜŞTERİ"))</f>
        <v/>
      </c>
      <c r="D19" s="114" t="n"/>
      <c r="E19" s="114" t="n"/>
      <c r="F19" s="115" t="n"/>
      <c r="G19" s="107" t="inlineStr">
        <is>
          <t>Pasif</t>
        </is>
      </c>
      <c r="H19" s="116">
        <f>IF(OR($B19="",$D19="",$F19=""),0,$F19*MAX(0,INT((MIN(IF($E19="",TODAY(),$E19),TODAY())-$D19)/7)+1))</f>
        <v/>
      </c>
      <c r="I19" s="116">
        <f>IF(OR($B19="",$D19="",$F19=""),0,$F19*MAX(0,INT((MIN(IF($E19="",TODAY()-8,$E19),TODAY()-8)-$D19)/7)+1))</f>
        <v/>
      </c>
      <c r="J19" s="116">
        <f>IF(OR($B19="",$D19="",$F19=""),0,$F19*MAX(0,INT((MIN(IF($E19="",TODAY()-15,$E19),TODAY()-15)-$D19)/7)+1))</f>
        <v/>
      </c>
      <c r="K19" s="116">
        <f>IF(OR($B19="",$D19="",$F19=""),0,$F19*MAX(0,INT((MIN(IF($E19="",TODAY()-29,$E19),TODAY()-29)-$D19)/7)+1))</f>
        <v/>
      </c>
      <c r="L19" s="117">
        <f>IF($F19&gt;0,$H19/$F19,0)</f>
        <v/>
      </c>
      <c r="M19" s="112">
        <f>IF($B19="","",IF($C19="TANIMSIZ MÜŞTERİ","HATA",IF($G19="Pasif","PASİF",IF(AND(WEEKDAY($D19,2)=6,OR($E19="",WEEKDAY($E19,2)=6),$F19&gt;0),"UYGUN","HATA"))))</f>
        <v/>
      </c>
      <c r="N19" s="108" t="inlineStr">
        <is>
          <t>Haftalık ücret girilmeli</t>
        </is>
      </c>
      <c r="O19" s="6" t="n"/>
      <c r="P19" s="6" t="n"/>
    </row>
    <row r="20">
      <c r="A20" s="6" t="n"/>
      <c r="B20" s="107" t="inlineStr">
        <is>
          <t>M014</t>
        </is>
      </c>
      <c r="C20" s="113">
        <f>IF($B20="","",IFERROR(INDEX(MUSTERILER!$C$7:$C$106,MATCH($B20,MUSTERILER!$B$7:$B$106,0)),"TANIMSIZ MÜŞTERİ"))</f>
        <v/>
      </c>
      <c r="D20" s="114" t="n"/>
      <c r="E20" s="114" t="n"/>
      <c r="F20" s="115" t="n"/>
      <c r="G20" s="107" t="inlineStr">
        <is>
          <t>Pasif</t>
        </is>
      </c>
      <c r="H20" s="116">
        <f>IF(OR($B20="",$D20="",$F20=""),0,$F20*MAX(0,INT((MIN(IF($E20="",TODAY(),$E20),TODAY())-$D20)/7)+1))</f>
        <v/>
      </c>
      <c r="I20" s="116">
        <f>IF(OR($B20="",$D20="",$F20=""),0,$F20*MAX(0,INT((MIN(IF($E20="",TODAY()-8,$E20),TODAY()-8)-$D20)/7)+1))</f>
        <v/>
      </c>
      <c r="J20" s="116">
        <f>IF(OR($B20="",$D20="",$F20=""),0,$F20*MAX(0,INT((MIN(IF($E20="",TODAY()-15,$E20),TODAY()-15)-$D20)/7)+1))</f>
        <v/>
      </c>
      <c r="K20" s="116">
        <f>IF(OR($B20="",$D20="",$F20=""),0,$F20*MAX(0,INT((MIN(IF($E20="",TODAY()-29,$E20),TODAY()-29)-$D20)/7)+1))</f>
        <v/>
      </c>
      <c r="L20" s="117">
        <f>IF($F20&gt;0,$H20/$F20,0)</f>
        <v/>
      </c>
      <c r="M20" s="112">
        <f>IF($B20="","",IF($C20="TANIMSIZ MÜŞTERİ","HATA",IF($G20="Pasif","PASİF",IF(AND(WEEKDAY($D20,2)=6,OR($E20="",WEEKDAY($E20,2)=6),$F20&gt;0),"UYGUN","HATA"))))</f>
        <v/>
      </c>
      <c r="N20" s="108" t="inlineStr">
        <is>
          <t>Haftalık ücret girilmeli</t>
        </is>
      </c>
      <c r="O20" s="6" t="n"/>
      <c r="P20" s="6" t="n"/>
    </row>
    <row r="21">
      <c r="A21" s="6" t="n"/>
      <c r="B21" s="107" t="inlineStr">
        <is>
          <t>M015</t>
        </is>
      </c>
      <c r="C21" s="113">
        <f>IF($B21="","",IFERROR(INDEX(MUSTERILER!$C$7:$C$106,MATCH($B21,MUSTERILER!$B$7:$B$106,0)),"TANIMSIZ MÜŞTERİ"))</f>
        <v/>
      </c>
      <c r="D21" s="114" t="n"/>
      <c r="E21" s="114" t="n"/>
      <c r="F21" s="115" t="n"/>
      <c r="G21" s="107" t="inlineStr">
        <is>
          <t>Pasif</t>
        </is>
      </c>
      <c r="H21" s="116">
        <f>IF(OR($B21="",$D21="",$F21=""),0,$F21*MAX(0,INT((MIN(IF($E21="",TODAY(),$E21),TODAY())-$D21)/7)+1))</f>
        <v/>
      </c>
      <c r="I21" s="116">
        <f>IF(OR($B21="",$D21="",$F21=""),0,$F21*MAX(0,INT((MIN(IF($E21="",TODAY()-8,$E21),TODAY()-8)-$D21)/7)+1))</f>
        <v/>
      </c>
      <c r="J21" s="116">
        <f>IF(OR($B21="",$D21="",$F21=""),0,$F21*MAX(0,INT((MIN(IF($E21="",TODAY()-15,$E21),TODAY()-15)-$D21)/7)+1))</f>
        <v/>
      </c>
      <c r="K21" s="116">
        <f>IF(OR($B21="",$D21="",$F21=""),0,$F21*MAX(0,INT((MIN(IF($E21="",TODAY()-29,$E21),TODAY()-29)-$D21)/7)+1))</f>
        <v/>
      </c>
      <c r="L21" s="117">
        <f>IF($F21&gt;0,$H21/$F21,0)</f>
        <v/>
      </c>
      <c r="M21" s="112">
        <f>IF($B21="","",IF($C21="TANIMSIZ MÜŞTERİ","HATA",IF($G21="Pasif","PASİF",IF(AND(WEEKDAY($D21,2)=6,OR($E21="",WEEKDAY($E21,2)=6),$F21&gt;0),"UYGUN","HATA"))))</f>
        <v/>
      </c>
      <c r="N21" s="108" t="inlineStr">
        <is>
          <t>Haftalık ücret girilmeli</t>
        </is>
      </c>
      <c r="O21" s="6" t="n"/>
      <c r="P21" s="6" t="n"/>
    </row>
    <row r="22">
      <c r="A22" s="6" t="n"/>
      <c r="B22" s="107" t="inlineStr">
        <is>
          <t>M016</t>
        </is>
      </c>
      <c r="C22" s="113">
        <f>IF($B22="","",IFERROR(INDEX(MUSTERILER!$C$7:$C$106,MATCH($B22,MUSTERILER!$B$7:$B$106,0)),"TANIMSIZ MÜŞTERİ"))</f>
        <v/>
      </c>
      <c r="D22" s="114" t="n"/>
      <c r="E22" s="114" t="n"/>
      <c r="F22" s="115" t="n"/>
      <c r="G22" s="107" t="inlineStr">
        <is>
          <t>Pasif</t>
        </is>
      </c>
      <c r="H22" s="116">
        <f>IF(OR($B22="",$D22="",$F22=""),0,$F22*MAX(0,INT((MIN(IF($E22="",TODAY(),$E22),TODAY())-$D22)/7)+1))</f>
        <v/>
      </c>
      <c r="I22" s="116">
        <f>IF(OR($B22="",$D22="",$F22=""),0,$F22*MAX(0,INT((MIN(IF($E22="",TODAY()-8,$E22),TODAY()-8)-$D22)/7)+1))</f>
        <v/>
      </c>
      <c r="J22" s="116">
        <f>IF(OR($B22="",$D22="",$F22=""),0,$F22*MAX(0,INT((MIN(IF($E22="",TODAY()-15,$E22),TODAY()-15)-$D22)/7)+1))</f>
        <v/>
      </c>
      <c r="K22" s="116">
        <f>IF(OR($B22="",$D22="",$F22=""),0,$F22*MAX(0,INT((MIN(IF($E22="",TODAY()-29,$E22),TODAY()-29)-$D22)/7)+1))</f>
        <v/>
      </c>
      <c r="L22" s="117">
        <f>IF($F22&gt;0,$H22/$F22,0)</f>
        <v/>
      </c>
      <c r="M22" s="112">
        <f>IF($B22="","",IF($C22="TANIMSIZ MÜŞTERİ","HATA",IF($G22="Pasif","PASİF",IF(AND(WEEKDAY($D22,2)=6,OR($E22="",WEEKDAY($E22,2)=6),$F22&gt;0),"UYGUN","HATA"))))</f>
        <v/>
      </c>
      <c r="N22" s="108" t="inlineStr">
        <is>
          <t>Haftalık ücret girilmeli</t>
        </is>
      </c>
      <c r="O22" s="6" t="n"/>
      <c r="P22" s="6" t="n"/>
    </row>
    <row r="23">
      <c r="A23" s="6" t="n"/>
      <c r="B23" s="107" t="inlineStr">
        <is>
          <t>M017</t>
        </is>
      </c>
      <c r="C23" s="113">
        <f>IF($B23="","",IFERROR(INDEX(MUSTERILER!$C$7:$C$106,MATCH($B23,MUSTERILER!$B$7:$B$106,0)),"TANIMSIZ MÜŞTERİ"))</f>
        <v/>
      </c>
      <c r="D23" s="114" t="n"/>
      <c r="E23" s="114" t="n"/>
      <c r="F23" s="115" t="n"/>
      <c r="G23" s="107" t="inlineStr">
        <is>
          <t>Pasif</t>
        </is>
      </c>
      <c r="H23" s="116">
        <f>IF(OR($B23="",$D23="",$F23=""),0,$F23*MAX(0,INT((MIN(IF($E23="",TODAY(),$E23),TODAY())-$D23)/7)+1))</f>
        <v/>
      </c>
      <c r="I23" s="116">
        <f>IF(OR($B23="",$D23="",$F23=""),0,$F23*MAX(0,INT((MIN(IF($E23="",TODAY()-8,$E23),TODAY()-8)-$D23)/7)+1))</f>
        <v/>
      </c>
      <c r="J23" s="116">
        <f>IF(OR($B23="",$D23="",$F23=""),0,$F23*MAX(0,INT((MIN(IF($E23="",TODAY()-15,$E23),TODAY()-15)-$D23)/7)+1))</f>
        <v/>
      </c>
      <c r="K23" s="116">
        <f>IF(OR($B23="",$D23="",$F23=""),0,$F23*MAX(0,INT((MIN(IF($E23="",TODAY()-29,$E23),TODAY()-29)-$D23)/7)+1))</f>
        <v/>
      </c>
      <c r="L23" s="117">
        <f>IF($F23&gt;0,$H23/$F23,0)</f>
        <v/>
      </c>
      <c r="M23" s="112">
        <f>IF($B23="","",IF($C23="TANIMSIZ MÜŞTERİ","HATA",IF($G23="Pasif","PASİF",IF(AND(WEEKDAY($D23,2)=6,OR($E23="",WEEKDAY($E23,2)=6),$F23&gt;0),"UYGUN","HATA"))))</f>
        <v/>
      </c>
      <c r="N23" s="108" t="inlineStr">
        <is>
          <t>Haftalık ücret girilmeli</t>
        </is>
      </c>
      <c r="O23" s="6" t="n"/>
      <c r="P23" s="6" t="n"/>
    </row>
    <row r="24">
      <c r="A24" s="6" t="n"/>
      <c r="B24" s="107" t="inlineStr">
        <is>
          <t>M018</t>
        </is>
      </c>
      <c r="C24" s="113">
        <f>IF($B24="","",IFERROR(INDEX(MUSTERILER!$C$7:$C$106,MATCH($B24,MUSTERILER!$B$7:$B$106,0)),"TANIMSIZ MÜŞTERİ"))</f>
        <v/>
      </c>
      <c r="D24" s="114" t="n"/>
      <c r="E24" s="114" t="n"/>
      <c r="F24" s="115" t="n"/>
      <c r="G24" s="107" t="inlineStr">
        <is>
          <t>Pasif</t>
        </is>
      </c>
      <c r="H24" s="116">
        <f>IF(OR($B24="",$D24="",$F24=""),0,$F24*MAX(0,INT((MIN(IF($E24="",TODAY(),$E24),TODAY())-$D24)/7)+1))</f>
        <v/>
      </c>
      <c r="I24" s="116">
        <f>IF(OR($B24="",$D24="",$F24=""),0,$F24*MAX(0,INT((MIN(IF($E24="",TODAY()-8,$E24),TODAY()-8)-$D24)/7)+1))</f>
        <v/>
      </c>
      <c r="J24" s="116">
        <f>IF(OR($B24="",$D24="",$F24=""),0,$F24*MAX(0,INT((MIN(IF($E24="",TODAY()-15,$E24),TODAY()-15)-$D24)/7)+1))</f>
        <v/>
      </c>
      <c r="K24" s="116">
        <f>IF(OR($B24="",$D24="",$F24=""),0,$F24*MAX(0,INT((MIN(IF($E24="",TODAY()-29,$E24),TODAY()-29)-$D24)/7)+1))</f>
        <v/>
      </c>
      <c r="L24" s="117">
        <f>IF($F24&gt;0,$H24/$F24,0)</f>
        <v/>
      </c>
      <c r="M24" s="112">
        <f>IF($B24="","",IF($C24="TANIMSIZ MÜŞTERİ","HATA",IF($G24="Pasif","PASİF",IF(AND(WEEKDAY($D24,2)=6,OR($E24="",WEEKDAY($E24,2)=6),$F24&gt;0),"UYGUN","HATA"))))</f>
        <v/>
      </c>
      <c r="N24" s="108" t="inlineStr">
        <is>
          <t>Haftalık ücret girilmeli</t>
        </is>
      </c>
      <c r="O24" s="6" t="n"/>
      <c r="P24" s="6" t="n"/>
    </row>
    <row r="25">
      <c r="A25" s="6" t="n"/>
      <c r="B25" s="107" t="inlineStr">
        <is>
          <t>M019</t>
        </is>
      </c>
      <c r="C25" s="113">
        <f>IF($B25="","",IFERROR(INDEX(MUSTERILER!$C$7:$C$106,MATCH($B25,MUSTERILER!$B$7:$B$106,0)),"TANIMSIZ MÜŞTERİ"))</f>
        <v/>
      </c>
      <c r="D25" s="114" t="n"/>
      <c r="E25" s="114" t="n"/>
      <c r="F25" s="115" t="n"/>
      <c r="G25" s="107" t="inlineStr">
        <is>
          <t>Pasif</t>
        </is>
      </c>
      <c r="H25" s="116">
        <f>IF(OR($B25="",$D25="",$F25=""),0,$F25*MAX(0,INT((MIN(IF($E25="",TODAY(),$E25),TODAY())-$D25)/7)+1))</f>
        <v/>
      </c>
      <c r="I25" s="116">
        <f>IF(OR($B25="",$D25="",$F25=""),0,$F25*MAX(0,INT((MIN(IF($E25="",TODAY()-8,$E25),TODAY()-8)-$D25)/7)+1))</f>
        <v/>
      </c>
      <c r="J25" s="116">
        <f>IF(OR($B25="",$D25="",$F25=""),0,$F25*MAX(0,INT((MIN(IF($E25="",TODAY()-15,$E25),TODAY()-15)-$D25)/7)+1))</f>
        <v/>
      </c>
      <c r="K25" s="116">
        <f>IF(OR($B25="",$D25="",$F25=""),0,$F25*MAX(0,INT((MIN(IF($E25="",TODAY()-29,$E25),TODAY()-29)-$D25)/7)+1))</f>
        <v/>
      </c>
      <c r="L25" s="117">
        <f>IF($F25&gt;0,$H25/$F25,0)</f>
        <v/>
      </c>
      <c r="M25" s="112">
        <f>IF($B25="","",IF($C25="TANIMSIZ MÜŞTERİ","HATA",IF($G25="Pasif","PASİF",IF(AND(WEEKDAY($D25,2)=6,OR($E25="",WEEKDAY($E25,2)=6),$F25&gt;0),"UYGUN","HATA"))))</f>
        <v/>
      </c>
      <c r="N25" s="108" t="inlineStr">
        <is>
          <t>Haftalık ücret girilmeli</t>
        </is>
      </c>
      <c r="O25" s="6" t="n"/>
      <c r="P25" s="6" t="n"/>
    </row>
    <row r="26">
      <c r="A26" s="6" t="n"/>
      <c r="B26" s="107" t="inlineStr">
        <is>
          <t>M020</t>
        </is>
      </c>
      <c r="C26" s="113">
        <f>IF($B26="","",IFERROR(INDEX(MUSTERILER!$C$7:$C$106,MATCH($B26,MUSTERILER!$B$7:$B$106,0)),"TANIMSIZ MÜŞTERİ"))</f>
        <v/>
      </c>
      <c r="D26" s="114" t="n"/>
      <c r="E26" s="114" t="n"/>
      <c r="F26" s="115" t="n"/>
      <c r="G26" s="107" t="inlineStr">
        <is>
          <t>Pasif</t>
        </is>
      </c>
      <c r="H26" s="116">
        <f>IF(OR($B26="",$D26="",$F26=""),0,$F26*MAX(0,INT((MIN(IF($E26="",TODAY(),$E26),TODAY())-$D26)/7)+1))</f>
        <v/>
      </c>
      <c r="I26" s="116">
        <f>IF(OR($B26="",$D26="",$F26=""),0,$F26*MAX(0,INT((MIN(IF($E26="",TODAY()-8,$E26),TODAY()-8)-$D26)/7)+1))</f>
        <v/>
      </c>
      <c r="J26" s="116">
        <f>IF(OR($B26="",$D26="",$F26=""),0,$F26*MAX(0,INT((MIN(IF($E26="",TODAY()-15,$E26),TODAY()-15)-$D26)/7)+1))</f>
        <v/>
      </c>
      <c r="K26" s="116">
        <f>IF(OR($B26="",$D26="",$F26=""),0,$F26*MAX(0,INT((MIN(IF($E26="",TODAY()-29,$E26),TODAY()-29)-$D26)/7)+1))</f>
        <v/>
      </c>
      <c r="L26" s="117">
        <f>IF($F26&gt;0,$H26/$F26,0)</f>
        <v/>
      </c>
      <c r="M26" s="112">
        <f>IF($B26="","",IF($C26="TANIMSIZ MÜŞTERİ","HATA",IF($G26="Pasif","PASİF",IF(AND(WEEKDAY($D26,2)=6,OR($E26="",WEEKDAY($E26,2)=6),$F26&gt;0),"UYGUN","HATA"))))</f>
        <v/>
      </c>
      <c r="N26" s="108" t="inlineStr">
        <is>
          <t>Haftalık ücret girilmeli</t>
        </is>
      </c>
      <c r="O26" s="6" t="n"/>
      <c r="P26" s="6" t="n"/>
    </row>
    <row r="27">
      <c r="A27" s="6" t="n"/>
      <c r="B27" s="107" t="inlineStr">
        <is>
          <t>M021</t>
        </is>
      </c>
      <c r="C27" s="113">
        <f>IF($B27="","",IFERROR(INDEX(MUSTERILER!$C$7:$C$106,MATCH($B27,MUSTERILER!$B$7:$B$106,0)),"TANIMSIZ MÜŞTERİ"))</f>
        <v/>
      </c>
      <c r="D27" s="114" t="n"/>
      <c r="E27" s="114" t="n"/>
      <c r="F27" s="115" t="n"/>
      <c r="G27" s="107" t="inlineStr">
        <is>
          <t>Pasif</t>
        </is>
      </c>
      <c r="H27" s="116">
        <f>IF(OR($B27="",$D27="",$F27=""),0,$F27*MAX(0,INT((MIN(IF($E27="",TODAY(),$E27),TODAY())-$D27)/7)+1))</f>
        <v/>
      </c>
      <c r="I27" s="116">
        <f>IF(OR($B27="",$D27="",$F27=""),0,$F27*MAX(0,INT((MIN(IF($E27="",TODAY()-8,$E27),TODAY()-8)-$D27)/7)+1))</f>
        <v/>
      </c>
      <c r="J27" s="116">
        <f>IF(OR($B27="",$D27="",$F27=""),0,$F27*MAX(0,INT((MIN(IF($E27="",TODAY()-15,$E27),TODAY()-15)-$D27)/7)+1))</f>
        <v/>
      </c>
      <c r="K27" s="116">
        <f>IF(OR($B27="",$D27="",$F27=""),0,$F27*MAX(0,INT((MIN(IF($E27="",TODAY()-29,$E27),TODAY()-29)-$D27)/7)+1))</f>
        <v/>
      </c>
      <c r="L27" s="117">
        <f>IF($F27&gt;0,$H27/$F27,0)</f>
        <v/>
      </c>
      <c r="M27" s="112">
        <f>IF($B27="","",IF($C27="TANIMSIZ MÜŞTERİ","HATA",IF($G27="Pasif","PASİF",IF(AND(WEEKDAY($D27,2)=6,OR($E27="",WEEKDAY($E27,2)=6),$F27&gt;0),"UYGUN","HATA"))))</f>
        <v/>
      </c>
      <c r="N27" s="108" t="inlineStr">
        <is>
          <t>Haftalık ücret girilmeli</t>
        </is>
      </c>
      <c r="O27" s="6" t="n"/>
      <c r="P27" s="6" t="n"/>
    </row>
    <row r="28">
      <c r="A28" s="6" t="n"/>
      <c r="B28" s="107" t="n"/>
      <c r="C28" s="113">
        <f>IF($B28="","",IFERROR(INDEX(MUSTERILER!$C$7:$C$106,MATCH($B28,MUSTERILER!$B$7:$B$106,0)),"TANIMSIZ MÜŞTERİ"))</f>
        <v/>
      </c>
      <c r="D28" s="114" t="n"/>
      <c r="E28" s="114" t="n"/>
      <c r="F28" s="115" t="n"/>
      <c r="G28" s="107" t="n"/>
      <c r="H28" s="116">
        <f>IF(OR($B28="",$D28="",$F28=""),0,$F28*MAX(0,INT((MIN(IF($E28="",TODAY(),$E28),TODAY())-$D28)/7)+1))</f>
        <v/>
      </c>
      <c r="I28" s="116">
        <f>IF(OR($B28="",$D28="",$F28=""),0,$F28*MAX(0,INT((MIN(IF($E28="",TODAY()-8,$E28),TODAY()-8)-$D28)/7)+1))</f>
        <v/>
      </c>
      <c r="J28" s="116">
        <f>IF(OR($B28="",$D28="",$F28=""),0,$F28*MAX(0,INT((MIN(IF($E28="",TODAY()-15,$E28),TODAY()-15)-$D28)/7)+1))</f>
        <v/>
      </c>
      <c r="K28" s="116">
        <f>IF(OR($B28="",$D28="",$F28=""),0,$F28*MAX(0,INT((MIN(IF($E28="",TODAY()-29,$E28),TODAY()-29)-$D28)/7)+1))</f>
        <v/>
      </c>
      <c r="L28" s="117">
        <f>IF($F28&gt;0,$H28/$F28,0)</f>
        <v/>
      </c>
      <c r="M28" s="112">
        <f>IF($B28="","",IF($C28="TANIMSIZ MÜŞTERİ","HATA",IF($G28="Pasif","PASİF",IF(AND(WEEKDAY($D28,2)=6,OR($E28="",WEEKDAY($E28,2)=6),$F28&gt;0),"UYGUN","HATA"))))</f>
        <v/>
      </c>
      <c r="N28" s="108" t="n"/>
      <c r="O28" s="6" t="n"/>
      <c r="P28" s="6" t="n"/>
    </row>
    <row r="29">
      <c r="A29" s="6" t="n"/>
      <c r="B29" s="107" t="n"/>
      <c r="C29" s="113">
        <f>IF($B29="","",IFERROR(INDEX(MUSTERILER!$C$7:$C$106,MATCH($B29,MUSTERILER!$B$7:$B$106,0)),"TANIMSIZ MÜŞTERİ"))</f>
        <v/>
      </c>
      <c r="D29" s="114" t="n"/>
      <c r="E29" s="114" t="n"/>
      <c r="F29" s="115" t="n"/>
      <c r="G29" s="107" t="n"/>
      <c r="H29" s="116">
        <f>IF(OR($B29="",$D29="",$F29=""),0,$F29*MAX(0,INT((MIN(IF($E29="",TODAY(),$E29),TODAY())-$D29)/7)+1))</f>
        <v/>
      </c>
      <c r="I29" s="116">
        <f>IF(OR($B29="",$D29="",$F29=""),0,$F29*MAX(0,INT((MIN(IF($E29="",TODAY()-8,$E29),TODAY()-8)-$D29)/7)+1))</f>
        <v/>
      </c>
      <c r="J29" s="116">
        <f>IF(OR($B29="",$D29="",$F29=""),0,$F29*MAX(0,INT((MIN(IF($E29="",TODAY()-15,$E29),TODAY()-15)-$D29)/7)+1))</f>
        <v/>
      </c>
      <c r="K29" s="116">
        <f>IF(OR($B29="",$D29="",$F29=""),0,$F29*MAX(0,INT((MIN(IF($E29="",TODAY()-29,$E29),TODAY()-29)-$D29)/7)+1))</f>
        <v/>
      </c>
      <c r="L29" s="117">
        <f>IF($F29&gt;0,$H29/$F29,0)</f>
        <v/>
      </c>
      <c r="M29" s="112">
        <f>IF($B29="","",IF($C29="TANIMSIZ MÜŞTERİ","HATA",IF($G29="Pasif","PASİF",IF(AND(WEEKDAY($D29,2)=6,OR($E29="",WEEKDAY($E29,2)=6),$F29&gt;0),"UYGUN","HATA"))))</f>
        <v/>
      </c>
      <c r="N29" s="108" t="n"/>
      <c r="O29" s="6" t="n"/>
      <c r="P29" s="6" t="n"/>
    </row>
    <row r="30">
      <c r="A30" s="6" t="n"/>
      <c r="B30" s="107" t="n"/>
      <c r="C30" s="113">
        <f>IF($B30="","",IFERROR(INDEX(MUSTERILER!$C$7:$C$106,MATCH($B30,MUSTERILER!$B$7:$B$106,0)),"TANIMSIZ MÜŞTERİ"))</f>
        <v/>
      </c>
      <c r="D30" s="114" t="n"/>
      <c r="E30" s="114" t="n"/>
      <c r="F30" s="115" t="n"/>
      <c r="G30" s="107" t="n"/>
      <c r="H30" s="116">
        <f>IF(OR($B30="",$D30="",$F30=""),0,$F30*MAX(0,INT((MIN(IF($E30="",TODAY(),$E30),TODAY())-$D30)/7)+1))</f>
        <v/>
      </c>
      <c r="I30" s="116">
        <f>IF(OR($B30="",$D30="",$F30=""),0,$F30*MAX(0,INT((MIN(IF($E30="",TODAY()-8,$E30),TODAY()-8)-$D30)/7)+1))</f>
        <v/>
      </c>
      <c r="J30" s="116">
        <f>IF(OR($B30="",$D30="",$F30=""),0,$F30*MAX(0,INT((MIN(IF($E30="",TODAY()-15,$E30),TODAY()-15)-$D30)/7)+1))</f>
        <v/>
      </c>
      <c r="K30" s="116">
        <f>IF(OR($B30="",$D30="",$F30=""),0,$F30*MAX(0,INT((MIN(IF($E30="",TODAY()-29,$E30),TODAY()-29)-$D30)/7)+1))</f>
        <v/>
      </c>
      <c r="L30" s="117">
        <f>IF($F30&gt;0,$H30/$F30,0)</f>
        <v/>
      </c>
      <c r="M30" s="112">
        <f>IF($B30="","",IF($C30="TANIMSIZ MÜŞTERİ","HATA",IF($G30="Pasif","PASİF",IF(AND(WEEKDAY($D30,2)=6,OR($E30="",WEEKDAY($E30,2)=6),$F30&gt;0),"UYGUN","HATA"))))</f>
        <v/>
      </c>
      <c r="N30" s="108" t="n"/>
      <c r="O30" s="6" t="n"/>
      <c r="P30" s="6" t="n"/>
    </row>
    <row r="31">
      <c r="A31" s="6" t="n"/>
      <c r="B31" s="107" t="n"/>
      <c r="C31" s="113">
        <f>IF($B31="","",IFERROR(INDEX(MUSTERILER!$C$7:$C$106,MATCH($B31,MUSTERILER!$B$7:$B$106,0)),"TANIMSIZ MÜŞTERİ"))</f>
        <v/>
      </c>
      <c r="D31" s="114" t="n"/>
      <c r="E31" s="114" t="n"/>
      <c r="F31" s="115" t="n"/>
      <c r="G31" s="107" t="n"/>
      <c r="H31" s="116">
        <f>IF(OR($B31="",$D31="",$F31=""),0,$F31*MAX(0,INT((MIN(IF($E31="",TODAY(),$E31),TODAY())-$D31)/7)+1))</f>
        <v/>
      </c>
      <c r="I31" s="116">
        <f>IF(OR($B31="",$D31="",$F31=""),0,$F31*MAX(0,INT((MIN(IF($E31="",TODAY()-8,$E31),TODAY()-8)-$D31)/7)+1))</f>
        <v/>
      </c>
      <c r="J31" s="116">
        <f>IF(OR($B31="",$D31="",$F31=""),0,$F31*MAX(0,INT((MIN(IF($E31="",TODAY()-15,$E31),TODAY()-15)-$D31)/7)+1))</f>
        <v/>
      </c>
      <c r="K31" s="116">
        <f>IF(OR($B31="",$D31="",$F31=""),0,$F31*MAX(0,INT((MIN(IF($E31="",TODAY()-29,$E31),TODAY()-29)-$D31)/7)+1))</f>
        <v/>
      </c>
      <c r="L31" s="117">
        <f>IF($F31&gt;0,$H31/$F31,0)</f>
        <v/>
      </c>
      <c r="M31" s="112">
        <f>IF($B31="","",IF($C31="TANIMSIZ MÜŞTERİ","HATA",IF($G31="Pasif","PASİF",IF(AND(WEEKDAY($D31,2)=6,OR($E31="",WEEKDAY($E31,2)=6),$F31&gt;0),"UYGUN","HATA"))))</f>
        <v/>
      </c>
      <c r="N31" s="108" t="n"/>
      <c r="O31" s="6" t="n"/>
      <c r="P31" s="6" t="n"/>
    </row>
    <row r="32">
      <c r="A32" s="6" t="n"/>
      <c r="B32" s="107" t="n"/>
      <c r="C32" s="113">
        <f>IF($B32="","",IFERROR(INDEX(MUSTERILER!$C$7:$C$106,MATCH($B32,MUSTERILER!$B$7:$B$106,0)),"TANIMSIZ MÜŞTERİ"))</f>
        <v/>
      </c>
      <c r="D32" s="114" t="n"/>
      <c r="E32" s="114" t="n"/>
      <c r="F32" s="115" t="n"/>
      <c r="G32" s="107" t="n"/>
      <c r="H32" s="116">
        <f>IF(OR($B32="",$D32="",$F32=""),0,$F32*MAX(0,INT((MIN(IF($E32="",TODAY(),$E32),TODAY())-$D32)/7)+1))</f>
        <v/>
      </c>
      <c r="I32" s="116">
        <f>IF(OR($B32="",$D32="",$F32=""),0,$F32*MAX(0,INT((MIN(IF($E32="",TODAY()-8,$E32),TODAY()-8)-$D32)/7)+1))</f>
        <v/>
      </c>
      <c r="J32" s="116">
        <f>IF(OR($B32="",$D32="",$F32=""),0,$F32*MAX(0,INT((MIN(IF($E32="",TODAY()-15,$E32),TODAY()-15)-$D32)/7)+1))</f>
        <v/>
      </c>
      <c r="K32" s="116">
        <f>IF(OR($B32="",$D32="",$F32=""),0,$F32*MAX(0,INT((MIN(IF($E32="",TODAY()-29,$E32),TODAY()-29)-$D32)/7)+1))</f>
        <v/>
      </c>
      <c r="L32" s="117">
        <f>IF($F32&gt;0,$H32/$F32,0)</f>
        <v/>
      </c>
      <c r="M32" s="112">
        <f>IF($B32="","",IF($C32="TANIMSIZ MÜŞTERİ","HATA",IF($G32="Pasif","PASİF",IF(AND(WEEKDAY($D32,2)=6,OR($E32="",WEEKDAY($E32,2)=6),$F32&gt;0),"UYGUN","HATA"))))</f>
        <v/>
      </c>
      <c r="N32" s="108" t="n"/>
      <c r="O32" s="6" t="n"/>
      <c r="P32" s="6" t="n"/>
    </row>
    <row r="33">
      <c r="A33" s="6" t="n"/>
      <c r="B33" s="107" t="n"/>
      <c r="C33" s="113">
        <f>IF($B33="","",IFERROR(INDEX(MUSTERILER!$C$7:$C$106,MATCH($B33,MUSTERILER!$B$7:$B$106,0)),"TANIMSIZ MÜŞTERİ"))</f>
        <v/>
      </c>
      <c r="D33" s="114" t="n"/>
      <c r="E33" s="114" t="n"/>
      <c r="F33" s="115" t="n"/>
      <c r="G33" s="107" t="n"/>
      <c r="H33" s="116">
        <f>IF(OR($B33="",$D33="",$F33=""),0,$F33*MAX(0,INT((MIN(IF($E33="",TODAY(),$E33),TODAY())-$D33)/7)+1))</f>
        <v/>
      </c>
      <c r="I33" s="116">
        <f>IF(OR($B33="",$D33="",$F33=""),0,$F33*MAX(0,INT((MIN(IF($E33="",TODAY()-8,$E33),TODAY()-8)-$D33)/7)+1))</f>
        <v/>
      </c>
      <c r="J33" s="116">
        <f>IF(OR($B33="",$D33="",$F33=""),0,$F33*MAX(0,INT((MIN(IF($E33="",TODAY()-15,$E33),TODAY()-15)-$D33)/7)+1))</f>
        <v/>
      </c>
      <c r="K33" s="116">
        <f>IF(OR($B33="",$D33="",$F33=""),0,$F33*MAX(0,INT((MIN(IF($E33="",TODAY()-29,$E33),TODAY()-29)-$D33)/7)+1))</f>
        <v/>
      </c>
      <c r="L33" s="117">
        <f>IF($F33&gt;0,$H33/$F33,0)</f>
        <v/>
      </c>
      <c r="M33" s="112">
        <f>IF($B33="","",IF($C33="TANIMSIZ MÜŞTERİ","HATA",IF($G33="Pasif","PASİF",IF(AND(WEEKDAY($D33,2)=6,OR($E33="",WEEKDAY($E33,2)=6),$F33&gt;0),"UYGUN","HATA"))))</f>
        <v/>
      </c>
      <c r="N33" s="108" t="n"/>
      <c r="O33" s="6" t="n"/>
      <c r="P33" s="6" t="n"/>
    </row>
    <row r="34">
      <c r="A34" s="6" t="n"/>
      <c r="B34" s="107" t="n"/>
      <c r="C34" s="113">
        <f>IF($B34="","",IFERROR(INDEX(MUSTERILER!$C$7:$C$106,MATCH($B34,MUSTERILER!$B$7:$B$106,0)),"TANIMSIZ MÜŞTERİ"))</f>
        <v/>
      </c>
      <c r="D34" s="114" t="n"/>
      <c r="E34" s="114" t="n"/>
      <c r="F34" s="115" t="n"/>
      <c r="G34" s="107" t="n"/>
      <c r="H34" s="116">
        <f>IF(OR($B34="",$D34="",$F34=""),0,$F34*MAX(0,INT((MIN(IF($E34="",TODAY(),$E34),TODAY())-$D34)/7)+1))</f>
        <v/>
      </c>
      <c r="I34" s="116">
        <f>IF(OR($B34="",$D34="",$F34=""),0,$F34*MAX(0,INT((MIN(IF($E34="",TODAY()-8,$E34),TODAY()-8)-$D34)/7)+1))</f>
        <v/>
      </c>
      <c r="J34" s="116">
        <f>IF(OR($B34="",$D34="",$F34=""),0,$F34*MAX(0,INT((MIN(IF($E34="",TODAY()-15,$E34),TODAY()-15)-$D34)/7)+1))</f>
        <v/>
      </c>
      <c r="K34" s="116">
        <f>IF(OR($B34="",$D34="",$F34=""),0,$F34*MAX(0,INT((MIN(IF($E34="",TODAY()-29,$E34),TODAY()-29)-$D34)/7)+1))</f>
        <v/>
      </c>
      <c r="L34" s="117">
        <f>IF($F34&gt;0,$H34/$F34,0)</f>
        <v/>
      </c>
      <c r="M34" s="112">
        <f>IF($B34="","",IF($C34="TANIMSIZ MÜŞTERİ","HATA",IF($G34="Pasif","PASİF",IF(AND(WEEKDAY($D34,2)=6,OR($E34="",WEEKDAY($E34,2)=6),$F34&gt;0),"UYGUN","HATA"))))</f>
        <v/>
      </c>
      <c r="N34" s="108" t="n"/>
      <c r="O34" s="6" t="n"/>
      <c r="P34" s="6" t="n"/>
    </row>
    <row r="35">
      <c r="A35" s="6" t="n"/>
      <c r="B35" s="107" t="n"/>
      <c r="C35" s="113">
        <f>IF($B35="","",IFERROR(INDEX(MUSTERILER!$C$7:$C$106,MATCH($B35,MUSTERILER!$B$7:$B$106,0)),"TANIMSIZ MÜŞTERİ"))</f>
        <v/>
      </c>
      <c r="D35" s="114" t="n"/>
      <c r="E35" s="114" t="n"/>
      <c r="F35" s="115" t="n"/>
      <c r="G35" s="107" t="n"/>
      <c r="H35" s="116">
        <f>IF(OR($B35="",$D35="",$F35=""),0,$F35*MAX(0,INT((MIN(IF($E35="",TODAY(),$E35),TODAY())-$D35)/7)+1))</f>
        <v/>
      </c>
      <c r="I35" s="116">
        <f>IF(OR($B35="",$D35="",$F35=""),0,$F35*MAX(0,INT((MIN(IF($E35="",TODAY()-8,$E35),TODAY()-8)-$D35)/7)+1))</f>
        <v/>
      </c>
      <c r="J35" s="116">
        <f>IF(OR($B35="",$D35="",$F35=""),0,$F35*MAX(0,INT((MIN(IF($E35="",TODAY()-15,$E35),TODAY()-15)-$D35)/7)+1))</f>
        <v/>
      </c>
      <c r="K35" s="116">
        <f>IF(OR($B35="",$D35="",$F35=""),0,$F35*MAX(0,INT((MIN(IF($E35="",TODAY()-29,$E35),TODAY()-29)-$D35)/7)+1))</f>
        <v/>
      </c>
      <c r="L35" s="117">
        <f>IF($F35&gt;0,$H35/$F35,0)</f>
        <v/>
      </c>
      <c r="M35" s="112">
        <f>IF($B35="","",IF($C35="TANIMSIZ MÜŞTERİ","HATA",IF($G35="Pasif","PASİF",IF(AND(WEEKDAY($D35,2)=6,OR($E35="",WEEKDAY($E35,2)=6),$F35&gt;0),"UYGUN","HATA"))))</f>
        <v/>
      </c>
      <c r="N35" s="108" t="n"/>
      <c r="O35" s="6" t="n"/>
      <c r="P35" s="6" t="n"/>
    </row>
    <row r="36">
      <c r="A36" s="6" t="n"/>
      <c r="B36" s="107" t="n"/>
      <c r="C36" s="113">
        <f>IF($B36="","",IFERROR(INDEX(MUSTERILER!$C$7:$C$106,MATCH($B36,MUSTERILER!$B$7:$B$106,0)),"TANIMSIZ MÜŞTERİ"))</f>
        <v/>
      </c>
      <c r="D36" s="114" t="n"/>
      <c r="E36" s="114" t="n"/>
      <c r="F36" s="115" t="n"/>
      <c r="G36" s="107" t="n"/>
      <c r="H36" s="116">
        <f>IF(OR($B36="",$D36="",$F36=""),0,$F36*MAX(0,INT((MIN(IF($E36="",TODAY(),$E36),TODAY())-$D36)/7)+1))</f>
        <v/>
      </c>
      <c r="I36" s="116">
        <f>IF(OR($B36="",$D36="",$F36=""),0,$F36*MAX(0,INT((MIN(IF($E36="",TODAY()-8,$E36),TODAY()-8)-$D36)/7)+1))</f>
        <v/>
      </c>
      <c r="J36" s="116">
        <f>IF(OR($B36="",$D36="",$F36=""),0,$F36*MAX(0,INT((MIN(IF($E36="",TODAY()-15,$E36),TODAY()-15)-$D36)/7)+1))</f>
        <v/>
      </c>
      <c r="K36" s="116">
        <f>IF(OR($B36="",$D36="",$F36=""),0,$F36*MAX(0,INT((MIN(IF($E36="",TODAY()-29,$E36),TODAY()-29)-$D36)/7)+1))</f>
        <v/>
      </c>
      <c r="L36" s="117">
        <f>IF($F36&gt;0,$H36/$F36,0)</f>
        <v/>
      </c>
      <c r="M36" s="112">
        <f>IF($B36="","",IF($C36="TANIMSIZ MÜŞTERİ","HATA",IF($G36="Pasif","PASİF",IF(AND(WEEKDAY($D36,2)=6,OR($E36="",WEEKDAY($E36,2)=6),$F36&gt;0),"UYGUN","HATA"))))</f>
        <v/>
      </c>
      <c r="N36" s="108" t="n"/>
      <c r="O36" s="6" t="n"/>
      <c r="P36" s="6" t="n"/>
    </row>
    <row r="37">
      <c r="A37" s="6" t="n"/>
      <c r="B37" s="107" t="n"/>
      <c r="C37" s="113">
        <f>IF($B37="","",IFERROR(INDEX(MUSTERILER!$C$7:$C$106,MATCH($B37,MUSTERILER!$B$7:$B$106,0)),"TANIMSIZ MÜŞTERİ"))</f>
        <v/>
      </c>
      <c r="D37" s="114" t="n"/>
      <c r="E37" s="114" t="n"/>
      <c r="F37" s="115" t="n"/>
      <c r="G37" s="107" t="n"/>
      <c r="H37" s="116">
        <f>IF(OR($B37="",$D37="",$F37=""),0,$F37*MAX(0,INT((MIN(IF($E37="",TODAY(),$E37),TODAY())-$D37)/7)+1))</f>
        <v/>
      </c>
      <c r="I37" s="116">
        <f>IF(OR($B37="",$D37="",$F37=""),0,$F37*MAX(0,INT((MIN(IF($E37="",TODAY()-8,$E37),TODAY()-8)-$D37)/7)+1))</f>
        <v/>
      </c>
      <c r="J37" s="116">
        <f>IF(OR($B37="",$D37="",$F37=""),0,$F37*MAX(0,INT((MIN(IF($E37="",TODAY()-15,$E37),TODAY()-15)-$D37)/7)+1))</f>
        <v/>
      </c>
      <c r="K37" s="116">
        <f>IF(OR($B37="",$D37="",$F37=""),0,$F37*MAX(0,INT((MIN(IF($E37="",TODAY()-29,$E37),TODAY()-29)-$D37)/7)+1))</f>
        <v/>
      </c>
      <c r="L37" s="117">
        <f>IF($F37&gt;0,$H37/$F37,0)</f>
        <v/>
      </c>
      <c r="M37" s="112">
        <f>IF($B37="","",IF($C37="TANIMSIZ MÜŞTERİ","HATA",IF($G37="Pasif","PASİF",IF(AND(WEEKDAY($D37,2)=6,OR($E37="",WEEKDAY($E37,2)=6),$F37&gt;0),"UYGUN","HATA"))))</f>
        <v/>
      </c>
      <c r="N37" s="108" t="n"/>
      <c r="O37" s="6" t="n"/>
      <c r="P37" s="6" t="n"/>
    </row>
    <row r="38">
      <c r="A38" s="6" t="n"/>
      <c r="B38" s="107" t="n"/>
      <c r="C38" s="113">
        <f>IF($B38="","",IFERROR(INDEX(MUSTERILER!$C$7:$C$106,MATCH($B38,MUSTERILER!$B$7:$B$106,0)),"TANIMSIZ MÜŞTERİ"))</f>
        <v/>
      </c>
      <c r="D38" s="114" t="n"/>
      <c r="E38" s="114" t="n"/>
      <c r="F38" s="115" t="n"/>
      <c r="G38" s="107" t="n"/>
      <c r="H38" s="116">
        <f>IF(OR($B38="",$D38="",$F38=""),0,$F38*MAX(0,INT((MIN(IF($E38="",TODAY(),$E38),TODAY())-$D38)/7)+1))</f>
        <v/>
      </c>
      <c r="I38" s="116">
        <f>IF(OR($B38="",$D38="",$F38=""),0,$F38*MAX(0,INT((MIN(IF($E38="",TODAY()-8,$E38),TODAY()-8)-$D38)/7)+1))</f>
        <v/>
      </c>
      <c r="J38" s="116">
        <f>IF(OR($B38="",$D38="",$F38=""),0,$F38*MAX(0,INT((MIN(IF($E38="",TODAY()-15,$E38),TODAY()-15)-$D38)/7)+1))</f>
        <v/>
      </c>
      <c r="K38" s="116">
        <f>IF(OR($B38="",$D38="",$F38=""),0,$F38*MAX(0,INT((MIN(IF($E38="",TODAY()-29,$E38),TODAY()-29)-$D38)/7)+1))</f>
        <v/>
      </c>
      <c r="L38" s="117">
        <f>IF($F38&gt;0,$H38/$F38,0)</f>
        <v/>
      </c>
      <c r="M38" s="112">
        <f>IF($B38="","",IF($C38="TANIMSIZ MÜŞTERİ","HATA",IF($G38="Pasif","PASİF",IF(AND(WEEKDAY($D38,2)=6,OR($E38="",WEEKDAY($E38,2)=6),$F38&gt;0),"UYGUN","HATA"))))</f>
        <v/>
      </c>
      <c r="N38" s="108" t="n"/>
      <c r="O38" s="6" t="n"/>
      <c r="P38" s="6" t="n"/>
    </row>
    <row r="39">
      <c r="A39" s="6" t="n"/>
      <c r="B39" s="107" t="n"/>
      <c r="C39" s="113">
        <f>IF($B39="","",IFERROR(INDEX(MUSTERILER!$C$7:$C$106,MATCH($B39,MUSTERILER!$B$7:$B$106,0)),"TANIMSIZ MÜŞTERİ"))</f>
        <v/>
      </c>
      <c r="D39" s="114" t="n"/>
      <c r="E39" s="114" t="n"/>
      <c r="F39" s="115" t="n"/>
      <c r="G39" s="107" t="n"/>
      <c r="H39" s="116">
        <f>IF(OR($B39="",$D39="",$F39=""),0,$F39*MAX(0,INT((MIN(IF($E39="",TODAY(),$E39),TODAY())-$D39)/7)+1))</f>
        <v/>
      </c>
      <c r="I39" s="116">
        <f>IF(OR($B39="",$D39="",$F39=""),0,$F39*MAX(0,INT((MIN(IF($E39="",TODAY()-8,$E39),TODAY()-8)-$D39)/7)+1))</f>
        <v/>
      </c>
      <c r="J39" s="116">
        <f>IF(OR($B39="",$D39="",$F39=""),0,$F39*MAX(0,INT((MIN(IF($E39="",TODAY()-15,$E39),TODAY()-15)-$D39)/7)+1))</f>
        <v/>
      </c>
      <c r="K39" s="116">
        <f>IF(OR($B39="",$D39="",$F39=""),0,$F39*MAX(0,INT((MIN(IF($E39="",TODAY()-29,$E39),TODAY()-29)-$D39)/7)+1))</f>
        <v/>
      </c>
      <c r="L39" s="117">
        <f>IF($F39&gt;0,$H39/$F39,0)</f>
        <v/>
      </c>
      <c r="M39" s="112">
        <f>IF($B39="","",IF($C39="TANIMSIZ MÜŞTERİ","HATA",IF($G39="Pasif","PASİF",IF(AND(WEEKDAY($D39,2)=6,OR($E39="",WEEKDAY($E39,2)=6),$F39&gt;0),"UYGUN","HATA"))))</f>
        <v/>
      </c>
      <c r="N39" s="108" t="n"/>
      <c r="O39" s="6" t="n"/>
      <c r="P39" s="6" t="n"/>
    </row>
    <row r="40">
      <c r="A40" s="6" t="n"/>
      <c r="B40" s="107" t="n"/>
      <c r="C40" s="113">
        <f>IF($B40="","",IFERROR(INDEX(MUSTERILER!$C$7:$C$106,MATCH($B40,MUSTERILER!$B$7:$B$106,0)),"TANIMSIZ MÜŞTERİ"))</f>
        <v/>
      </c>
      <c r="D40" s="114" t="n"/>
      <c r="E40" s="114" t="n"/>
      <c r="F40" s="115" t="n"/>
      <c r="G40" s="107" t="n"/>
      <c r="H40" s="116">
        <f>IF(OR($B40="",$D40="",$F40=""),0,$F40*MAX(0,INT((MIN(IF($E40="",TODAY(),$E40),TODAY())-$D40)/7)+1))</f>
        <v/>
      </c>
      <c r="I40" s="116">
        <f>IF(OR($B40="",$D40="",$F40=""),0,$F40*MAX(0,INT((MIN(IF($E40="",TODAY()-8,$E40),TODAY()-8)-$D40)/7)+1))</f>
        <v/>
      </c>
      <c r="J40" s="116">
        <f>IF(OR($B40="",$D40="",$F40=""),0,$F40*MAX(0,INT((MIN(IF($E40="",TODAY()-15,$E40),TODAY()-15)-$D40)/7)+1))</f>
        <v/>
      </c>
      <c r="K40" s="116">
        <f>IF(OR($B40="",$D40="",$F40=""),0,$F40*MAX(0,INT((MIN(IF($E40="",TODAY()-29,$E40),TODAY()-29)-$D40)/7)+1))</f>
        <v/>
      </c>
      <c r="L40" s="117">
        <f>IF($F40&gt;0,$H40/$F40,0)</f>
        <v/>
      </c>
      <c r="M40" s="112">
        <f>IF($B40="","",IF($C40="TANIMSIZ MÜŞTERİ","HATA",IF($G40="Pasif","PASİF",IF(AND(WEEKDAY($D40,2)=6,OR($E40="",WEEKDAY($E40,2)=6),$F40&gt;0),"UYGUN","HATA"))))</f>
        <v/>
      </c>
      <c r="N40" s="108" t="n"/>
      <c r="O40" s="6" t="n"/>
      <c r="P40" s="6" t="n"/>
    </row>
    <row r="41">
      <c r="A41" s="6" t="n"/>
      <c r="B41" s="107" t="n"/>
      <c r="C41" s="113">
        <f>IF($B41="","",IFERROR(INDEX(MUSTERILER!$C$7:$C$106,MATCH($B41,MUSTERILER!$B$7:$B$106,0)),"TANIMSIZ MÜŞTERİ"))</f>
        <v/>
      </c>
      <c r="D41" s="114" t="n"/>
      <c r="E41" s="114" t="n"/>
      <c r="F41" s="115" t="n"/>
      <c r="G41" s="107" t="n"/>
      <c r="H41" s="116">
        <f>IF(OR($B41="",$D41="",$F41=""),0,$F41*MAX(0,INT((MIN(IF($E41="",TODAY(),$E41),TODAY())-$D41)/7)+1))</f>
        <v/>
      </c>
      <c r="I41" s="116">
        <f>IF(OR($B41="",$D41="",$F41=""),0,$F41*MAX(0,INT((MIN(IF($E41="",TODAY()-8,$E41),TODAY()-8)-$D41)/7)+1))</f>
        <v/>
      </c>
      <c r="J41" s="116">
        <f>IF(OR($B41="",$D41="",$F41=""),0,$F41*MAX(0,INT((MIN(IF($E41="",TODAY()-15,$E41),TODAY()-15)-$D41)/7)+1))</f>
        <v/>
      </c>
      <c r="K41" s="116">
        <f>IF(OR($B41="",$D41="",$F41=""),0,$F41*MAX(0,INT((MIN(IF($E41="",TODAY()-29,$E41),TODAY()-29)-$D41)/7)+1))</f>
        <v/>
      </c>
      <c r="L41" s="117">
        <f>IF($F41&gt;0,$H41/$F41,0)</f>
        <v/>
      </c>
      <c r="M41" s="112">
        <f>IF($B41="","",IF($C41="TANIMSIZ MÜŞTERİ","HATA",IF($G41="Pasif","PASİF",IF(AND(WEEKDAY($D41,2)=6,OR($E41="",WEEKDAY($E41,2)=6),$F41&gt;0),"UYGUN","HATA"))))</f>
        <v/>
      </c>
      <c r="N41" s="108" t="n"/>
      <c r="O41" s="6" t="n"/>
      <c r="P41" s="6" t="n"/>
    </row>
    <row r="42">
      <c r="A42" s="6" t="n"/>
      <c r="B42" s="107" t="n"/>
      <c r="C42" s="113">
        <f>IF($B42="","",IFERROR(INDEX(MUSTERILER!$C$7:$C$106,MATCH($B42,MUSTERILER!$B$7:$B$106,0)),"TANIMSIZ MÜŞTERİ"))</f>
        <v/>
      </c>
      <c r="D42" s="114" t="n"/>
      <c r="E42" s="114" t="n"/>
      <c r="F42" s="115" t="n"/>
      <c r="G42" s="107" t="n"/>
      <c r="H42" s="116">
        <f>IF(OR($B42="",$D42="",$F42=""),0,$F42*MAX(0,INT((MIN(IF($E42="",TODAY(),$E42),TODAY())-$D42)/7)+1))</f>
        <v/>
      </c>
      <c r="I42" s="116">
        <f>IF(OR($B42="",$D42="",$F42=""),0,$F42*MAX(0,INT((MIN(IF($E42="",TODAY()-8,$E42),TODAY()-8)-$D42)/7)+1))</f>
        <v/>
      </c>
      <c r="J42" s="116">
        <f>IF(OR($B42="",$D42="",$F42=""),0,$F42*MAX(0,INT((MIN(IF($E42="",TODAY()-15,$E42),TODAY()-15)-$D42)/7)+1))</f>
        <v/>
      </c>
      <c r="K42" s="116">
        <f>IF(OR($B42="",$D42="",$F42=""),0,$F42*MAX(0,INT((MIN(IF($E42="",TODAY()-29,$E42),TODAY()-29)-$D42)/7)+1))</f>
        <v/>
      </c>
      <c r="L42" s="117">
        <f>IF($F42&gt;0,$H42/$F42,0)</f>
        <v/>
      </c>
      <c r="M42" s="112">
        <f>IF($B42="","",IF($C42="TANIMSIZ MÜŞTERİ","HATA",IF($G42="Pasif","PASİF",IF(AND(WEEKDAY($D42,2)=6,OR($E42="",WEEKDAY($E42,2)=6),$F42&gt;0),"UYGUN","HATA"))))</f>
        <v/>
      </c>
      <c r="N42" s="108" t="n"/>
      <c r="O42" s="6" t="n"/>
      <c r="P42" s="6" t="n"/>
    </row>
    <row r="43">
      <c r="A43" s="6" t="n"/>
      <c r="B43" s="107" t="n"/>
      <c r="C43" s="113">
        <f>IF($B43="","",IFERROR(INDEX(MUSTERILER!$C$7:$C$106,MATCH($B43,MUSTERILER!$B$7:$B$106,0)),"TANIMSIZ MÜŞTERİ"))</f>
        <v/>
      </c>
      <c r="D43" s="114" t="n"/>
      <c r="E43" s="114" t="n"/>
      <c r="F43" s="115" t="n"/>
      <c r="G43" s="107" t="n"/>
      <c r="H43" s="116">
        <f>IF(OR($B43="",$D43="",$F43=""),0,$F43*MAX(0,INT((MIN(IF($E43="",TODAY(),$E43),TODAY())-$D43)/7)+1))</f>
        <v/>
      </c>
      <c r="I43" s="116">
        <f>IF(OR($B43="",$D43="",$F43=""),0,$F43*MAX(0,INT((MIN(IF($E43="",TODAY()-8,$E43),TODAY()-8)-$D43)/7)+1))</f>
        <v/>
      </c>
      <c r="J43" s="116">
        <f>IF(OR($B43="",$D43="",$F43=""),0,$F43*MAX(0,INT((MIN(IF($E43="",TODAY()-15,$E43),TODAY()-15)-$D43)/7)+1))</f>
        <v/>
      </c>
      <c r="K43" s="116">
        <f>IF(OR($B43="",$D43="",$F43=""),0,$F43*MAX(0,INT((MIN(IF($E43="",TODAY()-29,$E43),TODAY()-29)-$D43)/7)+1))</f>
        <v/>
      </c>
      <c r="L43" s="117">
        <f>IF($F43&gt;0,$H43/$F43,0)</f>
        <v/>
      </c>
      <c r="M43" s="112">
        <f>IF($B43="","",IF($C43="TANIMSIZ MÜŞTERİ","HATA",IF($G43="Pasif","PASİF",IF(AND(WEEKDAY($D43,2)=6,OR($E43="",WEEKDAY($E43,2)=6),$F43&gt;0),"UYGUN","HATA"))))</f>
        <v/>
      </c>
      <c r="N43" s="108" t="n"/>
      <c r="O43" s="6" t="n"/>
      <c r="P43" s="6" t="n"/>
    </row>
    <row r="44">
      <c r="A44" s="6" t="n"/>
      <c r="B44" s="107" t="n"/>
      <c r="C44" s="113">
        <f>IF($B44="","",IFERROR(INDEX(MUSTERILER!$C$7:$C$106,MATCH($B44,MUSTERILER!$B$7:$B$106,0)),"TANIMSIZ MÜŞTERİ"))</f>
        <v/>
      </c>
      <c r="D44" s="114" t="n"/>
      <c r="E44" s="114" t="n"/>
      <c r="F44" s="115" t="n"/>
      <c r="G44" s="107" t="n"/>
      <c r="H44" s="116">
        <f>IF(OR($B44="",$D44="",$F44=""),0,$F44*MAX(0,INT((MIN(IF($E44="",TODAY(),$E44),TODAY())-$D44)/7)+1))</f>
        <v/>
      </c>
      <c r="I44" s="116">
        <f>IF(OR($B44="",$D44="",$F44=""),0,$F44*MAX(0,INT((MIN(IF($E44="",TODAY()-8,$E44),TODAY()-8)-$D44)/7)+1))</f>
        <v/>
      </c>
      <c r="J44" s="116">
        <f>IF(OR($B44="",$D44="",$F44=""),0,$F44*MAX(0,INT((MIN(IF($E44="",TODAY()-15,$E44),TODAY()-15)-$D44)/7)+1))</f>
        <v/>
      </c>
      <c r="K44" s="116">
        <f>IF(OR($B44="",$D44="",$F44=""),0,$F44*MAX(0,INT((MIN(IF($E44="",TODAY()-29,$E44),TODAY()-29)-$D44)/7)+1))</f>
        <v/>
      </c>
      <c r="L44" s="117">
        <f>IF($F44&gt;0,$H44/$F44,0)</f>
        <v/>
      </c>
      <c r="M44" s="112">
        <f>IF($B44="","",IF($C44="TANIMSIZ MÜŞTERİ","HATA",IF($G44="Pasif","PASİF",IF(AND(WEEKDAY($D44,2)=6,OR($E44="",WEEKDAY($E44,2)=6),$F44&gt;0),"UYGUN","HATA"))))</f>
        <v/>
      </c>
      <c r="N44" s="108" t="n"/>
      <c r="O44" s="6" t="n"/>
      <c r="P44" s="6" t="n"/>
    </row>
    <row r="45">
      <c r="A45" s="6" t="n"/>
      <c r="B45" s="107" t="n"/>
      <c r="C45" s="113">
        <f>IF($B45="","",IFERROR(INDEX(MUSTERILER!$C$7:$C$106,MATCH($B45,MUSTERILER!$B$7:$B$106,0)),"TANIMSIZ MÜŞTERİ"))</f>
        <v/>
      </c>
      <c r="D45" s="114" t="n"/>
      <c r="E45" s="114" t="n"/>
      <c r="F45" s="115" t="n"/>
      <c r="G45" s="107" t="n"/>
      <c r="H45" s="116">
        <f>IF(OR($B45="",$D45="",$F45=""),0,$F45*MAX(0,INT((MIN(IF($E45="",TODAY(),$E45),TODAY())-$D45)/7)+1))</f>
        <v/>
      </c>
      <c r="I45" s="116">
        <f>IF(OR($B45="",$D45="",$F45=""),0,$F45*MAX(0,INT((MIN(IF($E45="",TODAY()-8,$E45),TODAY()-8)-$D45)/7)+1))</f>
        <v/>
      </c>
      <c r="J45" s="116">
        <f>IF(OR($B45="",$D45="",$F45=""),0,$F45*MAX(0,INT((MIN(IF($E45="",TODAY()-15,$E45),TODAY()-15)-$D45)/7)+1))</f>
        <v/>
      </c>
      <c r="K45" s="116">
        <f>IF(OR($B45="",$D45="",$F45=""),0,$F45*MAX(0,INT((MIN(IF($E45="",TODAY()-29,$E45),TODAY()-29)-$D45)/7)+1))</f>
        <v/>
      </c>
      <c r="L45" s="117">
        <f>IF($F45&gt;0,$H45/$F45,0)</f>
        <v/>
      </c>
      <c r="M45" s="112">
        <f>IF($B45="","",IF($C45="TANIMSIZ MÜŞTERİ","HATA",IF($G45="Pasif","PASİF",IF(AND(WEEKDAY($D45,2)=6,OR($E45="",WEEKDAY($E45,2)=6),$F45&gt;0),"UYGUN","HATA"))))</f>
        <v/>
      </c>
      <c r="N45" s="108" t="n"/>
      <c r="O45" s="6" t="n"/>
      <c r="P45" s="6" t="n"/>
    </row>
    <row r="46">
      <c r="A46" s="6" t="n"/>
      <c r="B46" s="107" t="n"/>
      <c r="C46" s="113">
        <f>IF($B46="","",IFERROR(INDEX(MUSTERILER!$C$7:$C$106,MATCH($B46,MUSTERILER!$B$7:$B$106,0)),"TANIMSIZ MÜŞTERİ"))</f>
        <v/>
      </c>
      <c r="D46" s="114" t="n"/>
      <c r="E46" s="114" t="n"/>
      <c r="F46" s="115" t="n"/>
      <c r="G46" s="107" t="n"/>
      <c r="H46" s="116">
        <f>IF(OR($B46="",$D46="",$F46=""),0,$F46*MAX(0,INT((MIN(IF($E46="",TODAY(),$E46),TODAY())-$D46)/7)+1))</f>
        <v/>
      </c>
      <c r="I46" s="116">
        <f>IF(OR($B46="",$D46="",$F46=""),0,$F46*MAX(0,INT((MIN(IF($E46="",TODAY()-8,$E46),TODAY()-8)-$D46)/7)+1))</f>
        <v/>
      </c>
      <c r="J46" s="116">
        <f>IF(OR($B46="",$D46="",$F46=""),0,$F46*MAX(0,INT((MIN(IF($E46="",TODAY()-15,$E46),TODAY()-15)-$D46)/7)+1))</f>
        <v/>
      </c>
      <c r="K46" s="116">
        <f>IF(OR($B46="",$D46="",$F46=""),0,$F46*MAX(0,INT((MIN(IF($E46="",TODAY()-29,$E46),TODAY()-29)-$D46)/7)+1))</f>
        <v/>
      </c>
      <c r="L46" s="117">
        <f>IF($F46&gt;0,$H46/$F46,0)</f>
        <v/>
      </c>
      <c r="M46" s="112">
        <f>IF($B46="","",IF($C46="TANIMSIZ MÜŞTERİ","HATA",IF($G46="Pasif","PASİF",IF(AND(WEEKDAY($D46,2)=6,OR($E46="",WEEKDAY($E46,2)=6),$F46&gt;0),"UYGUN","HATA"))))</f>
        <v/>
      </c>
      <c r="N46" s="108" t="n"/>
      <c r="O46" s="6" t="n"/>
      <c r="P46" s="6" t="n"/>
    </row>
    <row r="47">
      <c r="A47" s="6" t="n"/>
      <c r="B47" s="107" t="n"/>
      <c r="C47" s="113">
        <f>IF($B47="","",IFERROR(INDEX(MUSTERILER!$C$7:$C$106,MATCH($B47,MUSTERILER!$B$7:$B$106,0)),"TANIMSIZ MÜŞTERİ"))</f>
        <v/>
      </c>
      <c r="D47" s="114" t="n"/>
      <c r="E47" s="114" t="n"/>
      <c r="F47" s="115" t="n"/>
      <c r="G47" s="107" t="n"/>
      <c r="H47" s="116">
        <f>IF(OR($B47="",$D47="",$F47=""),0,$F47*MAX(0,INT((MIN(IF($E47="",TODAY(),$E47),TODAY())-$D47)/7)+1))</f>
        <v/>
      </c>
      <c r="I47" s="116">
        <f>IF(OR($B47="",$D47="",$F47=""),0,$F47*MAX(0,INT((MIN(IF($E47="",TODAY()-8,$E47),TODAY()-8)-$D47)/7)+1))</f>
        <v/>
      </c>
      <c r="J47" s="116">
        <f>IF(OR($B47="",$D47="",$F47=""),0,$F47*MAX(0,INT((MIN(IF($E47="",TODAY()-15,$E47),TODAY()-15)-$D47)/7)+1))</f>
        <v/>
      </c>
      <c r="K47" s="116">
        <f>IF(OR($B47="",$D47="",$F47=""),0,$F47*MAX(0,INT((MIN(IF($E47="",TODAY()-29,$E47),TODAY()-29)-$D47)/7)+1))</f>
        <v/>
      </c>
      <c r="L47" s="117">
        <f>IF($F47&gt;0,$H47/$F47,0)</f>
        <v/>
      </c>
      <c r="M47" s="112">
        <f>IF($B47="","",IF($C47="TANIMSIZ MÜŞTERİ","HATA",IF($G47="Pasif","PASİF",IF(AND(WEEKDAY($D47,2)=6,OR($E47="",WEEKDAY($E47,2)=6),$F47&gt;0),"UYGUN","HATA"))))</f>
        <v/>
      </c>
      <c r="N47" s="108" t="n"/>
      <c r="O47" s="6" t="n"/>
      <c r="P47" s="6" t="n"/>
    </row>
    <row r="48">
      <c r="A48" s="6" t="n"/>
      <c r="B48" s="107" t="n"/>
      <c r="C48" s="113">
        <f>IF($B48="","",IFERROR(INDEX(MUSTERILER!$C$7:$C$106,MATCH($B48,MUSTERILER!$B$7:$B$106,0)),"TANIMSIZ MÜŞTERİ"))</f>
        <v/>
      </c>
      <c r="D48" s="114" t="n"/>
      <c r="E48" s="114" t="n"/>
      <c r="F48" s="115" t="n"/>
      <c r="G48" s="107" t="n"/>
      <c r="H48" s="116">
        <f>IF(OR($B48="",$D48="",$F48=""),0,$F48*MAX(0,INT((MIN(IF($E48="",TODAY(),$E48),TODAY())-$D48)/7)+1))</f>
        <v/>
      </c>
      <c r="I48" s="116">
        <f>IF(OR($B48="",$D48="",$F48=""),0,$F48*MAX(0,INT((MIN(IF($E48="",TODAY()-8,$E48),TODAY()-8)-$D48)/7)+1))</f>
        <v/>
      </c>
      <c r="J48" s="116">
        <f>IF(OR($B48="",$D48="",$F48=""),0,$F48*MAX(0,INT((MIN(IF($E48="",TODAY()-15,$E48),TODAY()-15)-$D48)/7)+1))</f>
        <v/>
      </c>
      <c r="K48" s="116">
        <f>IF(OR($B48="",$D48="",$F48=""),0,$F48*MAX(0,INT((MIN(IF($E48="",TODAY()-29,$E48),TODAY()-29)-$D48)/7)+1))</f>
        <v/>
      </c>
      <c r="L48" s="117">
        <f>IF($F48&gt;0,$H48/$F48,0)</f>
        <v/>
      </c>
      <c r="M48" s="112">
        <f>IF($B48="","",IF($C48="TANIMSIZ MÜŞTERİ","HATA",IF($G48="Pasif","PASİF",IF(AND(WEEKDAY($D48,2)=6,OR($E48="",WEEKDAY($E48,2)=6),$F48&gt;0),"UYGUN","HATA"))))</f>
        <v/>
      </c>
      <c r="N48" s="108" t="n"/>
      <c r="O48" s="6" t="n"/>
      <c r="P48" s="6" t="n"/>
    </row>
    <row r="49">
      <c r="A49" s="6" t="n"/>
      <c r="B49" s="107" t="n"/>
      <c r="C49" s="113">
        <f>IF($B49="","",IFERROR(INDEX(MUSTERILER!$C$7:$C$106,MATCH($B49,MUSTERILER!$B$7:$B$106,0)),"TANIMSIZ MÜŞTERİ"))</f>
        <v/>
      </c>
      <c r="D49" s="114" t="n"/>
      <c r="E49" s="114" t="n"/>
      <c r="F49" s="115" t="n"/>
      <c r="G49" s="107" t="n"/>
      <c r="H49" s="116">
        <f>IF(OR($B49="",$D49="",$F49=""),0,$F49*MAX(0,INT((MIN(IF($E49="",TODAY(),$E49),TODAY())-$D49)/7)+1))</f>
        <v/>
      </c>
      <c r="I49" s="116">
        <f>IF(OR($B49="",$D49="",$F49=""),0,$F49*MAX(0,INT((MIN(IF($E49="",TODAY()-8,$E49),TODAY()-8)-$D49)/7)+1))</f>
        <v/>
      </c>
      <c r="J49" s="116">
        <f>IF(OR($B49="",$D49="",$F49=""),0,$F49*MAX(0,INT((MIN(IF($E49="",TODAY()-15,$E49),TODAY()-15)-$D49)/7)+1))</f>
        <v/>
      </c>
      <c r="K49" s="116">
        <f>IF(OR($B49="",$D49="",$F49=""),0,$F49*MAX(0,INT((MIN(IF($E49="",TODAY()-29,$E49),TODAY()-29)-$D49)/7)+1))</f>
        <v/>
      </c>
      <c r="L49" s="117">
        <f>IF($F49&gt;0,$H49/$F49,0)</f>
        <v/>
      </c>
      <c r="M49" s="112">
        <f>IF($B49="","",IF($C49="TANIMSIZ MÜŞTERİ","HATA",IF($G49="Pasif","PASİF",IF(AND(WEEKDAY($D49,2)=6,OR($E49="",WEEKDAY($E49,2)=6),$F49&gt;0),"UYGUN","HATA"))))</f>
        <v/>
      </c>
      <c r="N49" s="108" t="n"/>
      <c r="O49" s="6" t="n"/>
      <c r="P49" s="6" t="n"/>
    </row>
    <row r="50">
      <c r="A50" s="6" t="n"/>
      <c r="B50" s="107" t="n"/>
      <c r="C50" s="113">
        <f>IF($B50="","",IFERROR(INDEX(MUSTERILER!$C$7:$C$106,MATCH($B50,MUSTERILER!$B$7:$B$106,0)),"TANIMSIZ MÜŞTERİ"))</f>
        <v/>
      </c>
      <c r="D50" s="114" t="n"/>
      <c r="E50" s="114" t="n"/>
      <c r="F50" s="115" t="n"/>
      <c r="G50" s="107" t="n"/>
      <c r="H50" s="116">
        <f>IF(OR($B50="",$D50="",$F50=""),0,$F50*MAX(0,INT((MIN(IF($E50="",TODAY(),$E50),TODAY())-$D50)/7)+1))</f>
        <v/>
      </c>
      <c r="I50" s="116">
        <f>IF(OR($B50="",$D50="",$F50=""),0,$F50*MAX(0,INT((MIN(IF($E50="",TODAY()-8,$E50),TODAY()-8)-$D50)/7)+1))</f>
        <v/>
      </c>
      <c r="J50" s="116">
        <f>IF(OR($B50="",$D50="",$F50=""),0,$F50*MAX(0,INT((MIN(IF($E50="",TODAY()-15,$E50),TODAY()-15)-$D50)/7)+1))</f>
        <v/>
      </c>
      <c r="K50" s="116">
        <f>IF(OR($B50="",$D50="",$F50=""),0,$F50*MAX(0,INT((MIN(IF($E50="",TODAY()-29,$E50),TODAY()-29)-$D50)/7)+1))</f>
        <v/>
      </c>
      <c r="L50" s="117">
        <f>IF($F50&gt;0,$H50/$F50,0)</f>
        <v/>
      </c>
      <c r="M50" s="112">
        <f>IF($B50="","",IF($C50="TANIMSIZ MÜŞTERİ","HATA",IF($G50="Pasif","PASİF",IF(AND(WEEKDAY($D50,2)=6,OR($E50="",WEEKDAY($E50,2)=6),$F50&gt;0),"UYGUN","HATA"))))</f>
        <v/>
      </c>
      <c r="N50" s="108" t="n"/>
      <c r="O50" s="6" t="n"/>
      <c r="P50" s="6" t="n"/>
    </row>
    <row r="51">
      <c r="A51" s="6" t="n"/>
      <c r="B51" s="107" t="n"/>
      <c r="C51" s="113">
        <f>IF($B51="","",IFERROR(INDEX(MUSTERILER!$C$7:$C$106,MATCH($B51,MUSTERILER!$B$7:$B$106,0)),"TANIMSIZ MÜŞTERİ"))</f>
        <v/>
      </c>
      <c r="D51" s="114" t="n"/>
      <c r="E51" s="114" t="n"/>
      <c r="F51" s="115" t="n"/>
      <c r="G51" s="107" t="n"/>
      <c r="H51" s="116">
        <f>IF(OR($B51="",$D51="",$F51=""),0,$F51*MAX(0,INT((MIN(IF($E51="",TODAY(),$E51),TODAY())-$D51)/7)+1))</f>
        <v/>
      </c>
      <c r="I51" s="116">
        <f>IF(OR($B51="",$D51="",$F51=""),0,$F51*MAX(0,INT((MIN(IF($E51="",TODAY()-8,$E51),TODAY()-8)-$D51)/7)+1))</f>
        <v/>
      </c>
      <c r="J51" s="116">
        <f>IF(OR($B51="",$D51="",$F51=""),0,$F51*MAX(0,INT((MIN(IF($E51="",TODAY()-15,$E51),TODAY()-15)-$D51)/7)+1))</f>
        <v/>
      </c>
      <c r="K51" s="116">
        <f>IF(OR($B51="",$D51="",$F51=""),0,$F51*MAX(0,INT((MIN(IF($E51="",TODAY()-29,$E51),TODAY()-29)-$D51)/7)+1))</f>
        <v/>
      </c>
      <c r="L51" s="117">
        <f>IF($F51&gt;0,$H51/$F51,0)</f>
        <v/>
      </c>
      <c r="M51" s="112">
        <f>IF($B51="","",IF($C51="TANIMSIZ MÜŞTERİ","HATA",IF($G51="Pasif","PASİF",IF(AND(WEEKDAY($D51,2)=6,OR($E51="",WEEKDAY($E51,2)=6),$F51&gt;0),"UYGUN","HATA"))))</f>
        <v/>
      </c>
      <c r="N51" s="108" t="n"/>
      <c r="O51" s="6" t="n"/>
      <c r="P51" s="6" t="n"/>
    </row>
    <row r="52">
      <c r="A52" s="6" t="n"/>
      <c r="B52" s="107" t="n"/>
      <c r="C52" s="113">
        <f>IF($B52="","",IFERROR(INDEX(MUSTERILER!$C$7:$C$106,MATCH($B52,MUSTERILER!$B$7:$B$106,0)),"TANIMSIZ MÜŞTERİ"))</f>
        <v/>
      </c>
      <c r="D52" s="114" t="n"/>
      <c r="E52" s="114" t="n"/>
      <c r="F52" s="115" t="n"/>
      <c r="G52" s="107" t="n"/>
      <c r="H52" s="116">
        <f>IF(OR($B52="",$D52="",$F52=""),0,$F52*MAX(0,INT((MIN(IF($E52="",TODAY(),$E52),TODAY())-$D52)/7)+1))</f>
        <v/>
      </c>
      <c r="I52" s="116">
        <f>IF(OR($B52="",$D52="",$F52=""),0,$F52*MAX(0,INT((MIN(IF($E52="",TODAY()-8,$E52),TODAY()-8)-$D52)/7)+1))</f>
        <v/>
      </c>
      <c r="J52" s="116">
        <f>IF(OR($B52="",$D52="",$F52=""),0,$F52*MAX(0,INT((MIN(IF($E52="",TODAY()-15,$E52),TODAY()-15)-$D52)/7)+1))</f>
        <v/>
      </c>
      <c r="K52" s="116">
        <f>IF(OR($B52="",$D52="",$F52=""),0,$F52*MAX(0,INT((MIN(IF($E52="",TODAY()-29,$E52),TODAY()-29)-$D52)/7)+1))</f>
        <v/>
      </c>
      <c r="L52" s="117">
        <f>IF($F52&gt;0,$H52/$F52,0)</f>
        <v/>
      </c>
      <c r="M52" s="112">
        <f>IF($B52="","",IF($C52="TANIMSIZ MÜŞTERİ","HATA",IF($G52="Pasif","PASİF",IF(AND(WEEKDAY($D52,2)=6,OR($E52="",WEEKDAY($E52,2)=6),$F52&gt;0),"UYGUN","HATA"))))</f>
        <v/>
      </c>
      <c r="N52" s="108" t="n"/>
      <c r="O52" s="6" t="n"/>
      <c r="P52" s="6" t="n"/>
    </row>
    <row r="53">
      <c r="A53" s="6" t="n"/>
      <c r="B53" s="107" t="n"/>
      <c r="C53" s="113">
        <f>IF($B53="","",IFERROR(INDEX(MUSTERILER!$C$7:$C$106,MATCH($B53,MUSTERILER!$B$7:$B$106,0)),"TANIMSIZ MÜŞTERİ"))</f>
        <v/>
      </c>
      <c r="D53" s="114" t="n"/>
      <c r="E53" s="114" t="n"/>
      <c r="F53" s="115" t="n"/>
      <c r="G53" s="107" t="n"/>
      <c r="H53" s="116">
        <f>IF(OR($B53="",$D53="",$F53=""),0,$F53*MAX(0,INT((MIN(IF($E53="",TODAY(),$E53),TODAY())-$D53)/7)+1))</f>
        <v/>
      </c>
      <c r="I53" s="116">
        <f>IF(OR($B53="",$D53="",$F53=""),0,$F53*MAX(0,INT((MIN(IF($E53="",TODAY()-8,$E53),TODAY()-8)-$D53)/7)+1))</f>
        <v/>
      </c>
      <c r="J53" s="116">
        <f>IF(OR($B53="",$D53="",$F53=""),0,$F53*MAX(0,INT((MIN(IF($E53="",TODAY()-15,$E53),TODAY()-15)-$D53)/7)+1))</f>
        <v/>
      </c>
      <c r="K53" s="116">
        <f>IF(OR($B53="",$D53="",$F53=""),0,$F53*MAX(0,INT((MIN(IF($E53="",TODAY()-29,$E53),TODAY()-29)-$D53)/7)+1))</f>
        <v/>
      </c>
      <c r="L53" s="117">
        <f>IF($F53&gt;0,$H53/$F53,0)</f>
        <v/>
      </c>
      <c r="M53" s="112">
        <f>IF($B53="","",IF($C53="TANIMSIZ MÜŞTERİ","HATA",IF($G53="Pasif","PASİF",IF(AND(WEEKDAY($D53,2)=6,OR($E53="",WEEKDAY($E53,2)=6),$F53&gt;0),"UYGUN","HATA"))))</f>
        <v/>
      </c>
      <c r="N53" s="108" t="n"/>
      <c r="O53" s="6" t="n"/>
      <c r="P53" s="6" t="n"/>
    </row>
    <row r="54">
      <c r="A54" s="6" t="n"/>
      <c r="B54" s="107" t="n"/>
      <c r="C54" s="113">
        <f>IF($B54="","",IFERROR(INDEX(MUSTERILER!$C$7:$C$106,MATCH($B54,MUSTERILER!$B$7:$B$106,0)),"TANIMSIZ MÜŞTERİ"))</f>
        <v/>
      </c>
      <c r="D54" s="114" t="n"/>
      <c r="E54" s="114" t="n"/>
      <c r="F54" s="115" t="n"/>
      <c r="G54" s="107" t="n"/>
      <c r="H54" s="116">
        <f>IF(OR($B54="",$D54="",$F54=""),0,$F54*MAX(0,INT((MIN(IF($E54="",TODAY(),$E54),TODAY())-$D54)/7)+1))</f>
        <v/>
      </c>
      <c r="I54" s="116">
        <f>IF(OR($B54="",$D54="",$F54=""),0,$F54*MAX(0,INT((MIN(IF($E54="",TODAY()-8,$E54),TODAY()-8)-$D54)/7)+1))</f>
        <v/>
      </c>
      <c r="J54" s="116">
        <f>IF(OR($B54="",$D54="",$F54=""),0,$F54*MAX(0,INT((MIN(IF($E54="",TODAY()-15,$E54),TODAY()-15)-$D54)/7)+1))</f>
        <v/>
      </c>
      <c r="K54" s="116">
        <f>IF(OR($B54="",$D54="",$F54=""),0,$F54*MAX(0,INT((MIN(IF($E54="",TODAY()-29,$E54),TODAY()-29)-$D54)/7)+1))</f>
        <v/>
      </c>
      <c r="L54" s="117">
        <f>IF($F54&gt;0,$H54/$F54,0)</f>
        <v/>
      </c>
      <c r="M54" s="112">
        <f>IF($B54="","",IF($C54="TANIMSIZ MÜŞTERİ","HATA",IF($G54="Pasif","PASİF",IF(AND(WEEKDAY($D54,2)=6,OR($E54="",WEEKDAY($E54,2)=6),$F54&gt;0),"UYGUN","HATA"))))</f>
        <v/>
      </c>
      <c r="N54" s="108" t="n"/>
      <c r="O54" s="6" t="n"/>
      <c r="P54" s="6" t="n"/>
    </row>
    <row r="55">
      <c r="A55" s="6" t="n"/>
      <c r="B55" s="107" t="n"/>
      <c r="C55" s="113">
        <f>IF($B55="","",IFERROR(INDEX(MUSTERILER!$C$7:$C$106,MATCH($B55,MUSTERILER!$B$7:$B$106,0)),"TANIMSIZ MÜŞTERİ"))</f>
        <v/>
      </c>
      <c r="D55" s="114" t="n"/>
      <c r="E55" s="114" t="n"/>
      <c r="F55" s="115" t="n"/>
      <c r="G55" s="107" t="n"/>
      <c r="H55" s="116">
        <f>IF(OR($B55="",$D55="",$F55=""),0,$F55*MAX(0,INT((MIN(IF($E55="",TODAY(),$E55),TODAY())-$D55)/7)+1))</f>
        <v/>
      </c>
      <c r="I55" s="116">
        <f>IF(OR($B55="",$D55="",$F55=""),0,$F55*MAX(0,INT((MIN(IF($E55="",TODAY()-8,$E55),TODAY()-8)-$D55)/7)+1))</f>
        <v/>
      </c>
      <c r="J55" s="116">
        <f>IF(OR($B55="",$D55="",$F55=""),0,$F55*MAX(0,INT((MIN(IF($E55="",TODAY()-15,$E55),TODAY()-15)-$D55)/7)+1))</f>
        <v/>
      </c>
      <c r="K55" s="116">
        <f>IF(OR($B55="",$D55="",$F55=""),0,$F55*MAX(0,INT((MIN(IF($E55="",TODAY()-29,$E55),TODAY()-29)-$D55)/7)+1))</f>
        <v/>
      </c>
      <c r="L55" s="117">
        <f>IF($F55&gt;0,$H55/$F55,0)</f>
        <v/>
      </c>
      <c r="M55" s="112">
        <f>IF($B55="","",IF($C55="TANIMSIZ MÜŞTERİ","HATA",IF($G55="Pasif","PASİF",IF(AND(WEEKDAY($D55,2)=6,OR($E55="",WEEKDAY($E55,2)=6),$F55&gt;0),"UYGUN","HATA"))))</f>
        <v/>
      </c>
      <c r="N55" s="108" t="n"/>
      <c r="O55" s="6" t="n"/>
      <c r="P55" s="6" t="n"/>
    </row>
    <row r="56">
      <c r="A56" s="6" t="n"/>
      <c r="B56" s="107" t="n"/>
      <c r="C56" s="113">
        <f>IF($B56="","",IFERROR(INDEX(MUSTERILER!$C$7:$C$106,MATCH($B56,MUSTERILER!$B$7:$B$106,0)),"TANIMSIZ MÜŞTERİ"))</f>
        <v/>
      </c>
      <c r="D56" s="114" t="n"/>
      <c r="E56" s="114" t="n"/>
      <c r="F56" s="115" t="n"/>
      <c r="G56" s="107" t="n"/>
      <c r="H56" s="116">
        <f>IF(OR($B56="",$D56="",$F56=""),0,$F56*MAX(0,INT((MIN(IF($E56="",TODAY(),$E56),TODAY())-$D56)/7)+1))</f>
        <v/>
      </c>
      <c r="I56" s="116">
        <f>IF(OR($B56="",$D56="",$F56=""),0,$F56*MAX(0,INT((MIN(IF($E56="",TODAY()-8,$E56),TODAY()-8)-$D56)/7)+1))</f>
        <v/>
      </c>
      <c r="J56" s="116">
        <f>IF(OR($B56="",$D56="",$F56=""),0,$F56*MAX(0,INT((MIN(IF($E56="",TODAY()-15,$E56),TODAY()-15)-$D56)/7)+1))</f>
        <v/>
      </c>
      <c r="K56" s="116">
        <f>IF(OR($B56="",$D56="",$F56=""),0,$F56*MAX(0,INT((MIN(IF($E56="",TODAY()-29,$E56),TODAY()-29)-$D56)/7)+1))</f>
        <v/>
      </c>
      <c r="L56" s="117">
        <f>IF($F56&gt;0,$H56/$F56,0)</f>
        <v/>
      </c>
      <c r="M56" s="112">
        <f>IF($B56="","",IF($C56="TANIMSIZ MÜŞTERİ","HATA",IF($G56="Pasif","PASİF",IF(AND(WEEKDAY($D56,2)=6,OR($E56="",WEEKDAY($E56,2)=6),$F56&gt;0),"UYGUN","HATA"))))</f>
        <v/>
      </c>
      <c r="N56" s="108" t="n"/>
      <c r="O56" s="6" t="n"/>
      <c r="P56" s="6" t="n"/>
    </row>
    <row r="57">
      <c r="A57" s="6" t="n"/>
      <c r="B57" s="107" t="n"/>
      <c r="C57" s="113">
        <f>IF($B57="","",IFERROR(INDEX(MUSTERILER!$C$7:$C$106,MATCH($B57,MUSTERILER!$B$7:$B$106,0)),"TANIMSIZ MÜŞTERİ"))</f>
        <v/>
      </c>
      <c r="D57" s="114" t="n"/>
      <c r="E57" s="114" t="n"/>
      <c r="F57" s="115" t="n"/>
      <c r="G57" s="107" t="n"/>
      <c r="H57" s="116">
        <f>IF(OR($B57="",$D57="",$F57=""),0,$F57*MAX(0,INT((MIN(IF($E57="",TODAY(),$E57),TODAY())-$D57)/7)+1))</f>
        <v/>
      </c>
      <c r="I57" s="116">
        <f>IF(OR($B57="",$D57="",$F57=""),0,$F57*MAX(0,INT((MIN(IF($E57="",TODAY()-8,$E57),TODAY()-8)-$D57)/7)+1))</f>
        <v/>
      </c>
      <c r="J57" s="116">
        <f>IF(OR($B57="",$D57="",$F57=""),0,$F57*MAX(0,INT((MIN(IF($E57="",TODAY()-15,$E57),TODAY()-15)-$D57)/7)+1))</f>
        <v/>
      </c>
      <c r="K57" s="116">
        <f>IF(OR($B57="",$D57="",$F57=""),0,$F57*MAX(0,INT((MIN(IF($E57="",TODAY()-29,$E57),TODAY()-29)-$D57)/7)+1))</f>
        <v/>
      </c>
      <c r="L57" s="117">
        <f>IF($F57&gt;0,$H57/$F57,0)</f>
        <v/>
      </c>
      <c r="M57" s="112">
        <f>IF($B57="","",IF($C57="TANIMSIZ MÜŞTERİ","HATA",IF($G57="Pasif","PASİF",IF(AND(WEEKDAY($D57,2)=6,OR($E57="",WEEKDAY($E57,2)=6),$F57&gt;0),"UYGUN","HATA"))))</f>
        <v/>
      </c>
      <c r="N57" s="108" t="n"/>
      <c r="O57" s="6" t="n"/>
      <c r="P57" s="6" t="n"/>
    </row>
    <row r="58">
      <c r="A58" s="6" t="n"/>
      <c r="B58" s="107" t="n"/>
      <c r="C58" s="113">
        <f>IF($B58="","",IFERROR(INDEX(MUSTERILER!$C$7:$C$106,MATCH($B58,MUSTERILER!$B$7:$B$106,0)),"TANIMSIZ MÜŞTERİ"))</f>
        <v/>
      </c>
      <c r="D58" s="114" t="n"/>
      <c r="E58" s="114" t="n"/>
      <c r="F58" s="115" t="n"/>
      <c r="G58" s="107" t="n"/>
      <c r="H58" s="116">
        <f>IF(OR($B58="",$D58="",$F58=""),0,$F58*MAX(0,INT((MIN(IF($E58="",TODAY(),$E58),TODAY())-$D58)/7)+1))</f>
        <v/>
      </c>
      <c r="I58" s="116">
        <f>IF(OR($B58="",$D58="",$F58=""),0,$F58*MAX(0,INT((MIN(IF($E58="",TODAY()-8,$E58),TODAY()-8)-$D58)/7)+1))</f>
        <v/>
      </c>
      <c r="J58" s="116">
        <f>IF(OR($B58="",$D58="",$F58=""),0,$F58*MAX(0,INT((MIN(IF($E58="",TODAY()-15,$E58),TODAY()-15)-$D58)/7)+1))</f>
        <v/>
      </c>
      <c r="K58" s="116">
        <f>IF(OR($B58="",$D58="",$F58=""),0,$F58*MAX(0,INT((MIN(IF($E58="",TODAY()-29,$E58),TODAY()-29)-$D58)/7)+1))</f>
        <v/>
      </c>
      <c r="L58" s="117">
        <f>IF($F58&gt;0,$H58/$F58,0)</f>
        <v/>
      </c>
      <c r="M58" s="112">
        <f>IF($B58="","",IF($C58="TANIMSIZ MÜŞTERİ","HATA",IF($G58="Pasif","PASİF",IF(AND(WEEKDAY($D58,2)=6,OR($E58="",WEEKDAY($E58,2)=6),$F58&gt;0),"UYGUN","HATA"))))</f>
        <v/>
      </c>
      <c r="N58" s="108" t="n"/>
      <c r="O58" s="6" t="n"/>
      <c r="P58" s="6" t="n"/>
    </row>
    <row r="59">
      <c r="A59" s="6" t="n"/>
      <c r="B59" s="107" t="n"/>
      <c r="C59" s="113">
        <f>IF($B59="","",IFERROR(INDEX(MUSTERILER!$C$7:$C$106,MATCH($B59,MUSTERILER!$B$7:$B$106,0)),"TANIMSIZ MÜŞTERİ"))</f>
        <v/>
      </c>
      <c r="D59" s="114" t="n"/>
      <c r="E59" s="114" t="n"/>
      <c r="F59" s="115" t="n"/>
      <c r="G59" s="107" t="n"/>
      <c r="H59" s="116">
        <f>IF(OR($B59="",$D59="",$F59=""),0,$F59*MAX(0,INT((MIN(IF($E59="",TODAY(),$E59),TODAY())-$D59)/7)+1))</f>
        <v/>
      </c>
      <c r="I59" s="116">
        <f>IF(OR($B59="",$D59="",$F59=""),0,$F59*MAX(0,INT((MIN(IF($E59="",TODAY()-8,$E59),TODAY()-8)-$D59)/7)+1))</f>
        <v/>
      </c>
      <c r="J59" s="116">
        <f>IF(OR($B59="",$D59="",$F59=""),0,$F59*MAX(0,INT((MIN(IF($E59="",TODAY()-15,$E59),TODAY()-15)-$D59)/7)+1))</f>
        <v/>
      </c>
      <c r="K59" s="116">
        <f>IF(OR($B59="",$D59="",$F59=""),0,$F59*MAX(0,INT((MIN(IF($E59="",TODAY()-29,$E59),TODAY()-29)-$D59)/7)+1))</f>
        <v/>
      </c>
      <c r="L59" s="117">
        <f>IF($F59&gt;0,$H59/$F59,0)</f>
        <v/>
      </c>
      <c r="M59" s="112">
        <f>IF($B59="","",IF($C59="TANIMSIZ MÜŞTERİ","HATA",IF($G59="Pasif","PASİF",IF(AND(WEEKDAY($D59,2)=6,OR($E59="",WEEKDAY($E59,2)=6),$F59&gt;0),"UYGUN","HATA"))))</f>
        <v/>
      </c>
      <c r="N59" s="108" t="n"/>
      <c r="O59" s="6" t="n"/>
      <c r="P59" s="6" t="n"/>
    </row>
    <row r="60">
      <c r="A60" s="6" t="n"/>
      <c r="B60" s="107" t="n"/>
      <c r="C60" s="113">
        <f>IF($B60="","",IFERROR(INDEX(MUSTERILER!$C$7:$C$106,MATCH($B60,MUSTERILER!$B$7:$B$106,0)),"TANIMSIZ MÜŞTERİ"))</f>
        <v/>
      </c>
      <c r="D60" s="114" t="n"/>
      <c r="E60" s="114" t="n"/>
      <c r="F60" s="115" t="n"/>
      <c r="G60" s="107" t="n"/>
      <c r="H60" s="116">
        <f>IF(OR($B60="",$D60="",$F60=""),0,$F60*MAX(0,INT((MIN(IF($E60="",TODAY(),$E60),TODAY())-$D60)/7)+1))</f>
        <v/>
      </c>
      <c r="I60" s="116">
        <f>IF(OR($B60="",$D60="",$F60=""),0,$F60*MAX(0,INT((MIN(IF($E60="",TODAY()-8,$E60),TODAY()-8)-$D60)/7)+1))</f>
        <v/>
      </c>
      <c r="J60" s="116">
        <f>IF(OR($B60="",$D60="",$F60=""),0,$F60*MAX(0,INT((MIN(IF($E60="",TODAY()-15,$E60),TODAY()-15)-$D60)/7)+1))</f>
        <v/>
      </c>
      <c r="K60" s="116">
        <f>IF(OR($B60="",$D60="",$F60=""),0,$F60*MAX(0,INT((MIN(IF($E60="",TODAY()-29,$E60),TODAY()-29)-$D60)/7)+1))</f>
        <v/>
      </c>
      <c r="L60" s="117">
        <f>IF($F60&gt;0,$H60/$F60,0)</f>
        <v/>
      </c>
      <c r="M60" s="112">
        <f>IF($B60="","",IF($C60="TANIMSIZ MÜŞTERİ","HATA",IF($G60="Pasif","PASİF",IF(AND(WEEKDAY($D60,2)=6,OR($E60="",WEEKDAY($E60,2)=6),$F60&gt;0),"UYGUN","HATA"))))</f>
        <v/>
      </c>
      <c r="N60" s="108" t="n"/>
      <c r="O60" s="6" t="n"/>
      <c r="P60" s="6" t="n"/>
    </row>
    <row r="61">
      <c r="A61" s="6" t="n"/>
      <c r="B61" s="107" t="n"/>
      <c r="C61" s="113">
        <f>IF($B61="","",IFERROR(INDEX(MUSTERILER!$C$7:$C$106,MATCH($B61,MUSTERILER!$B$7:$B$106,0)),"TANIMSIZ MÜŞTERİ"))</f>
        <v/>
      </c>
      <c r="D61" s="114" t="n"/>
      <c r="E61" s="114" t="n"/>
      <c r="F61" s="115" t="n"/>
      <c r="G61" s="107" t="n"/>
      <c r="H61" s="116">
        <f>IF(OR($B61="",$D61="",$F61=""),0,$F61*MAX(0,INT((MIN(IF($E61="",TODAY(),$E61),TODAY())-$D61)/7)+1))</f>
        <v/>
      </c>
      <c r="I61" s="116">
        <f>IF(OR($B61="",$D61="",$F61=""),0,$F61*MAX(0,INT((MIN(IF($E61="",TODAY()-8,$E61),TODAY()-8)-$D61)/7)+1))</f>
        <v/>
      </c>
      <c r="J61" s="116">
        <f>IF(OR($B61="",$D61="",$F61=""),0,$F61*MAX(0,INT((MIN(IF($E61="",TODAY()-15,$E61),TODAY()-15)-$D61)/7)+1))</f>
        <v/>
      </c>
      <c r="K61" s="116">
        <f>IF(OR($B61="",$D61="",$F61=""),0,$F61*MAX(0,INT((MIN(IF($E61="",TODAY()-29,$E61),TODAY()-29)-$D61)/7)+1))</f>
        <v/>
      </c>
      <c r="L61" s="117">
        <f>IF($F61&gt;0,$H61/$F61,0)</f>
        <v/>
      </c>
      <c r="M61" s="112">
        <f>IF($B61="","",IF($C61="TANIMSIZ MÜŞTERİ","HATA",IF($G61="Pasif","PASİF",IF(AND(WEEKDAY($D61,2)=6,OR($E61="",WEEKDAY($E61,2)=6),$F61&gt;0),"UYGUN","HATA"))))</f>
        <v/>
      </c>
      <c r="N61" s="108" t="n"/>
      <c r="O61" s="6" t="n"/>
      <c r="P61" s="6" t="n"/>
    </row>
    <row r="62">
      <c r="A62" s="6" t="n"/>
      <c r="B62" s="107" t="n"/>
      <c r="C62" s="113">
        <f>IF($B62="","",IFERROR(INDEX(MUSTERILER!$C$7:$C$106,MATCH($B62,MUSTERILER!$B$7:$B$106,0)),"TANIMSIZ MÜŞTERİ"))</f>
        <v/>
      </c>
      <c r="D62" s="114" t="n"/>
      <c r="E62" s="114" t="n"/>
      <c r="F62" s="115" t="n"/>
      <c r="G62" s="107" t="n"/>
      <c r="H62" s="116">
        <f>IF(OR($B62="",$D62="",$F62=""),0,$F62*MAX(0,INT((MIN(IF($E62="",TODAY(),$E62),TODAY())-$D62)/7)+1))</f>
        <v/>
      </c>
      <c r="I62" s="116">
        <f>IF(OR($B62="",$D62="",$F62=""),0,$F62*MAX(0,INT((MIN(IF($E62="",TODAY()-8,$E62),TODAY()-8)-$D62)/7)+1))</f>
        <v/>
      </c>
      <c r="J62" s="116">
        <f>IF(OR($B62="",$D62="",$F62=""),0,$F62*MAX(0,INT((MIN(IF($E62="",TODAY()-15,$E62),TODAY()-15)-$D62)/7)+1))</f>
        <v/>
      </c>
      <c r="K62" s="116">
        <f>IF(OR($B62="",$D62="",$F62=""),0,$F62*MAX(0,INT((MIN(IF($E62="",TODAY()-29,$E62),TODAY()-29)-$D62)/7)+1))</f>
        <v/>
      </c>
      <c r="L62" s="117">
        <f>IF($F62&gt;0,$H62/$F62,0)</f>
        <v/>
      </c>
      <c r="M62" s="112">
        <f>IF($B62="","",IF($C62="TANIMSIZ MÜŞTERİ","HATA",IF($G62="Pasif","PASİF",IF(AND(WEEKDAY($D62,2)=6,OR($E62="",WEEKDAY($E62,2)=6),$F62&gt;0),"UYGUN","HATA"))))</f>
        <v/>
      </c>
      <c r="N62" s="108" t="n"/>
      <c r="O62" s="6" t="n"/>
      <c r="P62" s="6" t="n"/>
    </row>
    <row r="63">
      <c r="A63" s="6" t="n"/>
      <c r="B63" s="107" t="n"/>
      <c r="C63" s="113">
        <f>IF($B63="","",IFERROR(INDEX(MUSTERILER!$C$7:$C$106,MATCH($B63,MUSTERILER!$B$7:$B$106,0)),"TANIMSIZ MÜŞTERİ"))</f>
        <v/>
      </c>
      <c r="D63" s="114" t="n"/>
      <c r="E63" s="114" t="n"/>
      <c r="F63" s="115" t="n"/>
      <c r="G63" s="107" t="n"/>
      <c r="H63" s="116">
        <f>IF(OR($B63="",$D63="",$F63=""),0,$F63*MAX(0,INT((MIN(IF($E63="",TODAY(),$E63),TODAY())-$D63)/7)+1))</f>
        <v/>
      </c>
      <c r="I63" s="116">
        <f>IF(OR($B63="",$D63="",$F63=""),0,$F63*MAX(0,INT((MIN(IF($E63="",TODAY()-8,$E63),TODAY()-8)-$D63)/7)+1))</f>
        <v/>
      </c>
      <c r="J63" s="116">
        <f>IF(OR($B63="",$D63="",$F63=""),0,$F63*MAX(0,INT((MIN(IF($E63="",TODAY()-15,$E63),TODAY()-15)-$D63)/7)+1))</f>
        <v/>
      </c>
      <c r="K63" s="116">
        <f>IF(OR($B63="",$D63="",$F63=""),0,$F63*MAX(0,INT((MIN(IF($E63="",TODAY()-29,$E63),TODAY()-29)-$D63)/7)+1))</f>
        <v/>
      </c>
      <c r="L63" s="117">
        <f>IF($F63&gt;0,$H63/$F63,0)</f>
        <v/>
      </c>
      <c r="M63" s="112">
        <f>IF($B63="","",IF($C63="TANIMSIZ MÜŞTERİ","HATA",IF($G63="Pasif","PASİF",IF(AND(WEEKDAY($D63,2)=6,OR($E63="",WEEKDAY($E63,2)=6),$F63&gt;0),"UYGUN","HATA"))))</f>
        <v/>
      </c>
      <c r="N63" s="108" t="n"/>
      <c r="O63" s="6" t="n"/>
      <c r="P63" s="6" t="n"/>
    </row>
    <row r="64">
      <c r="A64" s="6" t="n"/>
      <c r="B64" s="107" t="n"/>
      <c r="C64" s="113">
        <f>IF($B64="","",IFERROR(INDEX(MUSTERILER!$C$7:$C$106,MATCH($B64,MUSTERILER!$B$7:$B$106,0)),"TANIMSIZ MÜŞTERİ"))</f>
        <v/>
      </c>
      <c r="D64" s="114" t="n"/>
      <c r="E64" s="114" t="n"/>
      <c r="F64" s="115" t="n"/>
      <c r="G64" s="107" t="n"/>
      <c r="H64" s="116">
        <f>IF(OR($B64="",$D64="",$F64=""),0,$F64*MAX(0,INT((MIN(IF($E64="",TODAY(),$E64),TODAY())-$D64)/7)+1))</f>
        <v/>
      </c>
      <c r="I64" s="116">
        <f>IF(OR($B64="",$D64="",$F64=""),0,$F64*MAX(0,INT((MIN(IF($E64="",TODAY()-8,$E64),TODAY()-8)-$D64)/7)+1))</f>
        <v/>
      </c>
      <c r="J64" s="116">
        <f>IF(OR($B64="",$D64="",$F64=""),0,$F64*MAX(0,INT((MIN(IF($E64="",TODAY()-15,$E64),TODAY()-15)-$D64)/7)+1))</f>
        <v/>
      </c>
      <c r="K64" s="116">
        <f>IF(OR($B64="",$D64="",$F64=""),0,$F64*MAX(0,INT((MIN(IF($E64="",TODAY()-29,$E64),TODAY()-29)-$D64)/7)+1))</f>
        <v/>
      </c>
      <c r="L64" s="117">
        <f>IF($F64&gt;0,$H64/$F64,0)</f>
        <v/>
      </c>
      <c r="M64" s="112">
        <f>IF($B64="","",IF($C64="TANIMSIZ MÜŞTERİ","HATA",IF($G64="Pasif","PASİF",IF(AND(WEEKDAY($D64,2)=6,OR($E64="",WEEKDAY($E64,2)=6),$F64&gt;0),"UYGUN","HATA"))))</f>
        <v/>
      </c>
      <c r="N64" s="108" t="n"/>
      <c r="O64" s="6" t="n"/>
      <c r="P64" s="6" t="n"/>
    </row>
    <row r="65">
      <c r="A65" s="6" t="n"/>
      <c r="B65" s="107" t="n"/>
      <c r="C65" s="113">
        <f>IF($B65="","",IFERROR(INDEX(MUSTERILER!$C$7:$C$106,MATCH($B65,MUSTERILER!$B$7:$B$106,0)),"TANIMSIZ MÜŞTERİ"))</f>
        <v/>
      </c>
      <c r="D65" s="114" t="n"/>
      <c r="E65" s="114" t="n"/>
      <c r="F65" s="115" t="n"/>
      <c r="G65" s="107" t="n"/>
      <c r="H65" s="116">
        <f>IF(OR($B65="",$D65="",$F65=""),0,$F65*MAX(0,INT((MIN(IF($E65="",TODAY(),$E65),TODAY())-$D65)/7)+1))</f>
        <v/>
      </c>
      <c r="I65" s="116">
        <f>IF(OR($B65="",$D65="",$F65=""),0,$F65*MAX(0,INT((MIN(IF($E65="",TODAY()-8,$E65),TODAY()-8)-$D65)/7)+1))</f>
        <v/>
      </c>
      <c r="J65" s="116">
        <f>IF(OR($B65="",$D65="",$F65=""),0,$F65*MAX(0,INT((MIN(IF($E65="",TODAY()-15,$E65),TODAY()-15)-$D65)/7)+1))</f>
        <v/>
      </c>
      <c r="K65" s="116">
        <f>IF(OR($B65="",$D65="",$F65=""),0,$F65*MAX(0,INT((MIN(IF($E65="",TODAY()-29,$E65),TODAY()-29)-$D65)/7)+1))</f>
        <v/>
      </c>
      <c r="L65" s="117">
        <f>IF($F65&gt;0,$H65/$F65,0)</f>
        <v/>
      </c>
      <c r="M65" s="112">
        <f>IF($B65="","",IF($C65="TANIMSIZ MÜŞTERİ","HATA",IF($G65="Pasif","PASİF",IF(AND(WEEKDAY($D65,2)=6,OR($E65="",WEEKDAY($E65,2)=6),$F65&gt;0),"UYGUN","HATA"))))</f>
        <v/>
      </c>
      <c r="N65" s="108" t="n"/>
      <c r="O65" s="6" t="n"/>
      <c r="P65" s="6" t="n"/>
    </row>
    <row r="66">
      <c r="A66" s="6" t="n"/>
      <c r="B66" s="107" t="n"/>
      <c r="C66" s="113">
        <f>IF($B66="","",IFERROR(INDEX(MUSTERILER!$C$7:$C$106,MATCH($B66,MUSTERILER!$B$7:$B$106,0)),"TANIMSIZ MÜŞTERİ"))</f>
        <v/>
      </c>
      <c r="D66" s="114" t="n"/>
      <c r="E66" s="114" t="n"/>
      <c r="F66" s="115" t="n"/>
      <c r="G66" s="107" t="n"/>
      <c r="H66" s="116">
        <f>IF(OR($B66="",$D66="",$F66=""),0,$F66*MAX(0,INT((MIN(IF($E66="",TODAY(),$E66),TODAY())-$D66)/7)+1))</f>
        <v/>
      </c>
      <c r="I66" s="116">
        <f>IF(OR($B66="",$D66="",$F66=""),0,$F66*MAX(0,INT((MIN(IF($E66="",TODAY()-8,$E66),TODAY()-8)-$D66)/7)+1))</f>
        <v/>
      </c>
      <c r="J66" s="116">
        <f>IF(OR($B66="",$D66="",$F66=""),0,$F66*MAX(0,INT((MIN(IF($E66="",TODAY()-15,$E66),TODAY()-15)-$D66)/7)+1))</f>
        <v/>
      </c>
      <c r="K66" s="116">
        <f>IF(OR($B66="",$D66="",$F66=""),0,$F66*MAX(0,INT((MIN(IF($E66="",TODAY()-29,$E66),TODAY()-29)-$D66)/7)+1))</f>
        <v/>
      </c>
      <c r="L66" s="117">
        <f>IF($F66&gt;0,$H66/$F66,0)</f>
        <v/>
      </c>
      <c r="M66" s="112">
        <f>IF($B66="","",IF($C66="TANIMSIZ MÜŞTERİ","HATA",IF($G66="Pasif","PASİF",IF(AND(WEEKDAY($D66,2)=6,OR($E66="",WEEKDAY($E66,2)=6),$F66&gt;0),"UYGUN","HATA"))))</f>
        <v/>
      </c>
      <c r="N66" s="108" t="n"/>
      <c r="O66" s="6" t="n"/>
      <c r="P66" s="6" t="n"/>
    </row>
    <row r="67">
      <c r="A67" s="6" t="n"/>
      <c r="B67" s="107" t="n"/>
      <c r="C67" s="113">
        <f>IF($B67="","",IFERROR(INDEX(MUSTERILER!$C$7:$C$106,MATCH($B67,MUSTERILER!$B$7:$B$106,0)),"TANIMSIZ MÜŞTERİ"))</f>
        <v/>
      </c>
      <c r="D67" s="114" t="n"/>
      <c r="E67" s="114" t="n"/>
      <c r="F67" s="115" t="n"/>
      <c r="G67" s="107" t="n"/>
      <c r="H67" s="116">
        <f>IF(OR($B67="",$D67="",$F67=""),0,$F67*MAX(0,INT((MIN(IF($E67="",TODAY(),$E67),TODAY())-$D67)/7)+1))</f>
        <v/>
      </c>
      <c r="I67" s="116">
        <f>IF(OR($B67="",$D67="",$F67=""),0,$F67*MAX(0,INT((MIN(IF($E67="",TODAY()-8,$E67),TODAY()-8)-$D67)/7)+1))</f>
        <v/>
      </c>
      <c r="J67" s="116">
        <f>IF(OR($B67="",$D67="",$F67=""),0,$F67*MAX(0,INT((MIN(IF($E67="",TODAY()-15,$E67),TODAY()-15)-$D67)/7)+1))</f>
        <v/>
      </c>
      <c r="K67" s="116">
        <f>IF(OR($B67="",$D67="",$F67=""),0,$F67*MAX(0,INT((MIN(IF($E67="",TODAY()-29,$E67),TODAY()-29)-$D67)/7)+1))</f>
        <v/>
      </c>
      <c r="L67" s="117">
        <f>IF($F67&gt;0,$H67/$F67,0)</f>
        <v/>
      </c>
      <c r="M67" s="112">
        <f>IF($B67="","",IF($C67="TANIMSIZ MÜŞTERİ","HATA",IF($G67="Pasif","PASİF",IF(AND(WEEKDAY($D67,2)=6,OR($E67="",WEEKDAY($E67,2)=6),$F67&gt;0),"UYGUN","HATA"))))</f>
        <v/>
      </c>
      <c r="N67" s="108" t="n"/>
      <c r="O67" s="6" t="n"/>
      <c r="P67" s="6" t="n"/>
    </row>
    <row r="68">
      <c r="A68" s="6" t="n"/>
      <c r="B68" s="107" t="n"/>
      <c r="C68" s="113">
        <f>IF($B68="","",IFERROR(INDEX(MUSTERILER!$C$7:$C$106,MATCH($B68,MUSTERILER!$B$7:$B$106,0)),"TANIMSIZ MÜŞTERİ"))</f>
        <v/>
      </c>
      <c r="D68" s="114" t="n"/>
      <c r="E68" s="114" t="n"/>
      <c r="F68" s="115" t="n"/>
      <c r="G68" s="107" t="n"/>
      <c r="H68" s="116">
        <f>IF(OR($B68="",$D68="",$F68=""),0,$F68*MAX(0,INT((MIN(IF($E68="",TODAY(),$E68),TODAY())-$D68)/7)+1))</f>
        <v/>
      </c>
      <c r="I68" s="116">
        <f>IF(OR($B68="",$D68="",$F68=""),0,$F68*MAX(0,INT((MIN(IF($E68="",TODAY()-8,$E68),TODAY()-8)-$D68)/7)+1))</f>
        <v/>
      </c>
      <c r="J68" s="116">
        <f>IF(OR($B68="",$D68="",$F68=""),0,$F68*MAX(0,INT((MIN(IF($E68="",TODAY()-15,$E68),TODAY()-15)-$D68)/7)+1))</f>
        <v/>
      </c>
      <c r="K68" s="116">
        <f>IF(OR($B68="",$D68="",$F68=""),0,$F68*MAX(0,INT((MIN(IF($E68="",TODAY()-29,$E68),TODAY()-29)-$D68)/7)+1))</f>
        <v/>
      </c>
      <c r="L68" s="117">
        <f>IF($F68&gt;0,$H68/$F68,0)</f>
        <v/>
      </c>
      <c r="M68" s="112">
        <f>IF($B68="","",IF($C68="TANIMSIZ MÜŞTERİ","HATA",IF($G68="Pasif","PASİF",IF(AND(WEEKDAY($D68,2)=6,OR($E68="",WEEKDAY($E68,2)=6),$F68&gt;0),"UYGUN","HATA"))))</f>
        <v/>
      </c>
      <c r="N68" s="108" t="n"/>
      <c r="O68" s="6" t="n"/>
      <c r="P68" s="6" t="n"/>
    </row>
    <row r="69">
      <c r="A69" s="6" t="n"/>
      <c r="B69" s="107" t="n"/>
      <c r="C69" s="113">
        <f>IF($B69="","",IFERROR(INDEX(MUSTERILER!$C$7:$C$106,MATCH($B69,MUSTERILER!$B$7:$B$106,0)),"TANIMSIZ MÜŞTERİ"))</f>
        <v/>
      </c>
      <c r="D69" s="114" t="n"/>
      <c r="E69" s="114" t="n"/>
      <c r="F69" s="115" t="n"/>
      <c r="G69" s="107" t="n"/>
      <c r="H69" s="116">
        <f>IF(OR($B69="",$D69="",$F69=""),0,$F69*MAX(0,INT((MIN(IF($E69="",TODAY(),$E69),TODAY())-$D69)/7)+1))</f>
        <v/>
      </c>
      <c r="I69" s="116">
        <f>IF(OR($B69="",$D69="",$F69=""),0,$F69*MAX(0,INT((MIN(IF($E69="",TODAY()-8,$E69),TODAY()-8)-$D69)/7)+1))</f>
        <v/>
      </c>
      <c r="J69" s="116">
        <f>IF(OR($B69="",$D69="",$F69=""),0,$F69*MAX(0,INT((MIN(IF($E69="",TODAY()-15,$E69),TODAY()-15)-$D69)/7)+1))</f>
        <v/>
      </c>
      <c r="K69" s="116">
        <f>IF(OR($B69="",$D69="",$F69=""),0,$F69*MAX(0,INT((MIN(IF($E69="",TODAY()-29,$E69),TODAY()-29)-$D69)/7)+1))</f>
        <v/>
      </c>
      <c r="L69" s="117">
        <f>IF($F69&gt;0,$H69/$F69,0)</f>
        <v/>
      </c>
      <c r="M69" s="112">
        <f>IF($B69="","",IF($C69="TANIMSIZ MÜŞTERİ","HATA",IF($G69="Pasif","PASİF",IF(AND(WEEKDAY($D69,2)=6,OR($E69="",WEEKDAY($E69,2)=6),$F69&gt;0),"UYGUN","HATA"))))</f>
        <v/>
      </c>
      <c r="N69" s="108" t="n"/>
      <c r="O69" s="6" t="n"/>
      <c r="P69" s="6" t="n"/>
    </row>
    <row r="70">
      <c r="A70" s="6" t="n"/>
      <c r="B70" s="107" t="n"/>
      <c r="C70" s="113">
        <f>IF($B70="","",IFERROR(INDEX(MUSTERILER!$C$7:$C$106,MATCH($B70,MUSTERILER!$B$7:$B$106,0)),"TANIMSIZ MÜŞTERİ"))</f>
        <v/>
      </c>
      <c r="D70" s="114" t="n"/>
      <c r="E70" s="114" t="n"/>
      <c r="F70" s="115" t="n"/>
      <c r="G70" s="107" t="n"/>
      <c r="H70" s="116">
        <f>IF(OR($B70="",$D70="",$F70=""),0,$F70*MAX(0,INT((MIN(IF($E70="",TODAY(),$E70),TODAY())-$D70)/7)+1))</f>
        <v/>
      </c>
      <c r="I70" s="116">
        <f>IF(OR($B70="",$D70="",$F70=""),0,$F70*MAX(0,INT((MIN(IF($E70="",TODAY()-8,$E70),TODAY()-8)-$D70)/7)+1))</f>
        <v/>
      </c>
      <c r="J70" s="116">
        <f>IF(OR($B70="",$D70="",$F70=""),0,$F70*MAX(0,INT((MIN(IF($E70="",TODAY()-15,$E70),TODAY()-15)-$D70)/7)+1))</f>
        <v/>
      </c>
      <c r="K70" s="116">
        <f>IF(OR($B70="",$D70="",$F70=""),0,$F70*MAX(0,INT((MIN(IF($E70="",TODAY()-29,$E70),TODAY()-29)-$D70)/7)+1))</f>
        <v/>
      </c>
      <c r="L70" s="117">
        <f>IF($F70&gt;0,$H70/$F70,0)</f>
        <v/>
      </c>
      <c r="M70" s="112">
        <f>IF($B70="","",IF($C70="TANIMSIZ MÜŞTERİ","HATA",IF($G70="Pasif","PASİF",IF(AND(WEEKDAY($D70,2)=6,OR($E70="",WEEKDAY($E70,2)=6),$F70&gt;0),"UYGUN","HATA"))))</f>
        <v/>
      </c>
      <c r="N70" s="108" t="n"/>
      <c r="O70" s="6" t="n"/>
      <c r="P70" s="6" t="n"/>
    </row>
    <row r="71">
      <c r="A71" s="6" t="n"/>
      <c r="B71" s="107" t="n"/>
      <c r="C71" s="113">
        <f>IF($B71="","",IFERROR(INDEX(MUSTERILER!$C$7:$C$106,MATCH($B71,MUSTERILER!$B$7:$B$106,0)),"TANIMSIZ MÜŞTERİ"))</f>
        <v/>
      </c>
      <c r="D71" s="114" t="n"/>
      <c r="E71" s="114" t="n"/>
      <c r="F71" s="115" t="n"/>
      <c r="G71" s="107" t="n"/>
      <c r="H71" s="116">
        <f>IF(OR($B71="",$D71="",$F71=""),0,$F71*MAX(0,INT((MIN(IF($E71="",TODAY(),$E71),TODAY())-$D71)/7)+1))</f>
        <v/>
      </c>
      <c r="I71" s="116">
        <f>IF(OR($B71="",$D71="",$F71=""),0,$F71*MAX(0,INT((MIN(IF($E71="",TODAY()-8,$E71),TODAY()-8)-$D71)/7)+1))</f>
        <v/>
      </c>
      <c r="J71" s="116">
        <f>IF(OR($B71="",$D71="",$F71=""),0,$F71*MAX(0,INT((MIN(IF($E71="",TODAY()-15,$E71),TODAY()-15)-$D71)/7)+1))</f>
        <v/>
      </c>
      <c r="K71" s="116">
        <f>IF(OR($B71="",$D71="",$F71=""),0,$F71*MAX(0,INT((MIN(IF($E71="",TODAY()-29,$E71),TODAY()-29)-$D71)/7)+1))</f>
        <v/>
      </c>
      <c r="L71" s="117">
        <f>IF($F71&gt;0,$H71/$F71,0)</f>
        <v/>
      </c>
      <c r="M71" s="112">
        <f>IF($B71="","",IF($C71="TANIMSIZ MÜŞTERİ","HATA",IF($G71="Pasif","PASİF",IF(AND(WEEKDAY($D71,2)=6,OR($E71="",WEEKDAY($E71,2)=6),$F71&gt;0),"UYGUN","HATA"))))</f>
        <v/>
      </c>
      <c r="N71" s="108" t="n"/>
      <c r="O71" s="6" t="n"/>
      <c r="P71" s="6" t="n"/>
    </row>
    <row r="72">
      <c r="A72" s="6" t="n"/>
      <c r="B72" s="107" t="n"/>
      <c r="C72" s="113">
        <f>IF($B72="","",IFERROR(INDEX(MUSTERILER!$C$7:$C$106,MATCH($B72,MUSTERILER!$B$7:$B$106,0)),"TANIMSIZ MÜŞTERİ"))</f>
        <v/>
      </c>
      <c r="D72" s="114" t="n"/>
      <c r="E72" s="114" t="n"/>
      <c r="F72" s="115" t="n"/>
      <c r="G72" s="107" t="n"/>
      <c r="H72" s="116">
        <f>IF(OR($B72="",$D72="",$F72=""),0,$F72*MAX(0,INT((MIN(IF($E72="",TODAY(),$E72),TODAY())-$D72)/7)+1))</f>
        <v/>
      </c>
      <c r="I72" s="116">
        <f>IF(OR($B72="",$D72="",$F72=""),0,$F72*MAX(0,INT((MIN(IF($E72="",TODAY()-8,$E72),TODAY()-8)-$D72)/7)+1))</f>
        <v/>
      </c>
      <c r="J72" s="116">
        <f>IF(OR($B72="",$D72="",$F72=""),0,$F72*MAX(0,INT((MIN(IF($E72="",TODAY()-15,$E72),TODAY()-15)-$D72)/7)+1))</f>
        <v/>
      </c>
      <c r="K72" s="116">
        <f>IF(OR($B72="",$D72="",$F72=""),0,$F72*MAX(0,INT((MIN(IF($E72="",TODAY()-29,$E72),TODAY()-29)-$D72)/7)+1))</f>
        <v/>
      </c>
      <c r="L72" s="117">
        <f>IF($F72&gt;0,$H72/$F72,0)</f>
        <v/>
      </c>
      <c r="M72" s="112">
        <f>IF($B72="","",IF($C72="TANIMSIZ MÜŞTERİ","HATA",IF($G72="Pasif","PASİF",IF(AND(WEEKDAY($D72,2)=6,OR($E72="",WEEKDAY($E72,2)=6),$F72&gt;0),"UYGUN","HATA"))))</f>
        <v/>
      </c>
      <c r="N72" s="108" t="n"/>
      <c r="O72" s="6" t="n"/>
      <c r="P72" s="6" t="n"/>
    </row>
    <row r="73">
      <c r="A73" s="6" t="n"/>
      <c r="B73" s="107" t="n"/>
      <c r="C73" s="113">
        <f>IF($B73="","",IFERROR(INDEX(MUSTERILER!$C$7:$C$106,MATCH($B73,MUSTERILER!$B$7:$B$106,0)),"TANIMSIZ MÜŞTERİ"))</f>
        <v/>
      </c>
      <c r="D73" s="114" t="n"/>
      <c r="E73" s="114" t="n"/>
      <c r="F73" s="115" t="n"/>
      <c r="G73" s="107" t="n"/>
      <c r="H73" s="116">
        <f>IF(OR($B73="",$D73="",$F73=""),0,$F73*MAX(0,INT((MIN(IF($E73="",TODAY(),$E73),TODAY())-$D73)/7)+1))</f>
        <v/>
      </c>
      <c r="I73" s="116">
        <f>IF(OR($B73="",$D73="",$F73=""),0,$F73*MAX(0,INT((MIN(IF($E73="",TODAY()-8,$E73),TODAY()-8)-$D73)/7)+1))</f>
        <v/>
      </c>
      <c r="J73" s="116">
        <f>IF(OR($B73="",$D73="",$F73=""),0,$F73*MAX(0,INT((MIN(IF($E73="",TODAY()-15,$E73),TODAY()-15)-$D73)/7)+1))</f>
        <v/>
      </c>
      <c r="K73" s="116">
        <f>IF(OR($B73="",$D73="",$F73=""),0,$F73*MAX(0,INT((MIN(IF($E73="",TODAY()-29,$E73),TODAY()-29)-$D73)/7)+1))</f>
        <v/>
      </c>
      <c r="L73" s="117">
        <f>IF($F73&gt;0,$H73/$F73,0)</f>
        <v/>
      </c>
      <c r="M73" s="112">
        <f>IF($B73="","",IF($C73="TANIMSIZ MÜŞTERİ","HATA",IF($G73="Pasif","PASİF",IF(AND(WEEKDAY($D73,2)=6,OR($E73="",WEEKDAY($E73,2)=6),$F73&gt;0),"UYGUN","HATA"))))</f>
        <v/>
      </c>
      <c r="N73" s="108" t="n"/>
      <c r="O73" s="6" t="n"/>
      <c r="P73" s="6" t="n"/>
    </row>
    <row r="74">
      <c r="A74" s="6" t="n"/>
      <c r="B74" s="107" t="n"/>
      <c r="C74" s="113">
        <f>IF($B74="","",IFERROR(INDEX(MUSTERILER!$C$7:$C$106,MATCH($B74,MUSTERILER!$B$7:$B$106,0)),"TANIMSIZ MÜŞTERİ"))</f>
        <v/>
      </c>
      <c r="D74" s="114" t="n"/>
      <c r="E74" s="114" t="n"/>
      <c r="F74" s="115" t="n"/>
      <c r="G74" s="107" t="n"/>
      <c r="H74" s="116">
        <f>IF(OR($B74="",$D74="",$F74=""),0,$F74*MAX(0,INT((MIN(IF($E74="",TODAY(),$E74),TODAY())-$D74)/7)+1))</f>
        <v/>
      </c>
      <c r="I74" s="116">
        <f>IF(OR($B74="",$D74="",$F74=""),0,$F74*MAX(0,INT((MIN(IF($E74="",TODAY()-8,$E74),TODAY()-8)-$D74)/7)+1))</f>
        <v/>
      </c>
      <c r="J74" s="116">
        <f>IF(OR($B74="",$D74="",$F74=""),0,$F74*MAX(0,INT((MIN(IF($E74="",TODAY()-15,$E74),TODAY()-15)-$D74)/7)+1))</f>
        <v/>
      </c>
      <c r="K74" s="116">
        <f>IF(OR($B74="",$D74="",$F74=""),0,$F74*MAX(0,INT((MIN(IF($E74="",TODAY()-29,$E74),TODAY()-29)-$D74)/7)+1))</f>
        <v/>
      </c>
      <c r="L74" s="117">
        <f>IF($F74&gt;0,$H74/$F74,0)</f>
        <v/>
      </c>
      <c r="M74" s="112">
        <f>IF($B74="","",IF($C74="TANIMSIZ MÜŞTERİ","HATA",IF($G74="Pasif","PASİF",IF(AND(WEEKDAY($D74,2)=6,OR($E74="",WEEKDAY($E74,2)=6),$F74&gt;0),"UYGUN","HATA"))))</f>
        <v/>
      </c>
      <c r="N74" s="108" t="n"/>
      <c r="O74" s="6" t="n"/>
      <c r="P74" s="6" t="n"/>
    </row>
    <row r="75">
      <c r="A75" s="6" t="n"/>
      <c r="B75" s="107" t="n"/>
      <c r="C75" s="113">
        <f>IF($B75="","",IFERROR(INDEX(MUSTERILER!$C$7:$C$106,MATCH($B75,MUSTERILER!$B$7:$B$106,0)),"TANIMSIZ MÜŞTERİ"))</f>
        <v/>
      </c>
      <c r="D75" s="114" t="n"/>
      <c r="E75" s="114" t="n"/>
      <c r="F75" s="115" t="n"/>
      <c r="G75" s="107" t="n"/>
      <c r="H75" s="116">
        <f>IF(OR($B75="",$D75="",$F75=""),0,$F75*MAX(0,INT((MIN(IF($E75="",TODAY(),$E75),TODAY())-$D75)/7)+1))</f>
        <v/>
      </c>
      <c r="I75" s="116">
        <f>IF(OR($B75="",$D75="",$F75=""),0,$F75*MAX(0,INT((MIN(IF($E75="",TODAY()-8,$E75),TODAY()-8)-$D75)/7)+1))</f>
        <v/>
      </c>
      <c r="J75" s="116">
        <f>IF(OR($B75="",$D75="",$F75=""),0,$F75*MAX(0,INT((MIN(IF($E75="",TODAY()-15,$E75),TODAY()-15)-$D75)/7)+1))</f>
        <v/>
      </c>
      <c r="K75" s="116">
        <f>IF(OR($B75="",$D75="",$F75=""),0,$F75*MAX(0,INT((MIN(IF($E75="",TODAY()-29,$E75),TODAY()-29)-$D75)/7)+1))</f>
        <v/>
      </c>
      <c r="L75" s="117">
        <f>IF($F75&gt;0,$H75/$F75,0)</f>
        <v/>
      </c>
      <c r="M75" s="112">
        <f>IF($B75="","",IF($C75="TANIMSIZ MÜŞTERİ","HATA",IF($G75="Pasif","PASİF",IF(AND(WEEKDAY($D75,2)=6,OR($E75="",WEEKDAY($E75,2)=6),$F75&gt;0),"UYGUN","HATA"))))</f>
        <v/>
      </c>
      <c r="N75" s="108" t="n"/>
      <c r="O75" s="6" t="n"/>
      <c r="P75" s="6" t="n"/>
    </row>
    <row r="76">
      <c r="A76" s="6" t="n"/>
      <c r="B76" s="107" t="n"/>
      <c r="C76" s="113">
        <f>IF($B76="","",IFERROR(INDEX(MUSTERILER!$C$7:$C$106,MATCH($B76,MUSTERILER!$B$7:$B$106,0)),"TANIMSIZ MÜŞTERİ"))</f>
        <v/>
      </c>
      <c r="D76" s="114" t="n"/>
      <c r="E76" s="114" t="n"/>
      <c r="F76" s="115" t="n"/>
      <c r="G76" s="107" t="n"/>
      <c r="H76" s="116">
        <f>IF(OR($B76="",$D76="",$F76=""),0,$F76*MAX(0,INT((MIN(IF($E76="",TODAY(),$E76),TODAY())-$D76)/7)+1))</f>
        <v/>
      </c>
      <c r="I76" s="116">
        <f>IF(OR($B76="",$D76="",$F76=""),0,$F76*MAX(0,INT((MIN(IF($E76="",TODAY()-8,$E76),TODAY()-8)-$D76)/7)+1))</f>
        <v/>
      </c>
      <c r="J76" s="116">
        <f>IF(OR($B76="",$D76="",$F76=""),0,$F76*MAX(0,INT((MIN(IF($E76="",TODAY()-15,$E76),TODAY()-15)-$D76)/7)+1))</f>
        <v/>
      </c>
      <c r="K76" s="116">
        <f>IF(OR($B76="",$D76="",$F76=""),0,$F76*MAX(0,INT((MIN(IF($E76="",TODAY()-29,$E76),TODAY()-29)-$D76)/7)+1))</f>
        <v/>
      </c>
      <c r="L76" s="117">
        <f>IF($F76&gt;0,$H76/$F76,0)</f>
        <v/>
      </c>
      <c r="M76" s="112">
        <f>IF($B76="","",IF($C76="TANIMSIZ MÜŞTERİ","HATA",IF($G76="Pasif","PASİF",IF(AND(WEEKDAY($D76,2)=6,OR($E76="",WEEKDAY($E76,2)=6),$F76&gt;0),"UYGUN","HATA"))))</f>
        <v/>
      </c>
      <c r="N76" s="108" t="n"/>
      <c r="O76" s="6" t="n"/>
      <c r="P76" s="6" t="n"/>
    </row>
    <row r="77">
      <c r="A77" s="6" t="n"/>
      <c r="B77" s="107" t="n"/>
      <c r="C77" s="113">
        <f>IF($B77="","",IFERROR(INDEX(MUSTERILER!$C$7:$C$106,MATCH($B77,MUSTERILER!$B$7:$B$106,0)),"TANIMSIZ MÜŞTERİ"))</f>
        <v/>
      </c>
      <c r="D77" s="114" t="n"/>
      <c r="E77" s="114" t="n"/>
      <c r="F77" s="115" t="n"/>
      <c r="G77" s="107" t="n"/>
      <c r="H77" s="116">
        <f>IF(OR($B77="",$D77="",$F77=""),0,$F77*MAX(0,INT((MIN(IF($E77="",TODAY(),$E77),TODAY())-$D77)/7)+1))</f>
        <v/>
      </c>
      <c r="I77" s="116">
        <f>IF(OR($B77="",$D77="",$F77=""),0,$F77*MAX(0,INT((MIN(IF($E77="",TODAY()-8,$E77),TODAY()-8)-$D77)/7)+1))</f>
        <v/>
      </c>
      <c r="J77" s="116">
        <f>IF(OR($B77="",$D77="",$F77=""),0,$F77*MAX(0,INT((MIN(IF($E77="",TODAY()-15,$E77),TODAY()-15)-$D77)/7)+1))</f>
        <v/>
      </c>
      <c r="K77" s="116">
        <f>IF(OR($B77="",$D77="",$F77=""),0,$F77*MAX(0,INT((MIN(IF($E77="",TODAY()-29,$E77),TODAY()-29)-$D77)/7)+1))</f>
        <v/>
      </c>
      <c r="L77" s="117">
        <f>IF($F77&gt;0,$H77/$F77,0)</f>
        <v/>
      </c>
      <c r="M77" s="112">
        <f>IF($B77="","",IF($C77="TANIMSIZ MÜŞTERİ","HATA",IF($G77="Pasif","PASİF",IF(AND(WEEKDAY($D77,2)=6,OR($E77="",WEEKDAY($E77,2)=6),$F77&gt;0),"UYGUN","HATA"))))</f>
        <v/>
      </c>
      <c r="N77" s="108" t="n"/>
      <c r="O77" s="6" t="n"/>
      <c r="P77" s="6" t="n"/>
    </row>
    <row r="78">
      <c r="A78" s="6" t="n"/>
      <c r="B78" s="107" t="n"/>
      <c r="C78" s="113">
        <f>IF($B78="","",IFERROR(INDEX(MUSTERILER!$C$7:$C$106,MATCH($B78,MUSTERILER!$B$7:$B$106,0)),"TANIMSIZ MÜŞTERİ"))</f>
        <v/>
      </c>
      <c r="D78" s="114" t="n"/>
      <c r="E78" s="114" t="n"/>
      <c r="F78" s="115" t="n"/>
      <c r="G78" s="107" t="n"/>
      <c r="H78" s="116">
        <f>IF(OR($B78="",$D78="",$F78=""),0,$F78*MAX(0,INT((MIN(IF($E78="",TODAY(),$E78),TODAY())-$D78)/7)+1))</f>
        <v/>
      </c>
      <c r="I78" s="116">
        <f>IF(OR($B78="",$D78="",$F78=""),0,$F78*MAX(0,INT((MIN(IF($E78="",TODAY()-8,$E78),TODAY()-8)-$D78)/7)+1))</f>
        <v/>
      </c>
      <c r="J78" s="116">
        <f>IF(OR($B78="",$D78="",$F78=""),0,$F78*MAX(0,INT((MIN(IF($E78="",TODAY()-15,$E78),TODAY()-15)-$D78)/7)+1))</f>
        <v/>
      </c>
      <c r="K78" s="116">
        <f>IF(OR($B78="",$D78="",$F78=""),0,$F78*MAX(0,INT((MIN(IF($E78="",TODAY()-29,$E78),TODAY()-29)-$D78)/7)+1))</f>
        <v/>
      </c>
      <c r="L78" s="117">
        <f>IF($F78&gt;0,$H78/$F78,0)</f>
        <v/>
      </c>
      <c r="M78" s="112">
        <f>IF($B78="","",IF($C78="TANIMSIZ MÜŞTERİ","HATA",IF($G78="Pasif","PASİF",IF(AND(WEEKDAY($D78,2)=6,OR($E78="",WEEKDAY($E78,2)=6),$F78&gt;0),"UYGUN","HATA"))))</f>
        <v/>
      </c>
      <c r="N78" s="108" t="n"/>
      <c r="O78" s="6" t="n"/>
      <c r="P78" s="6" t="n"/>
    </row>
    <row r="79">
      <c r="A79" s="6" t="n"/>
      <c r="B79" s="107" t="n"/>
      <c r="C79" s="113">
        <f>IF($B79="","",IFERROR(INDEX(MUSTERILER!$C$7:$C$106,MATCH($B79,MUSTERILER!$B$7:$B$106,0)),"TANIMSIZ MÜŞTERİ"))</f>
        <v/>
      </c>
      <c r="D79" s="114" t="n"/>
      <c r="E79" s="114" t="n"/>
      <c r="F79" s="115" t="n"/>
      <c r="G79" s="107" t="n"/>
      <c r="H79" s="116">
        <f>IF(OR($B79="",$D79="",$F79=""),0,$F79*MAX(0,INT((MIN(IF($E79="",TODAY(),$E79),TODAY())-$D79)/7)+1))</f>
        <v/>
      </c>
      <c r="I79" s="116">
        <f>IF(OR($B79="",$D79="",$F79=""),0,$F79*MAX(0,INT((MIN(IF($E79="",TODAY()-8,$E79),TODAY()-8)-$D79)/7)+1))</f>
        <v/>
      </c>
      <c r="J79" s="116">
        <f>IF(OR($B79="",$D79="",$F79=""),0,$F79*MAX(0,INT((MIN(IF($E79="",TODAY()-15,$E79),TODAY()-15)-$D79)/7)+1))</f>
        <v/>
      </c>
      <c r="K79" s="116">
        <f>IF(OR($B79="",$D79="",$F79=""),0,$F79*MAX(0,INT((MIN(IF($E79="",TODAY()-29,$E79),TODAY()-29)-$D79)/7)+1))</f>
        <v/>
      </c>
      <c r="L79" s="117">
        <f>IF($F79&gt;0,$H79/$F79,0)</f>
        <v/>
      </c>
      <c r="M79" s="112">
        <f>IF($B79="","",IF($C79="TANIMSIZ MÜŞTERİ","HATA",IF($G79="Pasif","PASİF",IF(AND(WEEKDAY($D79,2)=6,OR($E79="",WEEKDAY($E79,2)=6),$F79&gt;0),"UYGUN","HATA"))))</f>
        <v/>
      </c>
      <c r="N79" s="108" t="n"/>
      <c r="O79" s="6" t="n"/>
      <c r="P79" s="6" t="n"/>
    </row>
    <row r="80">
      <c r="A80" s="6" t="n"/>
      <c r="B80" s="107" t="n"/>
      <c r="C80" s="113">
        <f>IF($B80="","",IFERROR(INDEX(MUSTERILER!$C$7:$C$106,MATCH($B80,MUSTERILER!$B$7:$B$106,0)),"TANIMSIZ MÜŞTERİ"))</f>
        <v/>
      </c>
      <c r="D80" s="114" t="n"/>
      <c r="E80" s="114" t="n"/>
      <c r="F80" s="115" t="n"/>
      <c r="G80" s="107" t="n"/>
      <c r="H80" s="116">
        <f>IF(OR($B80="",$D80="",$F80=""),0,$F80*MAX(0,INT((MIN(IF($E80="",TODAY(),$E80),TODAY())-$D80)/7)+1))</f>
        <v/>
      </c>
      <c r="I80" s="116">
        <f>IF(OR($B80="",$D80="",$F80=""),0,$F80*MAX(0,INT((MIN(IF($E80="",TODAY()-8,$E80),TODAY()-8)-$D80)/7)+1))</f>
        <v/>
      </c>
      <c r="J80" s="116">
        <f>IF(OR($B80="",$D80="",$F80=""),0,$F80*MAX(0,INT((MIN(IF($E80="",TODAY()-15,$E80),TODAY()-15)-$D80)/7)+1))</f>
        <v/>
      </c>
      <c r="K80" s="116">
        <f>IF(OR($B80="",$D80="",$F80=""),0,$F80*MAX(0,INT((MIN(IF($E80="",TODAY()-29,$E80),TODAY()-29)-$D80)/7)+1))</f>
        <v/>
      </c>
      <c r="L80" s="117">
        <f>IF($F80&gt;0,$H80/$F80,0)</f>
        <v/>
      </c>
      <c r="M80" s="112">
        <f>IF($B80="","",IF($C80="TANIMSIZ MÜŞTERİ","HATA",IF($G80="Pasif","PASİF",IF(AND(WEEKDAY($D80,2)=6,OR($E80="",WEEKDAY($E80,2)=6),$F80&gt;0),"UYGUN","HATA"))))</f>
        <v/>
      </c>
      <c r="N80" s="108" t="n"/>
      <c r="O80" s="6" t="n"/>
      <c r="P80" s="6" t="n"/>
    </row>
    <row r="81">
      <c r="A81" s="6" t="n"/>
      <c r="B81" s="107" t="n"/>
      <c r="C81" s="113">
        <f>IF($B81="","",IFERROR(INDEX(MUSTERILER!$C$7:$C$106,MATCH($B81,MUSTERILER!$B$7:$B$106,0)),"TANIMSIZ MÜŞTERİ"))</f>
        <v/>
      </c>
      <c r="D81" s="114" t="n"/>
      <c r="E81" s="114" t="n"/>
      <c r="F81" s="115" t="n"/>
      <c r="G81" s="107" t="n"/>
      <c r="H81" s="116">
        <f>IF(OR($B81="",$D81="",$F81=""),0,$F81*MAX(0,INT((MIN(IF($E81="",TODAY(),$E81),TODAY())-$D81)/7)+1))</f>
        <v/>
      </c>
      <c r="I81" s="116">
        <f>IF(OR($B81="",$D81="",$F81=""),0,$F81*MAX(0,INT((MIN(IF($E81="",TODAY()-8,$E81),TODAY()-8)-$D81)/7)+1))</f>
        <v/>
      </c>
      <c r="J81" s="116">
        <f>IF(OR($B81="",$D81="",$F81=""),0,$F81*MAX(0,INT((MIN(IF($E81="",TODAY()-15,$E81),TODAY()-15)-$D81)/7)+1))</f>
        <v/>
      </c>
      <c r="K81" s="116">
        <f>IF(OR($B81="",$D81="",$F81=""),0,$F81*MAX(0,INT((MIN(IF($E81="",TODAY()-29,$E81),TODAY()-29)-$D81)/7)+1))</f>
        <v/>
      </c>
      <c r="L81" s="117">
        <f>IF($F81&gt;0,$H81/$F81,0)</f>
        <v/>
      </c>
      <c r="M81" s="112">
        <f>IF($B81="","",IF($C81="TANIMSIZ MÜŞTERİ","HATA",IF($G81="Pasif","PASİF",IF(AND(WEEKDAY($D81,2)=6,OR($E81="",WEEKDAY($E81,2)=6),$F81&gt;0),"UYGUN","HATA"))))</f>
        <v/>
      </c>
      <c r="N81" s="108" t="n"/>
      <c r="O81" s="6" t="n"/>
      <c r="P81" s="6" t="n"/>
    </row>
    <row r="82">
      <c r="A82" s="6" t="n"/>
      <c r="B82" s="107" t="n"/>
      <c r="C82" s="113">
        <f>IF($B82="","",IFERROR(INDEX(MUSTERILER!$C$7:$C$106,MATCH($B82,MUSTERILER!$B$7:$B$106,0)),"TANIMSIZ MÜŞTERİ"))</f>
        <v/>
      </c>
      <c r="D82" s="114" t="n"/>
      <c r="E82" s="114" t="n"/>
      <c r="F82" s="115" t="n"/>
      <c r="G82" s="107" t="n"/>
      <c r="H82" s="116">
        <f>IF(OR($B82="",$D82="",$F82=""),0,$F82*MAX(0,INT((MIN(IF($E82="",TODAY(),$E82),TODAY())-$D82)/7)+1))</f>
        <v/>
      </c>
      <c r="I82" s="116">
        <f>IF(OR($B82="",$D82="",$F82=""),0,$F82*MAX(0,INT((MIN(IF($E82="",TODAY()-8,$E82),TODAY()-8)-$D82)/7)+1))</f>
        <v/>
      </c>
      <c r="J82" s="116">
        <f>IF(OR($B82="",$D82="",$F82=""),0,$F82*MAX(0,INT((MIN(IF($E82="",TODAY()-15,$E82),TODAY()-15)-$D82)/7)+1))</f>
        <v/>
      </c>
      <c r="K82" s="116">
        <f>IF(OR($B82="",$D82="",$F82=""),0,$F82*MAX(0,INT((MIN(IF($E82="",TODAY()-29,$E82),TODAY()-29)-$D82)/7)+1))</f>
        <v/>
      </c>
      <c r="L82" s="117">
        <f>IF($F82&gt;0,$H82/$F82,0)</f>
        <v/>
      </c>
      <c r="M82" s="112">
        <f>IF($B82="","",IF($C82="TANIMSIZ MÜŞTERİ","HATA",IF($G82="Pasif","PASİF",IF(AND(WEEKDAY($D82,2)=6,OR($E82="",WEEKDAY($E82,2)=6),$F82&gt;0),"UYGUN","HATA"))))</f>
        <v/>
      </c>
      <c r="N82" s="108" t="n"/>
      <c r="O82" s="6" t="n"/>
      <c r="P82" s="6" t="n"/>
    </row>
    <row r="83">
      <c r="A83" s="6" t="n"/>
      <c r="B83" s="107" t="n"/>
      <c r="C83" s="113">
        <f>IF($B83="","",IFERROR(INDEX(MUSTERILER!$C$7:$C$106,MATCH($B83,MUSTERILER!$B$7:$B$106,0)),"TANIMSIZ MÜŞTERİ"))</f>
        <v/>
      </c>
      <c r="D83" s="114" t="n"/>
      <c r="E83" s="114" t="n"/>
      <c r="F83" s="115" t="n"/>
      <c r="G83" s="107" t="n"/>
      <c r="H83" s="116">
        <f>IF(OR($B83="",$D83="",$F83=""),0,$F83*MAX(0,INT((MIN(IF($E83="",TODAY(),$E83),TODAY())-$D83)/7)+1))</f>
        <v/>
      </c>
      <c r="I83" s="116">
        <f>IF(OR($B83="",$D83="",$F83=""),0,$F83*MAX(0,INT((MIN(IF($E83="",TODAY()-8,$E83),TODAY()-8)-$D83)/7)+1))</f>
        <v/>
      </c>
      <c r="J83" s="116">
        <f>IF(OR($B83="",$D83="",$F83=""),0,$F83*MAX(0,INT((MIN(IF($E83="",TODAY()-15,$E83),TODAY()-15)-$D83)/7)+1))</f>
        <v/>
      </c>
      <c r="K83" s="116">
        <f>IF(OR($B83="",$D83="",$F83=""),0,$F83*MAX(0,INT((MIN(IF($E83="",TODAY()-29,$E83),TODAY()-29)-$D83)/7)+1))</f>
        <v/>
      </c>
      <c r="L83" s="117">
        <f>IF($F83&gt;0,$H83/$F83,0)</f>
        <v/>
      </c>
      <c r="M83" s="112">
        <f>IF($B83="","",IF($C83="TANIMSIZ MÜŞTERİ","HATA",IF($G83="Pasif","PASİF",IF(AND(WEEKDAY($D83,2)=6,OR($E83="",WEEKDAY($E83,2)=6),$F83&gt;0),"UYGUN","HATA"))))</f>
        <v/>
      </c>
      <c r="N83" s="108" t="n"/>
      <c r="O83" s="6" t="n"/>
      <c r="P83" s="6" t="n"/>
    </row>
    <row r="84">
      <c r="A84" s="6" t="n"/>
      <c r="B84" s="107" t="n"/>
      <c r="C84" s="113">
        <f>IF($B84="","",IFERROR(INDEX(MUSTERILER!$C$7:$C$106,MATCH($B84,MUSTERILER!$B$7:$B$106,0)),"TANIMSIZ MÜŞTERİ"))</f>
        <v/>
      </c>
      <c r="D84" s="114" t="n"/>
      <c r="E84" s="114" t="n"/>
      <c r="F84" s="115" t="n"/>
      <c r="G84" s="107" t="n"/>
      <c r="H84" s="116">
        <f>IF(OR($B84="",$D84="",$F84=""),0,$F84*MAX(0,INT((MIN(IF($E84="",TODAY(),$E84),TODAY())-$D84)/7)+1))</f>
        <v/>
      </c>
      <c r="I84" s="116">
        <f>IF(OR($B84="",$D84="",$F84=""),0,$F84*MAX(0,INT((MIN(IF($E84="",TODAY()-8,$E84),TODAY()-8)-$D84)/7)+1))</f>
        <v/>
      </c>
      <c r="J84" s="116">
        <f>IF(OR($B84="",$D84="",$F84=""),0,$F84*MAX(0,INT((MIN(IF($E84="",TODAY()-15,$E84),TODAY()-15)-$D84)/7)+1))</f>
        <v/>
      </c>
      <c r="K84" s="116">
        <f>IF(OR($B84="",$D84="",$F84=""),0,$F84*MAX(0,INT((MIN(IF($E84="",TODAY()-29,$E84),TODAY()-29)-$D84)/7)+1))</f>
        <v/>
      </c>
      <c r="L84" s="117">
        <f>IF($F84&gt;0,$H84/$F84,0)</f>
        <v/>
      </c>
      <c r="M84" s="112">
        <f>IF($B84="","",IF($C84="TANIMSIZ MÜŞTERİ","HATA",IF($G84="Pasif","PASİF",IF(AND(WEEKDAY($D84,2)=6,OR($E84="",WEEKDAY($E84,2)=6),$F84&gt;0),"UYGUN","HATA"))))</f>
        <v/>
      </c>
      <c r="N84" s="108" t="n"/>
      <c r="O84" s="6" t="n"/>
      <c r="P84" s="6" t="n"/>
    </row>
    <row r="85">
      <c r="A85" s="6" t="n"/>
      <c r="B85" s="107" t="n"/>
      <c r="C85" s="113">
        <f>IF($B85="","",IFERROR(INDEX(MUSTERILER!$C$7:$C$106,MATCH($B85,MUSTERILER!$B$7:$B$106,0)),"TANIMSIZ MÜŞTERİ"))</f>
        <v/>
      </c>
      <c r="D85" s="114" t="n"/>
      <c r="E85" s="114" t="n"/>
      <c r="F85" s="115" t="n"/>
      <c r="G85" s="107" t="n"/>
      <c r="H85" s="116">
        <f>IF(OR($B85="",$D85="",$F85=""),0,$F85*MAX(0,INT((MIN(IF($E85="",TODAY(),$E85),TODAY())-$D85)/7)+1))</f>
        <v/>
      </c>
      <c r="I85" s="116">
        <f>IF(OR($B85="",$D85="",$F85=""),0,$F85*MAX(0,INT((MIN(IF($E85="",TODAY()-8,$E85),TODAY()-8)-$D85)/7)+1))</f>
        <v/>
      </c>
      <c r="J85" s="116">
        <f>IF(OR($B85="",$D85="",$F85=""),0,$F85*MAX(0,INT((MIN(IF($E85="",TODAY()-15,$E85),TODAY()-15)-$D85)/7)+1))</f>
        <v/>
      </c>
      <c r="K85" s="116">
        <f>IF(OR($B85="",$D85="",$F85=""),0,$F85*MAX(0,INT((MIN(IF($E85="",TODAY()-29,$E85),TODAY()-29)-$D85)/7)+1))</f>
        <v/>
      </c>
      <c r="L85" s="117">
        <f>IF($F85&gt;0,$H85/$F85,0)</f>
        <v/>
      </c>
      <c r="M85" s="112">
        <f>IF($B85="","",IF($C85="TANIMSIZ MÜŞTERİ","HATA",IF($G85="Pasif","PASİF",IF(AND(WEEKDAY($D85,2)=6,OR($E85="",WEEKDAY($E85,2)=6),$F85&gt;0),"UYGUN","HATA"))))</f>
        <v/>
      </c>
      <c r="N85" s="108" t="n"/>
      <c r="O85" s="6" t="n"/>
      <c r="P85" s="6" t="n"/>
    </row>
    <row r="86">
      <c r="A86" s="6" t="n"/>
      <c r="B86" s="107" t="n"/>
      <c r="C86" s="113">
        <f>IF($B86="","",IFERROR(INDEX(MUSTERILER!$C$7:$C$106,MATCH($B86,MUSTERILER!$B$7:$B$106,0)),"TANIMSIZ MÜŞTERİ"))</f>
        <v/>
      </c>
      <c r="D86" s="114" t="n"/>
      <c r="E86" s="114" t="n"/>
      <c r="F86" s="115" t="n"/>
      <c r="G86" s="107" t="n"/>
      <c r="H86" s="116">
        <f>IF(OR($B86="",$D86="",$F86=""),0,$F86*MAX(0,INT((MIN(IF($E86="",TODAY(),$E86),TODAY())-$D86)/7)+1))</f>
        <v/>
      </c>
      <c r="I86" s="116">
        <f>IF(OR($B86="",$D86="",$F86=""),0,$F86*MAX(0,INT((MIN(IF($E86="",TODAY()-8,$E86),TODAY()-8)-$D86)/7)+1))</f>
        <v/>
      </c>
      <c r="J86" s="116">
        <f>IF(OR($B86="",$D86="",$F86=""),0,$F86*MAX(0,INT((MIN(IF($E86="",TODAY()-15,$E86),TODAY()-15)-$D86)/7)+1))</f>
        <v/>
      </c>
      <c r="K86" s="116">
        <f>IF(OR($B86="",$D86="",$F86=""),0,$F86*MAX(0,INT((MIN(IF($E86="",TODAY()-29,$E86),TODAY()-29)-$D86)/7)+1))</f>
        <v/>
      </c>
      <c r="L86" s="117">
        <f>IF($F86&gt;0,$H86/$F86,0)</f>
        <v/>
      </c>
      <c r="M86" s="112">
        <f>IF($B86="","",IF($C86="TANIMSIZ MÜŞTERİ","HATA",IF($G86="Pasif","PASİF",IF(AND(WEEKDAY($D86,2)=6,OR($E86="",WEEKDAY($E86,2)=6),$F86&gt;0),"UYGUN","HATA"))))</f>
        <v/>
      </c>
      <c r="N86" s="108" t="n"/>
      <c r="O86" s="6" t="n"/>
      <c r="P86" s="6" t="n"/>
    </row>
    <row r="87">
      <c r="A87" s="6" t="n"/>
      <c r="B87" s="107" t="n"/>
      <c r="C87" s="113">
        <f>IF($B87="","",IFERROR(INDEX(MUSTERILER!$C$7:$C$106,MATCH($B87,MUSTERILER!$B$7:$B$106,0)),"TANIMSIZ MÜŞTERİ"))</f>
        <v/>
      </c>
      <c r="D87" s="114" t="n"/>
      <c r="E87" s="114" t="n"/>
      <c r="F87" s="115" t="n"/>
      <c r="G87" s="107" t="n"/>
      <c r="H87" s="116">
        <f>IF(OR($B87="",$D87="",$F87=""),0,$F87*MAX(0,INT((MIN(IF($E87="",TODAY(),$E87),TODAY())-$D87)/7)+1))</f>
        <v/>
      </c>
      <c r="I87" s="116">
        <f>IF(OR($B87="",$D87="",$F87=""),0,$F87*MAX(0,INT((MIN(IF($E87="",TODAY()-8,$E87),TODAY()-8)-$D87)/7)+1))</f>
        <v/>
      </c>
      <c r="J87" s="116">
        <f>IF(OR($B87="",$D87="",$F87=""),0,$F87*MAX(0,INT((MIN(IF($E87="",TODAY()-15,$E87),TODAY()-15)-$D87)/7)+1))</f>
        <v/>
      </c>
      <c r="K87" s="116">
        <f>IF(OR($B87="",$D87="",$F87=""),0,$F87*MAX(0,INT((MIN(IF($E87="",TODAY()-29,$E87),TODAY()-29)-$D87)/7)+1))</f>
        <v/>
      </c>
      <c r="L87" s="117">
        <f>IF($F87&gt;0,$H87/$F87,0)</f>
        <v/>
      </c>
      <c r="M87" s="112">
        <f>IF($B87="","",IF($C87="TANIMSIZ MÜŞTERİ","HATA",IF($G87="Pasif","PASİF",IF(AND(WEEKDAY($D87,2)=6,OR($E87="",WEEKDAY($E87,2)=6),$F87&gt;0),"UYGUN","HATA"))))</f>
        <v/>
      </c>
      <c r="N87" s="108" t="n"/>
      <c r="O87" s="6" t="n"/>
      <c r="P87" s="6" t="n"/>
    </row>
    <row r="88">
      <c r="A88" s="6" t="n"/>
      <c r="B88" s="107" t="n"/>
      <c r="C88" s="113">
        <f>IF($B88="","",IFERROR(INDEX(MUSTERILER!$C$7:$C$106,MATCH($B88,MUSTERILER!$B$7:$B$106,0)),"TANIMSIZ MÜŞTERİ"))</f>
        <v/>
      </c>
      <c r="D88" s="114" t="n"/>
      <c r="E88" s="114" t="n"/>
      <c r="F88" s="115" t="n"/>
      <c r="G88" s="107" t="n"/>
      <c r="H88" s="116">
        <f>IF(OR($B88="",$D88="",$F88=""),0,$F88*MAX(0,INT((MIN(IF($E88="",TODAY(),$E88),TODAY())-$D88)/7)+1))</f>
        <v/>
      </c>
      <c r="I88" s="116">
        <f>IF(OR($B88="",$D88="",$F88=""),0,$F88*MAX(0,INT((MIN(IF($E88="",TODAY()-8,$E88),TODAY()-8)-$D88)/7)+1))</f>
        <v/>
      </c>
      <c r="J88" s="116">
        <f>IF(OR($B88="",$D88="",$F88=""),0,$F88*MAX(0,INT((MIN(IF($E88="",TODAY()-15,$E88),TODAY()-15)-$D88)/7)+1))</f>
        <v/>
      </c>
      <c r="K88" s="116">
        <f>IF(OR($B88="",$D88="",$F88=""),0,$F88*MAX(0,INT((MIN(IF($E88="",TODAY()-29,$E88),TODAY()-29)-$D88)/7)+1))</f>
        <v/>
      </c>
      <c r="L88" s="117">
        <f>IF($F88&gt;0,$H88/$F88,0)</f>
        <v/>
      </c>
      <c r="M88" s="112">
        <f>IF($B88="","",IF($C88="TANIMSIZ MÜŞTERİ","HATA",IF($G88="Pasif","PASİF",IF(AND(WEEKDAY($D88,2)=6,OR($E88="",WEEKDAY($E88,2)=6),$F88&gt;0),"UYGUN","HATA"))))</f>
        <v/>
      </c>
      <c r="N88" s="108" t="n"/>
      <c r="O88" s="6" t="n"/>
      <c r="P88" s="6" t="n"/>
    </row>
    <row r="89">
      <c r="A89" s="6" t="n"/>
      <c r="B89" s="107" t="n"/>
      <c r="C89" s="113">
        <f>IF($B89="","",IFERROR(INDEX(MUSTERILER!$C$7:$C$106,MATCH($B89,MUSTERILER!$B$7:$B$106,0)),"TANIMSIZ MÜŞTERİ"))</f>
        <v/>
      </c>
      <c r="D89" s="114" t="n"/>
      <c r="E89" s="114" t="n"/>
      <c r="F89" s="115" t="n"/>
      <c r="G89" s="107" t="n"/>
      <c r="H89" s="116">
        <f>IF(OR($B89="",$D89="",$F89=""),0,$F89*MAX(0,INT((MIN(IF($E89="",TODAY(),$E89),TODAY())-$D89)/7)+1))</f>
        <v/>
      </c>
      <c r="I89" s="116">
        <f>IF(OR($B89="",$D89="",$F89=""),0,$F89*MAX(0,INT((MIN(IF($E89="",TODAY()-8,$E89),TODAY()-8)-$D89)/7)+1))</f>
        <v/>
      </c>
      <c r="J89" s="116">
        <f>IF(OR($B89="",$D89="",$F89=""),0,$F89*MAX(0,INT((MIN(IF($E89="",TODAY()-15,$E89),TODAY()-15)-$D89)/7)+1))</f>
        <v/>
      </c>
      <c r="K89" s="116">
        <f>IF(OR($B89="",$D89="",$F89=""),0,$F89*MAX(0,INT((MIN(IF($E89="",TODAY()-29,$E89),TODAY()-29)-$D89)/7)+1))</f>
        <v/>
      </c>
      <c r="L89" s="117">
        <f>IF($F89&gt;0,$H89/$F89,0)</f>
        <v/>
      </c>
      <c r="M89" s="112">
        <f>IF($B89="","",IF($C89="TANIMSIZ MÜŞTERİ","HATA",IF($G89="Pasif","PASİF",IF(AND(WEEKDAY($D89,2)=6,OR($E89="",WEEKDAY($E89,2)=6),$F89&gt;0),"UYGUN","HATA"))))</f>
        <v/>
      </c>
      <c r="N89" s="108" t="n"/>
      <c r="O89" s="6" t="n"/>
      <c r="P89" s="6" t="n"/>
    </row>
    <row r="90">
      <c r="A90" s="6" t="n"/>
      <c r="B90" s="107" t="n"/>
      <c r="C90" s="113">
        <f>IF($B90="","",IFERROR(INDEX(MUSTERILER!$C$7:$C$106,MATCH($B90,MUSTERILER!$B$7:$B$106,0)),"TANIMSIZ MÜŞTERİ"))</f>
        <v/>
      </c>
      <c r="D90" s="114" t="n"/>
      <c r="E90" s="114" t="n"/>
      <c r="F90" s="115" t="n"/>
      <c r="G90" s="107" t="n"/>
      <c r="H90" s="116">
        <f>IF(OR($B90="",$D90="",$F90=""),0,$F90*MAX(0,INT((MIN(IF($E90="",TODAY(),$E90),TODAY())-$D90)/7)+1))</f>
        <v/>
      </c>
      <c r="I90" s="116">
        <f>IF(OR($B90="",$D90="",$F90=""),0,$F90*MAX(0,INT((MIN(IF($E90="",TODAY()-8,$E90),TODAY()-8)-$D90)/7)+1))</f>
        <v/>
      </c>
      <c r="J90" s="116">
        <f>IF(OR($B90="",$D90="",$F90=""),0,$F90*MAX(0,INT((MIN(IF($E90="",TODAY()-15,$E90),TODAY()-15)-$D90)/7)+1))</f>
        <v/>
      </c>
      <c r="K90" s="116">
        <f>IF(OR($B90="",$D90="",$F90=""),0,$F90*MAX(0,INT((MIN(IF($E90="",TODAY()-29,$E90),TODAY()-29)-$D90)/7)+1))</f>
        <v/>
      </c>
      <c r="L90" s="117">
        <f>IF($F90&gt;0,$H90/$F90,0)</f>
        <v/>
      </c>
      <c r="M90" s="112">
        <f>IF($B90="","",IF($C90="TANIMSIZ MÜŞTERİ","HATA",IF($G90="Pasif","PASİF",IF(AND(WEEKDAY($D90,2)=6,OR($E90="",WEEKDAY($E90,2)=6),$F90&gt;0),"UYGUN","HATA"))))</f>
        <v/>
      </c>
      <c r="N90" s="108" t="n"/>
      <c r="O90" s="6" t="n"/>
      <c r="P90" s="6" t="n"/>
    </row>
    <row r="91">
      <c r="A91" s="6" t="n"/>
      <c r="B91" s="107" t="n"/>
      <c r="C91" s="113">
        <f>IF($B91="","",IFERROR(INDEX(MUSTERILER!$C$7:$C$106,MATCH($B91,MUSTERILER!$B$7:$B$106,0)),"TANIMSIZ MÜŞTERİ"))</f>
        <v/>
      </c>
      <c r="D91" s="114" t="n"/>
      <c r="E91" s="114" t="n"/>
      <c r="F91" s="115" t="n"/>
      <c r="G91" s="107" t="n"/>
      <c r="H91" s="116">
        <f>IF(OR($B91="",$D91="",$F91=""),0,$F91*MAX(0,INT((MIN(IF($E91="",TODAY(),$E91),TODAY())-$D91)/7)+1))</f>
        <v/>
      </c>
      <c r="I91" s="116">
        <f>IF(OR($B91="",$D91="",$F91=""),0,$F91*MAX(0,INT((MIN(IF($E91="",TODAY()-8,$E91),TODAY()-8)-$D91)/7)+1))</f>
        <v/>
      </c>
      <c r="J91" s="116">
        <f>IF(OR($B91="",$D91="",$F91=""),0,$F91*MAX(0,INT((MIN(IF($E91="",TODAY()-15,$E91),TODAY()-15)-$D91)/7)+1))</f>
        <v/>
      </c>
      <c r="K91" s="116">
        <f>IF(OR($B91="",$D91="",$F91=""),0,$F91*MAX(0,INT((MIN(IF($E91="",TODAY()-29,$E91),TODAY()-29)-$D91)/7)+1))</f>
        <v/>
      </c>
      <c r="L91" s="117">
        <f>IF($F91&gt;0,$H91/$F91,0)</f>
        <v/>
      </c>
      <c r="M91" s="112">
        <f>IF($B91="","",IF($C91="TANIMSIZ MÜŞTERİ","HATA",IF($G91="Pasif","PASİF",IF(AND(WEEKDAY($D91,2)=6,OR($E91="",WEEKDAY($E91,2)=6),$F91&gt;0),"UYGUN","HATA"))))</f>
        <v/>
      </c>
      <c r="N91" s="108" t="n"/>
      <c r="O91" s="6" t="n"/>
      <c r="P91" s="6" t="n"/>
    </row>
    <row r="92">
      <c r="A92" s="6" t="n"/>
      <c r="B92" s="107" t="n"/>
      <c r="C92" s="113">
        <f>IF($B92="","",IFERROR(INDEX(MUSTERILER!$C$7:$C$106,MATCH($B92,MUSTERILER!$B$7:$B$106,0)),"TANIMSIZ MÜŞTERİ"))</f>
        <v/>
      </c>
      <c r="D92" s="114" t="n"/>
      <c r="E92" s="114" t="n"/>
      <c r="F92" s="115" t="n"/>
      <c r="G92" s="107" t="n"/>
      <c r="H92" s="116">
        <f>IF(OR($B92="",$D92="",$F92=""),0,$F92*MAX(0,INT((MIN(IF($E92="",TODAY(),$E92),TODAY())-$D92)/7)+1))</f>
        <v/>
      </c>
      <c r="I92" s="116">
        <f>IF(OR($B92="",$D92="",$F92=""),0,$F92*MAX(0,INT((MIN(IF($E92="",TODAY()-8,$E92),TODAY()-8)-$D92)/7)+1))</f>
        <v/>
      </c>
      <c r="J92" s="116">
        <f>IF(OR($B92="",$D92="",$F92=""),0,$F92*MAX(0,INT((MIN(IF($E92="",TODAY()-15,$E92),TODAY()-15)-$D92)/7)+1))</f>
        <v/>
      </c>
      <c r="K92" s="116">
        <f>IF(OR($B92="",$D92="",$F92=""),0,$F92*MAX(0,INT((MIN(IF($E92="",TODAY()-29,$E92),TODAY()-29)-$D92)/7)+1))</f>
        <v/>
      </c>
      <c r="L92" s="117">
        <f>IF($F92&gt;0,$H92/$F92,0)</f>
        <v/>
      </c>
      <c r="M92" s="112">
        <f>IF($B92="","",IF($C92="TANIMSIZ MÜŞTERİ","HATA",IF($G92="Pasif","PASİF",IF(AND(WEEKDAY($D92,2)=6,OR($E92="",WEEKDAY($E92,2)=6),$F92&gt;0),"UYGUN","HATA"))))</f>
        <v/>
      </c>
      <c r="N92" s="108" t="n"/>
      <c r="O92" s="6" t="n"/>
      <c r="P92" s="6" t="n"/>
    </row>
    <row r="93">
      <c r="A93" s="6" t="n"/>
      <c r="B93" s="107" t="n"/>
      <c r="C93" s="113">
        <f>IF($B93="","",IFERROR(INDEX(MUSTERILER!$C$7:$C$106,MATCH($B93,MUSTERILER!$B$7:$B$106,0)),"TANIMSIZ MÜŞTERİ"))</f>
        <v/>
      </c>
      <c r="D93" s="114" t="n"/>
      <c r="E93" s="114" t="n"/>
      <c r="F93" s="115" t="n"/>
      <c r="G93" s="107" t="n"/>
      <c r="H93" s="116">
        <f>IF(OR($B93="",$D93="",$F93=""),0,$F93*MAX(0,INT((MIN(IF($E93="",TODAY(),$E93),TODAY())-$D93)/7)+1))</f>
        <v/>
      </c>
      <c r="I93" s="116">
        <f>IF(OR($B93="",$D93="",$F93=""),0,$F93*MAX(0,INT((MIN(IF($E93="",TODAY()-8,$E93),TODAY()-8)-$D93)/7)+1))</f>
        <v/>
      </c>
      <c r="J93" s="116">
        <f>IF(OR($B93="",$D93="",$F93=""),0,$F93*MAX(0,INT((MIN(IF($E93="",TODAY()-15,$E93),TODAY()-15)-$D93)/7)+1))</f>
        <v/>
      </c>
      <c r="K93" s="116">
        <f>IF(OR($B93="",$D93="",$F93=""),0,$F93*MAX(0,INT((MIN(IF($E93="",TODAY()-29,$E93),TODAY()-29)-$D93)/7)+1))</f>
        <v/>
      </c>
      <c r="L93" s="117">
        <f>IF($F93&gt;0,$H93/$F93,0)</f>
        <v/>
      </c>
      <c r="M93" s="112">
        <f>IF($B93="","",IF($C93="TANIMSIZ MÜŞTERİ","HATA",IF($G93="Pasif","PASİF",IF(AND(WEEKDAY($D93,2)=6,OR($E93="",WEEKDAY($E93,2)=6),$F93&gt;0),"UYGUN","HATA"))))</f>
        <v/>
      </c>
      <c r="N93" s="108" t="n"/>
      <c r="O93" s="6" t="n"/>
      <c r="P93" s="6" t="n"/>
    </row>
    <row r="94">
      <c r="A94" s="6" t="n"/>
      <c r="B94" s="107" t="n"/>
      <c r="C94" s="113">
        <f>IF($B94="","",IFERROR(INDEX(MUSTERILER!$C$7:$C$106,MATCH($B94,MUSTERILER!$B$7:$B$106,0)),"TANIMSIZ MÜŞTERİ"))</f>
        <v/>
      </c>
      <c r="D94" s="114" t="n"/>
      <c r="E94" s="114" t="n"/>
      <c r="F94" s="115" t="n"/>
      <c r="G94" s="107" t="n"/>
      <c r="H94" s="116">
        <f>IF(OR($B94="",$D94="",$F94=""),0,$F94*MAX(0,INT((MIN(IF($E94="",TODAY(),$E94),TODAY())-$D94)/7)+1))</f>
        <v/>
      </c>
      <c r="I94" s="116">
        <f>IF(OR($B94="",$D94="",$F94=""),0,$F94*MAX(0,INT((MIN(IF($E94="",TODAY()-8,$E94),TODAY()-8)-$D94)/7)+1))</f>
        <v/>
      </c>
      <c r="J94" s="116">
        <f>IF(OR($B94="",$D94="",$F94=""),0,$F94*MAX(0,INT((MIN(IF($E94="",TODAY()-15,$E94),TODAY()-15)-$D94)/7)+1))</f>
        <v/>
      </c>
      <c r="K94" s="116">
        <f>IF(OR($B94="",$D94="",$F94=""),0,$F94*MAX(0,INT((MIN(IF($E94="",TODAY()-29,$E94),TODAY()-29)-$D94)/7)+1))</f>
        <v/>
      </c>
      <c r="L94" s="117">
        <f>IF($F94&gt;0,$H94/$F94,0)</f>
        <v/>
      </c>
      <c r="M94" s="112">
        <f>IF($B94="","",IF($C94="TANIMSIZ MÜŞTERİ","HATA",IF($G94="Pasif","PASİF",IF(AND(WEEKDAY($D94,2)=6,OR($E94="",WEEKDAY($E94,2)=6),$F94&gt;0),"UYGUN","HATA"))))</f>
        <v/>
      </c>
      <c r="N94" s="108" t="n"/>
      <c r="O94" s="6" t="n"/>
      <c r="P94" s="6" t="n"/>
    </row>
    <row r="95">
      <c r="A95" s="6" t="n"/>
      <c r="B95" s="107" t="n"/>
      <c r="C95" s="113">
        <f>IF($B95="","",IFERROR(INDEX(MUSTERILER!$C$7:$C$106,MATCH($B95,MUSTERILER!$B$7:$B$106,0)),"TANIMSIZ MÜŞTERİ"))</f>
        <v/>
      </c>
      <c r="D95" s="114" t="n"/>
      <c r="E95" s="114" t="n"/>
      <c r="F95" s="115" t="n"/>
      <c r="G95" s="107" t="n"/>
      <c r="H95" s="116">
        <f>IF(OR($B95="",$D95="",$F95=""),0,$F95*MAX(0,INT((MIN(IF($E95="",TODAY(),$E95),TODAY())-$D95)/7)+1))</f>
        <v/>
      </c>
      <c r="I95" s="116">
        <f>IF(OR($B95="",$D95="",$F95=""),0,$F95*MAX(0,INT((MIN(IF($E95="",TODAY()-8,$E95),TODAY()-8)-$D95)/7)+1))</f>
        <v/>
      </c>
      <c r="J95" s="116">
        <f>IF(OR($B95="",$D95="",$F95=""),0,$F95*MAX(0,INT((MIN(IF($E95="",TODAY()-15,$E95),TODAY()-15)-$D95)/7)+1))</f>
        <v/>
      </c>
      <c r="K95" s="116">
        <f>IF(OR($B95="",$D95="",$F95=""),0,$F95*MAX(0,INT((MIN(IF($E95="",TODAY()-29,$E95),TODAY()-29)-$D95)/7)+1))</f>
        <v/>
      </c>
      <c r="L95" s="117">
        <f>IF($F95&gt;0,$H95/$F95,0)</f>
        <v/>
      </c>
      <c r="M95" s="112">
        <f>IF($B95="","",IF($C95="TANIMSIZ MÜŞTERİ","HATA",IF($G95="Pasif","PASİF",IF(AND(WEEKDAY($D95,2)=6,OR($E95="",WEEKDAY($E95,2)=6),$F95&gt;0),"UYGUN","HATA"))))</f>
        <v/>
      </c>
      <c r="N95" s="108" t="n"/>
      <c r="O95" s="6" t="n"/>
      <c r="P95" s="6" t="n"/>
    </row>
    <row r="96">
      <c r="A96" s="6" t="n"/>
      <c r="B96" s="107" t="n"/>
      <c r="C96" s="113">
        <f>IF($B96="","",IFERROR(INDEX(MUSTERILER!$C$7:$C$106,MATCH($B96,MUSTERILER!$B$7:$B$106,0)),"TANIMSIZ MÜŞTERİ"))</f>
        <v/>
      </c>
      <c r="D96" s="114" t="n"/>
      <c r="E96" s="114" t="n"/>
      <c r="F96" s="115" t="n"/>
      <c r="G96" s="107" t="n"/>
      <c r="H96" s="116">
        <f>IF(OR($B96="",$D96="",$F96=""),0,$F96*MAX(0,INT((MIN(IF($E96="",TODAY(),$E96),TODAY())-$D96)/7)+1))</f>
        <v/>
      </c>
      <c r="I96" s="116">
        <f>IF(OR($B96="",$D96="",$F96=""),0,$F96*MAX(0,INT((MIN(IF($E96="",TODAY()-8,$E96),TODAY()-8)-$D96)/7)+1))</f>
        <v/>
      </c>
      <c r="J96" s="116">
        <f>IF(OR($B96="",$D96="",$F96=""),0,$F96*MAX(0,INT((MIN(IF($E96="",TODAY()-15,$E96),TODAY()-15)-$D96)/7)+1))</f>
        <v/>
      </c>
      <c r="K96" s="116">
        <f>IF(OR($B96="",$D96="",$F96=""),0,$F96*MAX(0,INT((MIN(IF($E96="",TODAY()-29,$E96),TODAY()-29)-$D96)/7)+1))</f>
        <v/>
      </c>
      <c r="L96" s="117">
        <f>IF($F96&gt;0,$H96/$F96,0)</f>
        <v/>
      </c>
      <c r="M96" s="112">
        <f>IF($B96="","",IF($C96="TANIMSIZ MÜŞTERİ","HATA",IF($G96="Pasif","PASİF",IF(AND(WEEKDAY($D96,2)=6,OR($E96="",WEEKDAY($E96,2)=6),$F96&gt;0),"UYGUN","HATA"))))</f>
        <v/>
      </c>
      <c r="N96" s="108" t="n"/>
      <c r="O96" s="6" t="n"/>
      <c r="P96" s="6" t="n"/>
    </row>
    <row r="97">
      <c r="A97" s="6" t="n"/>
      <c r="B97" s="107" t="n"/>
      <c r="C97" s="113">
        <f>IF($B97="","",IFERROR(INDEX(MUSTERILER!$C$7:$C$106,MATCH($B97,MUSTERILER!$B$7:$B$106,0)),"TANIMSIZ MÜŞTERİ"))</f>
        <v/>
      </c>
      <c r="D97" s="114" t="n"/>
      <c r="E97" s="114" t="n"/>
      <c r="F97" s="115" t="n"/>
      <c r="G97" s="107" t="n"/>
      <c r="H97" s="116">
        <f>IF(OR($B97="",$D97="",$F97=""),0,$F97*MAX(0,INT((MIN(IF($E97="",TODAY(),$E97),TODAY())-$D97)/7)+1))</f>
        <v/>
      </c>
      <c r="I97" s="116">
        <f>IF(OR($B97="",$D97="",$F97=""),0,$F97*MAX(0,INT((MIN(IF($E97="",TODAY()-8,$E97),TODAY()-8)-$D97)/7)+1))</f>
        <v/>
      </c>
      <c r="J97" s="116">
        <f>IF(OR($B97="",$D97="",$F97=""),0,$F97*MAX(0,INT((MIN(IF($E97="",TODAY()-15,$E97),TODAY()-15)-$D97)/7)+1))</f>
        <v/>
      </c>
      <c r="K97" s="116">
        <f>IF(OR($B97="",$D97="",$F97=""),0,$F97*MAX(0,INT((MIN(IF($E97="",TODAY()-29,$E97),TODAY()-29)-$D97)/7)+1))</f>
        <v/>
      </c>
      <c r="L97" s="117">
        <f>IF($F97&gt;0,$H97/$F97,0)</f>
        <v/>
      </c>
      <c r="M97" s="112">
        <f>IF($B97="","",IF($C97="TANIMSIZ MÜŞTERİ","HATA",IF($G97="Pasif","PASİF",IF(AND(WEEKDAY($D97,2)=6,OR($E97="",WEEKDAY($E97,2)=6),$F97&gt;0),"UYGUN","HATA"))))</f>
        <v/>
      </c>
      <c r="N97" s="108" t="n"/>
      <c r="O97" s="6" t="n"/>
      <c r="P97" s="6" t="n"/>
    </row>
    <row r="98">
      <c r="A98" s="6" t="n"/>
      <c r="B98" s="107" t="n"/>
      <c r="C98" s="113">
        <f>IF($B98="","",IFERROR(INDEX(MUSTERILER!$C$7:$C$106,MATCH($B98,MUSTERILER!$B$7:$B$106,0)),"TANIMSIZ MÜŞTERİ"))</f>
        <v/>
      </c>
      <c r="D98" s="114" t="n"/>
      <c r="E98" s="114" t="n"/>
      <c r="F98" s="115" t="n"/>
      <c r="G98" s="107" t="n"/>
      <c r="H98" s="116">
        <f>IF(OR($B98="",$D98="",$F98=""),0,$F98*MAX(0,INT((MIN(IF($E98="",TODAY(),$E98),TODAY())-$D98)/7)+1))</f>
        <v/>
      </c>
      <c r="I98" s="116">
        <f>IF(OR($B98="",$D98="",$F98=""),0,$F98*MAX(0,INT((MIN(IF($E98="",TODAY()-8,$E98),TODAY()-8)-$D98)/7)+1))</f>
        <v/>
      </c>
      <c r="J98" s="116">
        <f>IF(OR($B98="",$D98="",$F98=""),0,$F98*MAX(0,INT((MIN(IF($E98="",TODAY()-15,$E98),TODAY()-15)-$D98)/7)+1))</f>
        <v/>
      </c>
      <c r="K98" s="116">
        <f>IF(OR($B98="",$D98="",$F98=""),0,$F98*MAX(0,INT((MIN(IF($E98="",TODAY()-29,$E98),TODAY()-29)-$D98)/7)+1))</f>
        <v/>
      </c>
      <c r="L98" s="117">
        <f>IF($F98&gt;0,$H98/$F98,0)</f>
        <v/>
      </c>
      <c r="M98" s="112">
        <f>IF($B98="","",IF($C98="TANIMSIZ MÜŞTERİ","HATA",IF($G98="Pasif","PASİF",IF(AND(WEEKDAY($D98,2)=6,OR($E98="",WEEKDAY($E98,2)=6),$F98&gt;0),"UYGUN","HATA"))))</f>
        <v/>
      </c>
      <c r="N98" s="108" t="n"/>
      <c r="O98" s="6" t="n"/>
      <c r="P98" s="6" t="n"/>
    </row>
    <row r="99">
      <c r="A99" s="6" t="n"/>
      <c r="B99" s="107" t="n"/>
      <c r="C99" s="113">
        <f>IF($B99="","",IFERROR(INDEX(MUSTERILER!$C$7:$C$106,MATCH($B99,MUSTERILER!$B$7:$B$106,0)),"TANIMSIZ MÜŞTERİ"))</f>
        <v/>
      </c>
      <c r="D99" s="114" t="n"/>
      <c r="E99" s="114" t="n"/>
      <c r="F99" s="115" t="n"/>
      <c r="G99" s="107" t="n"/>
      <c r="H99" s="116">
        <f>IF(OR($B99="",$D99="",$F99=""),0,$F99*MAX(0,INT((MIN(IF($E99="",TODAY(),$E99),TODAY())-$D99)/7)+1))</f>
        <v/>
      </c>
      <c r="I99" s="116">
        <f>IF(OR($B99="",$D99="",$F99=""),0,$F99*MAX(0,INT((MIN(IF($E99="",TODAY()-8,$E99),TODAY()-8)-$D99)/7)+1))</f>
        <v/>
      </c>
      <c r="J99" s="116">
        <f>IF(OR($B99="",$D99="",$F99=""),0,$F99*MAX(0,INT((MIN(IF($E99="",TODAY()-15,$E99),TODAY()-15)-$D99)/7)+1))</f>
        <v/>
      </c>
      <c r="K99" s="116">
        <f>IF(OR($B99="",$D99="",$F99=""),0,$F99*MAX(0,INT((MIN(IF($E99="",TODAY()-29,$E99),TODAY()-29)-$D99)/7)+1))</f>
        <v/>
      </c>
      <c r="L99" s="117">
        <f>IF($F99&gt;0,$H99/$F99,0)</f>
        <v/>
      </c>
      <c r="M99" s="112">
        <f>IF($B99="","",IF($C99="TANIMSIZ MÜŞTERİ","HATA",IF($G99="Pasif","PASİF",IF(AND(WEEKDAY($D99,2)=6,OR($E99="",WEEKDAY($E99,2)=6),$F99&gt;0),"UYGUN","HATA"))))</f>
        <v/>
      </c>
      <c r="N99" s="108" t="n"/>
      <c r="O99" s="6" t="n"/>
      <c r="P99" s="6" t="n"/>
    </row>
    <row r="100">
      <c r="A100" s="6" t="n"/>
      <c r="B100" s="107" t="n"/>
      <c r="C100" s="113">
        <f>IF($B100="","",IFERROR(INDEX(MUSTERILER!$C$7:$C$106,MATCH($B100,MUSTERILER!$B$7:$B$106,0)),"TANIMSIZ MÜŞTERİ"))</f>
        <v/>
      </c>
      <c r="D100" s="114" t="n"/>
      <c r="E100" s="114" t="n"/>
      <c r="F100" s="115" t="n"/>
      <c r="G100" s="107" t="n"/>
      <c r="H100" s="116">
        <f>IF(OR($B100="",$D100="",$F100=""),0,$F100*MAX(0,INT((MIN(IF($E100="",TODAY(),$E100),TODAY())-$D100)/7)+1))</f>
        <v/>
      </c>
      <c r="I100" s="116">
        <f>IF(OR($B100="",$D100="",$F100=""),0,$F100*MAX(0,INT((MIN(IF($E100="",TODAY()-8,$E100),TODAY()-8)-$D100)/7)+1))</f>
        <v/>
      </c>
      <c r="J100" s="116">
        <f>IF(OR($B100="",$D100="",$F100=""),0,$F100*MAX(0,INT((MIN(IF($E100="",TODAY()-15,$E100),TODAY()-15)-$D100)/7)+1))</f>
        <v/>
      </c>
      <c r="K100" s="116">
        <f>IF(OR($B100="",$D100="",$F100=""),0,$F100*MAX(0,INT((MIN(IF($E100="",TODAY()-29,$E100),TODAY()-29)-$D100)/7)+1))</f>
        <v/>
      </c>
      <c r="L100" s="117">
        <f>IF($F100&gt;0,$H100/$F100,0)</f>
        <v/>
      </c>
      <c r="M100" s="112">
        <f>IF($B100="","",IF($C100="TANIMSIZ MÜŞTERİ","HATA",IF($G100="Pasif","PASİF",IF(AND(WEEKDAY($D100,2)=6,OR($E100="",WEEKDAY($E100,2)=6),$F100&gt;0),"UYGUN","HATA"))))</f>
        <v/>
      </c>
      <c r="N100" s="108" t="n"/>
      <c r="O100" s="6" t="n"/>
      <c r="P100" s="6" t="n"/>
    </row>
    <row r="101">
      <c r="A101" s="6" t="n"/>
      <c r="B101" s="107" t="n"/>
      <c r="C101" s="113">
        <f>IF($B101="","",IFERROR(INDEX(MUSTERILER!$C$7:$C$106,MATCH($B101,MUSTERILER!$B$7:$B$106,0)),"TANIMSIZ MÜŞTERİ"))</f>
        <v/>
      </c>
      <c r="D101" s="114" t="n"/>
      <c r="E101" s="114" t="n"/>
      <c r="F101" s="115" t="n"/>
      <c r="G101" s="107" t="n"/>
      <c r="H101" s="116">
        <f>IF(OR($B101="",$D101="",$F101=""),0,$F101*MAX(0,INT((MIN(IF($E101="",TODAY(),$E101),TODAY())-$D101)/7)+1))</f>
        <v/>
      </c>
      <c r="I101" s="116">
        <f>IF(OR($B101="",$D101="",$F101=""),0,$F101*MAX(0,INT((MIN(IF($E101="",TODAY()-8,$E101),TODAY()-8)-$D101)/7)+1))</f>
        <v/>
      </c>
      <c r="J101" s="116">
        <f>IF(OR($B101="",$D101="",$F101=""),0,$F101*MAX(0,INT((MIN(IF($E101="",TODAY()-15,$E101),TODAY()-15)-$D101)/7)+1))</f>
        <v/>
      </c>
      <c r="K101" s="116">
        <f>IF(OR($B101="",$D101="",$F101=""),0,$F101*MAX(0,INT((MIN(IF($E101="",TODAY()-29,$E101),TODAY()-29)-$D101)/7)+1))</f>
        <v/>
      </c>
      <c r="L101" s="117">
        <f>IF($F101&gt;0,$H101/$F101,0)</f>
        <v/>
      </c>
      <c r="M101" s="112">
        <f>IF($B101="","",IF($C101="TANIMSIZ MÜŞTERİ","HATA",IF($G101="Pasif","PASİF",IF(AND(WEEKDAY($D101,2)=6,OR($E101="",WEEKDAY($E101,2)=6),$F101&gt;0),"UYGUN","HATA"))))</f>
        <v/>
      </c>
      <c r="N101" s="108" t="n"/>
      <c r="O101" s="6" t="n"/>
      <c r="P101" s="6" t="n"/>
    </row>
    <row r="102">
      <c r="A102" s="6" t="n"/>
      <c r="B102" s="107" t="n"/>
      <c r="C102" s="113">
        <f>IF($B102="","",IFERROR(INDEX(MUSTERILER!$C$7:$C$106,MATCH($B102,MUSTERILER!$B$7:$B$106,0)),"TANIMSIZ MÜŞTERİ"))</f>
        <v/>
      </c>
      <c r="D102" s="114" t="n"/>
      <c r="E102" s="114" t="n"/>
      <c r="F102" s="115" t="n"/>
      <c r="G102" s="107" t="n"/>
      <c r="H102" s="116">
        <f>IF(OR($B102="",$D102="",$F102=""),0,$F102*MAX(0,INT((MIN(IF($E102="",TODAY(),$E102),TODAY())-$D102)/7)+1))</f>
        <v/>
      </c>
      <c r="I102" s="116">
        <f>IF(OR($B102="",$D102="",$F102=""),0,$F102*MAX(0,INT((MIN(IF($E102="",TODAY()-8,$E102),TODAY()-8)-$D102)/7)+1))</f>
        <v/>
      </c>
      <c r="J102" s="116">
        <f>IF(OR($B102="",$D102="",$F102=""),0,$F102*MAX(0,INT((MIN(IF($E102="",TODAY()-15,$E102),TODAY()-15)-$D102)/7)+1))</f>
        <v/>
      </c>
      <c r="K102" s="116">
        <f>IF(OR($B102="",$D102="",$F102=""),0,$F102*MAX(0,INT((MIN(IF($E102="",TODAY()-29,$E102),TODAY()-29)-$D102)/7)+1))</f>
        <v/>
      </c>
      <c r="L102" s="117">
        <f>IF($F102&gt;0,$H102/$F102,0)</f>
        <v/>
      </c>
      <c r="M102" s="112">
        <f>IF($B102="","",IF($C102="TANIMSIZ MÜŞTERİ","HATA",IF($G102="Pasif","PASİF",IF(AND(WEEKDAY($D102,2)=6,OR($E102="",WEEKDAY($E102,2)=6),$F102&gt;0),"UYGUN","HATA"))))</f>
        <v/>
      </c>
      <c r="N102" s="108" t="n"/>
      <c r="O102" s="6" t="n"/>
      <c r="P102" s="6" t="n"/>
    </row>
    <row r="103">
      <c r="A103" s="6" t="n"/>
      <c r="B103" s="107" t="n"/>
      <c r="C103" s="113">
        <f>IF($B103="","",IFERROR(INDEX(MUSTERILER!$C$7:$C$106,MATCH($B103,MUSTERILER!$B$7:$B$106,0)),"TANIMSIZ MÜŞTERİ"))</f>
        <v/>
      </c>
      <c r="D103" s="114" t="n"/>
      <c r="E103" s="114" t="n"/>
      <c r="F103" s="115" t="n"/>
      <c r="G103" s="107" t="n"/>
      <c r="H103" s="116">
        <f>IF(OR($B103="",$D103="",$F103=""),0,$F103*MAX(0,INT((MIN(IF($E103="",TODAY(),$E103),TODAY())-$D103)/7)+1))</f>
        <v/>
      </c>
      <c r="I103" s="116">
        <f>IF(OR($B103="",$D103="",$F103=""),0,$F103*MAX(0,INT((MIN(IF($E103="",TODAY()-8,$E103),TODAY()-8)-$D103)/7)+1))</f>
        <v/>
      </c>
      <c r="J103" s="116">
        <f>IF(OR($B103="",$D103="",$F103=""),0,$F103*MAX(0,INT((MIN(IF($E103="",TODAY()-15,$E103),TODAY()-15)-$D103)/7)+1))</f>
        <v/>
      </c>
      <c r="K103" s="116">
        <f>IF(OR($B103="",$D103="",$F103=""),0,$F103*MAX(0,INT((MIN(IF($E103="",TODAY()-29,$E103),TODAY()-29)-$D103)/7)+1))</f>
        <v/>
      </c>
      <c r="L103" s="117">
        <f>IF($F103&gt;0,$H103/$F103,0)</f>
        <v/>
      </c>
      <c r="M103" s="112">
        <f>IF($B103="","",IF($C103="TANIMSIZ MÜŞTERİ","HATA",IF($G103="Pasif","PASİF",IF(AND(WEEKDAY($D103,2)=6,OR($E103="",WEEKDAY($E103,2)=6),$F103&gt;0),"UYGUN","HATA"))))</f>
        <v/>
      </c>
      <c r="N103" s="108" t="n"/>
      <c r="O103" s="6" t="n"/>
      <c r="P103" s="6" t="n"/>
    </row>
    <row r="104">
      <c r="A104" s="6" t="n"/>
      <c r="B104" s="107" t="n"/>
      <c r="C104" s="113">
        <f>IF($B104="","",IFERROR(INDEX(MUSTERILER!$C$7:$C$106,MATCH($B104,MUSTERILER!$B$7:$B$106,0)),"TANIMSIZ MÜŞTERİ"))</f>
        <v/>
      </c>
      <c r="D104" s="114" t="n"/>
      <c r="E104" s="114" t="n"/>
      <c r="F104" s="115" t="n"/>
      <c r="G104" s="107" t="n"/>
      <c r="H104" s="116">
        <f>IF(OR($B104="",$D104="",$F104=""),0,$F104*MAX(0,INT((MIN(IF($E104="",TODAY(),$E104),TODAY())-$D104)/7)+1))</f>
        <v/>
      </c>
      <c r="I104" s="116">
        <f>IF(OR($B104="",$D104="",$F104=""),0,$F104*MAX(0,INT((MIN(IF($E104="",TODAY()-8,$E104),TODAY()-8)-$D104)/7)+1))</f>
        <v/>
      </c>
      <c r="J104" s="116">
        <f>IF(OR($B104="",$D104="",$F104=""),0,$F104*MAX(0,INT((MIN(IF($E104="",TODAY()-15,$E104),TODAY()-15)-$D104)/7)+1))</f>
        <v/>
      </c>
      <c r="K104" s="116">
        <f>IF(OR($B104="",$D104="",$F104=""),0,$F104*MAX(0,INT((MIN(IF($E104="",TODAY()-29,$E104),TODAY()-29)-$D104)/7)+1))</f>
        <v/>
      </c>
      <c r="L104" s="117">
        <f>IF($F104&gt;0,$H104/$F104,0)</f>
        <v/>
      </c>
      <c r="M104" s="112">
        <f>IF($B104="","",IF($C104="TANIMSIZ MÜŞTERİ","HATA",IF($G104="Pasif","PASİF",IF(AND(WEEKDAY($D104,2)=6,OR($E104="",WEEKDAY($E104,2)=6),$F104&gt;0),"UYGUN","HATA"))))</f>
        <v/>
      </c>
      <c r="N104" s="108" t="n"/>
      <c r="O104" s="6" t="n"/>
      <c r="P104" s="6" t="n"/>
    </row>
    <row r="105">
      <c r="A105" s="6" t="n"/>
      <c r="B105" s="107" t="n"/>
      <c r="C105" s="113">
        <f>IF($B105="","",IFERROR(INDEX(MUSTERILER!$C$7:$C$106,MATCH($B105,MUSTERILER!$B$7:$B$106,0)),"TANIMSIZ MÜŞTERİ"))</f>
        <v/>
      </c>
      <c r="D105" s="114" t="n"/>
      <c r="E105" s="114" t="n"/>
      <c r="F105" s="115" t="n"/>
      <c r="G105" s="107" t="n"/>
      <c r="H105" s="116">
        <f>IF(OR($B105="",$D105="",$F105=""),0,$F105*MAX(0,INT((MIN(IF($E105="",TODAY(),$E105),TODAY())-$D105)/7)+1))</f>
        <v/>
      </c>
      <c r="I105" s="116">
        <f>IF(OR($B105="",$D105="",$F105=""),0,$F105*MAX(0,INT((MIN(IF($E105="",TODAY()-8,$E105),TODAY()-8)-$D105)/7)+1))</f>
        <v/>
      </c>
      <c r="J105" s="116">
        <f>IF(OR($B105="",$D105="",$F105=""),0,$F105*MAX(0,INT((MIN(IF($E105="",TODAY()-15,$E105),TODAY()-15)-$D105)/7)+1))</f>
        <v/>
      </c>
      <c r="K105" s="116">
        <f>IF(OR($B105="",$D105="",$F105=""),0,$F105*MAX(0,INT((MIN(IF($E105="",TODAY()-29,$E105),TODAY()-29)-$D105)/7)+1))</f>
        <v/>
      </c>
      <c r="L105" s="117">
        <f>IF($F105&gt;0,$H105/$F105,0)</f>
        <v/>
      </c>
      <c r="M105" s="112">
        <f>IF($B105="","",IF($C105="TANIMSIZ MÜŞTERİ","HATA",IF($G105="Pasif","PASİF",IF(AND(WEEKDAY($D105,2)=6,OR($E105="",WEEKDAY($E105,2)=6),$F105&gt;0),"UYGUN","HATA"))))</f>
        <v/>
      </c>
      <c r="N105" s="108" t="n"/>
      <c r="O105" s="6" t="n"/>
      <c r="P105" s="6" t="n"/>
    </row>
    <row r="106">
      <c r="A106" s="6" t="n"/>
      <c r="B106" s="107" t="n"/>
      <c r="C106" s="113">
        <f>IF($B106="","",IFERROR(INDEX(MUSTERILER!$C$7:$C$106,MATCH($B106,MUSTERILER!$B$7:$B$106,0)),"TANIMSIZ MÜŞTERİ"))</f>
        <v/>
      </c>
      <c r="D106" s="114" t="n"/>
      <c r="E106" s="114" t="n"/>
      <c r="F106" s="115" t="n"/>
      <c r="G106" s="107" t="n"/>
      <c r="H106" s="116">
        <f>IF(OR($B106="",$D106="",$F106=""),0,$F106*MAX(0,INT((MIN(IF($E106="",TODAY(),$E106),TODAY())-$D106)/7)+1))</f>
        <v/>
      </c>
      <c r="I106" s="116">
        <f>IF(OR($B106="",$D106="",$F106=""),0,$F106*MAX(0,INT((MIN(IF($E106="",TODAY()-8,$E106),TODAY()-8)-$D106)/7)+1))</f>
        <v/>
      </c>
      <c r="J106" s="116">
        <f>IF(OR($B106="",$D106="",$F106=""),0,$F106*MAX(0,INT((MIN(IF($E106="",TODAY()-15,$E106),TODAY()-15)-$D106)/7)+1))</f>
        <v/>
      </c>
      <c r="K106" s="116">
        <f>IF(OR($B106="",$D106="",$F106=""),0,$F106*MAX(0,INT((MIN(IF($E106="",TODAY()-29,$E106),TODAY()-29)-$D106)/7)+1))</f>
        <v/>
      </c>
      <c r="L106" s="117">
        <f>IF($F106&gt;0,$H106/$F106,0)</f>
        <v/>
      </c>
      <c r="M106" s="112">
        <f>IF($B106="","",IF($C106="TANIMSIZ MÜŞTERİ","HATA",IF($G106="Pasif","PASİF",IF(AND(WEEKDAY($D106,2)=6,OR($E106="",WEEKDAY($E106,2)=6),$F106&gt;0),"UYGUN","HATA"))))</f>
        <v/>
      </c>
      <c r="N106" s="108" t="n"/>
      <c r="O106" s="6" t="n"/>
      <c r="P106" s="6" t="n"/>
    </row>
    <row r="107">
      <c r="A107" s="6" t="n"/>
      <c r="B107" s="107" t="n"/>
      <c r="C107" s="113">
        <f>IF($B107="","",IFERROR(INDEX(MUSTERILER!$C$7:$C$106,MATCH($B107,MUSTERILER!$B$7:$B$106,0)),"TANIMSIZ MÜŞTERİ"))</f>
        <v/>
      </c>
      <c r="D107" s="114" t="n"/>
      <c r="E107" s="114" t="n"/>
      <c r="F107" s="115" t="n"/>
      <c r="G107" s="107" t="n"/>
      <c r="H107" s="116">
        <f>IF(OR($B107="",$D107="",$F107=""),0,$F107*MAX(0,INT((MIN(IF($E107="",TODAY(),$E107),TODAY())-$D107)/7)+1))</f>
        <v/>
      </c>
      <c r="I107" s="116">
        <f>IF(OR($B107="",$D107="",$F107=""),0,$F107*MAX(0,INT((MIN(IF($E107="",TODAY()-8,$E107),TODAY()-8)-$D107)/7)+1))</f>
        <v/>
      </c>
      <c r="J107" s="116">
        <f>IF(OR($B107="",$D107="",$F107=""),0,$F107*MAX(0,INT((MIN(IF($E107="",TODAY()-15,$E107),TODAY()-15)-$D107)/7)+1))</f>
        <v/>
      </c>
      <c r="K107" s="116">
        <f>IF(OR($B107="",$D107="",$F107=""),0,$F107*MAX(0,INT((MIN(IF($E107="",TODAY()-29,$E107),TODAY()-29)-$D107)/7)+1))</f>
        <v/>
      </c>
      <c r="L107" s="117">
        <f>IF($F107&gt;0,$H107/$F107,0)</f>
        <v/>
      </c>
      <c r="M107" s="112">
        <f>IF($B107="","",IF($C107="TANIMSIZ MÜŞTERİ","HATA",IF($G107="Pasif","PASİF",IF(AND(WEEKDAY($D107,2)=6,OR($E107="",WEEKDAY($E107,2)=6),$F107&gt;0),"UYGUN","HATA"))))</f>
        <v/>
      </c>
      <c r="N107" s="108" t="n"/>
      <c r="O107" s="6" t="n"/>
      <c r="P107" s="6" t="n"/>
    </row>
    <row r="108">
      <c r="A108" s="6" t="n"/>
      <c r="B108" s="107" t="n"/>
      <c r="C108" s="113">
        <f>IF($B108="","",IFERROR(INDEX(MUSTERILER!$C$7:$C$106,MATCH($B108,MUSTERILER!$B$7:$B$106,0)),"TANIMSIZ MÜŞTERİ"))</f>
        <v/>
      </c>
      <c r="D108" s="114" t="n"/>
      <c r="E108" s="114" t="n"/>
      <c r="F108" s="115" t="n"/>
      <c r="G108" s="107" t="n"/>
      <c r="H108" s="116">
        <f>IF(OR($B108="",$D108="",$F108=""),0,$F108*MAX(0,INT((MIN(IF($E108="",TODAY(),$E108),TODAY())-$D108)/7)+1))</f>
        <v/>
      </c>
      <c r="I108" s="116">
        <f>IF(OR($B108="",$D108="",$F108=""),0,$F108*MAX(0,INT((MIN(IF($E108="",TODAY()-8,$E108),TODAY()-8)-$D108)/7)+1))</f>
        <v/>
      </c>
      <c r="J108" s="116">
        <f>IF(OR($B108="",$D108="",$F108=""),0,$F108*MAX(0,INT((MIN(IF($E108="",TODAY()-15,$E108),TODAY()-15)-$D108)/7)+1))</f>
        <v/>
      </c>
      <c r="K108" s="116">
        <f>IF(OR($B108="",$D108="",$F108=""),0,$F108*MAX(0,INT((MIN(IF($E108="",TODAY()-29,$E108),TODAY()-29)-$D108)/7)+1))</f>
        <v/>
      </c>
      <c r="L108" s="117">
        <f>IF($F108&gt;0,$H108/$F108,0)</f>
        <v/>
      </c>
      <c r="M108" s="112">
        <f>IF($B108="","",IF($C108="TANIMSIZ MÜŞTERİ","HATA",IF($G108="Pasif","PASİF",IF(AND(WEEKDAY($D108,2)=6,OR($E108="",WEEKDAY($E108,2)=6),$F108&gt;0),"UYGUN","HATA"))))</f>
        <v/>
      </c>
      <c r="N108" s="108" t="n"/>
      <c r="O108" s="6" t="n"/>
      <c r="P108" s="6" t="n"/>
    </row>
    <row r="109">
      <c r="A109" s="6" t="n"/>
      <c r="B109" s="107" t="n"/>
      <c r="C109" s="113">
        <f>IF($B109="","",IFERROR(INDEX(MUSTERILER!$C$7:$C$106,MATCH($B109,MUSTERILER!$B$7:$B$106,0)),"TANIMSIZ MÜŞTERİ"))</f>
        <v/>
      </c>
      <c r="D109" s="114" t="n"/>
      <c r="E109" s="114" t="n"/>
      <c r="F109" s="115" t="n"/>
      <c r="G109" s="107" t="n"/>
      <c r="H109" s="116">
        <f>IF(OR($B109="",$D109="",$F109=""),0,$F109*MAX(0,INT((MIN(IF($E109="",TODAY(),$E109),TODAY())-$D109)/7)+1))</f>
        <v/>
      </c>
      <c r="I109" s="116">
        <f>IF(OR($B109="",$D109="",$F109=""),0,$F109*MAX(0,INT((MIN(IF($E109="",TODAY()-8,$E109),TODAY()-8)-$D109)/7)+1))</f>
        <v/>
      </c>
      <c r="J109" s="116">
        <f>IF(OR($B109="",$D109="",$F109=""),0,$F109*MAX(0,INT((MIN(IF($E109="",TODAY()-15,$E109),TODAY()-15)-$D109)/7)+1))</f>
        <v/>
      </c>
      <c r="K109" s="116">
        <f>IF(OR($B109="",$D109="",$F109=""),0,$F109*MAX(0,INT((MIN(IF($E109="",TODAY()-29,$E109),TODAY()-29)-$D109)/7)+1))</f>
        <v/>
      </c>
      <c r="L109" s="117">
        <f>IF($F109&gt;0,$H109/$F109,0)</f>
        <v/>
      </c>
      <c r="M109" s="112">
        <f>IF($B109="","",IF($C109="TANIMSIZ MÜŞTERİ","HATA",IF($G109="Pasif","PASİF",IF(AND(WEEKDAY($D109,2)=6,OR($E109="",WEEKDAY($E109,2)=6),$F109&gt;0),"UYGUN","HATA"))))</f>
        <v/>
      </c>
      <c r="N109" s="108" t="n"/>
      <c r="O109" s="6" t="n"/>
      <c r="P109" s="6" t="n"/>
    </row>
    <row r="110">
      <c r="A110" s="6" t="n"/>
      <c r="B110" s="107" t="n"/>
      <c r="C110" s="113">
        <f>IF($B110="","",IFERROR(INDEX(MUSTERILER!$C$7:$C$106,MATCH($B110,MUSTERILER!$B$7:$B$106,0)),"TANIMSIZ MÜŞTERİ"))</f>
        <v/>
      </c>
      <c r="D110" s="114" t="n"/>
      <c r="E110" s="114" t="n"/>
      <c r="F110" s="115" t="n"/>
      <c r="G110" s="107" t="n"/>
      <c r="H110" s="116">
        <f>IF(OR($B110="",$D110="",$F110=""),0,$F110*MAX(0,INT((MIN(IF($E110="",TODAY(),$E110),TODAY())-$D110)/7)+1))</f>
        <v/>
      </c>
      <c r="I110" s="116">
        <f>IF(OR($B110="",$D110="",$F110=""),0,$F110*MAX(0,INT((MIN(IF($E110="",TODAY()-8,$E110),TODAY()-8)-$D110)/7)+1))</f>
        <v/>
      </c>
      <c r="J110" s="116">
        <f>IF(OR($B110="",$D110="",$F110=""),0,$F110*MAX(0,INT((MIN(IF($E110="",TODAY()-15,$E110),TODAY()-15)-$D110)/7)+1))</f>
        <v/>
      </c>
      <c r="K110" s="116">
        <f>IF(OR($B110="",$D110="",$F110=""),0,$F110*MAX(0,INT((MIN(IF($E110="",TODAY()-29,$E110),TODAY()-29)-$D110)/7)+1))</f>
        <v/>
      </c>
      <c r="L110" s="117">
        <f>IF($F110&gt;0,$H110/$F110,0)</f>
        <v/>
      </c>
      <c r="M110" s="112">
        <f>IF($B110="","",IF($C110="TANIMSIZ MÜŞTERİ","HATA",IF($G110="Pasif","PASİF",IF(AND(WEEKDAY($D110,2)=6,OR($E110="",WEEKDAY($E110,2)=6),$F110&gt;0),"UYGUN","HATA"))))</f>
        <v/>
      </c>
      <c r="N110" s="108" t="n"/>
      <c r="O110" s="6" t="n"/>
      <c r="P110" s="6" t="n"/>
    </row>
    <row r="111">
      <c r="A111" s="6" t="n"/>
      <c r="B111" s="107" t="n"/>
      <c r="C111" s="113">
        <f>IF($B111="","",IFERROR(INDEX(MUSTERILER!$C$7:$C$106,MATCH($B111,MUSTERILER!$B$7:$B$106,0)),"TANIMSIZ MÜŞTERİ"))</f>
        <v/>
      </c>
      <c r="D111" s="114" t="n"/>
      <c r="E111" s="114" t="n"/>
      <c r="F111" s="115" t="n"/>
      <c r="G111" s="107" t="n"/>
      <c r="H111" s="116">
        <f>IF(OR($B111="",$D111="",$F111=""),0,$F111*MAX(0,INT((MIN(IF($E111="",TODAY(),$E111),TODAY())-$D111)/7)+1))</f>
        <v/>
      </c>
      <c r="I111" s="116">
        <f>IF(OR($B111="",$D111="",$F111=""),0,$F111*MAX(0,INT((MIN(IF($E111="",TODAY()-8,$E111),TODAY()-8)-$D111)/7)+1))</f>
        <v/>
      </c>
      <c r="J111" s="116">
        <f>IF(OR($B111="",$D111="",$F111=""),0,$F111*MAX(0,INT((MIN(IF($E111="",TODAY()-15,$E111),TODAY()-15)-$D111)/7)+1))</f>
        <v/>
      </c>
      <c r="K111" s="116">
        <f>IF(OR($B111="",$D111="",$F111=""),0,$F111*MAX(0,INT((MIN(IF($E111="",TODAY()-29,$E111),TODAY()-29)-$D111)/7)+1))</f>
        <v/>
      </c>
      <c r="L111" s="117">
        <f>IF($F111&gt;0,$H111/$F111,0)</f>
        <v/>
      </c>
      <c r="M111" s="112">
        <f>IF($B111="","",IF($C111="TANIMSIZ MÜŞTERİ","HATA",IF($G111="Pasif","PASİF",IF(AND(WEEKDAY($D111,2)=6,OR($E111="",WEEKDAY($E111,2)=6),$F111&gt;0),"UYGUN","HATA"))))</f>
        <v/>
      </c>
      <c r="N111" s="108" t="n"/>
      <c r="O111" s="6" t="n"/>
      <c r="P111" s="6" t="n"/>
    </row>
    <row r="112">
      <c r="A112" s="6" t="n"/>
      <c r="B112" s="107" t="n"/>
      <c r="C112" s="113">
        <f>IF($B112="","",IFERROR(INDEX(MUSTERILER!$C$7:$C$106,MATCH($B112,MUSTERILER!$B$7:$B$106,0)),"TANIMSIZ MÜŞTERİ"))</f>
        <v/>
      </c>
      <c r="D112" s="114" t="n"/>
      <c r="E112" s="114" t="n"/>
      <c r="F112" s="115" t="n"/>
      <c r="G112" s="107" t="n"/>
      <c r="H112" s="116">
        <f>IF(OR($B112="",$D112="",$F112=""),0,$F112*MAX(0,INT((MIN(IF($E112="",TODAY(),$E112),TODAY())-$D112)/7)+1))</f>
        <v/>
      </c>
      <c r="I112" s="116">
        <f>IF(OR($B112="",$D112="",$F112=""),0,$F112*MAX(0,INT((MIN(IF($E112="",TODAY()-8,$E112),TODAY()-8)-$D112)/7)+1))</f>
        <v/>
      </c>
      <c r="J112" s="116">
        <f>IF(OR($B112="",$D112="",$F112=""),0,$F112*MAX(0,INT((MIN(IF($E112="",TODAY()-15,$E112),TODAY()-15)-$D112)/7)+1))</f>
        <v/>
      </c>
      <c r="K112" s="116">
        <f>IF(OR($B112="",$D112="",$F112=""),0,$F112*MAX(0,INT((MIN(IF($E112="",TODAY()-29,$E112),TODAY()-29)-$D112)/7)+1))</f>
        <v/>
      </c>
      <c r="L112" s="117">
        <f>IF($F112&gt;0,$H112/$F112,0)</f>
        <v/>
      </c>
      <c r="M112" s="112">
        <f>IF($B112="","",IF($C112="TANIMSIZ MÜŞTERİ","HATA",IF($G112="Pasif","PASİF",IF(AND(WEEKDAY($D112,2)=6,OR($E112="",WEEKDAY($E112,2)=6),$F112&gt;0),"UYGUN","HATA"))))</f>
        <v/>
      </c>
      <c r="N112" s="108" t="n"/>
      <c r="O112" s="6" t="n"/>
      <c r="P112" s="6" t="n"/>
    </row>
    <row r="113">
      <c r="A113" s="6" t="n"/>
      <c r="B113" s="107" t="n"/>
      <c r="C113" s="113">
        <f>IF($B113="","",IFERROR(INDEX(MUSTERILER!$C$7:$C$106,MATCH($B113,MUSTERILER!$B$7:$B$106,0)),"TANIMSIZ MÜŞTERİ"))</f>
        <v/>
      </c>
      <c r="D113" s="114" t="n"/>
      <c r="E113" s="114" t="n"/>
      <c r="F113" s="115" t="n"/>
      <c r="G113" s="107" t="n"/>
      <c r="H113" s="116">
        <f>IF(OR($B113="",$D113="",$F113=""),0,$F113*MAX(0,INT((MIN(IF($E113="",TODAY(),$E113),TODAY())-$D113)/7)+1))</f>
        <v/>
      </c>
      <c r="I113" s="116">
        <f>IF(OR($B113="",$D113="",$F113=""),0,$F113*MAX(0,INT((MIN(IF($E113="",TODAY()-8,$E113),TODAY()-8)-$D113)/7)+1))</f>
        <v/>
      </c>
      <c r="J113" s="116">
        <f>IF(OR($B113="",$D113="",$F113=""),0,$F113*MAX(0,INT((MIN(IF($E113="",TODAY()-15,$E113),TODAY()-15)-$D113)/7)+1))</f>
        <v/>
      </c>
      <c r="K113" s="116">
        <f>IF(OR($B113="",$D113="",$F113=""),0,$F113*MAX(0,INT((MIN(IF($E113="",TODAY()-29,$E113),TODAY()-29)-$D113)/7)+1))</f>
        <v/>
      </c>
      <c r="L113" s="117">
        <f>IF($F113&gt;0,$H113/$F113,0)</f>
        <v/>
      </c>
      <c r="M113" s="112">
        <f>IF($B113="","",IF($C113="TANIMSIZ MÜŞTERİ","HATA",IF($G113="Pasif","PASİF",IF(AND(WEEKDAY($D113,2)=6,OR($E113="",WEEKDAY($E113,2)=6),$F113&gt;0),"UYGUN","HATA"))))</f>
        <v/>
      </c>
      <c r="N113" s="108" t="n"/>
      <c r="O113" s="6" t="n"/>
      <c r="P113" s="6" t="n"/>
    </row>
    <row r="114">
      <c r="A114" s="6" t="n"/>
      <c r="B114" s="107" t="n"/>
      <c r="C114" s="113">
        <f>IF($B114="","",IFERROR(INDEX(MUSTERILER!$C$7:$C$106,MATCH($B114,MUSTERILER!$B$7:$B$106,0)),"TANIMSIZ MÜŞTERİ"))</f>
        <v/>
      </c>
      <c r="D114" s="114" t="n"/>
      <c r="E114" s="114" t="n"/>
      <c r="F114" s="115" t="n"/>
      <c r="G114" s="107" t="n"/>
      <c r="H114" s="116">
        <f>IF(OR($B114="",$D114="",$F114=""),0,$F114*MAX(0,INT((MIN(IF($E114="",TODAY(),$E114),TODAY())-$D114)/7)+1))</f>
        <v/>
      </c>
      <c r="I114" s="116">
        <f>IF(OR($B114="",$D114="",$F114=""),0,$F114*MAX(0,INT((MIN(IF($E114="",TODAY()-8,$E114),TODAY()-8)-$D114)/7)+1))</f>
        <v/>
      </c>
      <c r="J114" s="116">
        <f>IF(OR($B114="",$D114="",$F114=""),0,$F114*MAX(0,INT((MIN(IF($E114="",TODAY()-15,$E114),TODAY()-15)-$D114)/7)+1))</f>
        <v/>
      </c>
      <c r="K114" s="116">
        <f>IF(OR($B114="",$D114="",$F114=""),0,$F114*MAX(0,INT((MIN(IF($E114="",TODAY()-29,$E114),TODAY()-29)-$D114)/7)+1))</f>
        <v/>
      </c>
      <c r="L114" s="117">
        <f>IF($F114&gt;0,$H114/$F114,0)</f>
        <v/>
      </c>
      <c r="M114" s="112">
        <f>IF($B114="","",IF($C114="TANIMSIZ MÜŞTERİ","HATA",IF($G114="Pasif","PASİF",IF(AND(WEEKDAY($D114,2)=6,OR($E114="",WEEKDAY($E114,2)=6),$F114&gt;0),"UYGUN","HATA"))))</f>
        <v/>
      </c>
      <c r="N114" s="108" t="n"/>
      <c r="O114" s="6" t="n"/>
      <c r="P114" s="6" t="n"/>
    </row>
    <row r="115">
      <c r="A115" s="6" t="n"/>
      <c r="B115" s="107" t="n"/>
      <c r="C115" s="113">
        <f>IF($B115="","",IFERROR(INDEX(MUSTERILER!$C$7:$C$106,MATCH($B115,MUSTERILER!$B$7:$B$106,0)),"TANIMSIZ MÜŞTERİ"))</f>
        <v/>
      </c>
      <c r="D115" s="114" t="n"/>
      <c r="E115" s="114" t="n"/>
      <c r="F115" s="115" t="n"/>
      <c r="G115" s="107" t="n"/>
      <c r="H115" s="116">
        <f>IF(OR($B115="",$D115="",$F115=""),0,$F115*MAX(0,INT((MIN(IF($E115="",TODAY(),$E115),TODAY())-$D115)/7)+1))</f>
        <v/>
      </c>
      <c r="I115" s="116">
        <f>IF(OR($B115="",$D115="",$F115=""),0,$F115*MAX(0,INT((MIN(IF($E115="",TODAY()-8,$E115),TODAY()-8)-$D115)/7)+1))</f>
        <v/>
      </c>
      <c r="J115" s="116">
        <f>IF(OR($B115="",$D115="",$F115=""),0,$F115*MAX(0,INT((MIN(IF($E115="",TODAY()-15,$E115),TODAY()-15)-$D115)/7)+1))</f>
        <v/>
      </c>
      <c r="K115" s="116">
        <f>IF(OR($B115="",$D115="",$F115=""),0,$F115*MAX(0,INT((MIN(IF($E115="",TODAY()-29,$E115),TODAY()-29)-$D115)/7)+1))</f>
        <v/>
      </c>
      <c r="L115" s="117">
        <f>IF($F115&gt;0,$H115/$F115,0)</f>
        <v/>
      </c>
      <c r="M115" s="112">
        <f>IF($B115="","",IF($C115="TANIMSIZ MÜŞTERİ","HATA",IF($G115="Pasif","PASİF",IF(AND(WEEKDAY($D115,2)=6,OR($E115="",WEEKDAY($E115,2)=6),$F115&gt;0),"UYGUN","HATA"))))</f>
        <v/>
      </c>
      <c r="N115" s="108" t="n"/>
      <c r="O115" s="6" t="n"/>
      <c r="P115" s="6" t="n"/>
    </row>
    <row r="116">
      <c r="A116" s="6" t="n"/>
      <c r="B116" s="107" t="n"/>
      <c r="C116" s="113">
        <f>IF($B116="","",IFERROR(INDEX(MUSTERILER!$C$7:$C$106,MATCH($B116,MUSTERILER!$B$7:$B$106,0)),"TANIMSIZ MÜŞTERİ"))</f>
        <v/>
      </c>
      <c r="D116" s="114" t="n"/>
      <c r="E116" s="114" t="n"/>
      <c r="F116" s="115" t="n"/>
      <c r="G116" s="107" t="n"/>
      <c r="H116" s="116">
        <f>IF(OR($B116="",$D116="",$F116=""),0,$F116*MAX(0,INT((MIN(IF($E116="",TODAY(),$E116),TODAY())-$D116)/7)+1))</f>
        <v/>
      </c>
      <c r="I116" s="116">
        <f>IF(OR($B116="",$D116="",$F116=""),0,$F116*MAX(0,INT((MIN(IF($E116="",TODAY()-8,$E116),TODAY()-8)-$D116)/7)+1))</f>
        <v/>
      </c>
      <c r="J116" s="116">
        <f>IF(OR($B116="",$D116="",$F116=""),0,$F116*MAX(0,INT((MIN(IF($E116="",TODAY()-15,$E116),TODAY()-15)-$D116)/7)+1))</f>
        <v/>
      </c>
      <c r="K116" s="116">
        <f>IF(OR($B116="",$D116="",$F116=""),0,$F116*MAX(0,INT((MIN(IF($E116="",TODAY()-29,$E116),TODAY()-29)-$D116)/7)+1))</f>
        <v/>
      </c>
      <c r="L116" s="117">
        <f>IF($F116&gt;0,$H116/$F116,0)</f>
        <v/>
      </c>
      <c r="M116" s="112">
        <f>IF($B116="","",IF($C116="TANIMSIZ MÜŞTERİ","HATA",IF($G116="Pasif","PASİF",IF(AND(WEEKDAY($D116,2)=6,OR($E116="",WEEKDAY($E116,2)=6),$F116&gt;0),"UYGUN","HATA"))))</f>
        <v/>
      </c>
      <c r="N116" s="108" t="n"/>
      <c r="O116" s="6" t="n"/>
      <c r="P116" s="6" t="n"/>
    </row>
    <row r="117">
      <c r="A117" s="6" t="n"/>
      <c r="B117" s="107" t="n"/>
      <c r="C117" s="113">
        <f>IF($B117="","",IFERROR(INDEX(MUSTERILER!$C$7:$C$106,MATCH($B117,MUSTERILER!$B$7:$B$106,0)),"TANIMSIZ MÜŞTERİ"))</f>
        <v/>
      </c>
      <c r="D117" s="114" t="n"/>
      <c r="E117" s="114" t="n"/>
      <c r="F117" s="115" t="n"/>
      <c r="G117" s="107" t="n"/>
      <c r="H117" s="116">
        <f>IF(OR($B117="",$D117="",$F117=""),0,$F117*MAX(0,INT((MIN(IF($E117="",TODAY(),$E117),TODAY())-$D117)/7)+1))</f>
        <v/>
      </c>
      <c r="I117" s="116">
        <f>IF(OR($B117="",$D117="",$F117=""),0,$F117*MAX(0,INT((MIN(IF($E117="",TODAY()-8,$E117),TODAY()-8)-$D117)/7)+1))</f>
        <v/>
      </c>
      <c r="J117" s="116">
        <f>IF(OR($B117="",$D117="",$F117=""),0,$F117*MAX(0,INT((MIN(IF($E117="",TODAY()-15,$E117),TODAY()-15)-$D117)/7)+1))</f>
        <v/>
      </c>
      <c r="K117" s="116">
        <f>IF(OR($B117="",$D117="",$F117=""),0,$F117*MAX(0,INT((MIN(IF($E117="",TODAY()-29,$E117),TODAY()-29)-$D117)/7)+1))</f>
        <v/>
      </c>
      <c r="L117" s="117">
        <f>IF($F117&gt;0,$H117/$F117,0)</f>
        <v/>
      </c>
      <c r="M117" s="112">
        <f>IF($B117="","",IF($C117="TANIMSIZ MÜŞTERİ","HATA",IF($G117="Pasif","PASİF",IF(AND(WEEKDAY($D117,2)=6,OR($E117="",WEEKDAY($E117,2)=6),$F117&gt;0),"UYGUN","HATA"))))</f>
        <v/>
      </c>
      <c r="N117" s="108" t="n"/>
      <c r="O117" s="6" t="n"/>
      <c r="P117" s="6" t="n"/>
    </row>
    <row r="118">
      <c r="A118" s="6" t="n"/>
      <c r="B118" s="107" t="n"/>
      <c r="C118" s="113">
        <f>IF($B118="","",IFERROR(INDEX(MUSTERILER!$C$7:$C$106,MATCH($B118,MUSTERILER!$B$7:$B$106,0)),"TANIMSIZ MÜŞTERİ"))</f>
        <v/>
      </c>
      <c r="D118" s="114" t="n"/>
      <c r="E118" s="114" t="n"/>
      <c r="F118" s="115" t="n"/>
      <c r="G118" s="107" t="n"/>
      <c r="H118" s="116">
        <f>IF(OR($B118="",$D118="",$F118=""),0,$F118*MAX(0,INT((MIN(IF($E118="",TODAY(),$E118),TODAY())-$D118)/7)+1))</f>
        <v/>
      </c>
      <c r="I118" s="116">
        <f>IF(OR($B118="",$D118="",$F118=""),0,$F118*MAX(0,INT((MIN(IF($E118="",TODAY()-8,$E118),TODAY()-8)-$D118)/7)+1))</f>
        <v/>
      </c>
      <c r="J118" s="116">
        <f>IF(OR($B118="",$D118="",$F118=""),0,$F118*MAX(0,INT((MIN(IF($E118="",TODAY()-15,$E118),TODAY()-15)-$D118)/7)+1))</f>
        <v/>
      </c>
      <c r="K118" s="116">
        <f>IF(OR($B118="",$D118="",$F118=""),0,$F118*MAX(0,INT((MIN(IF($E118="",TODAY()-29,$E118),TODAY()-29)-$D118)/7)+1))</f>
        <v/>
      </c>
      <c r="L118" s="117">
        <f>IF($F118&gt;0,$H118/$F118,0)</f>
        <v/>
      </c>
      <c r="M118" s="112">
        <f>IF($B118="","",IF($C118="TANIMSIZ MÜŞTERİ","HATA",IF($G118="Pasif","PASİF",IF(AND(WEEKDAY($D118,2)=6,OR($E118="",WEEKDAY($E118,2)=6),$F118&gt;0),"UYGUN","HATA"))))</f>
        <v/>
      </c>
      <c r="N118" s="108" t="n"/>
      <c r="O118" s="6" t="n"/>
      <c r="P118" s="6" t="n"/>
    </row>
    <row r="119">
      <c r="A119" s="6" t="n"/>
      <c r="B119" s="107" t="n"/>
      <c r="C119" s="113">
        <f>IF($B119="","",IFERROR(INDEX(MUSTERILER!$C$7:$C$106,MATCH($B119,MUSTERILER!$B$7:$B$106,0)),"TANIMSIZ MÜŞTERİ"))</f>
        <v/>
      </c>
      <c r="D119" s="114" t="n"/>
      <c r="E119" s="114" t="n"/>
      <c r="F119" s="115" t="n"/>
      <c r="G119" s="107" t="n"/>
      <c r="H119" s="116">
        <f>IF(OR($B119="",$D119="",$F119=""),0,$F119*MAX(0,INT((MIN(IF($E119="",TODAY(),$E119),TODAY())-$D119)/7)+1))</f>
        <v/>
      </c>
      <c r="I119" s="116">
        <f>IF(OR($B119="",$D119="",$F119=""),0,$F119*MAX(0,INT((MIN(IF($E119="",TODAY()-8,$E119),TODAY()-8)-$D119)/7)+1))</f>
        <v/>
      </c>
      <c r="J119" s="116">
        <f>IF(OR($B119="",$D119="",$F119=""),0,$F119*MAX(0,INT((MIN(IF($E119="",TODAY()-15,$E119),TODAY()-15)-$D119)/7)+1))</f>
        <v/>
      </c>
      <c r="K119" s="116">
        <f>IF(OR($B119="",$D119="",$F119=""),0,$F119*MAX(0,INT((MIN(IF($E119="",TODAY()-29,$E119),TODAY()-29)-$D119)/7)+1))</f>
        <v/>
      </c>
      <c r="L119" s="117">
        <f>IF($F119&gt;0,$H119/$F119,0)</f>
        <v/>
      </c>
      <c r="M119" s="112">
        <f>IF($B119="","",IF($C119="TANIMSIZ MÜŞTERİ","HATA",IF($G119="Pasif","PASİF",IF(AND(WEEKDAY($D119,2)=6,OR($E119="",WEEKDAY($E119,2)=6),$F119&gt;0),"UYGUN","HATA"))))</f>
        <v/>
      </c>
      <c r="N119" s="108" t="n"/>
      <c r="O119" s="6" t="n"/>
      <c r="P119" s="6" t="n"/>
    </row>
    <row r="120">
      <c r="A120" s="6" t="n"/>
      <c r="B120" s="107" t="n"/>
      <c r="C120" s="113">
        <f>IF($B120="","",IFERROR(INDEX(MUSTERILER!$C$7:$C$106,MATCH($B120,MUSTERILER!$B$7:$B$106,0)),"TANIMSIZ MÜŞTERİ"))</f>
        <v/>
      </c>
      <c r="D120" s="114" t="n"/>
      <c r="E120" s="114" t="n"/>
      <c r="F120" s="115" t="n"/>
      <c r="G120" s="107" t="n"/>
      <c r="H120" s="116">
        <f>IF(OR($B120="",$D120="",$F120=""),0,$F120*MAX(0,INT((MIN(IF($E120="",TODAY(),$E120),TODAY())-$D120)/7)+1))</f>
        <v/>
      </c>
      <c r="I120" s="116">
        <f>IF(OR($B120="",$D120="",$F120=""),0,$F120*MAX(0,INT((MIN(IF($E120="",TODAY()-8,$E120),TODAY()-8)-$D120)/7)+1))</f>
        <v/>
      </c>
      <c r="J120" s="116">
        <f>IF(OR($B120="",$D120="",$F120=""),0,$F120*MAX(0,INT((MIN(IF($E120="",TODAY()-15,$E120),TODAY()-15)-$D120)/7)+1))</f>
        <v/>
      </c>
      <c r="K120" s="116">
        <f>IF(OR($B120="",$D120="",$F120=""),0,$F120*MAX(0,INT((MIN(IF($E120="",TODAY()-29,$E120),TODAY()-29)-$D120)/7)+1))</f>
        <v/>
      </c>
      <c r="L120" s="117">
        <f>IF($F120&gt;0,$H120/$F120,0)</f>
        <v/>
      </c>
      <c r="M120" s="112">
        <f>IF($B120="","",IF($C120="TANIMSIZ MÜŞTERİ","HATA",IF($G120="Pasif","PASİF",IF(AND(WEEKDAY($D120,2)=6,OR($E120="",WEEKDAY($E120,2)=6),$F120&gt;0),"UYGUN","HATA"))))</f>
        <v/>
      </c>
      <c r="N120" s="108" t="n"/>
      <c r="O120" s="6" t="n"/>
      <c r="P120" s="6" t="n"/>
    </row>
    <row r="121">
      <c r="A121" s="6" t="n"/>
      <c r="B121" s="107" t="n"/>
      <c r="C121" s="113">
        <f>IF($B121="","",IFERROR(INDEX(MUSTERILER!$C$7:$C$106,MATCH($B121,MUSTERILER!$B$7:$B$106,0)),"TANIMSIZ MÜŞTERİ"))</f>
        <v/>
      </c>
      <c r="D121" s="114" t="n"/>
      <c r="E121" s="114" t="n"/>
      <c r="F121" s="115" t="n"/>
      <c r="G121" s="107" t="n"/>
      <c r="H121" s="116">
        <f>IF(OR($B121="",$D121="",$F121=""),0,$F121*MAX(0,INT((MIN(IF($E121="",TODAY(),$E121),TODAY())-$D121)/7)+1))</f>
        <v/>
      </c>
      <c r="I121" s="116">
        <f>IF(OR($B121="",$D121="",$F121=""),0,$F121*MAX(0,INT((MIN(IF($E121="",TODAY()-8,$E121),TODAY()-8)-$D121)/7)+1))</f>
        <v/>
      </c>
      <c r="J121" s="116">
        <f>IF(OR($B121="",$D121="",$F121=""),0,$F121*MAX(0,INT((MIN(IF($E121="",TODAY()-15,$E121),TODAY()-15)-$D121)/7)+1))</f>
        <v/>
      </c>
      <c r="K121" s="116">
        <f>IF(OR($B121="",$D121="",$F121=""),0,$F121*MAX(0,INT((MIN(IF($E121="",TODAY()-29,$E121),TODAY()-29)-$D121)/7)+1))</f>
        <v/>
      </c>
      <c r="L121" s="117">
        <f>IF($F121&gt;0,$H121/$F121,0)</f>
        <v/>
      </c>
      <c r="M121" s="112">
        <f>IF($B121="","",IF($C121="TANIMSIZ MÜŞTERİ","HATA",IF($G121="Pasif","PASİF",IF(AND(WEEKDAY($D121,2)=6,OR($E121="",WEEKDAY($E121,2)=6),$F121&gt;0),"UYGUN","HATA"))))</f>
        <v/>
      </c>
      <c r="N121" s="108" t="n"/>
      <c r="O121" s="6" t="n"/>
      <c r="P121" s="6" t="n"/>
    </row>
    <row r="122">
      <c r="A122" s="6" t="n"/>
      <c r="B122" s="107" t="n"/>
      <c r="C122" s="113">
        <f>IF($B122="","",IFERROR(INDEX(MUSTERILER!$C$7:$C$106,MATCH($B122,MUSTERILER!$B$7:$B$106,0)),"TANIMSIZ MÜŞTERİ"))</f>
        <v/>
      </c>
      <c r="D122" s="114" t="n"/>
      <c r="E122" s="114" t="n"/>
      <c r="F122" s="115" t="n"/>
      <c r="G122" s="107" t="n"/>
      <c r="H122" s="116">
        <f>IF(OR($B122="",$D122="",$F122=""),0,$F122*MAX(0,INT((MIN(IF($E122="",TODAY(),$E122),TODAY())-$D122)/7)+1))</f>
        <v/>
      </c>
      <c r="I122" s="116">
        <f>IF(OR($B122="",$D122="",$F122=""),0,$F122*MAX(0,INT((MIN(IF($E122="",TODAY()-8,$E122),TODAY()-8)-$D122)/7)+1))</f>
        <v/>
      </c>
      <c r="J122" s="116">
        <f>IF(OR($B122="",$D122="",$F122=""),0,$F122*MAX(0,INT((MIN(IF($E122="",TODAY()-15,$E122),TODAY()-15)-$D122)/7)+1))</f>
        <v/>
      </c>
      <c r="K122" s="116">
        <f>IF(OR($B122="",$D122="",$F122=""),0,$F122*MAX(0,INT((MIN(IF($E122="",TODAY()-29,$E122),TODAY()-29)-$D122)/7)+1))</f>
        <v/>
      </c>
      <c r="L122" s="117">
        <f>IF($F122&gt;0,$H122/$F122,0)</f>
        <v/>
      </c>
      <c r="M122" s="112">
        <f>IF($B122="","",IF($C122="TANIMSIZ MÜŞTERİ","HATA",IF($G122="Pasif","PASİF",IF(AND(WEEKDAY($D122,2)=6,OR($E122="",WEEKDAY($E122,2)=6),$F122&gt;0),"UYGUN","HATA"))))</f>
        <v/>
      </c>
      <c r="N122" s="108" t="n"/>
      <c r="O122" s="6" t="n"/>
      <c r="P122" s="6" t="n"/>
    </row>
    <row r="123">
      <c r="A123" s="6" t="n"/>
      <c r="B123" s="107" t="n"/>
      <c r="C123" s="113">
        <f>IF($B123="","",IFERROR(INDEX(MUSTERILER!$C$7:$C$106,MATCH($B123,MUSTERILER!$B$7:$B$106,0)),"TANIMSIZ MÜŞTERİ"))</f>
        <v/>
      </c>
      <c r="D123" s="114" t="n"/>
      <c r="E123" s="114" t="n"/>
      <c r="F123" s="115" t="n"/>
      <c r="G123" s="107" t="n"/>
      <c r="H123" s="116">
        <f>IF(OR($B123="",$D123="",$F123=""),0,$F123*MAX(0,INT((MIN(IF($E123="",TODAY(),$E123),TODAY())-$D123)/7)+1))</f>
        <v/>
      </c>
      <c r="I123" s="116">
        <f>IF(OR($B123="",$D123="",$F123=""),0,$F123*MAX(0,INT((MIN(IF($E123="",TODAY()-8,$E123),TODAY()-8)-$D123)/7)+1))</f>
        <v/>
      </c>
      <c r="J123" s="116">
        <f>IF(OR($B123="",$D123="",$F123=""),0,$F123*MAX(0,INT((MIN(IF($E123="",TODAY()-15,$E123),TODAY()-15)-$D123)/7)+1))</f>
        <v/>
      </c>
      <c r="K123" s="116">
        <f>IF(OR($B123="",$D123="",$F123=""),0,$F123*MAX(0,INT((MIN(IF($E123="",TODAY()-29,$E123),TODAY()-29)-$D123)/7)+1))</f>
        <v/>
      </c>
      <c r="L123" s="117">
        <f>IF($F123&gt;0,$H123/$F123,0)</f>
        <v/>
      </c>
      <c r="M123" s="112">
        <f>IF($B123="","",IF($C123="TANIMSIZ MÜŞTERİ","HATA",IF($G123="Pasif","PASİF",IF(AND(WEEKDAY($D123,2)=6,OR($E123="",WEEKDAY($E123,2)=6),$F123&gt;0),"UYGUN","HATA"))))</f>
        <v/>
      </c>
      <c r="N123" s="108" t="n"/>
      <c r="O123" s="6" t="n"/>
      <c r="P123" s="6" t="n"/>
    </row>
    <row r="124">
      <c r="A124" s="6" t="n"/>
      <c r="B124" s="107" t="n"/>
      <c r="C124" s="113">
        <f>IF($B124="","",IFERROR(INDEX(MUSTERILER!$C$7:$C$106,MATCH($B124,MUSTERILER!$B$7:$B$106,0)),"TANIMSIZ MÜŞTERİ"))</f>
        <v/>
      </c>
      <c r="D124" s="114" t="n"/>
      <c r="E124" s="114" t="n"/>
      <c r="F124" s="115" t="n"/>
      <c r="G124" s="107" t="n"/>
      <c r="H124" s="116">
        <f>IF(OR($B124="",$D124="",$F124=""),0,$F124*MAX(0,INT((MIN(IF($E124="",TODAY(),$E124),TODAY())-$D124)/7)+1))</f>
        <v/>
      </c>
      <c r="I124" s="116">
        <f>IF(OR($B124="",$D124="",$F124=""),0,$F124*MAX(0,INT((MIN(IF($E124="",TODAY()-8,$E124),TODAY()-8)-$D124)/7)+1))</f>
        <v/>
      </c>
      <c r="J124" s="116">
        <f>IF(OR($B124="",$D124="",$F124=""),0,$F124*MAX(0,INT((MIN(IF($E124="",TODAY()-15,$E124),TODAY()-15)-$D124)/7)+1))</f>
        <v/>
      </c>
      <c r="K124" s="116">
        <f>IF(OR($B124="",$D124="",$F124=""),0,$F124*MAX(0,INT((MIN(IF($E124="",TODAY()-29,$E124),TODAY()-29)-$D124)/7)+1))</f>
        <v/>
      </c>
      <c r="L124" s="117">
        <f>IF($F124&gt;0,$H124/$F124,0)</f>
        <v/>
      </c>
      <c r="M124" s="112">
        <f>IF($B124="","",IF($C124="TANIMSIZ MÜŞTERİ","HATA",IF($G124="Pasif","PASİF",IF(AND(WEEKDAY($D124,2)=6,OR($E124="",WEEKDAY($E124,2)=6),$F124&gt;0),"UYGUN","HATA"))))</f>
        <v/>
      </c>
      <c r="N124" s="108" t="n"/>
      <c r="O124" s="6" t="n"/>
      <c r="P124" s="6" t="n"/>
    </row>
    <row r="125">
      <c r="A125" s="6" t="n"/>
      <c r="B125" s="107" t="n"/>
      <c r="C125" s="113">
        <f>IF($B125="","",IFERROR(INDEX(MUSTERILER!$C$7:$C$106,MATCH($B125,MUSTERILER!$B$7:$B$106,0)),"TANIMSIZ MÜŞTERİ"))</f>
        <v/>
      </c>
      <c r="D125" s="114" t="n"/>
      <c r="E125" s="114" t="n"/>
      <c r="F125" s="115" t="n"/>
      <c r="G125" s="107" t="n"/>
      <c r="H125" s="116">
        <f>IF(OR($B125="",$D125="",$F125=""),0,$F125*MAX(0,INT((MIN(IF($E125="",TODAY(),$E125),TODAY())-$D125)/7)+1))</f>
        <v/>
      </c>
      <c r="I125" s="116">
        <f>IF(OR($B125="",$D125="",$F125=""),0,$F125*MAX(0,INT((MIN(IF($E125="",TODAY()-8,$E125),TODAY()-8)-$D125)/7)+1))</f>
        <v/>
      </c>
      <c r="J125" s="116">
        <f>IF(OR($B125="",$D125="",$F125=""),0,$F125*MAX(0,INT((MIN(IF($E125="",TODAY()-15,$E125),TODAY()-15)-$D125)/7)+1))</f>
        <v/>
      </c>
      <c r="K125" s="116">
        <f>IF(OR($B125="",$D125="",$F125=""),0,$F125*MAX(0,INT((MIN(IF($E125="",TODAY()-29,$E125),TODAY()-29)-$D125)/7)+1))</f>
        <v/>
      </c>
      <c r="L125" s="117">
        <f>IF($F125&gt;0,$H125/$F125,0)</f>
        <v/>
      </c>
      <c r="M125" s="112">
        <f>IF($B125="","",IF($C125="TANIMSIZ MÜŞTERİ","HATA",IF($G125="Pasif","PASİF",IF(AND(WEEKDAY($D125,2)=6,OR($E125="",WEEKDAY($E125,2)=6),$F125&gt;0),"UYGUN","HATA"))))</f>
        <v/>
      </c>
      <c r="N125" s="108" t="n"/>
      <c r="O125" s="6" t="n"/>
      <c r="P125" s="6" t="n"/>
    </row>
    <row r="126">
      <c r="A126" s="6" t="n"/>
      <c r="B126" s="107" t="n"/>
      <c r="C126" s="113">
        <f>IF($B126="","",IFERROR(INDEX(MUSTERILER!$C$7:$C$106,MATCH($B126,MUSTERILER!$B$7:$B$106,0)),"TANIMSIZ MÜŞTERİ"))</f>
        <v/>
      </c>
      <c r="D126" s="114" t="n"/>
      <c r="E126" s="114" t="n"/>
      <c r="F126" s="115" t="n"/>
      <c r="G126" s="107" t="n"/>
      <c r="H126" s="116">
        <f>IF(OR($B126="",$D126="",$F126=""),0,$F126*MAX(0,INT((MIN(IF($E126="",TODAY(),$E126),TODAY())-$D126)/7)+1))</f>
        <v/>
      </c>
      <c r="I126" s="116">
        <f>IF(OR($B126="",$D126="",$F126=""),0,$F126*MAX(0,INT((MIN(IF($E126="",TODAY()-8,$E126),TODAY()-8)-$D126)/7)+1))</f>
        <v/>
      </c>
      <c r="J126" s="116">
        <f>IF(OR($B126="",$D126="",$F126=""),0,$F126*MAX(0,INT((MIN(IF($E126="",TODAY()-15,$E126),TODAY()-15)-$D126)/7)+1))</f>
        <v/>
      </c>
      <c r="K126" s="116">
        <f>IF(OR($B126="",$D126="",$F126=""),0,$F126*MAX(0,INT((MIN(IF($E126="",TODAY()-29,$E126),TODAY()-29)-$D126)/7)+1))</f>
        <v/>
      </c>
      <c r="L126" s="117">
        <f>IF($F126&gt;0,$H126/$F126,0)</f>
        <v/>
      </c>
      <c r="M126" s="112">
        <f>IF($B126="","",IF($C126="TANIMSIZ MÜŞTERİ","HATA",IF($G126="Pasif","PASİF",IF(AND(WEEKDAY($D126,2)=6,OR($E126="",WEEKDAY($E126,2)=6),$F126&gt;0),"UYGUN","HATA"))))</f>
        <v/>
      </c>
      <c r="N126" s="108" t="n"/>
      <c r="O126" s="6" t="n"/>
      <c r="P126" s="6" t="n"/>
    </row>
    <row r="127">
      <c r="A127" s="6" t="n"/>
      <c r="B127" s="107" t="n"/>
      <c r="C127" s="113">
        <f>IF($B127="","",IFERROR(INDEX(MUSTERILER!$C$7:$C$106,MATCH($B127,MUSTERILER!$B$7:$B$106,0)),"TANIMSIZ MÜŞTERİ"))</f>
        <v/>
      </c>
      <c r="D127" s="114" t="n"/>
      <c r="E127" s="114" t="n"/>
      <c r="F127" s="115" t="n"/>
      <c r="G127" s="107" t="n"/>
      <c r="H127" s="116">
        <f>IF(OR($B127="",$D127="",$F127=""),0,$F127*MAX(0,INT((MIN(IF($E127="",TODAY(),$E127),TODAY())-$D127)/7)+1))</f>
        <v/>
      </c>
      <c r="I127" s="116">
        <f>IF(OR($B127="",$D127="",$F127=""),0,$F127*MAX(0,INT((MIN(IF($E127="",TODAY()-8,$E127),TODAY()-8)-$D127)/7)+1))</f>
        <v/>
      </c>
      <c r="J127" s="116">
        <f>IF(OR($B127="",$D127="",$F127=""),0,$F127*MAX(0,INT((MIN(IF($E127="",TODAY()-15,$E127),TODAY()-15)-$D127)/7)+1))</f>
        <v/>
      </c>
      <c r="K127" s="116">
        <f>IF(OR($B127="",$D127="",$F127=""),0,$F127*MAX(0,INT((MIN(IF($E127="",TODAY()-29,$E127),TODAY()-29)-$D127)/7)+1))</f>
        <v/>
      </c>
      <c r="L127" s="117">
        <f>IF($F127&gt;0,$H127/$F127,0)</f>
        <v/>
      </c>
      <c r="M127" s="112">
        <f>IF($B127="","",IF($C127="TANIMSIZ MÜŞTERİ","HATA",IF($G127="Pasif","PASİF",IF(AND(WEEKDAY($D127,2)=6,OR($E127="",WEEKDAY($E127,2)=6),$F127&gt;0),"UYGUN","HATA"))))</f>
        <v/>
      </c>
      <c r="N127" s="108" t="n"/>
      <c r="O127" s="6" t="n"/>
      <c r="P127" s="6" t="n"/>
    </row>
    <row r="128">
      <c r="A128" s="6" t="n"/>
      <c r="B128" s="107" t="n"/>
      <c r="C128" s="113">
        <f>IF($B128="","",IFERROR(INDEX(MUSTERILER!$C$7:$C$106,MATCH($B128,MUSTERILER!$B$7:$B$106,0)),"TANIMSIZ MÜŞTERİ"))</f>
        <v/>
      </c>
      <c r="D128" s="114" t="n"/>
      <c r="E128" s="114" t="n"/>
      <c r="F128" s="115" t="n"/>
      <c r="G128" s="107" t="n"/>
      <c r="H128" s="116">
        <f>IF(OR($B128="",$D128="",$F128=""),0,$F128*MAX(0,INT((MIN(IF($E128="",TODAY(),$E128),TODAY())-$D128)/7)+1))</f>
        <v/>
      </c>
      <c r="I128" s="116">
        <f>IF(OR($B128="",$D128="",$F128=""),0,$F128*MAX(0,INT((MIN(IF($E128="",TODAY()-8,$E128),TODAY()-8)-$D128)/7)+1))</f>
        <v/>
      </c>
      <c r="J128" s="116">
        <f>IF(OR($B128="",$D128="",$F128=""),0,$F128*MAX(0,INT((MIN(IF($E128="",TODAY()-15,$E128),TODAY()-15)-$D128)/7)+1))</f>
        <v/>
      </c>
      <c r="K128" s="116">
        <f>IF(OR($B128="",$D128="",$F128=""),0,$F128*MAX(0,INT((MIN(IF($E128="",TODAY()-29,$E128),TODAY()-29)-$D128)/7)+1))</f>
        <v/>
      </c>
      <c r="L128" s="117">
        <f>IF($F128&gt;0,$H128/$F128,0)</f>
        <v/>
      </c>
      <c r="M128" s="112">
        <f>IF($B128="","",IF($C128="TANIMSIZ MÜŞTERİ","HATA",IF($G128="Pasif","PASİF",IF(AND(WEEKDAY($D128,2)=6,OR($E128="",WEEKDAY($E128,2)=6),$F128&gt;0),"UYGUN","HATA"))))</f>
        <v/>
      </c>
      <c r="N128" s="108" t="n"/>
      <c r="O128" s="6" t="n"/>
      <c r="P128" s="6" t="n"/>
    </row>
    <row r="129">
      <c r="A129" s="6" t="n"/>
      <c r="B129" s="107" t="n"/>
      <c r="C129" s="113">
        <f>IF($B129="","",IFERROR(INDEX(MUSTERILER!$C$7:$C$106,MATCH($B129,MUSTERILER!$B$7:$B$106,0)),"TANIMSIZ MÜŞTERİ"))</f>
        <v/>
      </c>
      <c r="D129" s="114" t="n"/>
      <c r="E129" s="114" t="n"/>
      <c r="F129" s="115" t="n"/>
      <c r="G129" s="107" t="n"/>
      <c r="H129" s="116">
        <f>IF(OR($B129="",$D129="",$F129=""),0,$F129*MAX(0,INT((MIN(IF($E129="",TODAY(),$E129),TODAY())-$D129)/7)+1))</f>
        <v/>
      </c>
      <c r="I129" s="116">
        <f>IF(OR($B129="",$D129="",$F129=""),0,$F129*MAX(0,INT((MIN(IF($E129="",TODAY()-8,$E129),TODAY()-8)-$D129)/7)+1))</f>
        <v/>
      </c>
      <c r="J129" s="116">
        <f>IF(OR($B129="",$D129="",$F129=""),0,$F129*MAX(0,INT((MIN(IF($E129="",TODAY()-15,$E129),TODAY()-15)-$D129)/7)+1))</f>
        <v/>
      </c>
      <c r="K129" s="116">
        <f>IF(OR($B129="",$D129="",$F129=""),0,$F129*MAX(0,INT((MIN(IF($E129="",TODAY()-29,$E129),TODAY()-29)-$D129)/7)+1))</f>
        <v/>
      </c>
      <c r="L129" s="117">
        <f>IF($F129&gt;0,$H129/$F129,0)</f>
        <v/>
      </c>
      <c r="M129" s="112">
        <f>IF($B129="","",IF($C129="TANIMSIZ MÜŞTERİ","HATA",IF($G129="Pasif","PASİF",IF(AND(WEEKDAY($D129,2)=6,OR($E129="",WEEKDAY($E129,2)=6),$F129&gt;0),"UYGUN","HATA"))))</f>
        <v/>
      </c>
      <c r="N129" s="108" t="n"/>
      <c r="O129" s="6" t="n"/>
      <c r="P129" s="6" t="n"/>
    </row>
    <row r="130">
      <c r="A130" s="6" t="n"/>
      <c r="B130" s="107" t="n"/>
      <c r="C130" s="113">
        <f>IF($B130="","",IFERROR(INDEX(MUSTERILER!$C$7:$C$106,MATCH($B130,MUSTERILER!$B$7:$B$106,0)),"TANIMSIZ MÜŞTERİ"))</f>
        <v/>
      </c>
      <c r="D130" s="114" t="n"/>
      <c r="E130" s="114" t="n"/>
      <c r="F130" s="115" t="n"/>
      <c r="G130" s="107" t="n"/>
      <c r="H130" s="116">
        <f>IF(OR($B130="",$D130="",$F130=""),0,$F130*MAX(0,INT((MIN(IF($E130="",TODAY(),$E130),TODAY())-$D130)/7)+1))</f>
        <v/>
      </c>
      <c r="I130" s="116">
        <f>IF(OR($B130="",$D130="",$F130=""),0,$F130*MAX(0,INT((MIN(IF($E130="",TODAY()-8,$E130),TODAY()-8)-$D130)/7)+1))</f>
        <v/>
      </c>
      <c r="J130" s="116">
        <f>IF(OR($B130="",$D130="",$F130=""),0,$F130*MAX(0,INT((MIN(IF($E130="",TODAY()-15,$E130),TODAY()-15)-$D130)/7)+1))</f>
        <v/>
      </c>
      <c r="K130" s="116">
        <f>IF(OR($B130="",$D130="",$F130=""),0,$F130*MAX(0,INT((MIN(IF($E130="",TODAY()-29,$E130),TODAY()-29)-$D130)/7)+1))</f>
        <v/>
      </c>
      <c r="L130" s="117">
        <f>IF($F130&gt;0,$H130/$F130,0)</f>
        <v/>
      </c>
      <c r="M130" s="112">
        <f>IF($B130="","",IF($C130="TANIMSIZ MÜŞTERİ","HATA",IF($G130="Pasif","PASİF",IF(AND(WEEKDAY($D130,2)=6,OR($E130="",WEEKDAY($E130,2)=6),$F130&gt;0),"UYGUN","HATA"))))</f>
        <v/>
      </c>
      <c r="N130" s="108" t="n"/>
      <c r="O130" s="6" t="n"/>
      <c r="P130" s="6" t="n"/>
    </row>
    <row r="131">
      <c r="A131" s="6" t="n"/>
      <c r="B131" s="107" t="n"/>
      <c r="C131" s="113">
        <f>IF($B131="","",IFERROR(INDEX(MUSTERILER!$C$7:$C$106,MATCH($B131,MUSTERILER!$B$7:$B$106,0)),"TANIMSIZ MÜŞTERİ"))</f>
        <v/>
      </c>
      <c r="D131" s="114" t="n"/>
      <c r="E131" s="114" t="n"/>
      <c r="F131" s="115" t="n"/>
      <c r="G131" s="107" t="n"/>
      <c r="H131" s="116">
        <f>IF(OR($B131="",$D131="",$F131=""),0,$F131*MAX(0,INT((MIN(IF($E131="",TODAY(),$E131),TODAY())-$D131)/7)+1))</f>
        <v/>
      </c>
      <c r="I131" s="116">
        <f>IF(OR($B131="",$D131="",$F131=""),0,$F131*MAX(0,INT((MIN(IF($E131="",TODAY()-8,$E131),TODAY()-8)-$D131)/7)+1))</f>
        <v/>
      </c>
      <c r="J131" s="116">
        <f>IF(OR($B131="",$D131="",$F131=""),0,$F131*MAX(0,INT((MIN(IF($E131="",TODAY()-15,$E131),TODAY()-15)-$D131)/7)+1))</f>
        <v/>
      </c>
      <c r="K131" s="116">
        <f>IF(OR($B131="",$D131="",$F131=""),0,$F131*MAX(0,INT((MIN(IF($E131="",TODAY()-29,$E131),TODAY()-29)-$D131)/7)+1))</f>
        <v/>
      </c>
      <c r="L131" s="117">
        <f>IF($F131&gt;0,$H131/$F131,0)</f>
        <v/>
      </c>
      <c r="M131" s="112">
        <f>IF($B131="","",IF($C131="TANIMSIZ MÜŞTERİ","HATA",IF($G131="Pasif","PASİF",IF(AND(WEEKDAY($D131,2)=6,OR($E131="",WEEKDAY($E131,2)=6),$F131&gt;0),"UYGUN","HATA"))))</f>
        <v/>
      </c>
      <c r="N131" s="108" t="n"/>
      <c r="O131" s="6" t="n"/>
      <c r="P131" s="6" t="n"/>
    </row>
    <row r="132">
      <c r="A132" s="6" t="n"/>
      <c r="B132" s="107" t="n"/>
      <c r="C132" s="113">
        <f>IF($B132="","",IFERROR(INDEX(MUSTERILER!$C$7:$C$106,MATCH($B132,MUSTERILER!$B$7:$B$106,0)),"TANIMSIZ MÜŞTERİ"))</f>
        <v/>
      </c>
      <c r="D132" s="114" t="n"/>
      <c r="E132" s="114" t="n"/>
      <c r="F132" s="115" t="n"/>
      <c r="G132" s="107" t="n"/>
      <c r="H132" s="116">
        <f>IF(OR($B132="",$D132="",$F132=""),0,$F132*MAX(0,INT((MIN(IF($E132="",TODAY(),$E132),TODAY())-$D132)/7)+1))</f>
        <v/>
      </c>
      <c r="I132" s="116">
        <f>IF(OR($B132="",$D132="",$F132=""),0,$F132*MAX(0,INT((MIN(IF($E132="",TODAY()-8,$E132),TODAY()-8)-$D132)/7)+1))</f>
        <v/>
      </c>
      <c r="J132" s="116">
        <f>IF(OR($B132="",$D132="",$F132=""),0,$F132*MAX(0,INT((MIN(IF($E132="",TODAY()-15,$E132),TODAY()-15)-$D132)/7)+1))</f>
        <v/>
      </c>
      <c r="K132" s="116">
        <f>IF(OR($B132="",$D132="",$F132=""),0,$F132*MAX(0,INT((MIN(IF($E132="",TODAY()-29,$E132),TODAY()-29)-$D132)/7)+1))</f>
        <v/>
      </c>
      <c r="L132" s="117">
        <f>IF($F132&gt;0,$H132/$F132,0)</f>
        <v/>
      </c>
      <c r="M132" s="112">
        <f>IF($B132="","",IF($C132="TANIMSIZ MÜŞTERİ","HATA",IF($G132="Pasif","PASİF",IF(AND(WEEKDAY($D132,2)=6,OR($E132="",WEEKDAY($E132,2)=6),$F132&gt;0),"UYGUN","HATA"))))</f>
        <v/>
      </c>
      <c r="N132" s="108" t="n"/>
      <c r="O132" s="6" t="n"/>
      <c r="P132" s="6" t="n"/>
    </row>
    <row r="133">
      <c r="A133" s="6" t="n"/>
      <c r="B133" s="107" t="n"/>
      <c r="C133" s="113">
        <f>IF($B133="","",IFERROR(INDEX(MUSTERILER!$C$7:$C$106,MATCH($B133,MUSTERILER!$B$7:$B$106,0)),"TANIMSIZ MÜŞTERİ"))</f>
        <v/>
      </c>
      <c r="D133" s="114" t="n"/>
      <c r="E133" s="114" t="n"/>
      <c r="F133" s="115" t="n"/>
      <c r="G133" s="107" t="n"/>
      <c r="H133" s="116">
        <f>IF(OR($B133="",$D133="",$F133=""),0,$F133*MAX(0,INT((MIN(IF($E133="",TODAY(),$E133),TODAY())-$D133)/7)+1))</f>
        <v/>
      </c>
      <c r="I133" s="116">
        <f>IF(OR($B133="",$D133="",$F133=""),0,$F133*MAX(0,INT((MIN(IF($E133="",TODAY()-8,$E133),TODAY()-8)-$D133)/7)+1))</f>
        <v/>
      </c>
      <c r="J133" s="116">
        <f>IF(OR($B133="",$D133="",$F133=""),0,$F133*MAX(0,INT((MIN(IF($E133="",TODAY()-15,$E133),TODAY()-15)-$D133)/7)+1))</f>
        <v/>
      </c>
      <c r="K133" s="116">
        <f>IF(OR($B133="",$D133="",$F133=""),0,$F133*MAX(0,INT((MIN(IF($E133="",TODAY()-29,$E133),TODAY()-29)-$D133)/7)+1))</f>
        <v/>
      </c>
      <c r="L133" s="117">
        <f>IF($F133&gt;0,$H133/$F133,0)</f>
        <v/>
      </c>
      <c r="M133" s="112">
        <f>IF($B133="","",IF($C133="TANIMSIZ MÜŞTERİ","HATA",IF($G133="Pasif","PASİF",IF(AND(WEEKDAY($D133,2)=6,OR($E133="",WEEKDAY($E133,2)=6),$F133&gt;0),"UYGUN","HATA"))))</f>
        <v/>
      </c>
      <c r="N133" s="108" t="n"/>
      <c r="O133" s="6" t="n"/>
      <c r="P133" s="6" t="n"/>
    </row>
    <row r="134">
      <c r="A134" s="6" t="n"/>
      <c r="B134" s="107" t="n"/>
      <c r="C134" s="113">
        <f>IF($B134="","",IFERROR(INDEX(MUSTERILER!$C$7:$C$106,MATCH($B134,MUSTERILER!$B$7:$B$106,0)),"TANIMSIZ MÜŞTERİ"))</f>
        <v/>
      </c>
      <c r="D134" s="114" t="n"/>
      <c r="E134" s="114" t="n"/>
      <c r="F134" s="115" t="n"/>
      <c r="G134" s="107" t="n"/>
      <c r="H134" s="116">
        <f>IF(OR($B134="",$D134="",$F134=""),0,$F134*MAX(0,INT((MIN(IF($E134="",TODAY(),$E134),TODAY())-$D134)/7)+1))</f>
        <v/>
      </c>
      <c r="I134" s="116">
        <f>IF(OR($B134="",$D134="",$F134=""),0,$F134*MAX(0,INT((MIN(IF($E134="",TODAY()-8,$E134),TODAY()-8)-$D134)/7)+1))</f>
        <v/>
      </c>
      <c r="J134" s="116">
        <f>IF(OR($B134="",$D134="",$F134=""),0,$F134*MAX(0,INT((MIN(IF($E134="",TODAY()-15,$E134),TODAY()-15)-$D134)/7)+1))</f>
        <v/>
      </c>
      <c r="K134" s="116">
        <f>IF(OR($B134="",$D134="",$F134=""),0,$F134*MAX(0,INT((MIN(IF($E134="",TODAY()-29,$E134),TODAY()-29)-$D134)/7)+1))</f>
        <v/>
      </c>
      <c r="L134" s="117">
        <f>IF($F134&gt;0,$H134/$F134,0)</f>
        <v/>
      </c>
      <c r="M134" s="112">
        <f>IF($B134="","",IF($C134="TANIMSIZ MÜŞTERİ","HATA",IF($G134="Pasif","PASİF",IF(AND(WEEKDAY($D134,2)=6,OR($E134="",WEEKDAY($E134,2)=6),$F134&gt;0),"UYGUN","HATA"))))</f>
        <v/>
      </c>
      <c r="N134" s="108" t="n"/>
      <c r="O134" s="6" t="n"/>
      <c r="P134" s="6" t="n"/>
    </row>
    <row r="135">
      <c r="A135" s="6" t="n"/>
      <c r="B135" s="107" t="n"/>
      <c r="C135" s="113">
        <f>IF($B135="","",IFERROR(INDEX(MUSTERILER!$C$7:$C$106,MATCH($B135,MUSTERILER!$B$7:$B$106,0)),"TANIMSIZ MÜŞTERİ"))</f>
        <v/>
      </c>
      <c r="D135" s="114" t="n"/>
      <c r="E135" s="114" t="n"/>
      <c r="F135" s="115" t="n"/>
      <c r="G135" s="107" t="n"/>
      <c r="H135" s="116">
        <f>IF(OR($B135="",$D135="",$F135=""),0,$F135*MAX(0,INT((MIN(IF($E135="",TODAY(),$E135),TODAY())-$D135)/7)+1))</f>
        <v/>
      </c>
      <c r="I135" s="116">
        <f>IF(OR($B135="",$D135="",$F135=""),0,$F135*MAX(0,INT((MIN(IF($E135="",TODAY()-8,$E135),TODAY()-8)-$D135)/7)+1))</f>
        <v/>
      </c>
      <c r="J135" s="116">
        <f>IF(OR($B135="",$D135="",$F135=""),0,$F135*MAX(0,INT((MIN(IF($E135="",TODAY()-15,$E135),TODAY()-15)-$D135)/7)+1))</f>
        <v/>
      </c>
      <c r="K135" s="116">
        <f>IF(OR($B135="",$D135="",$F135=""),0,$F135*MAX(0,INT((MIN(IF($E135="",TODAY()-29,$E135),TODAY()-29)-$D135)/7)+1))</f>
        <v/>
      </c>
      <c r="L135" s="117">
        <f>IF($F135&gt;0,$H135/$F135,0)</f>
        <v/>
      </c>
      <c r="M135" s="112">
        <f>IF($B135="","",IF($C135="TANIMSIZ MÜŞTERİ","HATA",IF($G135="Pasif","PASİF",IF(AND(WEEKDAY($D135,2)=6,OR($E135="",WEEKDAY($E135,2)=6),$F135&gt;0),"UYGUN","HATA"))))</f>
        <v/>
      </c>
      <c r="N135" s="108" t="n"/>
      <c r="O135" s="6" t="n"/>
      <c r="P135" s="6" t="n"/>
    </row>
    <row r="136">
      <c r="A136" s="6" t="n"/>
      <c r="B136" s="107" t="n"/>
      <c r="C136" s="113">
        <f>IF($B136="","",IFERROR(INDEX(MUSTERILER!$C$7:$C$106,MATCH($B136,MUSTERILER!$B$7:$B$106,0)),"TANIMSIZ MÜŞTERİ"))</f>
        <v/>
      </c>
      <c r="D136" s="114" t="n"/>
      <c r="E136" s="114" t="n"/>
      <c r="F136" s="115" t="n"/>
      <c r="G136" s="107" t="n"/>
      <c r="H136" s="116">
        <f>IF(OR($B136="",$D136="",$F136=""),0,$F136*MAX(0,INT((MIN(IF($E136="",TODAY(),$E136),TODAY())-$D136)/7)+1))</f>
        <v/>
      </c>
      <c r="I136" s="116">
        <f>IF(OR($B136="",$D136="",$F136=""),0,$F136*MAX(0,INT((MIN(IF($E136="",TODAY()-8,$E136),TODAY()-8)-$D136)/7)+1))</f>
        <v/>
      </c>
      <c r="J136" s="116">
        <f>IF(OR($B136="",$D136="",$F136=""),0,$F136*MAX(0,INT((MIN(IF($E136="",TODAY()-15,$E136),TODAY()-15)-$D136)/7)+1))</f>
        <v/>
      </c>
      <c r="K136" s="116">
        <f>IF(OR($B136="",$D136="",$F136=""),0,$F136*MAX(0,INT((MIN(IF($E136="",TODAY()-29,$E136),TODAY()-29)-$D136)/7)+1))</f>
        <v/>
      </c>
      <c r="L136" s="117">
        <f>IF($F136&gt;0,$H136/$F136,0)</f>
        <v/>
      </c>
      <c r="M136" s="112">
        <f>IF($B136="","",IF($C136="TANIMSIZ MÜŞTERİ","HATA",IF($G136="Pasif","PASİF",IF(AND(WEEKDAY($D136,2)=6,OR($E136="",WEEKDAY($E136,2)=6),$F136&gt;0),"UYGUN","HATA"))))</f>
        <v/>
      </c>
      <c r="N136" s="108" t="n"/>
      <c r="O136" s="6" t="n"/>
      <c r="P136" s="6" t="n"/>
    </row>
    <row r="137">
      <c r="A137" s="6" t="n"/>
      <c r="B137" s="107" t="n"/>
      <c r="C137" s="113">
        <f>IF($B137="","",IFERROR(INDEX(MUSTERILER!$C$7:$C$106,MATCH($B137,MUSTERILER!$B$7:$B$106,0)),"TANIMSIZ MÜŞTERİ"))</f>
        <v/>
      </c>
      <c r="D137" s="114" t="n"/>
      <c r="E137" s="114" t="n"/>
      <c r="F137" s="115" t="n"/>
      <c r="G137" s="107" t="n"/>
      <c r="H137" s="116">
        <f>IF(OR($B137="",$D137="",$F137=""),0,$F137*MAX(0,INT((MIN(IF($E137="",TODAY(),$E137),TODAY())-$D137)/7)+1))</f>
        <v/>
      </c>
      <c r="I137" s="116">
        <f>IF(OR($B137="",$D137="",$F137=""),0,$F137*MAX(0,INT((MIN(IF($E137="",TODAY()-8,$E137),TODAY()-8)-$D137)/7)+1))</f>
        <v/>
      </c>
      <c r="J137" s="116">
        <f>IF(OR($B137="",$D137="",$F137=""),0,$F137*MAX(0,INT((MIN(IF($E137="",TODAY()-15,$E137),TODAY()-15)-$D137)/7)+1))</f>
        <v/>
      </c>
      <c r="K137" s="116">
        <f>IF(OR($B137="",$D137="",$F137=""),0,$F137*MAX(0,INT((MIN(IF($E137="",TODAY()-29,$E137),TODAY()-29)-$D137)/7)+1))</f>
        <v/>
      </c>
      <c r="L137" s="117">
        <f>IF($F137&gt;0,$H137/$F137,0)</f>
        <v/>
      </c>
      <c r="M137" s="112">
        <f>IF($B137="","",IF($C137="TANIMSIZ MÜŞTERİ","HATA",IF($G137="Pasif","PASİF",IF(AND(WEEKDAY($D137,2)=6,OR($E137="",WEEKDAY($E137,2)=6),$F137&gt;0),"UYGUN","HATA"))))</f>
        <v/>
      </c>
      <c r="N137" s="108" t="n"/>
      <c r="O137" s="6" t="n"/>
      <c r="P137" s="6" t="n"/>
    </row>
    <row r="138">
      <c r="A138" s="6" t="n"/>
      <c r="B138" s="107" t="n"/>
      <c r="C138" s="113">
        <f>IF($B138="","",IFERROR(INDEX(MUSTERILER!$C$7:$C$106,MATCH($B138,MUSTERILER!$B$7:$B$106,0)),"TANIMSIZ MÜŞTERİ"))</f>
        <v/>
      </c>
      <c r="D138" s="114" t="n"/>
      <c r="E138" s="114" t="n"/>
      <c r="F138" s="115" t="n"/>
      <c r="G138" s="107" t="n"/>
      <c r="H138" s="116">
        <f>IF(OR($B138="",$D138="",$F138=""),0,$F138*MAX(0,INT((MIN(IF($E138="",TODAY(),$E138),TODAY())-$D138)/7)+1))</f>
        <v/>
      </c>
      <c r="I138" s="116">
        <f>IF(OR($B138="",$D138="",$F138=""),0,$F138*MAX(0,INT((MIN(IF($E138="",TODAY()-8,$E138),TODAY()-8)-$D138)/7)+1))</f>
        <v/>
      </c>
      <c r="J138" s="116">
        <f>IF(OR($B138="",$D138="",$F138=""),0,$F138*MAX(0,INT((MIN(IF($E138="",TODAY()-15,$E138),TODAY()-15)-$D138)/7)+1))</f>
        <v/>
      </c>
      <c r="K138" s="116">
        <f>IF(OR($B138="",$D138="",$F138=""),0,$F138*MAX(0,INT((MIN(IF($E138="",TODAY()-29,$E138),TODAY()-29)-$D138)/7)+1))</f>
        <v/>
      </c>
      <c r="L138" s="117">
        <f>IF($F138&gt;0,$H138/$F138,0)</f>
        <v/>
      </c>
      <c r="M138" s="112">
        <f>IF($B138="","",IF($C138="TANIMSIZ MÜŞTERİ","HATA",IF($G138="Pasif","PASİF",IF(AND(WEEKDAY($D138,2)=6,OR($E138="",WEEKDAY($E138,2)=6),$F138&gt;0),"UYGUN","HATA"))))</f>
        <v/>
      </c>
      <c r="N138" s="108" t="n"/>
      <c r="O138" s="6" t="n"/>
      <c r="P138" s="6" t="n"/>
    </row>
    <row r="139">
      <c r="A139" s="6" t="n"/>
      <c r="B139" s="107" t="n"/>
      <c r="C139" s="113">
        <f>IF($B139="","",IFERROR(INDEX(MUSTERILER!$C$7:$C$106,MATCH($B139,MUSTERILER!$B$7:$B$106,0)),"TANIMSIZ MÜŞTERİ"))</f>
        <v/>
      </c>
      <c r="D139" s="114" t="n"/>
      <c r="E139" s="114" t="n"/>
      <c r="F139" s="115" t="n"/>
      <c r="G139" s="107" t="n"/>
      <c r="H139" s="116">
        <f>IF(OR($B139="",$D139="",$F139=""),0,$F139*MAX(0,INT((MIN(IF($E139="",TODAY(),$E139),TODAY())-$D139)/7)+1))</f>
        <v/>
      </c>
      <c r="I139" s="116">
        <f>IF(OR($B139="",$D139="",$F139=""),0,$F139*MAX(0,INT((MIN(IF($E139="",TODAY()-8,$E139),TODAY()-8)-$D139)/7)+1))</f>
        <v/>
      </c>
      <c r="J139" s="116">
        <f>IF(OR($B139="",$D139="",$F139=""),0,$F139*MAX(0,INT((MIN(IF($E139="",TODAY()-15,$E139),TODAY()-15)-$D139)/7)+1))</f>
        <v/>
      </c>
      <c r="K139" s="116">
        <f>IF(OR($B139="",$D139="",$F139=""),0,$F139*MAX(0,INT((MIN(IF($E139="",TODAY()-29,$E139),TODAY()-29)-$D139)/7)+1))</f>
        <v/>
      </c>
      <c r="L139" s="117">
        <f>IF($F139&gt;0,$H139/$F139,0)</f>
        <v/>
      </c>
      <c r="M139" s="112">
        <f>IF($B139="","",IF($C139="TANIMSIZ MÜŞTERİ","HATA",IF($G139="Pasif","PASİF",IF(AND(WEEKDAY($D139,2)=6,OR($E139="",WEEKDAY($E139,2)=6),$F139&gt;0),"UYGUN","HATA"))))</f>
        <v/>
      </c>
      <c r="N139" s="108" t="n"/>
      <c r="O139" s="6" t="n"/>
      <c r="P139" s="6" t="n"/>
    </row>
    <row r="140">
      <c r="A140" s="6" t="n"/>
      <c r="B140" s="107" t="n"/>
      <c r="C140" s="113">
        <f>IF($B140="","",IFERROR(INDEX(MUSTERILER!$C$7:$C$106,MATCH($B140,MUSTERILER!$B$7:$B$106,0)),"TANIMSIZ MÜŞTERİ"))</f>
        <v/>
      </c>
      <c r="D140" s="114" t="n"/>
      <c r="E140" s="114" t="n"/>
      <c r="F140" s="115" t="n"/>
      <c r="G140" s="107" t="n"/>
      <c r="H140" s="116">
        <f>IF(OR($B140="",$D140="",$F140=""),0,$F140*MAX(0,INT((MIN(IF($E140="",TODAY(),$E140),TODAY())-$D140)/7)+1))</f>
        <v/>
      </c>
      <c r="I140" s="116">
        <f>IF(OR($B140="",$D140="",$F140=""),0,$F140*MAX(0,INT((MIN(IF($E140="",TODAY()-8,$E140),TODAY()-8)-$D140)/7)+1))</f>
        <v/>
      </c>
      <c r="J140" s="116">
        <f>IF(OR($B140="",$D140="",$F140=""),0,$F140*MAX(0,INT((MIN(IF($E140="",TODAY()-15,$E140),TODAY()-15)-$D140)/7)+1))</f>
        <v/>
      </c>
      <c r="K140" s="116">
        <f>IF(OR($B140="",$D140="",$F140=""),0,$F140*MAX(0,INT((MIN(IF($E140="",TODAY()-29,$E140),TODAY()-29)-$D140)/7)+1))</f>
        <v/>
      </c>
      <c r="L140" s="117">
        <f>IF($F140&gt;0,$H140/$F140,0)</f>
        <v/>
      </c>
      <c r="M140" s="112">
        <f>IF($B140="","",IF($C140="TANIMSIZ MÜŞTERİ","HATA",IF($G140="Pasif","PASİF",IF(AND(WEEKDAY($D140,2)=6,OR($E140="",WEEKDAY($E140,2)=6),$F140&gt;0),"UYGUN","HATA"))))</f>
        <v/>
      </c>
      <c r="N140" s="108" t="n"/>
      <c r="O140" s="6" t="n"/>
      <c r="P140" s="6" t="n"/>
    </row>
    <row r="141">
      <c r="A141" s="6" t="n"/>
      <c r="B141" s="107" t="n"/>
      <c r="C141" s="113">
        <f>IF($B141="","",IFERROR(INDEX(MUSTERILER!$C$7:$C$106,MATCH($B141,MUSTERILER!$B$7:$B$106,0)),"TANIMSIZ MÜŞTERİ"))</f>
        <v/>
      </c>
      <c r="D141" s="114" t="n"/>
      <c r="E141" s="114" t="n"/>
      <c r="F141" s="115" t="n"/>
      <c r="G141" s="107" t="n"/>
      <c r="H141" s="116">
        <f>IF(OR($B141="",$D141="",$F141=""),0,$F141*MAX(0,INT((MIN(IF($E141="",TODAY(),$E141),TODAY())-$D141)/7)+1))</f>
        <v/>
      </c>
      <c r="I141" s="116">
        <f>IF(OR($B141="",$D141="",$F141=""),0,$F141*MAX(0,INT((MIN(IF($E141="",TODAY()-8,$E141),TODAY()-8)-$D141)/7)+1))</f>
        <v/>
      </c>
      <c r="J141" s="116">
        <f>IF(OR($B141="",$D141="",$F141=""),0,$F141*MAX(0,INT((MIN(IF($E141="",TODAY()-15,$E141),TODAY()-15)-$D141)/7)+1))</f>
        <v/>
      </c>
      <c r="K141" s="116">
        <f>IF(OR($B141="",$D141="",$F141=""),0,$F141*MAX(0,INT((MIN(IF($E141="",TODAY()-29,$E141),TODAY()-29)-$D141)/7)+1))</f>
        <v/>
      </c>
      <c r="L141" s="117">
        <f>IF($F141&gt;0,$H141/$F141,0)</f>
        <v/>
      </c>
      <c r="M141" s="112">
        <f>IF($B141="","",IF($C141="TANIMSIZ MÜŞTERİ","HATA",IF($G141="Pasif","PASİF",IF(AND(WEEKDAY($D141,2)=6,OR($E141="",WEEKDAY($E141,2)=6),$F141&gt;0),"UYGUN","HATA"))))</f>
        <v/>
      </c>
      <c r="N141" s="108" t="n"/>
      <c r="O141" s="6" t="n"/>
      <c r="P141" s="6" t="n"/>
    </row>
    <row r="142">
      <c r="A142" s="6" t="n"/>
      <c r="B142" s="107" t="n"/>
      <c r="C142" s="113">
        <f>IF($B142="","",IFERROR(INDEX(MUSTERILER!$C$7:$C$106,MATCH($B142,MUSTERILER!$B$7:$B$106,0)),"TANIMSIZ MÜŞTERİ"))</f>
        <v/>
      </c>
      <c r="D142" s="114" t="n"/>
      <c r="E142" s="114" t="n"/>
      <c r="F142" s="115" t="n"/>
      <c r="G142" s="107" t="n"/>
      <c r="H142" s="116">
        <f>IF(OR($B142="",$D142="",$F142=""),0,$F142*MAX(0,INT((MIN(IF($E142="",TODAY(),$E142),TODAY())-$D142)/7)+1))</f>
        <v/>
      </c>
      <c r="I142" s="116">
        <f>IF(OR($B142="",$D142="",$F142=""),0,$F142*MAX(0,INT((MIN(IF($E142="",TODAY()-8,$E142),TODAY()-8)-$D142)/7)+1))</f>
        <v/>
      </c>
      <c r="J142" s="116">
        <f>IF(OR($B142="",$D142="",$F142=""),0,$F142*MAX(0,INT((MIN(IF($E142="",TODAY()-15,$E142),TODAY()-15)-$D142)/7)+1))</f>
        <v/>
      </c>
      <c r="K142" s="116">
        <f>IF(OR($B142="",$D142="",$F142=""),0,$F142*MAX(0,INT((MIN(IF($E142="",TODAY()-29,$E142),TODAY()-29)-$D142)/7)+1))</f>
        <v/>
      </c>
      <c r="L142" s="117">
        <f>IF($F142&gt;0,$H142/$F142,0)</f>
        <v/>
      </c>
      <c r="M142" s="112">
        <f>IF($B142="","",IF($C142="TANIMSIZ MÜŞTERİ","HATA",IF($G142="Pasif","PASİF",IF(AND(WEEKDAY($D142,2)=6,OR($E142="",WEEKDAY($E142,2)=6),$F142&gt;0),"UYGUN","HATA"))))</f>
        <v/>
      </c>
      <c r="N142" s="108" t="n"/>
      <c r="O142" s="6" t="n"/>
      <c r="P142" s="6" t="n"/>
    </row>
    <row r="143">
      <c r="A143" s="6" t="n"/>
      <c r="B143" s="107" t="n"/>
      <c r="C143" s="113">
        <f>IF($B143="","",IFERROR(INDEX(MUSTERILER!$C$7:$C$106,MATCH($B143,MUSTERILER!$B$7:$B$106,0)),"TANIMSIZ MÜŞTERİ"))</f>
        <v/>
      </c>
      <c r="D143" s="114" t="n"/>
      <c r="E143" s="114" t="n"/>
      <c r="F143" s="115" t="n"/>
      <c r="G143" s="107" t="n"/>
      <c r="H143" s="116">
        <f>IF(OR($B143="",$D143="",$F143=""),0,$F143*MAX(0,INT((MIN(IF($E143="",TODAY(),$E143),TODAY())-$D143)/7)+1))</f>
        <v/>
      </c>
      <c r="I143" s="116">
        <f>IF(OR($B143="",$D143="",$F143=""),0,$F143*MAX(0,INT((MIN(IF($E143="",TODAY()-8,$E143),TODAY()-8)-$D143)/7)+1))</f>
        <v/>
      </c>
      <c r="J143" s="116">
        <f>IF(OR($B143="",$D143="",$F143=""),0,$F143*MAX(0,INT((MIN(IF($E143="",TODAY()-15,$E143),TODAY()-15)-$D143)/7)+1))</f>
        <v/>
      </c>
      <c r="K143" s="116">
        <f>IF(OR($B143="",$D143="",$F143=""),0,$F143*MAX(0,INT((MIN(IF($E143="",TODAY()-29,$E143),TODAY()-29)-$D143)/7)+1))</f>
        <v/>
      </c>
      <c r="L143" s="117">
        <f>IF($F143&gt;0,$H143/$F143,0)</f>
        <v/>
      </c>
      <c r="M143" s="112">
        <f>IF($B143="","",IF($C143="TANIMSIZ MÜŞTERİ","HATA",IF($G143="Pasif","PASİF",IF(AND(WEEKDAY($D143,2)=6,OR($E143="",WEEKDAY($E143,2)=6),$F143&gt;0),"UYGUN","HATA"))))</f>
        <v/>
      </c>
      <c r="N143" s="108" t="n"/>
      <c r="O143" s="6" t="n"/>
      <c r="P143" s="6" t="n"/>
    </row>
    <row r="144">
      <c r="A144" s="6" t="n"/>
      <c r="B144" s="107" t="n"/>
      <c r="C144" s="113">
        <f>IF($B144="","",IFERROR(INDEX(MUSTERILER!$C$7:$C$106,MATCH($B144,MUSTERILER!$B$7:$B$106,0)),"TANIMSIZ MÜŞTERİ"))</f>
        <v/>
      </c>
      <c r="D144" s="114" t="n"/>
      <c r="E144" s="114" t="n"/>
      <c r="F144" s="115" t="n"/>
      <c r="G144" s="107" t="n"/>
      <c r="H144" s="116">
        <f>IF(OR($B144="",$D144="",$F144=""),0,$F144*MAX(0,INT((MIN(IF($E144="",TODAY(),$E144),TODAY())-$D144)/7)+1))</f>
        <v/>
      </c>
      <c r="I144" s="116">
        <f>IF(OR($B144="",$D144="",$F144=""),0,$F144*MAX(0,INT((MIN(IF($E144="",TODAY()-8,$E144),TODAY()-8)-$D144)/7)+1))</f>
        <v/>
      </c>
      <c r="J144" s="116">
        <f>IF(OR($B144="",$D144="",$F144=""),0,$F144*MAX(0,INT((MIN(IF($E144="",TODAY()-15,$E144),TODAY()-15)-$D144)/7)+1))</f>
        <v/>
      </c>
      <c r="K144" s="116">
        <f>IF(OR($B144="",$D144="",$F144=""),0,$F144*MAX(0,INT((MIN(IF($E144="",TODAY()-29,$E144),TODAY()-29)-$D144)/7)+1))</f>
        <v/>
      </c>
      <c r="L144" s="117">
        <f>IF($F144&gt;0,$H144/$F144,0)</f>
        <v/>
      </c>
      <c r="M144" s="112">
        <f>IF($B144="","",IF($C144="TANIMSIZ MÜŞTERİ","HATA",IF($G144="Pasif","PASİF",IF(AND(WEEKDAY($D144,2)=6,OR($E144="",WEEKDAY($E144,2)=6),$F144&gt;0),"UYGUN","HATA"))))</f>
        <v/>
      </c>
      <c r="N144" s="108" t="n"/>
      <c r="O144" s="6" t="n"/>
      <c r="P144" s="6" t="n"/>
    </row>
    <row r="145">
      <c r="A145" s="6" t="n"/>
      <c r="B145" s="107" t="n"/>
      <c r="C145" s="113">
        <f>IF($B145="","",IFERROR(INDEX(MUSTERILER!$C$7:$C$106,MATCH($B145,MUSTERILER!$B$7:$B$106,0)),"TANIMSIZ MÜŞTERİ"))</f>
        <v/>
      </c>
      <c r="D145" s="114" t="n"/>
      <c r="E145" s="114" t="n"/>
      <c r="F145" s="115" t="n"/>
      <c r="G145" s="107" t="n"/>
      <c r="H145" s="116">
        <f>IF(OR($B145="",$D145="",$F145=""),0,$F145*MAX(0,INT((MIN(IF($E145="",TODAY(),$E145),TODAY())-$D145)/7)+1))</f>
        <v/>
      </c>
      <c r="I145" s="116">
        <f>IF(OR($B145="",$D145="",$F145=""),0,$F145*MAX(0,INT((MIN(IF($E145="",TODAY()-8,$E145),TODAY()-8)-$D145)/7)+1))</f>
        <v/>
      </c>
      <c r="J145" s="116">
        <f>IF(OR($B145="",$D145="",$F145=""),0,$F145*MAX(0,INT((MIN(IF($E145="",TODAY()-15,$E145),TODAY()-15)-$D145)/7)+1))</f>
        <v/>
      </c>
      <c r="K145" s="116">
        <f>IF(OR($B145="",$D145="",$F145=""),0,$F145*MAX(0,INT((MIN(IF($E145="",TODAY()-29,$E145),TODAY()-29)-$D145)/7)+1))</f>
        <v/>
      </c>
      <c r="L145" s="117">
        <f>IF($F145&gt;0,$H145/$F145,0)</f>
        <v/>
      </c>
      <c r="M145" s="112">
        <f>IF($B145="","",IF($C145="TANIMSIZ MÜŞTERİ","HATA",IF($G145="Pasif","PASİF",IF(AND(WEEKDAY($D145,2)=6,OR($E145="",WEEKDAY($E145,2)=6),$F145&gt;0),"UYGUN","HATA"))))</f>
        <v/>
      </c>
      <c r="N145" s="108" t="n"/>
      <c r="O145" s="6" t="n"/>
      <c r="P145" s="6" t="n"/>
    </row>
    <row r="146">
      <c r="A146" s="6" t="n"/>
      <c r="B146" s="107" t="n"/>
      <c r="C146" s="113">
        <f>IF($B146="","",IFERROR(INDEX(MUSTERILER!$C$7:$C$106,MATCH($B146,MUSTERILER!$B$7:$B$106,0)),"TANIMSIZ MÜŞTERİ"))</f>
        <v/>
      </c>
      <c r="D146" s="114" t="n"/>
      <c r="E146" s="114" t="n"/>
      <c r="F146" s="115" t="n"/>
      <c r="G146" s="107" t="n"/>
      <c r="H146" s="116">
        <f>IF(OR($B146="",$D146="",$F146=""),0,$F146*MAX(0,INT((MIN(IF($E146="",TODAY(),$E146),TODAY())-$D146)/7)+1))</f>
        <v/>
      </c>
      <c r="I146" s="116">
        <f>IF(OR($B146="",$D146="",$F146=""),0,$F146*MAX(0,INT((MIN(IF($E146="",TODAY()-8,$E146),TODAY()-8)-$D146)/7)+1))</f>
        <v/>
      </c>
      <c r="J146" s="116">
        <f>IF(OR($B146="",$D146="",$F146=""),0,$F146*MAX(0,INT((MIN(IF($E146="",TODAY()-15,$E146),TODAY()-15)-$D146)/7)+1))</f>
        <v/>
      </c>
      <c r="K146" s="116">
        <f>IF(OR($B146="",$D146="",$F146=""),0,$F146*MAX(0,INT((MIN(IF($E146="",TODAY()-29,$E146),TODAY()-29)-$D146)/7)+1))</f>
        <v/>
      </c>
      <c r="L146" s="117">
        <f>IF($F146&gt;0,$H146/$F146,0)</f>
        <v/>
      </c>
      <c r="M146" s="112">
        <f>IF($B146="","",IF($C146="TANIMSIZ MÜŞTERİ","HATA",IF($G146="Pasif","PASİF",IF(AND(WEEKDAY($D146,2)=6,OR($E146="",WEEKDAY($E146,2)=6),$F146&gt;0),"UYGUN","HATA"))))</f>
        <v/>
      </c>
      <c r="N146" s="108" t="n"/>
      <c r="O146" s="6" t="n"/>
      <c r="P146" s="6" t="n"/>
    </row>
    <row r="147">
      <c r="A147" s="6" t="n"/>
      <c r="B147" s="107" t="n"/>
      <c r="C147" s="113">
        <f>IF($B147="","",IFERROR(INDEX(MUSTERILER!$C$7:$C$106,MATCH($B147,MUSTERILER!$B$7:$B$106,0)),"TANIMSIZ MÜŞTERİ"))</f>
        <v/>
      </c>
      <c r="D147" s="114" t="n"/>
      <c r="E147" s="114" t="n"/>
      <c r="F147" s="115" t="n"/>
      <c r="G147" s="107" t="n"/>
      <c r="H147" s="116">
        <f>IF(OR($B147="",$D147="",$F147=""),0,$F147*MAX(0,INT((MIN(IF($E147="",TODAY(),$E147),TODAY())-$D147)/7)+1))</f>
        <v/>
      </c>
      <c r="I147" s="116">
        <f>IF(OR($B147="",$D147="",$F147=""),0,$F147*MAX(0,INT((MIN(IF($E147="",TODAY()-8,$E147),TODAY()-8)-$D147)/7)+1))</f>
        <v/>
      </c>
      <c r="J147" s="116">
        <f>IF(OR($B147="",$D147="",$F147=""),0,$F147*MAX(0,INT((MIN(IF($E147="",TODAY()-15,$E147),TODAY()-15)-$D147)/7)+1))</f>
        <v/>
      </c>
      <c r="K147" s="116">
        <f>IF(OR($B147="",$D147="",$F147=""),0,$F147*MAX(0,INT((MIN(IF($E147="",TODAY()-29,$E147),TODAY()-29)-$D147)/7)+1))</f>
        <v/>
      </c>
      <c r="L147" s="117">
        <f>IF($F147&gt;0,$H147/$F147,0)</f>
        <v/>
      </c>
      <c r="M147" s="112">
        <f>IF($B147="","",IF($C147="TANIMSIZ MÜŞTERİ","HATA",IF($G147="Pasif","PASİF",IF(AND(WEEKDAY($D147,2)=6,OR($E147="",WEEKDAY($E147,2)=6),$F147&gt;0),"UYGUN","HATA"))))</f>
        <v/>
      </c>
      <c r="N147" s="108" t="n"/>
      <c r="O147" s="6" t="n"/>
      <c r="P147" s="6" t="n"/>
    </row>
    <row r="148">
      <c r="A148" s="6" t="n"/>
      <c r="B148" s="107" t="n"/>
      <c r="C148" s="113">
        <f>IF($B148="","",IFERROR(INDEX(MUSTERILER!$C$7:$C$106,MATCH($B148,MUSTERILER!$B$7:$B$106,0)),"TANIMSIZ MÜŞTERİ"))</f>
        <v/>
      </c>
      <c r="D148" s="114" t="n"/>
      <c r="E148" s="114" t="n"/>
      <c r="F148" s="115" t="n"/>
      <c r="G148" s="107" t="n"/>
      <c r="H148" s="116">
        <f>IF(OR($B148="",$D148="",$F148=""),0,$F148*MAX(0,INT((MIN(IF($E148="",TODAY(),$E148),TODAY())-$D148)/7)+1))</f>
        <v/>
      </c>
      <c r="I148" s="116">
        <f>IF(OR($B148="",$D148="",$F148=""),0,$F148*MAX(0,INT((MIN(IF($E148="",TODAY()-8,$E148),TODAY()-8)-$D148)/7)+1))</f>
        <v/>
      </c>
      <c r="J148" s="116">
        <f>IF(OR($B148="",$D148="",$F148=""),0,$F148*MAX(0,INT((MIN(IF($E148="",TODAY()-15,$E148),TODAY()-15)-$D148)/7)+1))</f>
        <v/>
      </c>
      <c r="K148" s="116">
        <f>IF(OR($B148="",$D148="",$F148=""),0,$F148*MAX(0,INT((MIN(IF($E148="",TODAY()-29,$E148),TODAY()-29)-$D148)/7)+1))</f>
        <v/>
      </c>
      <c r="L148" s="117">
        <f>IF($F148&gt;0,$H148/$F148,0)</f>
        <v/>
      </c>
      <c r="M148" s="112">
        <f>IF($B148="","",IF($C148="TANIMSIZ MÜŞTERİ","HATA",IF($G148="Pasif","PASİF",IF(AND(WEEKDAY($D148,2)=6,OR($E148="",WEEKDAY($E148,2)=6),$F148&gt;0),"UYGUN","HATA"))))</f>
        <v/>
      </c>
      <c r="N148" s="108" t="n"/>
      <c r="O148" s="6" t="n"/>
      <c r="P148" s="6" t="n"/>
    </row>
    <row r="149">
      <c r="A149" s="6" t="n"/>
      <c r="B149" s="107" t="n"/>
      <c r="C149" s="113">
        <f>IF($B149="","",IFERROR(INDEX(MUSTERILER!$C$7:$C$106,MATCH($B149,MUSTERILER!$B$7:$B$106,0)),"TANIMSIZ MÜŞTERİ"))</f>
        <v/>
      </c>
      <c r="D149" s="114" t="n"/>
      <c r="E149" s="114" t="n"/>
      <c r="F149" s="115" t="n"/>
      <c r="G149" s="107" t="n"/>
      <c r="H149" s="116">
        <f>IF(OR($B149="",$D149="",$F149=""),0,$F149*MAX(0,INT((MIN(IF($E149="",TODAY(),$E149),TODAY())-$D149)/7)+1))</f>
        <v/>
      </c>
      <c r="I149" s="116">
        <f>IF(OR($B149="",$D149="",$F149=""),0,$F149*MAX(0,INT((MIN(IF($E149="",TODAY()-8,$E149),TODAY()-8)-$D149)/7)+1))</f>
        <v/>
      </c>
      <c r="J149" s="116">
        <f>IF(OR($B149="",$D149="",$F149=""),0,$F149*MAX(0,INT((MIN(IF($E149="",TODAY()-15,$E149),TODAY()-15)-$D149)/7)+1))</f>
        <v/>
      </c>
      <c r="K149" s="116">
        <f>IF(OR($B149="",$D149="",$F149=""),0,$F149*MAX(0,INT((MIN(IF($E149="",TODAY()-29,$E149),TODAY()-29)-$D149)/7)+1))</f>
        <v/>
      </c>
      <c r="L149" s="117">
        <f>IF($F149&gt;0,$H149/$F149,0)</f>
        <v/>
      </c>
      <c r="M149" s="112">
        <f>IF($B149="","",IF($C149="TANIMSIZ MÜŞTERİ","HATA",IF($G149="Pasif","PASİF",IF(AND(WEEKDAY($D149,2)=6,OR($E149="",WEEKDAY($E149,2)=6),$F149&gt;0),"UYGUN","HATA"))))</f>
        <v/>
      </c>
      <c r="N149" s="108" t="n"/>
      <c r="O149" s="6" t="n"/>
      <c r="P149" s="6" t="n"/>
    </row>
    <row r="150">
      <c r="A150" s="6" t="n"/>
      <c r="B150" s="107" t="n"/>
      <c r="C150" s="113">
        <f>IF($B150="","",IFERROR(INDEX(MUSTERILER!$C$7:$C$106,MATCH($B150,MUSTERILER!$B$7:$B$106,0)),"TANIMSIZ MÜŞTERİ"))</f>
        <v/>
      </c>
      <c r="D150" s="114" t="n"/>
      <c r="E150" s="114" t="n"/>
      <c r="F150" s="115" t="n"/>
      <c r="G150" s="107" t="n"/>
      <c r="H150" s="116">
        <f>IF(OR($B150="",$D150="",$F150=""),0,$F150*MAX(0,INT((MIN(IF($E150="",TODAY(),$E150),TODAY())-$D150)/7)+1))</f>
        <v/>
      </c>
      <c r="I150" s="116">
        <f>IF(OR($B150="",$D150="",$F150=""),0,$F150*MAX(0,INT((MIN(IF($E150="",TODAY()-8,$E150),TODAY()-8)-$D150)/7)+1))</f>
        <v/>
      </c>
      <c r="J150" s="116">
        <f>IF(OR($B150="",$D150="",$F150=""),0,$F150*MAX(0,INT((MIN(IF($E150="",TODAY()-15,$E150),TODAY()-15)-$D150)/7)+1))</f>
        <v/>
      </c>
      <c r="K150" s="116">
        <f>IF(OR($B150="",$D150="",$F150=""),0,$F150*MAX(0,INT((MIN(IF($E150="",TODAY()-29,$E150),TODAY()-29)-$D150)/7)+1))</f>
        <v/>
      </c>
      <c r="L150" s="117">
        <f>IF($F150&gt;0,$H150/$F150,0)</f>
        <v/>
      </c>
      <c r="M150" s="112">
        <f>IF($B150="","",IF($C150="TANIMSIZ MÜŞTERİ","HATA",IF($G150="Pasif","PASİF",IF(AND(WEEKDAY($D150,2)=6,OR($E150="",WEEKDAY($E150,2)=6),$F150&gt;0),"UYGUN","HATA"))))</f>
        <v/>
      </c>
      <c r="N150" s="108" t="n"/>
      <c r="O150" s="6" t="n"/>
      <c r="P150" s="6" t="n"/>
    </row>
    <row r="151">
      <c r="A151" s="6" t="n"/>
      <c r="B151" s="107" t="n"/>
      <c r="C151" s="113">
        <f>IF($B151="","",IFERROR(INDEX(MUSTERILER!$C$7:$C$106,MATCH($B151,MUSTERILER!$B$7:$B$106,0)),"TANIMSIZ MÜŞTERİ"))</f>
        <v/>
      </c>
      <c r="D151" s="114" t="n"/>
      <c r="E151" s="114" t="n"/>
      <c r="F151" s="115" t="n"/>
      <c r="G151" s="107" t="n"/>
      <c r="H151" s="116">
        <f>IF(OR($B151="",$D151="",$F151=""),0,$F151*MAX(0,INT((MIN(IF($E151="",TODAY(),$E151),TODAY())-$D151)/7)+1))</f>
        <v/>
      </c>
      <c r="I151" s="116">
        <f>IF(OR($B151="",$D151="",$F151=""),0,$F151*MAX(0,INT((MIN(IF($E151="",TODAY()-8,$E151),TODAY()-8)-$D151)/7)+1))</f>
        <v/>
      </c>
      <c r="J151" s="116">
        <f>IF(OR($B151="",$D151="",$F151=""),0,$F151*MAX(0,INT((MIN(IF($E151="",TODAY()-15,$E151),TODAY()-15)-$D151)/7)+1))</f>
        <v/>
      </c>
      <c r="K151" s="116">
        <f>IF(OR($B151="",$D151="",$F151=""),0,$F151*MAX(0,INT((MIN(IF($E151="",TODAY()-29,$E151),TODAY()-29)-$D151)/7)+1))</f>
        <v/>
      </c>
      <c r="L151" s="117">
        <f>IF($F151&gt;0,$H151/$F151,0)</f>
        <v/>
      </c>
      <c r="M151" s="112">
        <f>IF($B151="","",IF($C151="TANIMSIZ MÜŞTERİ","HATA",IF($G151="Pasif","PASİF",IF(AND(WEEKDAY($D151,2)=6,OR($E151="",WEEKDAY($E151,2)=6),$F151&gt;0),"UYGUN","HATA"))))</f>
        <v/>
      </c>
      <c r="N151" s="108" t="n"/>
      <c r="O151" s="6" t="n"/>
      <c r="P151" s="6" t="n"/>
    </row>
    <row r="152">
      <c r="A152" s="6" t="n"/>
      <c r="B152" s="107" t="n"/>
      <c r="C152" s="113">
        <f>IF($B152="","",IFERROR(INDEX(MUSTERILER!$C$7:$C$106,MATCH($B152,MUSTERILER!$B$7:$B$106,0)),"TANIMSIZ MÜŞTERİ"))</f>
        <v/>
      </c>
      <c r="D152" s="114" t="n"/>
      <c r="E152" s="114" t="n"/>
      <c r="F152" s="115" t="n"/>
      <c r="G152" s="107" t="n"/>
      <c r="H152" s="116">
        <f>IF(OR($B152="",$D152="",$F152=""),0,$F152*MAX(0,INT((MIN(IF($E152="",TODAY(),$E152),TODAY())-$D152)/7)+1))</f>
        <v/>
      </c>
      <c r="I152" s="116">
        <f>IF(OR($B152="",$D152="",$F152=""),0,$F152*MAX(0,INT((MIN(IF($E152="",TODAY()-8,$E152),TODAY()-8)-$D152)/7)+1))</f>
        <v/>
      </c>
      <c r="J152" s="116">
        <f>IF(OR($B152="",$D152="",$F152=""),0,$F152*MAX(0,INT((MIN(IF($E152="",TODAY()-15,$E152),TODAY()-15)-$D152)/7)+1))</f>
        <v/>
      </c>
      <c r="K152" s="116">
        <f>IF(OR($B152="",$D152="",$F152=""),0,$F152*MAX(0,INT((MIN(IF($E152="",TODAY()-29,$E152),TODAY()-29)-$D152)/7)+1))</f>
        <v/>
      </c>
      <c r="L152" s="117">
        <f>IF($F152&gt;0,$H152/$F152,0)</f>
        <v/>
      </c>
      <c r="M152" s="112">
        <f>IF($B152="","",IF($C152="TANIMSIZ MÜŞTERİ","HATA",IF($G152="Pasif","PASİF",IF(AND(WEEKDAY($D152,2)=6,OR($E152="",WEEKDAY($E152,2)=6),$F152&gt;0),"UYGUN","HATA"))))</f>
        <v/>
      </c>
      <c r="N152" s="108" t="n"/>
      <c r="O152" s="6" t="n"/>
      <c r="P152" s="6" t="n"/>
    </row>
    <row r="153">
      <c r="A153" s="6" t="n"/>
      <c r="B153" s="107" t="n"/>
      <c r="C153" s="113">
        <f>IF($B153="","",IFERROR(INDEX(MUSTERILER!$C$7:$C$106,MATCH($B153,MUSTERILER!$B$7:$B$106,0)),"TANIMSIZ MÜŞTERİ"))</f>
        <v/>
      </c>
      <c r="D153" s="114" t="n"/>
      <c r="E153" s="114" t="n"/>
      <c r="F153" s="115" t="n"/>
      <c r="G153" s="107" t="n"/>
      <c r="H153" s="116">
        <f>IF(OR($B153="",$D153="",$F153=""),0,$F153*MAX(0,INT((MIN(IF($E153="",TODAY(),$E153),TODAY())-$D153)/7)+1))</f>
        <v/>
      </c>
      <c r="I153" s="116">
        <f>IF(OR($B153="",$D153="",$F153=""),0,$F153*MAX(0,INT((MIN(IF($E153="",TODAY()-8,$E153),TODAY()-8)-$D153)/7)+1))</f>
        <v/>
      </c>
      <c r="J153" s="116">
        <f>IF(OR($B153="",$D153="",$F153=""),0,$F153*MAX(0,INT((MIN(IF($E153="",TODAY()-15,$E153),TODAY()-15)-$D153)/7)+1))</f>
        <v/>
      </c>
      <c r="K153" s="116">
        <f>IF(OR($B153="",$D153="",$F153=""),0,$F153*MAX(0,INT((MIN(IF($E153="",TODAY()-29,$E153),TODAY()-29)-$D153)/7)+1))</f>
        <v/>
      </c>
      <c r="L153" s="117">
        <f>IF($F153&gt;0,$H153/$F153,0)</f>
        <v/>
      </c>
      <c r="M153" s="112">
        <f>IF($B153="","",IF($C153="TANIMSIZ MÜŞTERİ","HATA",IF($G153="Pasif","PASİF",IF(AND(WEEKDAY($D153,2)=6,OR($E153="",WEEKDAY($E153,2)=6),$F153&gt;0),"UYGUN","HATA"))))</f>
        <v/>
      </c>
      <c r="N153" s="108" t="n"/>
      <c r="O153" s="6" t="n"/>
      <c r="P153" s="6" t="n"/>
    </row>
    <row r="154">
      <c r="A154" s="6" t="n"/>
      <c r="B154" s="107" t="n"/>
      <c r="C154" s="113">
        <f>IF($B154="","",IFERROR(INDEX(MUSTERILER!$C$7:$C$106,MATCH($B154,MUSTERILER!$B$7:$B$106,0)),"TANIMSIZ MÜŞTERİ"))</f>
        <v/>
      </c>
      <c r="D154" s="114" t="n"/>
      <c r="E154" s="114" t="n"/>
      <c r="F154" s="115" t="n"/>
      <c r="G154" s="107" t="n"/>
      <c r="H154" s="116">
        <f>IF(OR($B154="",$D154="",$F154=""),0,$F154*MAX(0,INT((MIN(IF($E154="",TODAY(),$E154),TODAY())-$D154)/7)+1))</f>
        <v/>
      </c>
      <c r="I154" s="116">
        <f>IF(OR($B154="",$D154="",$F154=""),0,$F154*MAX(0,INT((MIN(IF($E154="",TODAY()-8,$E154),TODAY()-8)-$D154)/7)+1))</f>
        <v/>
      </c>
      <c r="J154" s="116">
        <f>IF(OR($B154="",$D154="",$F154=""),0,$F154*MAX(0,INT((MIN(IF($E154="",TODAY()-15,$E154),TODAY()-15)-$D154)/7)+1))</f>
        <v/>
      </c>
      <c r="K154" s="116">
        <f>IF(OR($B154="",$D154="",$F154=""),0,$F154*MAX(0,INT((MIN(IF($E154="",TODAY()-29,$E154),TODAY()-29)-$D154)/7)+1))</f>
        <v/>
      </c>
      <c r="L154" s="117">
        <f>IF($F154&gt;0,$H154/$F154,0)</f>
        <v/>
      </c>
      <c r="M154" s="112">
        <f>IF($B154="","",IF($C154="TANIMSIZ MÜŞTERİ","HATA",IF($G154="Pasif","PASİF",IF(AND(WEEKDAY($D154,2)=6,OR($E154="",WEEKDAY($E154,2)=6),$F154&gt;0),"UYGUN","HATA"))))</f>
        <v/>
      </c>
      <c r="N154" s="108" t="n"/>
      <c r="O154" s="6" t="n"/>
      <c r="P154" s="6" t="n"/>
    </row>
    <row r="155">
      <c r="A155" s="6" t="n"/>
      <c r="B155" s="107" t="n"/>
      <c r="C155" s="113">
        <f>IF($B155="","",IFERROR(INDEX(MUSTERILER!$C$7:$C$106,MATCH($B155,MUSTERILER!$B$7:$B$106,0)),"TANIMSIZ MÜŞTERİ"))</f>
        <v/>
      </c>
      <c r="D155" s="114" t="n"/>
      <c r="E155" s="114" t="n"/>
      <c r="F155" s="115" t="n"/>
      <c r="G155" s="107" t="n"/>
      <c r="H155" s="116">
        <f>IF(OR($B155="",$D155="",$F155=""),0,$F155*MAX(0,INT((MIN(IF($E155="",TODAY(),$E155),TODAY())-$D155)/7)+1))</f>
        <v/>
      </c>
      <c r="I155" s="116">
        <f>IF(OR($B155="",$D155="",$F155=""),0,$F155*MAX(0,INT((MIN(IF($E155="",TODAY()-8,$E155),TODAY()-8)-$D155)/7)+1))</f>
        <v/>
      </c>
      <c r="J155" s="116">
        <f>IF(OR($B155="",$D155="",$F155=""),0,$F155*MAX(0,INT((MIN(IF($E155="",TODAY()-15,$E155),TODAY()-15)-$D155)/7)+1))</f>
        <v/>
      </c>
      <c r="K155" s="116">
        <f>IF(OR($B155="",$D155="",$F155=""),0,$F155*MAX(0,INT((MIN(IF($E155="",TODAY()-29,$E155),TODAY()-29)-$D155)/7)+1))</f>
        <v/>
      </c>
      <c r="L155" s="117">
        <f>IF($F155&gt;0,$H155/$F155,0)</f>
        <v/>
      </c>
      <c r="M155" s="112">
        <f>IF($B155="","",IF($C155="TANIMSIZ MÜŞTERİ","HATA",IF($G155="Pasif","PASİF",IF(AND(WEEKDAY($D155,2)=6,OR($E155="",WEEKDAY($E155,2)=6),$F155&gt;0),"UYGUN","HATA"))))</f>
        <v/>
      </c>
      <c r="N155" s="108" t="n"/>
      <c r="O155" s="6" t="n"/>
      <c r="P155" s="6" t="n"/>
    </row>
    <row r="156">
      <c r="A156" s="6" t="n"/>
      <c r="B156" s="107" t="n"/>
      <c r="C156" s="113">
        <f>IF($B156="","",IFERROR(INDEX(MUSTERILER!$C$7:$C$106,MATCH($B156,MUSTERILER!$B$7:$B$106,0)),"TANIMSIZ MÜŞTERİ"))</f>
        <v/>
      </c>
      <c r="D156" s="114" t="n"/>
      <c r="E156" s="114" t="n"/>
      <c r="F156" s="115" t="n"/>
      <c r="G156" s="107" t="n"/>
      <c r="H156" s="116">
        <f>IF(OR($B156="",$D156="",$F156=""),0,$F156*MAX(0,INT((MIN(IF($E156="",TODAY(),$E156),TODAY())-$D156)/7)+1))</f>
        <v/>
      </c>
      <c r="I156" s="116">
        <f>IF(OR($B156="",$D156="",$F156=""),0,$F156*MAX(0,INT((MIN(IF($E156="",TODAY()-8,$E156),TODAY()-8)-$D156)/7)+1))</f>
        <v/>
      </c>
      <c r="J156" s="116">
        <f>IF(OR($B156="",$D156="",$F156=""),0,$F156*MAX(0,INT((MIN(IF($E156="",TODAY()-15,$E156),TODAY()-15)-$D156)/7)+1))</f>
        <v/>
      </c>
      <c r="K156" s="116">
        <f>IF(OR($B156="",$D156="",$F156=""),0,$F156*MAX(0,INT((MIN(IF($E156="",TODAY()-29,$E156),TODAY()-29)-$D156)/7)+1))</f>
        <v/>
      </c>
      <c r="L156" s="117">
        <f>IF($F156&gt;0,$H156/$F156,0)</f>
        <v/>
      </c>
      <c r="M156" s="112">
        <f>IF($B156="","",IF($C156="TANIMSIZ MÜŞTERİ","HATA",IF($G156="Pasif","PASİF",IF(AND(WEEKDAY($D156,2)=6,OR($E156="",WEEKDAY($E156,2)=6),$F156&gt;0),"UYGUN","HATA"))))</f>
        <v/>
      </c>
      <c r="N156" s="108" t="n"/>
      <c r="O156" s="6" t="n"/>
      <c r="P156" s="6" t="n"/>
    </row>
    <row r="157">
      <c r="A157" s="6" t="n"/>
      <c r="B157" s="107" t="n"/>
      <c r="C157" s="113">
        <f>IF($B157="","",IFERROR(INDEX(MUSTERILER!$C$7:$C$106,MATCH($B157,MUSTERILER!$B$7:$B$106,0)),"TANIMSIZ MÜŞTERİ"))</f>
        <v/>
      </c>
      <c r="D157" s="114" t="n"/>
      <c r="E157" s="114" t="n"/>
      <c r="F157" s="115" t="n"/>
      <c r="G157" s="107" t="n"/>
      <c r="H157" s="116">
        <f>IF(OR($B157="",$D157="",$F157=""),0,$F157*MAX(0,INT((MIN(IF($E157="",TODAY(),$E157),TODAY())-$D157)/7)+1))</f>
        <v/>
      </c>
      <c r="I157" s="116">
        <f>IF(OR($B157="",$D157="",$F157=""),0,$F157*MAX(0,INT((MIN(IF($E157="",TODAY()-8,$E157),TODAY()-8)-$D157)/7)+1))</f>
        <v/>
      </c>
      <c r="J157" s="116">
        <f>IF(OR($B157="",$D157="",$F157=""),0,$F157*MAX(0,INT((MIN(IF($E157="",TODAY()-15,$E157),TODAY()-15)-$D157)/7)+1))</f>
        <v/>
      </c>
      <c r="K157" s="116">
        <f>IF(OR($B157="",$D157="",$F157=""),0,$F157*MAX(0,INT((MIN(IF($E157="",TODAY()-29,$E157),TODAY()-29)-$D157)/7)+1))</f>
        <v/>
      </c>
      <c r="L157" s="117">
        <f>IF($F157&gt;0,$H157/$F157,0)</f>
        <v/>
      </c>
      <c r="M157" s="112">
        <f>IF($B157="","",IF($C157="TANIMSIZ MÜŞTERİ","HATA",IF($G157="Pasif","PASİF",IF(AND(WEEKDAY($D157,2)=6,OR($E157="",WEEKDAY($E157,2)=6),$F157&gt;0),"UYGUN","HATA"))))</f>
        <v/>
      </c>
      <c r="N157" s="108" t="n"/>
      <c r="O157" s="6" t="n"/>
      <c r="P157" s="6" t="n"/>
    </row>
    <row r="158">
      <c r="A158" s="6" t="n"/>
      <c r="B158" s="107" t="n"/>
      <c r="C158" s="113">
        <f>IF($B158="","",IFERROR(INDEX(MUSTERILER!$C$7:$C$106,MATCH($B158,MUSTERILER!$B$7:$B$106,0)),"TANIMSIZ MÜŞTERİ"))</f>
        <v/>
      </c>
      <c r="D158" s="114" t="n"/>
      <c r="E158" s="114" t="n"/>
      <c r="F158" s="115" t="n"/>
      <c r="G158" s="107" t="n"/>
      <c r="H158" s="116">
        <f>IF(OR($B158="",$D158="",$F158=""),0,$F158*MAX(0,INT((MIN(IF($E158="",TODAY(),$E158),TODAY())-$D158)/7)+1))</f>
        <v/>
      </c>
      <c r="I158" s="116">
        <f>IF(OR($B158="",$D158="",$F158=""),0,$F158*MAX(0,INT((MIN(IF($E158="",TODAY()-8,$E158),TODAY()-8)-$D158)/7)+1))</f>
        <v/>
      </c>
      <c r="J158" s="116">
        <f>IF(OR($B158="",$D158="",$F158=""),0,$F158*MAX(0,INT((MIN(IF($E158="",TODAY()-15,$E158),TODAY()-15)-$D158)/7)+1))</f>
        <v/>
      </c>
      <c r="K158" s="116">
        <f>IF(OR($B158="",$D158="",$F158=""),0,$F158*MAX(0,INT((MIN(IF($E158="",TODAY()-29,$E158),TODAY()-29)-$D158)/7)+1))</f>
        <v/>
      </c>
      <c r="L158" s="117">
        <f>IF($F158&gt;0,$H158/$F158,0)</f>
        <v/>
      </c>
      <c r="M158" s="112">
        <f>IF($B158="","",IF($C158="TANIMSIZ MÜŞTERİ","HATA",IF($G158="Pasif","PASİF",IF(AND(WEEKDAY($D158,2)=6,OR($E158="",WEEKDAY($E158,2)=6),$F158&gt;0),"UYGUN","HATA"))))</f>
        <v/>
      </c>
      <c r="N158" s="108" t="n"/>
      <c r="O158" s="6" t="n"/>
      <c r="P158" s="6" t="n"/>
    </row>
    <row r="159">
      <c r="A159" s="6" t="n"/>
      <c r="B159" s="107" t="n"/>
      <c r="C159" s="113">
        <f>IF($B159="","",IFERROR(INDEX(MUSTERILER!$C$7:$C$106,MATCH($B159,MUSTERILER!$B$7:$B$106,0)),"TANIMSIZ MÜŞTERİ"))</f>
        <v/>
      </c>
      <c r="D159" s="114" t="n"/>
      <c r="E159" s="114" t="n"/>
      <c r="F159" s="115" t="n"/>
      <c r="G159" s="107" t="n"/>
      <c r="H159" s="116">
        <f>IF(OR($B159="",$D159="",$F159=""),0,$F159*MAX(0,INT((MIN(IF($E159="",TODAY(),$E159),TODAY())-$D159)/7)+1))</f>
        <v/>
      </c>
      <c r="I159" s="116">
        <f>IF(OR($B159="",$D159="",$F159=""),0,$F159*MAX(0,INT((MIN(IF($E159="",TODAY()-8,$E159),TODAY()-8)-$D159)/7)+1))</f>
        <v/>
      </c>
      <c r="J159" s="116">
        <f>IF(OR($B159="",$D159="",$F159=""),0,$F159*MAX(0,INT((MIN(IF($E159="",TODAY()-15,$E159),TODAY()-15)-$D159)/7)+1))</f>
        <v/>
      </c>
      <c r="K159" s="116">
        <f>IF(OR($B159="",$D159="",$F159=""),0,$F159*MAX(0,INT((MIN(IF($E159="",TODAY()-29,$E159),TODAY()-29)-$D159)/7)+1))</f>
        <v/>
      </c>
      <c r="L159" s="117">
        <f>IF($F159&gt;0,$H159/$F159,0)</f>
        <v/>
      </c>
      <c r="M159" s="112">
        <f>IF($B159="","",IF($C159="TANIMSIZ MÜŞTERİ","HATA",IF($G159="Pasif","PASİF",IF(AND(WEEKDAY($D159,2)=6,OR($E159="",WEEKDAY($E159,2)=6),$F159&gt;0),"UYGUN","HATA"))))</f>
        <v/>
      </c>
      <c r="N159" s="108" t="n"/>
      <c r="O159" s="6" t="n"/>
      <c r="P159" s="6" t="n"/>
    </row>
    <row r="160">
      <c r="A160" s="6" t="n"/>
      <c r="B160" s="107" t="n"/>
      <c r="C160" s="113">
        <f>IF($B160="","",IFERROR(INDEX(MUSTERILER!$C$7:$C$106,MATCH($B160,MUSTERILER!$B$7:$B$106,0)),"TANIMSIZ MÜŞTERİ"))</f>
        <v/>
      </c>
      <c r="D160" s="114" t="n"/>
      <c r="E160" s="114" t="n"/>
      <c r="F160" s="115" t="n"/>
      <c r="G160" s="107" t="n"/>
      <c r="H160" s="116">
        <f>IF(OR($B160="",$D160="",$F160=""),0,$F160*MAX(0,INT((MIN(IF($E160="",TODAY(),$E160),TODAY())-$D160)/7)+1))</f>
        <v/>
      </c>
      <c r="I160" s="116">
        <f>IF(OR($B160="",$D160="",$F160=""),0,$F160*MAX(0,INT((MIN(IF($E160="",TODAY()-8,$E160),TODAY()-8)-$D160)/7)+1))</f>
        <v/>
      </c>
      <c r="J160" s="116">
        <f>IF(OR($B160="",$D160="",$F160=""),0,$F160*MAX(0,INT((MIN(IF($E160="",TODAY()-15,$E160),TODAY()-15)-$D160)/7)+1))</f>
        <v/>
      </c>
      <c r="K160" s="116">
        <f>IF(OR($B160="",$D160="",$F160=""),0,$F160*MAX(0,INT((MIN(IF($E160="",TODAY()-29,$E160),TODAY()-29)-$D160)/7)+1))</f>
        <v/>
      </c>
      <c r="L160" s="117">
        <f>IF($F160&gt;0,$H160/$F160,0)</f>
        <v/>
      </c>
      <c r="M160" s="112">
        <f>IF($B160="","",IF($C160="TANIMSIZ MÜŞTERİ","HATA",IF($G160="Pasif","PASİF",IF(AND(WEEKDAY($D160,2)=6,OR($E160="",WEEKDAY($E160,2)=6),$F160&gt;0),"UYGUN","HATA"))))</f>
        <v/>
      </c>
      <c r="N160" s="108" t="n"/>
      <c r="O160" s="6" t="n"/>
      <c r="P160" s="6" t="n"/>
    </row>
    <row r="161">
      <c r="A161" s="6" t="n"/>
      <c r="B161" s="107" t="n"/>
      <c r="C161" s="113">
        <f>IF($B161="","",IFERROR(INDEX(MUSTERILER!$C$7:$C$106,MATCH($B161,MUSTERILER!$B$7:$B$106,0)),"TANIMSIZ MÜŞTERİ"))</f>
        <v/>
      </c>
      <c r="D161" s="114" t="n"/>
      <c r="E161" s="114" t="n"/>
      <c r="F161" s="115" t="n"/>
      <c r="G161" s="107" t="n"/>
      <c r="H161" s="116">
        <f>IF(OR($B161="",$D161="",$F161=""),0,$F161*MAX(0,INT((MIN(IF($E161="",TODAY(),$E161),TODAY())-$D161)/7)+1))</f>
        <v/>
      </c>
      <c r="I161" s="116">
        <f>IF(OR($B161="",$D161="",$F161=""),0,$F161*MAX(0,INT((MIN(IF($E161="",TODAY()-8,$E161),TODAY()-8)-$D161)/7)+1))</f>
        <v/>
      </c>
      <c r="J161" s="116">
        <f>IF(OR($B161="",$D161="",$F161=""),0,$F161*MAX(0,INT((MIN(IF($E161="",TODAY()-15,$E161),TODAY()-15)-$D161)/7)+1))</f>
        <v/>
      </c>
      <c r="K161" s="116">
        <f>IF(OR($B161="",$D161="",$F161=""),0,$F161*MAX(0,INT((MIN(IF($E161="",TODAY()-29,$E161),TODAY()-29)-$D161)/7)+1))</f>
        <v/>
      </c>
      <c r="L161" s="117">
        <f>IF($F161&gt;0,$H161/$F161,0)</f>
        <v/>
      </c>
      <c r="M161" s="112">
        <f>IF($B161="","",IF($C161="TANIMSIZ MÜŞTERİ","HATA",IF($G161="Pasif","PASİF",IF(AND(WEEKDAY($D161,2)=6,OR($E161="",WEEKDAY($E161,2)=6),$F161&gt;0),"UYGUN","HATA"))))</f>
        <v/>
      </c>
      <c r="N161" s="108" t="n"/>
      <c r="O161" s="6" t="n"/>
      <c r="P161" s="6" t="n"/>
    </row>
    <row r="162">
      <c r="A162" s="6" t="n"/>
      <c r="B162" s="107" t="n"/>
      <c r="C162" s="113">
        <f>IF($B162="","",IFERROR(INDEX(MUSTERILER!$C$7:$C$106,MATCH($B162,MUSTERILER!$B$7:$B$106,0)),"TANIMSIZ MÜŞTERİ"))</f>
        <v/>
      </c>
      <c r="D162" s="114" t="n"/>
      <c r="E162" s="114" t="n"/>
      <c r="F162" s="115" t="n"/>
      <c r="G162" s="107" t="n"/>
      <c r="H162" s="116">
        <f>IF(OR($B162="",$D162="",$F162=""),0,$F162*MAX(0,INT((MIN(IF($E162="",TODAY(),$E162),TODAY())-$D162)/7)+1))</f>
        <v/>
      </c>
      <c r="I162" s="116">
        <f>IF(OR($B162="",$D162="",$F162=""),0,$F162*MAX(0,INT((MIN(IF($E162="",TODAY()-8,$E162),TODAY()-8)-$D162)/7)+1))</f>
        <v/>
      </c>
      <c r="J162" s="116">
        <f>IF(OR($B162="",$D162="",$F162=""),0,$F162*MAX(0,INT((MIN(IF($E162="",TODAY()-15,$E162),TODAY()-15)-$D162)/7)+1))</f>
        <v/>
      </c>
      <c r="K162" s="116">
        <f>IF(OR($B162="",$D162="",$F162=""),0,$F162*MAX(0,INT((MIN(IF($E162="",TODAY()-29,$E162),TODAY()-29)-$D162)/7)+1))</f>
        <v/>
      </c>
      <c r="L162" s="117">
        <f>IF($F162&gt;0,$H162/$F162,0)</f>
        <v/>
      </c>
      <c r="M162" s="112">
        <f>IF($B162="","",IF($C162="TANIMSIZ MÜŞTERİ","HATA",IF($G162="Pasif","PASİF",IF(AND(WEEKDAY($D162,2)=6,OR($E162="",WEEKDAY($E162,2)=6),$F162&gt;0),"UYGUN","HATA"))))</f>
        <v/>
      </c>
      <c r="N162" s="108" t="n"/>
      <c r="O162" s="6" t="n"/>
      <c r="P162" s="6" t="n"/>
    </row>
    <row r="163">
      <c r="A163" s="6" t="n"/>
      <c r="B163" s="107" t="n"/>
      <c r="C163" s="113">
        <f>IF($B163="","",IFERROR(INDEX(MUSTERILER!$C$7:$C$106,MATCH($B163,MUSTERILER!$B$7:$B$106,0)),"TANIMSIZ MÜŞTERİ"))</f>
        <v/>
      </c>
      <c r="D163" s="114" t="n"/>
      <c r="E163" s="114" t="n"/>
      <c r="F163" s="115" t="n"/>
      <c r="G163" s="107" t="n"/>
      <c r="H163" s="116">
        <f>IF(OR($B163="",$D163="",$F163=""),0,$F163*MAX(0,INT((MIN(IF($E163="",TODAY(),$E163),TODAY())-$D163)/7)+1))</f>
        <v/>
      </c>
      <c r="I163" s="116">
        <f>IF(OR($B163="",$D163="",$F163=""),0,$F163*MAX(0,INT((MIN(IF($E163="",TODAY()-8,$E163),TODAY()-8)-$D163)/7)+1))</f>
        <v/>
      </c>
      <c r="J163" s="116">
        <f>IF(OR($B163="",$D163="",$F163=""),0,$F163*MAX(0,INT((MIN(IF($E163="",TODAY()-15,$E163),TODAY()-15)-$D163)/7)+1))</f>
        <v/>
      </c>
      <c r="K163" s="116">
        <f>IF(OR($B163="",$D163="",$F163=""),0,$F163*MAX(0,INT((MIN(IF($E163="",TODAY()-29,$E163),TODAY()-29)-$D163)/7)+1))</f>
        <v/>
      </c>
      <c r="L163" s="117">
        <f>IF($F163&gt;0,$H163/$F163,0)</f>
        <v/>
      </c>
      <c r="M163" s="112">
        <f>IF($B163="","",IF($C163="TANIMSIZ MÜŞTERİ","HATA",IF($G163="Pasif","PASİF",IF(AND(WEEKDAY($D163,2)=6,OR($E163="",WEEKDAY($E163,2)=6),$F163&gt;0),"UYGUN","HATA"))))</f>
        <v/>
      </c>
      <c r="N163" s="108" t="n"/>
      <c r="O163" s="6" t="n"/>
      <c r="P163" s="6" t="n"/>
    </row>
    <row r="164">
      <c r="A164" s="6" t="n"/>
      <c r="B164" s="107" t="n"/>
      <c r="C164" s="113">
        <f>IF($B164="","",IFERROR(INDEX(MUSTERILER!$C$7:$C$106,MATCH($B164,MUSTERILER!$B$7:$B$106,0)),"TANIMSIZ MÜŞTERİ"))</f>
        <v/>
      </c>
      <c r="D164" s="114" t="n"/>
      <c r="E164" s="114" t="n"/>
      <c r="F164" s="115" t="n"/>
      <c r="G164" s="107" t="n"/>
      <c r="H164" s="116">
        <f>IF(OR($B164="",$D164="",$F164=""),0,$F164*MAX(0,INT((MIN(IF($E164="",TODAY(),$E164),TODAY())-$D164)/7)+1))</f>
        <v/>
      </c>
      <c r="I164" s="116">
        <f>IF(OR($B164="",$D164="",$F164=""),0,$F164*MAX(0,INT((MIN(IF($E164="",TODAY()-8,$E164),TODAY()-8)-$D164)/7)+1))</f>
        <v/>
      </c>
      <c r="J164" s="116">
        <f>IF(OR($B164="",$D164="",$F164=""),0,$F164*MAX(0,INT((MIN(IF($E164="",TODAY()-15,$E164),TODAY()-15)-$D164)/7)+1))</f>
        <v/>
      </c>
      <c r="K164" s="116">
        <f>IF(OR($B164="",$D164="",$F164=""),0,$F164*MAX(0,INT((MIN(IF($E164="",TODAY()-29,$E164),TODAY()-29)-$D164)/7)+1))</f>
        <v/>
      </c>
      <c r="L164" s="117">
        <f>IF($F164&gt;0,$H164/$F164,0)</f>
        <v/>
      </c>
      <c r="M164" s="112">
        <f>IF($B164="","",IF($C164="TANIMSIZ MÜŞTERİ","HATA",IF($G164="Pasif","PASİF",IF(AND(WEEKDAY($D164,2)=6,OR($E164="",WEEKDAY($E164,2)=6),$F164&gt;0),"UYGUN","HATA"))))</f>
        <v/>
      </c>
      <c r="N164" s="108" t="n"/>
      <c r="O164" s="6" t="n"/>
      <c r="P164" s="6" t="n"/>
    </row>
    <row r="165">
      <c r="A165" s="6" t="n"/>
      <c r="B165" s="107" t="n"/>
      <c r="C165" s="113">
        <f>IF($B165="","",IFERROR(INDEX(MUSTERILER!$C$7:$C$106,MATCH($B165,MUSTERILER!$B$7:$B$106,0)),"TANIMSIZ MÜŞTERİ"))</f>
        <v/>
      </c>
      <c r="D165" s="114" t="n"/>
      <c r="E165" s="114" t="n"/>
      <c r="F165" s="115" t="n"/>
      <c r="G165" s="107" t="n"/>
      <c r="H165" s="116">
        <f>IF(OR($B165="",$D165="",$F165=""),0,$F165*MAX(0,INT((MIN(IF($E165="",TODAY(),$E165),TODAY())-$D165)/7)+1))</f>
        <v/>
      </c>
      <c r="I165" s="116">
        <f>IF(OR($B165="",$D165="",$F165=""),0,$F165*MAX(0,INT((MIN(IF($E165="",TODAY()-8,$E165),TODAY()-8)-$D165)/7)+1))</f>
        <v/>
      </c>
      <c r="J165" s="116">
        <f>IF(OR($B165="",$D165="",$F165=""),0,$F165*MAX(0,INT((MIN(IF($E165="",TODAY()-15,$E165),TODAY()-15)-$D165)/7)+1))</f>
        <v/>
      </c>
      <c r="K165" s="116">
        <f>IF(OR($B165="",$D165="",$F165=""),0,$F165*MAX(0,INT((MIN(IF($E165="",TODAY()-29,$E165),TODAY()-29)-$D165)/7)+1))</f>
        <v/>
      </c>
      <c r="L165" s="117">
        <f>IF($F165&gt;0,$H165/$F165,0)</f>
        <v/>
      </c>
      <c r="M165" s="112">
        <f>IF($B165="","",IF($C165="TANIMSIZ MÜŞTERİ","HATA",IF($G165="Pasif","PASİF",IF(AND(WEEKDAY($D165,2)=6,OR($E165="",WEEKDAY($E165,2)=6),$F165&gt;0),"UYGUN","HATA"))))</f>
        <v/>
      </c>
      <c r="N165" s="108" t="n"/>
      <c r="O165" s="6" t="n"/>
      <c r="P165" s="6" t="n"/>
    </row>
    <row r="166">
      <c r="A166" s="6" t="n"/>
      <c r="B166" s="107" t="n"/>
      <c r="C166" s="113">
        <f>IF($B166="","",IFERROR(INDEX(MUSTERILER!$C$7:$C$106,MATCH($B166,MUSTERILER!$B$7:$B$106,0)),"TANIMSIZ MÜŞTERİ"))</f>
        <v/>
      </c>
      <c r="D166" s="114" t="n"/>
      <c r="E166" s="114" t="n"/>
      <c r="F166" s="115" t="n"/>
      <c r="G166" s="107" t="n"/>
      <c r="H166" s="116">
        <f>IF(OR($B166="",$D166="",$F166=""),0,$F166*MAX(0,INT((MIN(IF($E166="",TODAY(),$E166),TODAY())-$D166)/7)+1))</f>
        <v/>
      </c>
      <c r="I166" s="116">
        <f>IF(OR($B166="",$D166="",$F166=""),0,$F166*MAX(0,INT((MIN(IF($E166="",TODAY()-8,$E166),TODAY()-8)-$D166)/7)+1))</f>
        <v/>
      </c>
      <c r="J166" s="116">
        <f>IF(OR($B166="",$D166="",$F166=""),0,$F166*MAX(0,INT((MIN(IF($E166="",TODAY()-15,$E166),TODAY()-15)-$D166)/7)+1))</f>
        <v/>
      </c>
      <c r="K166" s="116">
        <f>IF(OR($B166="",$D166="",$F166=""),0,$F166*MAX(0,INT((MIN(IF($E166="",TODAY()-29,$E166),TODAY()-29)-$D166)/7)+1))</f>
        <v/>
      </c>
      <c r="L166" s="117">
        <f>IF($F166&gt;0,$H166/$F166,0)</f>
        <v/>
      </c>
      <c r="M166" s="112">
        <f>IF($B166="","",IF($C166="TANIMSIZ MÜŞTERİ","HATA",IF($G166="Pasif","PASİF",IF(AND(WEEKDAY($D166,2)=6,OR($E166="",WEEKDAY($E166,2)=6),$F166&gt;0),"UYGUN","HATA"))))</f>
        <v/>
      </c>
      <c r="N166" s="108" t="n"/>
      <c r="O166" s="6" t="n"/>
      <c r="P166" s="6" t="n"/>
    </row>
    <row r="167">
      <c r="A167" s="6" t="n"/>
      <c r="B167" s="107" t="n"/>
      <c r="C167" s="113">
        <f>IF($B167="","",IFERROR(INDEX(MUSTERILER!$C$7:$C$106,MATCH($B167,MUSTERILER!$B$7:$B$106,0)),"TANIMSIZ MÜŞTERİ"))</f>
        <v/>
      </c>
      <c r="D167" s="114" t="n"/>
      <c r="E167" s="114" t="n"/>
      <c r="F167" s="115" t="n"/>
      <c r="G167" s="107" t="n"/>
      <c r="H167" s="116">
        <f>IF(OR($B167="",$D167="",$F167=""),0,$F167*MAX(0,INT((MIN(IF($E167="",TODAY(),$E167),TODAY())-$D167)/7)+1))</f>
        <v/>
      </c>
      <c r="I167" s="116">
        <f>IF(OR($B167="",$D167="",$F167=""),0,$F167*MAX(0,INT((MIN(IF($E167="",TODAY()-8,$E167),TODAY()-8)-$D167)/7)+1))</f>
        <v/>
      </c>
      <c r="J167" s="116">
        <f>IF(OR($B167="",$D167="",$F167=""),0,$F167*MAX(0,INT((MIN(IF($E167="",TODAY()-15,$E167),TODAY()-15)-$D167)/7)+1))</f>
        <v/>
      </c>
      <c r="K167" s="116">
        <f>IF(OR($B167="",$D167="",$F167=""),0,$F167*MAX(0,INT((MIN(IF($E167="",TODAY()-29,$E167),TODAY()-29)-$D167)/7)+1))</f>
        <v/>
      </c>
      <c r="L167" s="117">
        <f>IF($F167&gt;0,$H167/$F167,0)</f>
        <v/>
      </c>
      <c r="M167" s="112">
        <f>IF($B167="","",IF($C167="TANIMSIZ MÜŞTERİ","HATA",IF($G167="Pasif","PASİF",IF(AND(WEEKDAY($D167,2)=6,OR($E167="",WEEKDAY($E167,2)=6),$F167&gt;0),"UYGUN","HATA"))))</f>
        <v/>
      </c>
      <c r="N167" s="108" t="n"/>
      <c r="O167" s="6" t="n"/>
      <c r="P167" s="6" t="n"/>
    </row>
    <row r="168">
      <c r="A168" s="6" t="n"/>
      <c r="B168" s="107" t="n"/>
      <c r="C168" s="113">
        <f>IF($B168="","",IFERROR(INDEX(MUSTERILER!$C$7:$C$106,MATCH($B168,MUSTERILER!$B$7:$B$106,0)),"TANIMSIZ MÜŞTERİ"))</f>
        <v/>
      </c>
      <c r="D168" s="114" t="n"/>
      <c r="E168" s="114" t="n"/>
      <c r="F168" s="115" t="n"/>
      <c r="G168" s="107" t="n"/>
      <c r="H168" s="116">
        <f>IF(OR($B168="",$D168="",$F168=""),0,$F168*MAX(0,INT((MIN(IF($E168="",TODAY(),$E168),TODAY())-$D168)/7)+1))</f>
        <v/>
      </c>
      <c r="I168" s="116">
        <f>IF(OR($B168="",$D168="",$F168=""),0,$F168*MAX(0,INT((MIN(IF($E168="",TODAY()-8,$E168),TODAY()-8)-$D168)/7)+1))</f>
        <v/>
      </c>
      <c r="J168" s="116">
        <f>IF(OR($B168="",$D168="",$F168=""),0,$F168*MAX(0,INT((MIN(IF($E168="",TODAY()-15,$E168),TODAY()-15)-$D168)/7)+1))</f>
        <v/>
      </c>
      <c r="K168" s="116">
        <f>IF(OR($B168="",$D168="",$F168=""),0,$F168*MAX(0,INT((MIN(IF($E168="",TODAY()-29,$E168),TODAY()-29)-$D168)/7)+1))</f>
        <v/>
      </c>
      <c r="L168" s="117">
        <f>IF($F168&gt;0,$H168/$F168,0)</f>
        <v/>
      </c>
      <c r="M168" s="112">
        <f>IF($B168="","",IF($C168="TANIMSIZ MÜŞTERİ","HATA",IF($G168="Pasif","PASİF",IF(AND(WEEKDAY($D168,2)=6,OR($E168="",WEEKDAY($E168,2)=6),$F168&gt;0),"UYGUN","HATA"))))</f>
        <v/>
      </c>
      <c r="N168" s="108" t="n"/>
      <c r="O168" s="6" t="n"/>
      <c r="P168" s="6" t="n"/>
    </row>
    <row r="169">
      <c r="A169" s="6" t="n"/>
      <c r="B169" s="107" t="n"/>
      <c r="C169" s="113">
        <f>IF($B169="","",IFERROR(INDEX(MUSTERILER!$C$7:$C$106,MATCH($B169,MUSTERILER!$B$7:$B$106,0)),"TANIMSIZ MÜŞTERİ"))</f>
        <v/>
      </c>
      <c r="D169" s="114" t="n"/>
      <c r="E169" s="114" t="n"/>
      <c r="F169" s="115" t="n"/>
      <c r="G169" s="107" t="n"/>
      <c r="H169" s="116">
        <f>IF(OR($B169="",$D169="",$F169=""),0,$F169*MAX(0,INT((MIN(IF($E169="",TODAY(),$E169),TODAY())-$D169)/7)+1))</f>
        <v/>
      </c>
      <c r="I169" s="116">
        <f>IF(OR($B169="",$D169="",$F169=""),0,$F169*MAX(0,INT((MIN(IF($E169="",TODAY()-8,$E169),TODAY()-8)-$D169)/7)+1))</f>
        <v/>
      </c>
      <c r="J169" s="116">
        <f>IF(OR($B169="",$D169="",$F169=""),0,$F169*MAX(0,INT((MIN(IF($E169="",TODAY()-15,$E169),TODAY()-15)-$D169)/7)+1))</f>
        <v/>
      </c>
      <c r="K169" s="116">
        <f>IF(OR($B169="",$D169="",$F169=""),0,$F169*MAX(0,INT((MIN(IF($E169="",TODAY()-29,$E169),TODAY()-29)-$D169)/7)+1))</f>
        <v/>
      </c>
      <c r="L169" s="117">
        <f>IF($F169&gt;0,$H169/$F169,0)</f>
        <v/>
      </c>
      <c r="M169" s="112">
        <f>IF($B169="","",IF($C169="TANIMSIZ MÜŞTERİ","HATA",IF($G169="Pasif","PASİF",IF(AND(WEEKDAY($D169,2)=6,OR($E169="",WEEKDAY($E169,2)=6),$F169&gt;0),"UYGUN","HATA"))))</f>
        <v/>
      </c>
      <c r="N169" s="108" t="n"/>
      <c r="O169" s="6" t="n"/>
      <c r="P169" s="6" t="n"/>
    </row>
    <row r="170">
      <c r="A170" s="6" t="n"/>
      <c r="B170" s="107" t="n"/>
      <c r="C170" s="113">
        <f>IF($B170="","",IFERROR(INDEX(MUSTERILER!$C$7:$C$106,MATCH($B170,MUSTERILER!$B$7:$B$106,0)),"TANIMSIZ MÜŞTERİ"))</f>
        <v/>
      </c>
      <c r="D170" s="114" t="n"/>
      <c r="E170" s="114" t="n"/>
      <c r="F170" s="115" t="n"/>
      <c r="G170" s="107" t="n"/>
      <c r="H170" s="116">
        <f>IF(OR($B170="",$D170="",$F170=""),0,$F170*MAX(0,INT((MIN(IF($E170="",TODAY(),$E170),TODAY())-$D170)/7)+1))</f>
        <v/>
      </c>
      <c r="I170" s="116">
        <f>IF(OR($B170="",$D170="",$F170=""),0,$F170*MAX(0,INT((MIN(IF($E170="",TODAY()-8,$E170),TODAY()-8)-$D170)/7)+1))</f>
        <v/>
      </c>
      <c r="J170" s="116">
        <f>IF(OR($B170="",$D170="",$F170=""),0,$F170*MAX(0,INT((MIN(IF($E170="",TODAY()-15,$E170),TODAY()-15)-$D170)/7)+1))</f>
        <v/>
      </c>
      <c r="K170" s="116">
        <f>IF(OR($B170="",$D170="",$F170=""),0,$F170*MAX(0,INT((MIN(IF($E170="",TODAY()-29,$E170),TODAY()-29)-$D170)/7)+1))</f>
        <v/>
      </c>
      <c r="L170" s="117">
        <f>IF($F170&gt;0,$H170/$F170,0)</f>
        <v/>
      </c>
      <c r="M170" s="112">
        <f>IF($B170="","",IF($C170="TANIMSIZ MÜŞTERİ","HATA",IF($G170="Pasif","PASİF",IF(AND(WEEKDAY($D170,2)=6,OR($E170="",WEEKDAY($E170,2)=6),$F170&gt;0),"UYGUN","HATA"))))</f>
        <v/>
      </c>
      <c r="N170" s="108" t="n"/>
      <c r="O170" s="6" t="n"/>
      <c r="P170" s="6" t="n"/>
    </row>
    <row r="171">
      <c r="A171" s="6" t="n"/>
      <c r="B171" s="107" t="n"/>
      <c r="C171" s="113">
        <f>IF($B171="","",IFERROR(INDEX(MUSTERILER!$C$7:$C$106,MATCH($B171,MUSTERILER!$B$7:$B$106,0)),"TANIMSIZ MÜŞTERİ"))</f>
        <v/>
      </c>
      <c r="D171" s="114" t="n"/>
      <c r="E171" s="114" t="n"/>
      <c r="F171" s="115" t="n"/>
      <c r="G171" s="107" t="n"/>
      <c r="H171" s="116">
        <f>IF(OR($B171="",$D171="",$F171=""),0,$F171*MAX(0,INT((MIN(IF($E171="",TODAY(),$E171),TODAY())-$D171)/7)+1))</f>
        <v/>
      </c>
      <c r="I171" s="116">
        <f>IF(OR($B171="",$D171="",$F171=""),0,$F171*MAX(0,INT((MIN(IF($E171="",TODAY()-8,$E171),TODAY()-8)-$D171)/7)+1))</f>
        <v/>
      </c>
      <c r="J171" s="116">
        <f>IF(OR($B171="",$D171="",$F171=""),0,$F171*MAX(0,INT((MIN(IF($E171="",TODAY()-15,$E171),TODAY()-15)-$D171)/7)+1))</f>
        <v/>
      </c>
      <c r="K171" s="116">
        <f>IF(OR($B171="",$D171="",$F171=""),0,$F171*MAX(0,INT((MIN(IF($E171="",TODAY()-29,$E171),TODAY()-29)-$D171)/7)+1))</f>
        <v/>
      </c>
      <c r="L171" s="117">
        <f>IF($F171&gt;0,$H171/$F171,0)</f>
        <v/>
      </c>
      <c r="M171" s="112">
        <f>IF($B171="","",IF($C171="TANIMSIZ MÜŞTERİ","HATA",IF($G171="Pasif","PASİF",IF(AND(WEEKDAY($D171,2)=6,OR($E171="",WEEKDAY($E171,2)=6),$F171&gt;0),"UYGUN","HATA"))))</f>
        <v/>
      </c>
      <c r="N171" s="108" t="n"/>
      <c r="O171" s="6" t="n"/>
      <c r="P171" s="6" t="n"/>
    </row>
    <row r="172">
      <c r="A172" s="6" t="n"/>
      <c r="B172" s="107" t="n"/>
      <c r="C172" s="113">
        <f>IF($B172="","",IFERROR(INDEX(MUSTERILER!$C$7:$C$106,MATCH($B172,MUSTERILER!$B$7:$B$106,0)),"TANIMSIZ MÜŞTERİ"))</f>
        <v/>
      </c>
      <c r="D172" s="114" t="n"/>
      <c r="E172" s="114" t="n"/>
      <c r="F172" s="115" t="n"/>
      <c r="G172" s="107" t="n"/>
      <c r="H172" s="116">
        <f>IF(OR($B172="",$D172="",$F172=""),0,$F172*MAX(0,INT((MIN(IF($E172="",TODAY(),$E172),TODAY())-$D172)/7)+1))</f>
        <v/>
      </c>
      <c r="I172" s="116">
        <f>IF(OR($B172="",$D172="",$F172=""),0,$F172*MAX(0,INT((MIN(IF($E172="",TODAY()-8,$E172),TODAY()-8)-$D172)/7)+1))</f>
        <v/>
      </c>
      <c r="J172" s="116">
        <f>IF(OR($B172="",$D172="",$F172=""),0,$F172*MAX(0,INT((MIN(IF($E172="",TODAY()-15,$E172),TODAY()-15)-$D172)/7)+1))</f>
        <v/>
      </c>
      <c r="K172" s="116">
        <f>IF(OR($B172="",$D172="",$F172=""),0,$F172*MAX(0,INT((MIN(IF($E172="",TODAY()-29,$E172),TODAY()-29)-$D172)/7)+1))</f>
        <v/>
      </c>
      <c r="L172" s="117">
        <f>IF($F172&gt;0,$H172/$F172,0)</f>
        <v/>
      </c>
      <c r="M172" s="112">
        <f>IF($B172="","",IF($C172="TANIMSIZ MÜŞTERİ","HATA",IF($G172="Pasif","PASİF",IF(AND(WEEKDAY($D172,2)=6,OR($E172="",WEEKDAY($E172,2)=6),$F172&gt;0),"UYGUN","HATA"))))</f>
        <v/>
      </c>
      <c r="N172" s="108" t="n"/>
      <c r="O172" s="6" t="n"/>
      <c r="P172" s="6" t="n"/>
    </row>
    <row r="173">
      <c r="A173" s="6" t="n"/>
      <c r="B173" s="107" t="n"/>
      <c r="C173" s="113">
        <f>IF($B173="","",IFERROR(INDEX(MUSTERILER!$C$7:$C$106,MATCH($B173,MUSTERILER!$B$7:$B$106,0)),"TANIMSIZ MÜŞTERİ"))</f>
        <v/>
      </c>
      <c r="D173" s="114" t="n"/>
      <c r="E173" s="114" t="n"/>
      <c r="F173" s="115" t="n"/>
      <c r="G173" s="107" t="n"/>
      <c r="H173" s="116">
        <f>IF(OR($B173="",$D173="",$F173=""),0,$F173*MAX(0,INT((MIN(IF($E173="",TODAY(),$E173),TODAY())-$D173)/7)+1))</f>
        <v/>
      </c>
      <c r="I173" s="116">
        <f>IF(OR($B173="",$D173="",$F173=""),0,$F173*MAX(0,INT((MIN(IF($E173="",TODAY()-8,$E173),TODAY()-8)-$D173)/7)+1))</f>
        <v/>
      </c>
      <c r="J173" s="116">
        <f>IF(OR($B173="",$D173="",$F173=""),0,$F173*MAX(0,INT((MIN(IF($E173="",TODAY()-15,$E173),TODAY()-15)-$D173)/7)+1))</f>
        <v/>
      </c>
      <c r="K173" s="116">
        <f>IF(OR($B173="",$D173="",$F173=""),0,$F173*MAX(0,INT((MIN(IF($E173="",TODAY()-29,$E173),TODAY()-29)-$D173)/7)+1))</f>
        <v/>
      </c>
      <c r="L173" s="117">
        <f>IF($F173&gt;0,$H173/$F173,0)</f>
        <v/>
      </c>
      <c r="M173" s="112">
        <f>IF($B173="","",IF($C173="TANIMSIZ MÜŞTERİ","HATA",IF($G173="Pasif","PASİF",IF(AND(WEEKDAY($D173,2)=6,OR($E173="",WEEKDAY($E173,2)=6),$F173&gt;0),"UYGUN","HATA"))))</f>
        <v/>
      </c>
      <c r="N173" s="108" t="n"/>
      <c r="O173" s="6" t="n"/>
      <c r="P173" s="6" t="n"/>
    </row>
    <row r="174">
      <c r="A174" s="6" t="n"/>
      <c r="B174" s="107" t="n"/>
      <c r="C174" s="113">
        <f>IF($B174="","",IFERROR(INDEX(MUSTERILER!$C$7:$C$106,MATCH($B174,MUSTERILER!$B$7:$B$106,0)),"TANIMSIZ MÜŞTERİ"))</f>
        <v/>
      </c>
      <c r="D174" s="114" t="n"/>
      <c r="E174" s="114" t="n"/>
      <c r="F174" s="115" t="n"/>
      <c r="G174" s="107" t="n"/>
      <c r="H174" s="116">
        <f>IF(OR($B174="",$D174="",$F174=""),0,$F174*MAX(0,INT((MIN(IF($E174="",TODAY(),$E174),TODAY())-$D174)/7)+1))</f>
        <v/>
      </c>
      <c r="I174" s="116">
        <f>IF(OR($B174="",$D174="",$F174=""),0,$F174*MAX(0,INT((MIN(IF($E174="",TODAY()-8,$E174),TODAY()-8)-$D174)/7)+1))</f>
        <v/>
      </c>
      <c r="J174" s="116">
        <f>IF(OR($B174="",$D174="",$F174=""),0,$F174*MAX(0,INT((MIN(IF($E174="",TODAY()-15,$E174),TODAY()-15)-$D174)/7)+1))</f>
        <v/>
      </c>
      <c r="K174" s="116">
        <f>IF(OR($B174="",$D174="",$F174=""),0,$F174*MAX(0,INT((MIN(IF($E174="",TODAY()-29,$E174),TODAY()-29)-$D174)/7)+1))</f>
        <v/>
      </c>
      <c r="L174" s="117">
        <f>IF($F174&gt;0,$H174/$F174,0)</f>
        <v/>
      </c>
      <c r="M174" s="112">
        <f>IF($B174="","",IF($C174="TANIMSIZ MÜŞTERİ","HATA",IF($G174="Pasif","PASİF",IF(AND(WEEKDAY($D174,2)=6,OR($E174="",WEEKDAY($E174,2)=6),$F174&gt;0),"UYGUN","HATA"))))</f>
        <v/>
      </c>
      <c r="N174" s="108" t="n"/>
      <c r="O174" s="6" t="n"/>
      <c r="P174" s="6" t="n"/>
    </row>
    <row r="175">
      <c r="A175" s="6" t="n"/>
      <c r="B175" s="107" t="n"/>
      <c r="C175" s="113">
        <f>IF($B175="","",IFERROR(INDEX(MUSTERILER!$C$7:$C$106,MATCH($B175,MUSTERILER!$B$7:$B$106,0)),"TANIMSIZ MÜŞTERİ"))</f>
        <v/>
      </c>
      <c r="D175" s="114" t="n"/>
      <c r="E175" s="114" t="n"/>
      <c r="F175" s="115" t="n"/>
      <c r="G175" s="107" t="n"/>
      <c r="H175" s="116">
        <f>IF(OR($B175="",$D175="",$F175=""),0,$F175*MAX(0,INT((MIN(IF($E175="",TODAY(),$E175),TODAY())-$D175)/7)+1))</f>
        <v/>
      </c>
      <c r="I175" s="116">
        <f>IF(OR($B175="",$D175="",$F175=""),0,$F175*MAX(0,INT((MIN(IF($E175="",TODAY()-8,$E175),TODAY()-8)-$D175)/7)+1))</f>
        <v/>
      </c>
      <c r="J175" s="116">
        <f>IF(OR($B175="",$D175="",$F175=""),0,$F175*MAX(0,INT((MIN(IF($E175="",TODAY()-15,$E175),TODAY()-15)-$D175)/7)+1))</f>
        <v/>
      </c>
      <c r="K175" s="116">
        <f>IF(OR($B175="",$D175="",$F175=""),0,$F175*MAX(0,INT((MIN(IF($E175="",TODAY()-29,$E175),TODAY()-29)-$D175)/7)+1))</f>
        <v/>
      </c>
      <c r="L175" s="117">
        <f>IF($F175&gt;0,$H175/$F175,0)</f>
        <v/>
      </c>
      <c r="M175" s="112">
        <f>IF($B175="","",IF($C175="TANIMSIZ MÜŞTERİ","HATA",IF($G175="Pasif","PASİF",IF(AND(WEEKDAY($D175,2)=6,OR($E175="",WEEKDAY($E175,2)=6),$F175&gt;0),"UYGUN","HATA"))))</f>
        <v/>
      </c>
      <c r="N175" s="108" t="n"/>
      <c r="O175" s="6" t="n"/>
      <c r="P175" s="6" t="n"/>
    </row>
    <row r="176">
      <c r="A176" s="6" t="n"/>
      <c r="B176" s="107" t="n"/>
      <c r="C176" s="113">
        <f>IF($B176="","",IFERROR(INDEX(MUSTERILER!$C$7:$C$106,MATCH($B176,MUSTERILER!$B$7:$B$106,0)),"TANIMSIZ MÜŞTERİ"))</f>
        <v/>
      </c>
      <c r="D176" s="114" t="n"/>
      <c r="E176" s="114" t="n"/>
      <c r="F176" s="115" t="n"/>
      <c r="G176" s="107" t="n"/>
      <c r="H176" s="116">
        <f>IF(OR($B176="",$D176="",$F176=""),0,$F176*MAX(0,INT((MIN(IF($E176="",TODAY(),$E176),TODAY())-$D176)/7)+1))</f>
        <v/>
      </c>
      <c r="I176" s="116">
        <f>IF(OR($B176="",$D176="",$F176=""),0,$F176*MAX(0,INT((MIN(IF($E176="",TODAY()-8,$E176),TODAY()-8)-$D176)/7)+1))</f>
        <v/>
      </c>
      <c r="J176" s="116">
        <f>IF(OR($B176="",$D176="",$F176=""),0,$F176*MAX(0,INT((MIN(IF($E176="",TODAY()-15,$E176),TODAY()-15)-$D176)/7)+1))</f>
        <v/>
      </c>
      <c r="K176" s="116">
        <f>IF(OR($B176="",$D176="",$F176=""),0,$F176*MAX(0,INT((MIN(IF($E176="",TODAY()-29,$E176),TODAY()-29)-$D176)/7)+1))</f>
        <v/>
      </c>
      <c r="L176" s="117">
        <f>IF($F176&gt;0,$H176/$F176,0)</f>
        <v/>
      </c>
      <c r="M176" s="112">
        <f>IF($B176="","",IF($C176="TANIMSIZ MÜŞTERİ","HATA",IF($G176="Pasif","PASİF",IF(AND(WEEKDAY($D176,2)=6,OR($E176="",WEEKDAY($E176,2)=6),$F176&gt;0),"UYGUN","HATA"))))</f>
        <v/>
      </c>
      <c r="N176" s="108" t="n"/>
      <c r="O176" s="6" t="n"/>
      <c r="P176" s="6" t="n"/>
    </row>
    <row r="177">
      <c r="A177" s="6" t="n"/>
      <c r="B177" s="107" t="n"/>
      <c r="C177" s="113">
        <f>IF($B177="","",IFERROR(INDEX(MUSTERILER!$C$7:$C$106,MATCH($B177,MUSTERILER!$B$7:$B$106,0)),"TANIMSIZ MÜŞTERİ"))</f>
        <v/>
      </c>
      <c r="D177" s="114" t="n"/>
      <c r="E177" s="114" t="n"/>
      <c r="F177" s="115" t="n"/>
      <c r="G177" s="107" t="n"/>
      <c r="H177" s="116">
        <f>IF(OR($B177="",$D177="",$F177=""),0,$F177*MAX(0,INT((MIN(IF($E177="",TODAY(),$E177),TODAY())-$D177)/7)+1))</f>
        <v/>
      </c>
      <c r="I177" s="116">
        <f>IF(OR($B177="",$D177="",$F177=""),0,$F177*MAX(0,INT((MIN(IF($E177="",TODAY()-8,$E177),TODAY()-8)-$D177)/7)+1))</f>
        <v/>
      </c>
      <c r="J177" s="116">
        <f>IF(OR($B177="",$D177="",$F177=""),0,$F177*MAX(0,INT((MIN(IF($E177="",TODAY()-15,$E177),TODAY()-15)-$D177)/7)+1))</f>
        <v/>
      </c>
      <c r="K177" s="116">
        <f>IF(OR($B177="",$D177="",$F177=""),0,$F177*MAX(0,INT((MIN(IF($E177="",TODAY()-29,$E177),TODAY()-29)-$D177)/7)+1))</f>
        <v/>
      </c>
      <c r="L177" s="117">
        <f>IF($F177&gt;0,$H177/$F177,0)</f>
        <v/>
      </c>
      <c r="M177" s="112">
        <f>IF($B177="","",IF($C177="TANIMSIZ MÜŞTERİ","HATA",IF($G177="Pasif","PASİF",IF(AND(WEEKDAY($D177,2)=6,OR($E177="",WEEKDAY($E177,2)=6),$F177&gt;0),"UYGUN","HATA"))))</f>
        <v/>
      </c>
      <c r="N177" s="108" t="n"/>
      <c r="O177" s="6" t="n"/>
      <c r="P177" s="6" t="n"/>
    </row>
    <row r="178">
      <c r="A178" s="6" t="n"/>
      <c r="B178" s="107" t="n"/>
      <c r="C178" s="113">
        <f>IF($B178="","",IFERROR(INDEX(MUSTERILER!$C$7:$C$106,MATCH($B178,MUSTERILER!$B$7:$B$106,0)),"TANIMSIZ MÜŞTERİ"))</f>
        <v/>
      </c>
      <c r="D178" s="114" t="n"/>
      <c r="E178" s="114" t="n"/>
      <c r="F178" s="115" t="n"/>
      <c r="G178" s="107" t="n"/>
      <c r="H178" s="116">
        <f>IF(OR($B178="",$D178="",$F178=""),0,$F178*MAX(0,INT((MIN(IF($E178="",TODAY(),$E178),TODAY())-$D178)/7)+1))</f>
        <v/>
      </c>
      <c r="I178" s="116">
        <f>IF(OR($B178="",$D178="",$F178=""),0,$F178*MAX(0,INT((MIN(IF($E178="",TODAY()-8,$E178),TODAY()-8)-$D178)/7)+1))</f>
        <v/>
      </c>
      <c r="J178" s="116">
        <f>IF(OR($B178="",$D178="",$F178=""),0,$F178*MAX(0,INT((MIN(IF($E178="",TODAY()-15,$E178),TODAY()-15)-$D178)/7)+1))</f>
        <v/>
      </c>
      <c r="K178" s="116">
        <f>IF(OR($B178="",$D178="",$F178=""),0,$F178*MAX(0,INT((MIN(IF($E178="",TODAY()-29,$E178),TODAY()-29)-$D178)/7)+1))</f>
        <v/>
      </c>
      <c r="L178" s="117">
        <f>IF($F178&gt;0,$H178/$F178,0)</f>
        <v/>
      </c>
      <c r="M178" s="112">
        <f>IF($B178="","",IF($C178="TANIMSIZ MÜŞTERİ","HATA",IF($G178="Pasif","PASİF",IF(AND(WEEKDAY($D178,2)=6,OR($E178="",WEEKDAY($E178,2)=6),$F178&gt;0),"UYGUN","HATA"))))</f>
        <v/>
      </c>
      <c r="N178" s="108" t="n"/>
      <c r="O178" s="6" t="n"/>
      <c r="P178" s="6" t="n"/>
    </row>
    <row r="179">
      <c r="A179" s="6" t="n"/>
      <c r="B179" s="107" t="n"/>
      <c r="C179" s="113">
        <f>IF($B179="","",IFERROR(INDEX(MUSTERILER!$C$7:$C$106,MATCH($B179,MUSTERILER!$B$7:$B$106,0)),"TANIMSIZ MÜŞTERİ"))</f>
        <v/>
      </c>
      <c r="D179" s="114" t="n"/>
      <c r="E179" s="114" t="n"/>
      <c r="F179" s="115" t="n"/>
      <c r="G179" s="107" t="n"/>
      <c r="H179" s="116">
        <f>IF(OR($B179="",$D179="",$F179=""),0,$F179*MAX(0,INT((MIN(IF($E179="",TODAY(),$E179),TODAY())-$D179)/7)+1))</f>
        <v/>
      </c>
      <c r="I179" s="116">
        <f>IF(OR($B179="",$D179="",$F179=""),0,$F179*MAX(0,INT((MIN(IF($E179="",TODAY()-8,$E179),TODAY()-8)-$D179)/7)+1))</f>
        <v/>
      </c>
      <c r="J179" s="116">
        <f>IF(OR($B179="",$D179="",$F179=""),0,$F179*MAX(0,INT((MIN(IF($E179="",TODAY()-15,$E179),TODAY()-15)-$D179)/7)+1))</f>
        <v/>
      </c>
      <c r="K179" s="116">
        <f>IF(OR($B179="",$D179="",$F179=""),0,$F179*MAX(0,INT((MIN(IF($E179="",TODAY()-29,$E179),TODAY()-29)-$D179)/7)+1))</f>
        <v/>
      </c>
      <c r="L179" s="117">
        <f>IF($F179&gt;0,$H179/$F179,0)</f>
        <v/>
      </c>
      <c r="M179" s="112">
        <f>IF($B179="","",IF($C179="TANIMSIZ MÜŞTERİ","HATA",IF($G179="Pasif","PASİF",IF(AND(WEEKDAY($D179,2)=6,OR($E179="",WEEKDAY($E179,2)=6),$F179&gt;0),"UYGUN","HATA"))))</f>
        <v/>
      </c>
      <c r="N179" s="108" t="n"/>
      <c r="O179" s="6" t="n"/>
      <c r="P179" s="6" t="n"/>
    </row>
    <row r="180">
      <c r="A180" s="6" t="n"/>
      <c r="B180" s="107" t="n"/>
      <c r="C180" s="113">
        <f>IF($B180="","",IFERROR(INDEX(MUSTERILER!$C$7:$C$106,MATCH($B180,MUSTERILER!$B$7:$B$106,0)),"TANIMSIZ MÜŞTERİ"))</f>
        <v/>
      </c>
      <c r="D180" s="114" t="n"/>
      <c r="E180" s="114" t="n"/>
      <c r="F180" s="115" t="n"/>
      <c r="G180" s="107" t="n"/>
      <c r="H180" s="116">
        <f>IF(OR($B180="",$D180="",$F180=""),0,$F180*MAX(0,INT((MIN(IF($E180="",TODAY(),$E180),TODAY())-$D180)/7)+1))</f>
        <v/>
      </c>
      <c r="I180" s="116">
        <f>IF(OR($B180="",$D180="",$F180=""),0,$F180*MAX(0,INT((MIN(IF($E180="",TODAY()-8,$E180),TODAY()-8)-$D180)/7)+1))</f>
        <v/>
      </c>
      <c r="J180" s="116">
        <f>IF(OR($B180="",$D180="",$F180=""),0,$F180*MAX(0,INT((MIN(IF($E180="",TODAY()-15,$E180),TODAY()-15)-$D180)/7)+1))</f>
        <v/>
      </c>
      <c r="K180" s="116">
        <f>IF(OR($B180="",$D180="",$F180=""),0,$F180*MAX(0,INT((MIN(IF($E180="",TODAY()-29,$E180),TODAY()-29)-$D180)/7)+1))</f>
        <v/>
      </c>
      <c r="L180" s="117">
        <f>IF($F180&gt;0,$H180/$F180,0)</f>
        <v/>
      </c>
      <c r="M180" s="112">
        <f>IF($B180="","",IF($C180="TANIMSIZ MÜŞTERİ","HATA",IF($G180="Pasif","PASİF",IF(AND(WEEKDAY($D180,2)=6,OR($E180="",WEEKDAY($E180,2)=6),$F180&gt;0),"UYGUN","HATA"))))</f>
        <v/>
      </c>
      <c r="N180" s="108" t="n"/>
      <c r="O180" s="6" t="n"/>
      <c r="P180" s="6" t="n"/>
    </row>
    <row r="181">
      <c r="A181" s="6" t="n"/>
      <c r="B181" s="107" t="n"/>
      <c r="C181" s="113">
        <f>IF($B181="","",IFERROR(INDEX(MUSTERILER!$C$7:$C$106,MATCH($B181,MUSTERILER!$B$7:$B$106,0)),"TANIMSIZ MÜŞTERİ"))</f>
        <v/>
      </c>
      <c r="D181" s="114" t="n"/>
      <c r="E181" s="114" t="n"/>
      <c r="F181" s="115" t="n"/>
      <c r="G181" s="107" t="n"/>
      <c r="H181" s="116">
        <f>IF(OR($B181="",$D181="",$F181=""),0,$F181*MAX(0,INT((MIN(IF($E181="",TODAY(),$E181),TODAY())-$D181)/7)+1))</f>
        <v/>
      </c>
      <c r="I181" s="116">
        <f>IF(OR($B181="",$D181="",$F181=""),0,$F181*MAX(0,INT((MIN(IF($E181="",TODAY()-8,$E181),TODAY()-8)-$D181)/7)+1))</f>
        <v/>
      </c>
      <c r="J181" s="116">
        <f>IF(OR($B181="",$D181="",$F181=""),0,$F181*MAX(0,INT((MIN(IF($E181="",TODAY()-15,$E181),TODAY()-15)-$D181)/7)+1))</f>
        <v/>
      </c>
      <c r="K181" s="116">
        <f>IF(OR($B181="",$D181="",$F181=""),0,$F181*MAX(0,INT((MIN(IF($E181="",TODAY()-29,$E181),TODAY()-29)-$D181)/7)+1))</f>
        <v/>
      </c>
      <c r="L181" s="117">
        <f>IF($F181&gt;0,$H181/$F181,0)</f>
        <v/>
      </c>
      <c r="M181" s="112">
        <f>IF($B181="","",IF($C181="TANIMSIZ MÜŞTERİ","HATA",IF($G181="Pasif","PASİF",IF(AND(WEEKDAY($D181,2)=6,OR($E181="",WEEKDAY($E181,2)=6),$F181&gt;0),"UYGUN","HATA"))))</f>
        <v/>
      </c>
      <c r="N181" s="108" t="n"/>
      <c r="O181" s="6" t="n"/>
      <c r="P181" s="6" t="n"/>
    </row>
    <row r="182">
      <c r="A182" s="6" t="n"/>
      <c r="B182" s="107" t="n"/>
      <c r="C182" s="113">
        <f>IF($B182="","",IFERROR(INDEX(MUSTERILER!$C$7:$C$106,MATCH($B182,MUSTERILER!$B$7:$B$106,0)),"TANIMSIZ MÜŞTERİ"))</f>
        <v/>
      </c>
      <c r="D182" s="114" t="n"/>
      <c r="E182" s="114" t="n"/>
      <c r="F182" s="115" t="n"/>
      <c r="G182" s="107" t="n"/>
      <c r="H182" s="116">
        <f>IF(OR($B182="",$D182="",$F182=""),0,$F182*MAX(0,INT((MIN(IF($E182="",TODAY(),$E182),TODAY())-$D182)/7)+1))</f>
        <v/>
      </c>
      <c r="I182" s="116">
        <f>IF(OR($B182="",$D182="",$F182=""),0,$F182*MAX(0,INT((MIN(IF($E182="",TODAY()-8,$E182),TODAY()-8)-$D182)/7)+1))</f>
        <v/>
      </c>
      <c r="J182" s="116">
        <f>IF(OR($B182="",$D182="",$F182=""),0,$F182*MAX(0,INT((MIN(IF($E182="",TODAY()-15,$E182),TODAY()-15)-$D182)/7)+1))</f>
        <v/>
      </c>
      <c r="K182" s="116">
        <f>IF(OR($B182="",$D182="",$F182=""),0,$F182*MAX(0,INT((MIN(IF($E182="",TODAY()-29,$E182),TODAY()-29)-$D182)/7)+1))</f>
        <v/>
      </c>
      <c r="L182" s="117">
        <f>IF($F182&gt;0,$H182/$F182,0)</f>
        <v/>
      </c>
      <c r="M182" s="112">
        <f>IF($B182="","",IF($C182="TANIMSIZ MÜŞTERİ","HATA",IF($G182="Pasif","PASİF",IF(AND(WEEKDAY($D182,2)=6,OR($E182="",WEEKDAY($E182,2)=6),$F182&gt;0),"UYGUN","HATA"))))</f>
        <v/>
      </c>
      <c r="N182" s="108" t="n"/>
      <c r="O182" s="6" t="n"/>
      <c r="P182" s="6" t="n"/>
    </row>
    <row r="183">
      <c r="A183" s="6" t="n"/>
      <c r="B183" s="107" t="n"/>
      <c r="C183" s="113">
        <f>IF($B183="","",IFERROR(INDEX(MUSTERILER!$C$7:$C$106,MATCH($B183,MUSTERILER!$B$7:$B$106,0)),"TANIMSIZ MÜŞTERİ"))</f>
        <v/>
      </c>
      <c r="D183" s="114" t="n"/>
      <c r="E183" s="114" t="n"/>
      <c r="F183" s="115" t="n"/>
      <c r="G183" s="107" t="n"/>
      <c r="H183" s="116">
        <f>IF(OR($B183="",$D183="",$F183=""),0,$F183*MAX(0,INT((MIN(IF($E183="",TODAY(),$E183),TODAY())-$D183)/7)+1))</f>
        <v/>
      </c>
      <c r="I183" s="116">
        <f>IF(OR($B183="",$D183="",$F183=""),0,$F183*MAX(0,INT((MIN(IF($E183="",TODAY()-8,$E183),TODAY()-8)-$D183)/7)+1))</f>
        <v/>
      </c>
      <c r="J183" s="116">
        <f>IF(OR($B183="",$D183="",$F183=""),0,$F183*MAX(0,INT((MIN(IF($E183="",TODAY()-15,$E183),TODAY()-15)-$D183)/7)+1))</f>
        <v/>
      </c>
      <c r="K183" s="116">
        <f>IF(OR($B183="",$D183="",$F183=""),0,$F183*MAX(0,INT((MIN(IF($E183="",TODAY()-29,$E183),TODAY()-29)-$D183)/7)+1))</f>
        <v/>
      </c>
      <c r="L183" s="117">
        <f>IF($F183&gt;0,$H183/$F183,0)</f>
        <v/>
      </c>
      <c r="M183" s="112">
        <f>IF($B183="","",IF($C183="TANIMSIZ MÜŞTERİ","HATA",IF($G183="Pasif","PASİF",IF(AND(WEEKDAY($D183,2)=6,OR($E183="",WEEKDAY($E183,2)=6),$F183&gt;0),"UYGUN","HATA"))))</f>
        <v/>
      </c>
      <c r="N183" s="108" t="n"/>
      <c r="O183" s="6" t="n"/>
      <c r="P183" s="6" t="n"/>
    </row>
    <row r="184">
      <c r="A184" s="6" t="n"/>
      <c r="B184" s="107" t="n"/>
      <c r="C184" s="113">
        <f>IF($B184="","",IFERROR(INDEX(MUSTERILER!$C$7:$C$106,MATCH($B184,MUSTERILER!$B$7:$B$106,0)),"TANIMSIZ MÜŞTERİ"))</f>
        <v/>
      </c>
      <c r="D184" s="114" t="n"/>
      <c r="E184" s="114" t="n"/>
      <c r="F184" s="115" t="n"/>
      <c r="G184" s="107" t="n"/>
      <c r="H184" s="116">
        <f>IF(OR($B184="",$D184="",$F184=""),0,$F184*MAX(0,INT((MIN(IF($E184="",TODAY(),$E184),TODAY())-$D184)/7)+1))</f>
        <v/>
      </c>
      <c r="I184" s="116">
        <f>IF(OR($B184="",$D184="",$F184=""),0,$F184*MAX(0,INT((MIN(IF($E184="",TODAY()-8,$E184),TODAY()-8)-$D184)/7)+1))</f>
        <v/>
      </c>
      <c r="J184" s="116">
        <f>IF(OR($B184="",$D184="",$F184=""),0,$F184*MAX(0,INT((MIN(IF($E184="",TODAY()-15,$E184),TODAY()-15)-$D184)/7)+1))</f>
        <v/>
      </c>
      <c r="K184" s="116">
        <f>IF(OR($B184="",$D184="",$F184=""),0,$F184*MAX(0,INT((MIN(IF($E184="",TODAY()-29,$E184),TODAY()-29)-$D184)/7)+1))</f>
        <v/>
      </c>
      <c r="L184" s="117">
        <f>IF($F184&gt;0,$H184/$F184,0)</f>
        <v/>
      </c>
      <c r="M184" s="112">
        <f>IF($B184="","",IF($C184="TANIMSIZ MÜŞTERİ","HATA",IF($G184="Pasif","PASİF",IF(AND(WEEKDAY($D184,2)=6,OR($E184="",WEEKDAY($E184,2)=6),$F184&gt;0),"UYGUN","HATA"))))</f>
        <v/>
      </c>
      <c r="N184" s="108" t="n"/>
      <c r="O184" s="6" t="n"/>
      <c r="P184" s="6" t="n"/>
    </row>
    <row r="185">
      <c r="A185" s="6" t="n"/>
      <c r="B185" s="107" t="n"/>
      <c r="C185" s="113">
        <f>IF($B185="","",IFERROR(INDEX(MUSTERILER!$C$7:$C$106,MATCH($B185,MUSTERILER!$B$7:$B$106,0)),"TANIMSIZ MÜŞTERİ"))</f>
        <v/>
      </c>
      <c r="D185" s="114" t="n"/>
      <c r="E185" s="114" t="n"/>
      <c r="F185" s="115" t="n"/>
      <c r="G185" s="107" t="n"/>
      <c r="H185" s="116">
        <f>IF(OR($B185="",$D185="",$F185=""),0,$F185*MAX(0,INT((MIN(IF($E185="",TODAY(),$E185),TODAY())-$D185)/7)+1))</f>
        <v/>
      </c>
      <c r="I185" s="116">
        <f>IF(OR($B185="",$D185="",$F185=""),0,$F185*MAX(0,INT((MIN(IF($E185="",TODAY()-8,$E185),TODAY()-8)-$D185)/7)+1))</f>
        <v/>
      </c>
      <c r="J185" s="116">
        <f>IF(OR($B185="",$D185="",$F185=""),0,$F185*MAX(0,INT((MIN(IF($E185="",TODAY()-15,$E185),TODAY()-15)-$D185)/7)+1))</f>
        <v/>
      </c>
      <c r="K185" s="116">
        <f>IF(OR($B185="",$D185="",$F185=""),0,$F185*MAX(0,INT((MIN(IF($E185="",TODAY()-29,$E185),TODAY()-29)-$D185)/7)+1))</f>
        <v/>
      </c>
      <c r="L185" s="117">
        <f>IF($F185&gt;0,$H185/$F185,0)</f>
        <v/>
      </c>
      <c r="M185" s="112">
        <f>IF($B185="","",IF($C185="TANIMSIZ MÜŞTERİ","HATA",IF($G185="Pasif","PASİF",IF(AND(WEEKDAY($D185,2)=6,OR($E185="",WEEKDAY($E185,2)=6),$F185&gt;0),"UYGUN","HATA"))))</f>
        <v/>
      </c>
      <c r="N185" s="108" t="n"/>
      <c r="O185" s="6" t="n"/>
      <c r="P185" s="6" t="n"/>
    </row>
    <row r="186">
      <c r="A186" s="6" t="n"/>
      <c r="B186" s="107" t="n"/>
      <c r="C186" s="113">
        <f>IF($B186="","",IFERROR(INDEX(MUSTERILER!$C$7:$C$106,MATCH($B186,MUSTERILER!$B$7:$B$106,0)),"TANIMSIZ MÜŞTERİ"))</f>
        <v/>
      </c>
      <c r="D186" s="114" t="n"/>
      <c r="E186" s="114" t="n"/>
      <c r="F186" s="115" t="n"/>
      <c r="G186" s="107" t="n"/>
      <c r="H186" s="116">
        <f>IF(OR($B186="",$D186="",$F186=""),0,$F186*MAX(0,INT((MIN(IF($E186="",TODAY(),$E186),TODAY())-$D186)/7)+1))</f>
        <v/>
      </c>
      <c r="I186" s="116">
        <f>IF(OR($B186="",$D186="",$F186=""),0,$F186*MAX(0,INT((MIN(IF($E186="",TODAY()-8,$E186),TODAY()-8)-$D186)/7)+1))</f>
        <v/>
      </c>
      <c r="J186" s="116">
        <f>IF(OR($B186="",$D186="",$F186=""),0,$F186*MAX(0,INT((MIN(IF($E186="",TODAY()-15,$E186),TODAY()-15)-$D186)/7)+1))</f>
        <v/>
      </c>
      <c r="K186" s="116">
        <f>IF(OR($B186="",$D186="",$F186=""),0,$F186*MAX(0,INT((MIN(IF($E186="",TODAY()-29,$E186),TODAY()-29)-$D186)/7)+1))</f>
        <v/>
      </c>
      <c r="L186" s="117">
        <f>IF($F186&gt;0,$H186/$F186,0)</f>
        <v/>
      </c>
      <c r="M186" s="112">
        <f>IF($B186="","",IF($C186="TANIMSIZ MÜŞTERİ","HATA",IF($G186="Pasif","PASİF",IF(AND(WEEKDAY($D186,2)=6,OR($E186="",WEEKDAY($E186,2)=6),$F186&gt;0),"UYGUN","HATA"))))</f>
        <v/>
      </c>
      <c r="N186" s="108" t="n"/>
      <c r="O186" s="6" t="n"/>
      <c r="P186" s="6" t="n"/>
    </row>
    <row r="187">
      <c r="A187" s="6" t="n"/>
      <c r="B187" s="107" t="n"/>
      <c r="C187" s="113">
        <f>IF($B187="","",IFERROR(INDEX(MUSTERILER!$C$7:$C$106,MATCH($B187,MUSTERILER!$B$7:$B$106,0)),"TANIMSIZ MÜŞTERİ"))</f>
        <v/>
      </c>
      <c r="D187" s="114" t="n"/>
      <c r="E187" s="114" t="n"/>
      <c r="F187" s="115" t="n"/>
      <c r="G187" s="107" t="n"/>
      <c r="H187" s="116">
        <f>IF(OR($B187="",$D187="",$F187=""),0,$F187*MAX(0,INT((MIN(IF($E187="",TODAY(),$E187),TODAY())-$D187)/7)+1))</f>
        <v/>
      </c>
      <c r="I187" s="116">
        <f>IF(OR($B187="",$D187="",$F187=""),0,$F187*MAX(0,INT((MIN(IF($E187="",TODAY()-8,$E187),TODAY()-8)-$D187)/7)+1))</f>
        <v/>
      </c>
      <c r="J187" s="116">
        <f>IF(OR($B187="",$D187="",$F187=""),0,$F187*MAX(0,INT((MIN(IF($E187="",TODAY()-15,$E187),TODAY()-15)-$D187)/7)+1))</f>
        <v/>
      </c>
      <c r="K187" s="116">
        <f>IF(OR($B187="",$D187="",$F187=""),0,$F187*MAX(0,INT((MIN(IF($E187="",TODAY()-29,$E187),TODAY()-29)-$D187)/7)+1))</f>
        <v/>
      </c>
      <c r="L187" s="117">
        <f>IF($F187&gt;0,$H187/$F187,0)</f>
        <v/>
      </c>
      <c r="M187" s="112">
        <f>IF($B187="","",IF($C187="TANIMSIZ MÜŞTERİ","HATA",IF($G187="Pasif","PASİF",IF(AND(WEEKDAY($D187,2)=6,OR($E187="",WEEKDAY($E187,2)=6),$F187&gt;0),"UYGUN","HATA"))))</f>
        <v/>
      </c>
      <c r="N187" s="108" t="n"/>
      <c r="O187" s="6" t="n"/>
      <c r="P187" s="6" t="n"/>
    </row>
    <row r="188">
      <c r="A188" s="6" t="n"/>
      <c r="B188" s="107" t="n"/>
      <c r="C188" s="113">
        <f>IF($B188="","",IFERROR(INDEX(MUSTERILER!$C$7:$C$106,MATCH($B188,MUSTERILER!$B$7:$B$106,0)),"TANIMSIZ MÜŞTERİ"))</f>
        <v/>
      </c>
      <c r="D188" s="114" t="n"/>
      <c r="E188" s="114" t="n"/>
      <c r="F188" s="115" t="n"/>
      <c r="G188" s="107" t="n"/>
      <c r="H188" s="116">
        <f>IF(OR($B188="",$D188="",$F188=""),0,$F188*MAX(0,INT((MIN(IF($E188="",TODAY(),$E188),TODAY())-$D188)/7)+1))</f>
        <v/>
      </c>
      <c r="I188" s="116">
        <f>IF(OR($B188="",$D188="",$F188=""),0,$F188*MAX(0,INT((MIN(IF($E188="",TODAY()-8,$E188),TODAY()-8)-$D188)/7)+1))</f>
        <v/>
      </c>
      <c r="J188" s="116">
        <f>IF(OR($B188="",$D188="",$F188=""),0,$F188*MAX(0,INT((MIN(IF($E188="",TODAY()-15,$E188),TODAY()-15)-$D188)/7)+1))</f>
        <v/>
      </c>
      <c r="K188" s="116">
        <f>IF(OR($B188="",$D188="",$F188=""),0,$F188*MAX(0,INT((MIN(IF($E188="",TODAY()-29,$E188),TODAY()-29)-$D188)/7)+1))</f>
        <v/>
      </c>
      <c r="L188" s="117">
        <f>IF($F188&gt;0,$H188/$F188,0)</f>
        <v/>
      </c>
      <c r="M188" s="112">
        <f>IF($B188="","",IF($C188="TANIMSIZ MÜŞTERİ","HATA",IF($G188="Pasif","PASİF",IF(AND(WEEKDAY($D188,2)=6,OR($E188="",WEEKDAY($E188,2)=6),$F188&gt;0),"UYGUN","HATA"))))</f>
        <v/>
      </c>
      <c r="N188" s="108" t="n"/>
      <c r="O188" s="6" t="n"/>
      <c r="P188" s="6" t="n"/>
    </row>
    <row r="189">
      <c r="A189" s="6" t="n"/>
      <c r="B189" s="107" t="n"/>
      <c r="C189" s="113">
        <f>IF($B189="","",IFERROR(INDEX(MUSTERILER!$C$7:$C$106,MATCH($B189,MUSTERILER!$B$7:$B$106,0)),"TANIMSIZ MÜŞTERİ"))</f>
        <v/>
      </c>
      <c r="D189" s="114" t="n"/>
      <c r="E189" s="114" t="n"/>
      <c r="F189" s="115" t="n"/>
      <c r="G189" s="107" t="n"/>
      <c r="H189" s="116">
        <f>IF(OR($B189="",$D189="",$F189=""),0,$F189*MAX(0,INT((MIN(IF($E189="",TODAY(),$E189),TODAY())-$D189)/7)+1))</f>
        <v/>
      </c>
      <c r="I189" s="116">
        <f>IF(OR($B189="",$D189="",$F189=""),0,$F189*MAX(0,INT((MIN(IF($E189="",TODAY()-8,$E189),TODAY()-8)-$D189)/7)+1))</f>
        <v/>
      </c>
      <c r="J189" s="116">
        <f>IF(OR($B189="",$D189="",$F189=""),0,$F189*MAX(0,INT((MIN(IF($E189="",TODAY()-15,$E189),TODAY()-15)-$D189)/7)+1))</f>
        <v/>
      </c>
      <c r="K189" s="116">
        <f>IF(OR($B189="",$D189="",$F189=""),0,$F189*MAX(0,INT((MIN(IF($E189="",TODAY()-29,$E189),TODAY()-29)-$D189)/7)+1))</f>
        <v/>
      </c>
      <c r="L189" s="117">
        <f>IF($F189&gt;0,$H189/$F189,0)</f>
        <v/>
      </c>
      <c r="M189" s="112">
        <f>IF($B189="","",IF($C189="TANIMSIZ MÜŞTERİ","HATA",IF($G189="Pasif","PASİF",IF(AND(WEEKDAY($D189,2)=6,OR($E189="",WEEKDAY($E189,2)=6),$F189&gt;0),"UYGUN","HATA"))))</f>
        <v/>
      </c>
      <c r="N189" s="108" t="n"/>
      <c r="O189" s="6" t="n"/>
      <c r="P189" s="6" t="n"/>
    </row>
    <row r="190">
      <c r="A190" s="6" t="n"/>
      <c r="B190" s="107" t="n"/>
      <c r="C190" s="113">
        <f>IF($B190="","",IFERROR(INDEX(MUSTERILER!$C$7:$C$106,MATCH($B190,MUSTERILER!$B$7:$B$106,0)),"TANIMSIZ MÜŞTERİ"))</f>
        <v/>
      </c>
      <c r="D190" s="114" t="n"/>
      <c r="E190" s="114" t="n"/>
      <c r="F190" s="115" t="n"/>
      <c r="G190" s="107" t="n"/>
      <c r="H190" s="116">
        <f>IF(OR($B190="",$D190="",$F190=""),0,$F190*MAX(0,INT((MIN(IF($E190="",TODAY(),$E190),TODAY())-$D190)/7)+1))</f>
        <v/>
      </c>
      <c r="I190" s="116">
        <f>IF(OR($B190="",$D190="",$F190=""),0,$F190*MAX(0,INT((MIN(IF($E190="",TODAY()-8,$E190),TODAY()-8)-$D190)/7)+1))</f>
        <v/>
      </c>
      <c r="J190" s="116">
        <f>IF(OR($B190="",$D190="",$F190=""),0,$F190*MAX(0,INT((MIN(IF($E190="",TODAY()-15,$E190),TODAY()-15)-$D190)/7)+1))</f>
        <v/>
      </c>
      <c r="K190" s="116">
        <f>IF(OR($B190="",$D190="",$F190=""),0,$F190*MAX(0,INT((MIN(IF($E190="",TODAY()-29,$E190),TODAY()-29)-$D190)/7)+1))</f>
        <v/>
      </c>
      <c r="L190" s="117">
        <f>IF($F190&gt;0,$H190/$F190,0)</f>
        <v/>
      </c>
      <c r="M190" s="112">
        <f>IF($B190="","",IF($C190="TANIMSIZ MÜŞTERİ","HATA",IF($G190="Pasif","PASİF",IF(AND(WEEKDAY($D190,2)=6,OR($E190="",WEEKDAY($E190,2)=6),$F190&gt;0),"UYGUN","HATA"))))</f>
        <v/>
      </c>
      <c r="N190" s="108" t="n"/>
      <c r="O190" s="6" t="n"/>
      <c r="P190" s="6" t="n"/>
    </row>
    <row r="191">
      <c r="A191" s="6" t="n"/>
      <c r="B191" s="107" t="n"/>
      <c r="C191" s="113">
        <f>IF($B191="","",IFERROR(INDEX(MUSTERILER!$C$7:$C$106,MATCH($B191,MUSTERILER!$B$7:$B$106,0)),"TANIMSIZ MÜŞTERİ"))</f>
        <v/>
      </c>
      <c r="D191" s="114" t="n"/>
      <c r="E191" s="114" t="n"/>
      <c r="F191" s="115" t="n"/>
      <c r="G191" s="107" t="n"/>
      <c r="H191" s="116">
        <f>IF(OR($B191="",$D191="",$F191=""),0,$F191*MAX(0,INT((MIN(IF($E191="",TODAY(),$E191),TODAY())-$D191)/7)+1))</f>
        <v/>
      </c>
      <c r="I191" s="116">
        <f>IF(OR($B191="",$D191="",$F191=""),0,$F191*MAX(0,INT((MIN(IF($E191="",TODAY()-8,$E191),TODAY()-8)-$D191)/7)+1))</f>
        <v/>
      </c>
      <c r="J191" s="116">
        <f>IF(OR($B191="",$D191="",$F191=""),0,$F191*MAX(0,INT((MIN(IF($E191="",TODAY()-15,$E191),TODAY()-15)-$D191)/7)+1))</f>
        <v/>
      </c>
      <c r="K191" s="116">
        <f>IF(OR($B191="",$D191="",$F191=""),0,$F191*MAX(0,INT((MIN(IF($E191="",TODAY()-29,$E191),TODAY()-29)-$D191)/7)+1))</f>
        <v/>
      </c>
      <c r="L191" s="117">
        <f>IF($F191&gt;0,$H191/$F191,0)</f>
        <v/>
      </c>
      <c r="M191" s="112">
        <f>IF($B191="","",IF($C191="TANIMSIZ MÜŞTERİ","HATA",IF($G191="Pasif","PASİF",IF(AND(WEEKDAY($D191,2)=6,OR($E191="",WEEKDAY($E191,2)=6),$F191&gt;0),"UYGUN","HATA"))))</f>
        <v/>
      </c>
      <c r="N191" s="108" t="n"/>
      <c r="O191" s="6" t="n"/>
      <c r="P191" s="6" t="n"/>
    </row>
    <row r="192">
      <c r="A192" s="6" t="n"/>
      <c r="B192" s="107" t="n"/>
      <c r="C192" s="113">
        <f>IF($B192="","",IFERROR(INDEX(MUSTERILER!$C$7:$C$106,MATCH($B192,MUSTERILER!$B$7:$B$106,0)),"TANIMSIZ MÜŞTERİ"))</f>
        <v/>
      </c>
      <c r="D192" s="114" t="n"/>
      <c r="E192" s="114" t="n"/>
      <c r="F192" s="115" t="n"/>
      <c r="G192" s="107" t="n"/>
      <c r="H192" s="116">
        <f>IF(OR($B192="",$D192="",$F192=""),0,$F192*MAX(0,INT((MIN(IF($E192="",TODAY(),$E192),TODAY())-$D192)/7)+1))</f>
        <v/>
      </c>
      <c r="I192" s="116">
        <f>IF(OR($B192="",$D192="",$F192=""),0,$F192*MAX(0,INT((MIN(IF($E192="",TODAY()-8,$E192),TODAY()-8)-$D192)/7)+1))</f>
        <v/>
      </c>
      <c r="J192" s="116">
        <f>IF(OR($B192="",$D192="",$F192=""),0,$F192*MAX(0,INT((MIN(IF($E192="",TODAY()-15,$E192),TODAY()-15)-$D192)/7)+1))</f>
        <v/>
      </c>
      <c r="K192" s="116">
        <f>IF(OR($B192="",$D192="",$F192=""),0,$F192*MAX(0,INT((MIN(IF($E192="",TODAY()-29,$E192),TODAY()-29)-$D192)/7)+1))</f>
        <v/>
      </c>
      <c r="L192" s="117">
        <f>IF($F192&gt;0,$H192/$F192,0)</f>
        <v/>
      </c>
      <c r="M192" s="112">
        <f>IF($B192="","",IF($C192="TANIMSIZ MÜŞTERİ","HATA",IF($G192="Pasif","PASİF",IF(AND(WEEKDAY($D192,2)=6,OR($E192="",WEEKDAY($E192,2)=6),$F192&gt;0),"UYGUN","HATA"))))</f>
        <v/>
      </c>
      <c r="N192" s="108" t="n"/>
      <c r="O192" s="6" t="n"/>
      <c r="P192" s="6" t="n"/>
    </row>
    <row r="193">
      <c r="A193" s="6" t="n"/>
      <c r="B193" s="107" t="n"/>
      <c r="C193" s="113">
        <f>IF($B193="","",IFERROR(INDEX(MUSTERILER!$C$7:$C$106,MATCH($B193,MUSTERILER!$B$7:$B$106,0)),"TANIMSIZ MÜŞTERİ"))</f>
        <v/>
      </c>
      <c r="D193" s="114" t="n"/>
      <c r="E193" s="114" t="n"/>
      <c r="F193" s="115" t="n"/>
      <c r="G193" s="107" t="n"/>
      <c r="H193" s="116">
        <f>IF(OR($B193="",$D193="",$F193=""),0,$F193*MAX(0,INT((MIN(IF($E193="",TODAY(),$E193),TODAY())-$D193)/7)+1))</f>
        <v/>
      </c>
      <c r="I193" s="116">
        <f>IF(OR($B193="",$D193="",$F193=""),0,$F193*MAX(0,INT((MIN(IF($E193="",TODAY()-8,$E193),TODAY()-8)-$D193)/7)+1))</f>
        <v/>
      </c>
      <c r="J193" s="116">
        <f>IF(OR($B193="",$D193="",$F193=""),0,$F193*MAX(0,INT((MIN(IF($E193="",TODAY()-15,$E193),TODAY()-15)-$D193)/7)+1))</f>
        <v/>
      </c>
      <c r="K193" s="116">
        <f>IF(OR($B193="",$D193="",$F193=""),0,$F193*MAX(0,INT((MIN(IF($E193="",TODAY()-29,$E193),TODAY()-29)-$D193)/7)+1))</f>
        <v/>
      </c>
      <c r="L193" s="117">
        <f>IF($F193&gt;0,$H193/$F193,0)</f>
        <v/>
      </c>
      <c r="M193" s="112">
        <f>IF($B193="","",IF($C193="TANIMSIZ MÜŞTERİ","HATA",IF($G193="Pasif","PASİF",IF(AND(WEEKDAY($D193,2)=6,OR($E193="",WEEKDAY($E193,2)=6),$F193&gt;0),"UYGUN","HATA"))))</f>
        <v/>
      </c>
      <c r="N193" s="108" t="n"/>
      <c r="O193" s="6" t="n"/>
      <c r="P193" s="6" t="n"/>
    </row>
    <row r="194">
      <c r="A194" s="6" t="n"/>
      <c r="B194" s="107" t="n"/>
      <c r="C194" s="113">
        <f>IF($B194="","",IFERROR(INDEX(MUSTERILER!$C$7:$C$106,MATCH($B194,MUSTERILER!$B$7:$B$106,0)),"TANIMSIZ MÜŞTERİ"))</f>
        <v/>
      </c>
      <c r="D194" s="114" t="n"/>
      <c r="E194" s="114" t="n"/>
      <c r="F194" s="115" t="n"/>
      <c r="G194" s="107" t="n"/>
      <c r="H194" s="116">
        <f>IF(OR($B194="",$D194="",$F194=""),0,$F194*MAX(0,INT((MIN(IF($E194="",TODAY(),$E194),TODAY())-$D194)/7)+1))</f>
        <v/>
      </c>
      <c r="I194" s="116">
        <f>IF(OR($B194="",$D194="",$F194=""),0,$F194*MAX(0,INT((MIN(IF($E194="",TODAY()-8,$E194),TODAY()-8)-$D194)/7)+1))</f>
        <v/>
      </c>
      <c r="J194" s="116">
        <f>IF(OR($B194="",$D194="",$F194=""),0,$F194*MAX(0,INT((MIN(IF($E194="",TODAY()-15,$E194),TODAY()-15)-$D194)/7)+1))</f>
        <v/>
      </c>
      <c r="K194" s="116">
        <f>IF(OR($B194="",$D194="",$F194=""),0,$F194*MAX(0,INT((MIN(IF($E194="",TODAY()-29,$E194),TODAY()-29)-$D194)/7)+1))</f>
        <v/>
      </c>
      <c r="L194" s="117">
        <f>IF($F194&gt;0,$H194/$F194,0)</f>
        <v/>
      </c>
      <c r="M194" s="112">
        <f>IF($B194="","",IF($C194="TANIMSIZ MÜŞTERİ","HATA",IF($G194="Pasif","PASİF",IF(AND(WEEKDAY($D194,2)=6,OR($E194="",WEEKDAY($E194,2)=6),$F194&gt;0),"UYGUN","HATA"))))</f>
        <v/>
      </c>
      <c r="N194" s="108" t="n"/>
      <c r="O194" s="6" t="n"/>
      <c r="P194" s="6" t="n"/>
    </row>
    <row r="195">
      <c r="A195" s="6" t="n"/>
      <c r="B195" s="107" t="n"/>
      <c r="C195" s="113">
        <f>IF($B195="","",IFERROR(INDEX(MUSTERILER!$C$7:$C$106,MATCH($B195,MUSTERILER!$B$7:$B$106,0)),"TANIMSIZ MÜŞTERİ"))</f>
        <v/>
      </c>
      <c r="D195" s="114" t="n"/>
      <c r="E195" s="114" t="n"/>
      <c r="F195" s="115" t="n"/>
      <c r="G195" s="107" t="n"/>
      <c r="H195" s="116">
        <f>IF(OR($B195="",$D195="",$F195=""),0,$F195*MAX(0,INT((MIN(IF($E195="",TODAY(),$E195),TODAY())-$D195)/7)+1))</f>
        <v/>
      </c>
      <c r="I195" s="116">
        <f>IF(OR($B195="",$D195="",$F195=""),0,$F195*MAX(0,INT((MIN(IF($E195="",TODAY()-8,$E195),TODAY()-8)-$D195)/7)+1))</f>
        <v/>
      </c>
      <c r="J195" s="116">
        <f>IF(OR($B195="",$D195="",$F195=""),0,$F195*MAX(0,INT((MIN(IF($E195="",TODAY()-15,$E195),TODAY()-15)-$D195)/7)+1))</f>
        <v/>
      </c>
      <c r="K195" s="116">
        <f>IF(OR($B195="",$D195="",$F195=""),0,$F195*MAX(0,INT((MIN(IF($E195="",TODAY()-29,$E195),TODAY()-29)-$D195)/7)+1))</f>
        <v/>
      </c>
      <c r="L195" s="117">
        <f>IF($F195&gt;0,$H195/$F195,0)</f>
        <v/>
      </c>
      <c r="M195" s="112">
        <f>IF($B195="","",IF($C195="TANIMSIZ MÜŞTERİ","HATA",IF($G195="Pasif","PASİF",IF(AND(WEEKDAY($D195,2)=6,OR($E195="",WEEKDAY($E195,2)=6),$F195&gt;0),"UYGUN","HATA"))))</f>
        <v/>
      </c>
      <c r="N195" s="108" t="n"/>
      <c r="O195" s="6" t="n"/>
      <c r="P195" s="6" t="n"/>
    </row>
    <row r="196">
      <c r="A196" s="6" t="n"/>
      <c r="B196" s="107" t="n"/>
      <c r="C196" s="113">
        <f>IF($B196="","",IFERROR(INDEX(MUSTERILER!$C$7:$C$106,MATCH($B196,MUSTERILER!$B$7:$B$106,0)),"TANIMSIZ MÜŞTERİ"))</f>
        <v/>
      </c>
      <c r="D196" s="114" t="n"/>
      <c r="E196" s="114" t="n"/>
      <c r="F196" s="115" t="n"/>
      <c r="G196" s="107" t="n"/>
      <c r="H196" s="116">
        <f>IF(OR($B196="",$D196="",$F196=""),0,$F196*MAX(0,INT((MIN(IF($E196="",TODAY(),$E196),TODAY())-$D196)/7)+1))</f>
        <v/>
      </c>
      <c r="I196" s="116">
        <f>IF(OR($B196="",$D196="",$F196=""),0,$F196*MAX(0,INT((MIN(IF($E196="",TODAY()-8,$E196),TODAY()-8)-$D196)/7)+1))</f>
        <v/>
      </c>
      <c r="J196" s="116">
        <f>IF(OR($B196="",$D196="",$F196=""),0,$F196*MAX(0,INT((MIN(IF($E196="",TODAY()-15,$E196),TODAY()-15)-$D196)/7)+1))</f>
        <v/>
      </c>
      <c r="K196" s="116">
        <f>IF(OR($B196="",$D196="",$F196=""),0,$F196*MAX(0,INT((MIN(IF($E196="",TODAY()-29,$E196),TODAY()-29)-$D196)/7)+1))</f>
        <v/>
      </c>
      <c r="L196" s="117">
        <f>IF($F196&gt;0,$H196/$F196,0)</f>
        <v/>
      </c>
      <c r="M196" s="112">
        <f>IF($B196="","",IF($C196="TANIMSIZ MÜŞTERİ","HATA",IF($G196="Pasif","PASİF",IF(AND(WEEKDAY($D196,2)=6,OR($E196="",WEEKDAY($E196,2)=6),$F196&gt;0),"UYGUN","HATA"))))</f>
        <v/>
      </c>
      <c r="N196" s="108" t="n"/>
      <c r="O196" s="6" t="n"/>
      <c r="P196" s="6" t="n"/>
    </row>
    <row r="197">
      <c r="A197" s="6" t="n"/>
      <c r="B197" s="107" t="n"/>
      <c r="C197" s="113">
        <f>IF($B197="","",IFERROR(INDEX(MUSTERILER!$C$7:$C$106,MATCH($B197,MUSTERILER!$B$7:$B$106,0)),"TANIMSIZ MÜŞTERİ"))</f>
        <v/>
      </c>
      <c r="D197" s="114" t="n"/>
      <c r="E197" s="114" t="n"/>
      <c r="F197" s="115" t="n"/>
      <c r="G197" s="107" t="n"/>
      <c r="H197" s="116">
        <f>IF(OR($B197="",$D197="",$F197=""),0,$F197*MAX(0,INT((MIN(IF($E197="",TODAY(),$E197),TODAY())-$D197)/7)+1))</f>
        <v/>
      </c>
      <c r="I197" s="116">
        <f>IF(OR($B197="",$D197="",$F197=""),0,$F197*MAX(0,INT((MIN(IF($E197="",TODAY()-8,$E197),TODAY()-8)-$D197)/7)+1))</f>
        <v/>
      </c>
      <c r="J197" s="116">
        <f>IF(OR($B197="",$D197="",$F197=""),0,$F197*MAX(0,INT((MIN(IF($E197="",TODAY()-15,$E197),TODAY()-15)-$D197)/7)+1))</f>
        <v/>
      </c>
      <c r="K197" s="116">
        <f>IF(OR($B197="",$D197="",$F197=""),0,$F197*MAX(0,INT((MIN(IF($E197="",TODAY()-29,$E197),TODAY()-29)-$D197)/7)+1))</f>
        <v/>
      </c>
      <c r="L197" s="117">
        <f>IF($F197&gt;0,$H197/$F197,0)</f>
        <v/>
      </c>
      <c r="M197" s="112">
        <f>IF($B197="","",IF($C197="TANIMSIZ MÜŞTERİ","HATA",IF($G197="Pasif","PASİF",IF(AND(WEEKDAY($D197,2)=6,OR($E197="",WEEKDAY($E197,2)=6),$F197&gt;0),"UYGUN","HATA"))))</f>
        <v/>
      </c>
      <c r="N197" s="108" t="n"/>
      <c r="O197" s="6" t="n"/>
      <c r="P197" s="6" t="n"/>
    </row>
    <row r="198">
      <c r="A198" s="6" t="n"/>
      <c r="B198" s="107" t="n"/>
      <c r="C198" s="113">
        <f>IF($B198="","",IFERROR(INDEX(MUSTERILER!$C$7:$C$106,MATCH($B198,MUSTERILER!$B$7:$B$106,0)),"TANIMSIZ MÜŞTERİ"))</f>
        <v/>
      </c>
      <c r="D198" s="114" t="n"/>
      <c r="E198" s="114" t="n"/>
      <c r="F198" s="115" t="n"/>
      <c r="G198" s="107" t="n"/>
      <c r="H198" s="116">
        <f>IF(OR($B198="",$D198="",$F198=""),0,$F198*MAX(0,INT((MIN(IF($E198="",TODAY(),$E198),TODAY())-$D198)/7)+1))</f>
        <v/>
      </c>
      <c r="I198" s="116">
        <f>IF(OR($B198="",$D198="",$F198=""),0,$F198*MAX(0,INT((MIN(IF($E198="",TODAY()-8,$E198),TODAY()-8)-$D198)/7)+1))</f>
        <v/>
      </c>
      <c r="J198" s="116">
        <f>IF(OR($B198="",$D198="",$F198=""),0,$F198*MAX(0,INT((MIN(IF($E198="",TODAY()-15,$E198),TODAY()-15)-$D198)/7)+1))</f>
        <v/>
      </c>
      <c r="K198" s="116">
        <f>IF(OR($B198="",$D198="",$F198=""),0,$F198*MAX(0,INT((MIN(IF($E198="",TODAY()-29,$E198),TODAY()-29)-$D198)/7)+1))</f>
        <v/>
      </c>
      <c r="L198" s="117">
        <f>IF($F198&gt;0,$H198/$F198,0)</f>
        <v/>
      </c>
      <c r="M198" s="112">
        <f>IF($B198="","",IF($C198="TANIMSIZ MÜŞTERİ","HATA",IF($G198="Pasif","PASİF",IF(AND(WEEKDAY($D198,2)=6,OR($E198="",WEEKDAY($E198,2)=6),$F198&gt;0),"UYGUN","HATA"))))</f>
        <v/>
      </c>
      <c r="N198" s="108" t="n"/>
      <c r="O198" s="6" t="n"/>
      <c r="P198" s="6" t="n"/>
    </row>
    <row r="199">
      <c r="A199" s="6" t="n"/>
      <c r="B199" s="107" t="n"/>
      <c r="C199" s="113">
        <f>IF($B199="","",IFERROR(INDEX(MUSTERILER!$C$7:$C$106,MATCH($B199,MUSTERILER!$B$7:$B$106,0)),"TANIMSIZ MÜŞTERİ"))</f>
        <v/>
      </c>
      <c r="D199" s="114" t="n"/>
      <c r="E199" s="114" t="n"/>
      <c r="F199" s="115" t="n"/>
      <c r="G199" s="107" t="n"/>
      <c r="H199" s="116">
        <f>IF(OR($B199="",$D199="",$F199=""),0,$F199*MAX(0,INT((MIN(IF($E199="",TODAY(),$E199),TODAY())-$D199)/7)+1))</f>
        <v/>
      </c>
      <c r="I199" s="116">
        <f>IF(OR($B199="",$D199="",$F199=""),0,$F199*MAX(0,INT((MIN(IF($E199="",TODAY()-8,$E199),TODAY()-8)-$D199)/7)+1))</f>
        <v/>
      </c>
      <c r="J199" s="116">
        <f>IF(OR($B199="",$D199="",$F199=""),0,$F199*MAX(0,INT((MIN(IF($E199="",TODAY()-15,$E199),TODAY()-15)-$D199)/7)+1))</f>
        <v/>
      </c>
      <c r="K199" s="116">
        <f>IF(OR($B199="",$D199="",$F199=""),0,$F199*MAX(0,INT((MIN(IF($E199="",TODAY()-29,$E199),TODAY()-29)-$D199)/7)+1))</f>
        <v/>
      </c>
      <c r="L199" s="117">
        <f>IF($F199&gt;0,$H199/$F199,0)</f>
        <v/>
      </c>
      <c r="M199" s="112">
        <f>IF($B199="","",IF($C199="TANIMSIZ MÜŞTERİ","HATA",IF($G199="Pasif","PASİF",IF(AND(WEEKDAY($D199,2)=6,OR($E199="",WEEKDAY($E199,2)=6),$F199&gt;0),"UYGUN","HATA"))))</f>
        <v/>
      </c>
      <c r="N199" s="108" t="n"/>
      <c r="O199" s="6" t="n"/>
      <c r="P199" s="6" t="n"/>
    </row>
    <row r="200">
      <c r="A200" s="6" t="n"/>
      <c r="B200" s="107" t="n"/>
      <c r="C200" s="113">
        <f>IF($B200="","",IFERROR(INDEX(MUSTERILER!$C$7:$C$106,MATCH($B200,MUSTERILER!$B$7:$B$106,0)),"TANIMSIZ MÜŞTERİ"))</f>
        <v/>
      </c>
      <c r="D200" s="114" t="n"/>
      <c r="E200" s="114" t="n"/>
      <c r="F200" s="115" t="n"/>
      <c r="G200" s="107" t="n"/>
      <c r="H200" s="116">
        <f>IF(OR($B200="",$D200="",$F200=""),0,$F200*MAX(0,INT((MIN(IF($E200="",TODAY(),$E200),TODAY())-$D200)/7)+1))</f>
        <v/>
      </c>
      <c r="I200" s="116">
        <f>IF(OR($B200="",$D200="",$F200=""),0,$F200*MAX(0,INT((MIN(IF($E200="",TODAY()-8,$E200),TODAY()-8)-$D200)/7)+1))</f>
        <v/>
      </c>
      <c r="J200" s="116">
        <f>IF(OR($B200="",$D200="",$F200=""),0,$F200*MAX(0,INT((MIN(IF($E200="",TODAY()-15,$E200),TODAY()-15)-$D200)/7)+1))</f>
        <v/>
      </c>
      <c r="K200" s="116">
        <f>IF(OR($B200="",$D200="",$F200=""),0,$F200*MAX(0,INT((MIN(IF($E200="",TODAY()-29,$E200),TODAY()-29)-$D200)/7)+1))</f>
        <v/>
      </c>
      <c r="L200" s="117">
        <f>IF($F200&gt;0,$H200/$F200,0)</f>
        <v/>
      </c>
      <c r="M200" s="112">
        <f>IF($B200="","",IF($C200="TANIMSIZ MÜŞTERİ","HATA",IF($G200="Pasif","PASİF",IF(AND(WEEKDAY($D200,2)=6,OR($E200="",WEEKDAY($E200,2)=6),$F200&gt;0),"UYGUN","HATA"))))</f>
        <v/>
      </c>
      <c r="N200" s="108" t="n"/>
      <c r="O200" s="6" t="n"/>
      <c r="P200" s="6" t="n"/>
    </row>
    <row r="201">
      <c r="A201" s="6" t="n"/>
      <c r="B201" s="107" t="n"/>
      <c r="C201" s="113">
        <f>IF($B201="","",IFERROR(INDEX(MUSTERILER!$C$7:$C$106,MATCH($B201,MUSTERILER!$B$7:$B$106,0)),"TANIMSIZ MÜŞTERİ"))</f>
        <v/>
      </c>
      <c r="D201" s="114" t="n"/>
      <c r="E201" s="114" t="n"/>
      <c r="F201" s="115" t="n"/>
      <c r="G201" s="107" t="n"/>
      <c r="H201" s="116">
        <f>IF(OR($B201="",$D201="",$F201=""),0,$F201*MAX(0,INT((MIN(IF($E201="",TODAY(),$E201),TODAY())-$D201)/7)+1))</f>
        <v/>
      </c>
      <c r="I201" s="116">
        <f>IF(OR($B201="",$D201="",$F201=""),0,$F201*MAX(0,INT((MIN(IF($E201="",TODAY()-8,$E201),TODAY()-8)-$D201)/7)+1))</f>
        <v/>
      </c>
      <c r="J201" s="116">
        <f>IF(OR($B201="",$D201="",$F201=""),0,$F201*MAX(0,INT((MIN(IF($E201="",TODAY()-15,$E201),TODAY()-15)-$D201)/7)+1))</f>
        <v/>
      </c>
      <c r="K201" s="116">
        <f>IF(OR($B201="",$D201="",$F201=""),0,$F201*MAX(0,INT((MIN(IF($E201="",TODAY()-29,$E201),TODAY()-29)-$D201)/7)+1))</f>
        <v/>
      </c>
      <c r="L201" s="117">
        <f>IF($F201&gt;0,$H201/$F201,0)</f>
        <v/>
      </c>
      <c r="M201" s="112">
        <f>IF($B201="","",IF($C201="TANIMSIZ MÜŞTERİ","HATA",IF($G201="Pasif","PASİF",IF(AND(WEEKDAY($D201,2)=6,OR($E201="",WEEKDAY($E201,2)=6),$F201&gt;0),"UYGUN","HATA"))))</f>
        <v/>
      </c>
      <c r="N201" s="108" t="n"/>
      <c r="O201" s="6" t="n"/>
      <c r="P201" s="6" t="n"/>
    </row>
    <row r="202">
      <c r="A202" s="6" t="n"/>
      <c r="B202" s="107" t="n"/>
      <c r="C202" s="113">
        <f>IF($B202="","",IFERROR(INDEX(MUSTERILER!$C$7:$C$106,MATCH($B202,MUSTERILER!$B$7:$B$106,0)),"TANIMSIZ MÜŞTERİ"))</f>
        <v/>
      </c>
      <c r="D202" s="114" t="n"/>
      <c r="E202" s="114" t="n"/>
      <c r="F202" s="115" t="n"/>
      <c r="G202" s="107" t="n"/>
      <c r="H202" s="116">
        <f>IF(OR($B202="",$D202="",$F202=""),0,$F202*MAX(0,INT((MIN(IF($E202="",TODAY(),$E202),TODAY())-$D202)/7)+1))</f>
        <v/>
      </c>
      <c r="I202" s="116">
        <f>IF(OR($B202="",$D202="",$F202=""),0,$F202*MAX(0,INT((MIN(IF($E202="",TODAY()-8,$E202),TODAY()-8)-$D202)/7)+1))</f>
        <v/>
      </c>
      <c r="J202" s="116">
        <f>IF(OR($B202="",$D202="",$F202=""),0,$F202*MAX(0,INT((MIN(IF($E202="",TODAY()-15,$E202),TODAY()-15)-$D202)/7)+1))</f>
        <v/>
      </c>
      <c r="K202" s="116">
        <f>IF(OR($B202="",$D202="",$F202=""),0,$F202*MAX(0,INT((MIN(IF($E202="",TODAY()-29,$E202),TODAY()-29)-$D202)/7)+1))</f>
        <v/>
      </c>
      <c r="L202" s="117">
        <f>IF($F202&gt;0,$H202/$F202,0)</f>
        <v/>
      </c>
      <c r="M202" s="112">
        <f>IF($B202="","",IF($C202="TANIMSIZ MÜŞTERİ","HATA",IF($G202="Pasif","PASİF",IF(AND(WEEKDAY($D202,2)=6,OR($E202="",WEEKDAY($E202,2)=6),$F202&gt;0),"UYGUN","HATA"))))</f>
        <v/>
      </c>
      <c r="N202" s="108" t="n"/>
      <c r="O202" s="6" t="n"/>
      <c r="P202" s="6" t="n"/>
    </row>
    <row r="203">
      <c r="A203" s="6" t="n"/>
      <c r="B203" s="107" t="n"/>
      <c r="C203" s="113">
        <f>IF($B203="","",IFERROR(INDEX(MUSTERILER!$C$7:$C$106,MATCH($B203,MUSTERILER!$B$7:$B$106,0)),"TANIMSIZ MÜŞTERİ"))</f>
        <v/>
      </c>
      <c r="D203" s="114" t="n"/>
      <c r="E203" s="114" t="n"/>
      <c r="F203" s="115" t="n"/>
      <c r="G203" s="107" t="n"/>
      <c r="H203" s="116">
        <f>IF(OR($B203="",$D203="",$F203=""),0,$F203*MAX(0,INT((MIN(IF($E203="",TODAY(),$E203),TODAY())-$D203)/7)+1))</f>
        <v/>
      </c>
      <c r="I203" s="116">
        <f>IF(OR($B203="",$D203="",$F203=""),0,$F203*MAX(0,INT((MIN(IF($E203="",TODAY()-8,$E203),TODAY()-8)-$D203)/7)+1))</f>
        <v/>
      </c>
      <c r="J203" s="116">
        <f>IF(OR($B203="",$D203="",$F203=""),0,$F203*MAX(0,INT((MIN(IF($E203="",TODAY()-15,$E203),TODAY()-15)-$D203)/7)+1))</f>
        <v/>
      </c>
      <c r="K203" s="116">
        <f>IF(OR($B203="",$D203="",$F203=""),0,$F203*MAX(0,INT((MIN(IF($E203="",TODAY()-29,$E203),TODAY()-29)-$D203)/7)+1))</f>
        <v/>
      </c>
      <c r="L203" s="117">
        <f>IF($F203&gt;0,$H203/$F203,0)</f>
        <v/>
      </c>
      <c r="M203" s="112">
        <f>IF($B203="","",IF($C203="TANIMSIZ MÜŞTERİ","HATA",IF($G203="Pasif","PASİF",IF(AND(WEEKDAY($D203,2)=6,OR($E203="",WEEKDAY($E203,2)=6),$F203&gt;0),"UYGUN","HATA"))))</f>
        <v/>
      </c>
      <c r="N203" s="108" t="n"/>
      <c r="O203" s="6" t="n"/>
      <c r="P203" s="6" t="n"/>
    </row>
    <row r="204">
      <c r="A204" s="6" t="n"/>
      <c r="B204" s="107" t="n"/>
      <c r="C204" s="113">
        <f>IF($B204="","",IFERROR(INDEX(MUSTERILER!$C$7:$C$106,MATCH($B204,MUSTERILER!$B$7:$B$106,0)),"TANIMSIZ MÜŞTERİ"))</f>
        <v/>
      </c>
      <c r="D204" s="114" t="n"/>
      <c r="E204" s="114" t="n"/>
      <c r="F204" s="115" t="n"/>
      <c r="G204" s="107" t="n"/>
      <c r="H204" s="116">
        <f>IF(OR($B204="",$D204="",$F204=""),0,$F204*MAX(0,INT((MIN(IF($E204="",TODAY(),$E204),TODAY())-$D204)/7)+1))</f>
        <v/>
      </c>
      <c r="I204" s="116">
        <f>IF(OR($B204="",$D204="",$F204=""),0,$F204*MAX(0,INT((MIN(IF($E204="",TODAY()-8,$E204),TODAY()-8)-$D204)/7)+1))</f>
        <v/>
      </c>
      <c r="J204" s="116">
        <f>IF(OR($B204="",$D204="",$F204=""),0,$F204*MAX(0,INT((MIN(IF($E204="",TODAY()-15,$E204),TODAY()-15)-$D204)/7)+1))</f>
        <v/>
      </c>
      <c r="K204" s="116">
        <f>IF(OR($B204="",$D204="",$F204=""),0,$F204*MAX(0,INT((MIN(IF($E204="",TODAY()-29,$E204),TODAY()-29)-$D204)/7)+1))</f>
        <v/>
      </c>
      <c r="L204" s="117">
        <f>IF($F204&gt;0,$H204/$F204,0)</f>
        <v/>
      </c>
      <c r="M204" s="112">
        <f>IF($B204="","",IF($C204="TANIMSIZ MÜŞTERİ","HATA",IF($G204="Pasif","PASİF",IF(AND(WEEKDAY($D204,2)=6,OR($E204="",WEEKDAY($E204,2)=6),$F204&gt;0),"UYGUN","HATA"))))</f>
        <v/>
      </c>
      <c r="N204" s="108" t="n"/>
      <c r="O204" s="6" t="n"/>
      <c r="P204" s="6" t="n"/>
    </row>
    <row r="205">
      <c r="A205" s="6" t="n"/>
      <c r="B205" s="107" t="n"/>
      <c r="C205" s="113">
        <f>IF($B205="","",IFERROR(INDEX(MUSTERILER!$C$7:$C$106,MATCH($B205,MUSTERILER!$B$7:$B$106,0)),"TANIMSIZ MÜŞTERİ"))</f>
        <v/>
      </c>
      <c r="D205" s="114" t="n"/>
      <c r="E205" s="114" t="n"/>
      <c r="F205" s="115" t="n"/>
      <c r="G205" s="107" t="n"/>
      <c r="H205" s="116">
        <f>IF(OR($B205="",$D205="",$F205=""),0,$F205*MAX(0,INT((MIN(IF($E205="",TODAY(),$E205),TODAY())-$D205)/7)+1))</f>
        <v/>
      </c>
      <c r="I205" s="116">
        <f>IF(OR($B205="",$D205="",$F205=""),0,$F205*MAX(0,INT((MIN(IF($E205="",TODAY()-8,$E205),TODAY()-8)-$D205)/7)+1))</f>
        <v/>
      </c>
      <c r="J205" s="116">
        <f>IF(OR($B205="",$D205="",$F205=""),0,$F205*MAX(0,INT((MIN(IF($E205="",TODAY()-15,$E205),TODAY()-15)-$D205)/7)+1))</f>
        <v/>
      </c>
      <c r="K205" s="116">
        <f>IF(OR($B205="",$D205="",$F205=""),0,$F205*MAX(0,INT((MIN(IF($E205="",TODAY()-29,$E205),TODAY()-29)-$D205)/7)+1))</f>
        <v/>
      </c>
      <c r="L205" s="117">
        <f>IF($F205&gt;0,$H205/$F205,0)</f>
        <v/>
      </c>
      <c r="M205" s="112">
        <f>IF($B205="","",IF($C205="TANIMSIZ MÜŞTERİ","HATA",IF($G205="Pasif","PASİF",IF(AND(WEEKDAY($D205,2)=6,OR($E205="",WEEKDAY($E205,2)=6),$F205&gt;0),"UYGUN","HATA"))))</f>
        <v/>
      </c>
      <c r="N205" s="108" t="n"/>
      <c r="O205" s="6" t="n"/>
      <c r="P205" s="6" t="n"/>
    </row>
    <row r="206">
      <c r="A206" s="6" t="n"/>
      <c r="B206" s="107" t="n"/>
      <c r="C206" s="113">
        <f>IF($B206="","",IFERROR(INDEX(MUSTERILER!$C$7:$C$106,MATCH($B206,MUSTERILER!$B$7:$B$106,0)),"TANIMSIZ MÜŞTERİ"))</f>
        <v/>
      </c>
      <c r="D206" s="114" t="n"/>
      <c r="E206" s="114" t="n"/>
      <c r="F206" s="115" t="n"/>
      <c r="G206" s="107" t="n"/>
      <c r="H206" s="116">
        <f>IF(OR($B206="",$D206="",$F206=""),0,$F206*MAX(0,INT((MIN(IF($E206="",TODAY(),$E206),TODAY())-$D206)/7)+1))</f>
        <v/>
      </c>
      <c r="I206" s="116">
        <f>IF(OR($B206="",$D206="",$F206=""),0,$F206*MAX(0,INT((MIN(IF($E206="",TODAY()-8,$E206),TODAY()-8)-$D206)/7)+1))</f>
        <v/>
      </c>
      <c r="J206" s="116">
        <f>IF(OR($B206="",$D206="",$F206=""),0,$F206*MAX(0,INT((MIN(IF($E206="",TODAY()-15,$E206),TODAY()-15)-$D206)/7)+1))</f>
        <v/>
      </c>
      <c r="K206" s="116">
        <f>IF(OR($B206="",$D206="",$F206=""),0,$F206*MAX(0,INT((MIN(IF($E206="",TODAY()-29,$E206),TODAY()-29)-$D206)/7)+1))</f>
        <v/>
      </c>
      <c r="L206" s="117">
        <f>IF($F206&gt;0,$H206/$F206,0)</f>
        <v/>
      </c>
      <c r="M206" s="112">
        <f>IF($B206="","",IF($C206="TANIMSIZ MÜŞTERİ","HATA",IF($G206="Pasif","PASİF",IF(AND(WEEKDAY($D206,2)=6,OR($E206="",WEEKDAY($E206,2)=6),$F206&gt;0),"UYGUN","HATA"))))</f>
        <v/>
      </c>
      <c r="N206" s="108" t="n"/>
      <c r="O206" s="6" t="n"/>
      <c r="P206" s="6" t="n"/>
    </row>
    <row r="207">
      <c r="A207" s="6" t="n"/>
      <c r="B207" s="107" t="n"/>
      <c r="C207" s="113">
        <f>IF($B207="","",IFERROR(INDEX(MUSTERILER!$C$7:$C$106,MATCH($B207,MUSTERILER!$B$7:$B$106,0)),"TANIMSIZ MÜŞTERİ"))</f>
        <v/>
      </c>
      <c r="D207" s="114" t="n"/>
      <c r="E207" s="114" t="n"/>
      <c r="F207" s="115" t="n"/>
      <c r="G207" s="107" t="n"/>
      <c r="H207" s="116">
        <f>IF(OR($B207="",$D207="",$F207=""),0,$F207*MAX(0,INT((MIN(IF($E207="",TODAY(),$E207),TODAY())-$D207)/7)+1))</f>
        <v/>
      </c>
      <c r="I207" s="116">
        <f>IF(OR($B207="",$D207="",$F207=""),0,$F207*MAX(0,INT((MIN(IF($E207="",TODAY()-8,$E207),TODAY()-8)-$D207)/7)+1))</f>
        <v/>
      </c>
      <c r="J207" s="116">
        <f>IF(OR($B207="",$D207="",$F207=""),0,$F207*MAX(0,INT((MIN(IF($E207="",TODAY()-15,$E207),TODAY()-15)-$D207)/7)+1))</f>
        <v/>
      </c>
      <c r="K207" s="116">
        <f>IF(OR($B207="",$D207="",$F207=""),0,$F207*MAX(0,INT((MIN(IF($E207="",TODAY()-29,$E207),TODAY()-29)-$D207)/7)+1))</f>
        <v/>
      </c>
      <c r="L207" s="117">
        <f>IF($F207&gt;0,$H207/$F207,0)</f>
        <v/>
      </c>
      <c r="M207" s="112">
        <f>IF($B207="","",IF($C207="TANIMSIZ MÜŞTERİ","HATA",IF($G207="Pasif","PASİF",IF(AND(WEEKDAY($D207,2)=6,OR($E207="",WEEKDAY($E207,2)=6),$F207&gt;0),"UYGUN","HATA"))))</f>
        <v/>
      </c>
      <c r="N207" s="108" t="n"/>
      <c r="O207" s="6" t="n"/>
      <c r="P207" s="6" t="n"/>
    </row>
    <row r="208">
      <c r="A208" s="6" t="n"/>
      <c r="B208" s="107" t="n"/>
      <c r="C208" s="113">
        <f>IF($B208="","",IFERROR(INDEX(MUSTERILER!$C$7:$C$106,MATCH($B208,MUSTERILER!$B$7:$B$106,0)),"TANIMSIZ MÜŞTERİ"))</f>
        <v/>
      </c>
      <c r="D208" s="114" t="n"/>
      <c r="E208" s="114" t="n"/>
      <c r="F208" s="115" t="n"/>
      <c r="G208" s="107" t="n"/>
      <c r="H208" s="116">
        <f>IF(OR($B208="",$D208="",$F208=""),0,$F208*MAX(0,INT((MIN(IF($E208="",TODAY(),$E208),TODAY())-$D208)/7)+1))</f>
        <v/>
      </c>
      <c r="I208" s="116">
        <f>IF(OR($B208="",$D208="",$F208=""),0,$F208*MAX(0,INT((MIN(IF($E208="",TODAY()-8,$E208),TODAY()-8)-$D208)/7)+1))</f>
        <v/>
      </c>
      <c r="J208" s="116">
        <f>IF(OR($B208="",$D208="",$F208=""),0,$F208*MAX(0,INT((MIN(IF($E208="",TODAY()-15,$E208),TODAY()-15)-$D208)/7)+1))</f>
        <v/>
      </c>
      <c r="K208" s="116">
        <f>IF(OR($B208="",$D208="",$F208=""),0,$F208*MAX(0,INT((MIN(IF($E208="",TODAY()-29,$E208),TODAY()-29)-$D208)/7)+1))</f>
        <v/>
      </c>
      <c r="L208" s="117">
        <f>IF($F208&gt;0,$H208/$F208,0)</f>
        <v/>
      </c>
      <c r="M208" s="112">
        <f>IF($B208="","",IF($C208="TANIMSIZ MÜŞTERİ","HATA",IF($G208="Pasif","PASİF",IF(AND(WEEKDAY($D208,2)=6,OR($E208="",WEEKDAY($E208,2)=6),$F208&gt;0),"UYGUN","HATA"))))</f>
        <v/>
      </c>
      <c r="N208" s="108" t="n"/>
      <c r="O208" s="6" t="n"/>
      <c r="P208" s="6" t="n"/>
    </row>
    <row r="209">
      <c r="A209" s="6" t="n"/>
      <c r="B209" s="107" t="n"/>
      <c r="C209" s="113">
        <f>IF($B209="","",IFERROR(INDEX(MUSTERILER!$C$7:$C$106,MATCH($B209,MUSTERILER!$B$7:$B$106,0)),"TANIMSIZ MÜŞTERİ"))</f>
        <v/>
      </c>
      <c r="D209" s="114" t="n"/>
      <c r="E209" s="114" t="n"/>
      <c r="F209" s="115" t="n"/>
      <c r="G209" s="107" t="n"/>
      <c r="H209" s="116">
        <f>IF(OR($B209="",$D209="",$F209=""),0,$F209*MAX(0,INT((MIN(IF($E209="",TODAY(),$E209),TODAY())-$D209)/7)+1))</f>
        <v/>
      </c>
      <c r="I209" s="116">
        <f>IF(OR($B209="",$D209="",$F209=""),0,$F209*MAX(0,INT((MIN(IF($E209="",TODAY()-8,$E209),TODAY()-8)-$D209)/7)+1))</f>
        <v/>
      </c>
      <c r="J209" s="116">
        <f>IF(OR($B209="",$D209="",$F209=""),0,$F209*MAX(0,INT((MIN(IF($E209="",TODAY()-15,$E209),TODAY()-15)-$D209)/7)+1))</f>
        <v/>
      </c>
      <c r="K209" s="116">
        <f>IF(OR($B209="",$D209="",$F209=""),0,$F209*MAX(0,INT((MIN(IF($E209="",TODAY()-29,$E209),TODAY()-29)-$D209)/7)+1))</f>
        <v/>
      </c>
      <c r="L209" s="117">
        <f>IF($F209&gt;0,$H209/$F209,0)</f>
        <v/>
      </c>
      <c r="M209" s="112">
        <f>IF($B209="","",IF($C209="TANIMSIZ MÜŞTERİ","HATA",IF($G209="Pasif","PASİF",IF(AND(WEEKDAY($D209,2)=6,OR($E209="",WEEKDAY($E209,2)=6),$F209&gt;0),"UYGUN","HATA"))))</f>
        <v/>
      </c>
      <c r="N209" s="108" t="n"/>
      <c r="O209" s="6" t="n"/>
      <c r="P209" s="6" t="n"/>
    </row>
    <row r="210">
      <c r="A210" s="6" t="n"/>
      <c r="B210" s="107" t="n"/>
      <c r="C210" s="113">
        <f>IF($B210="","",IFERROR(INDEX(MUSTERILER!$C$7:$C$106,MATCH($B210,MUSTERILER!$B$7:$B$106,0)),"TANIMSIZ MÜŞTERİ"))</f>
        <v/>
      </c>
      <c r="D210" s="114" t="n"/>
      <c r="E210" s="114" t="n"/>
      <c r="F210" s="115" t="n"/>
      <c r="G210" s="107" t="n"/>
      <c r="H210" s="116">
        <f>IF(OR($B210="",$D210="",$F210=""),0,$F210*MAX(0,INT((MIN(IF($E210="",TODAY(),$E210),TODAY())-$D210)/7)+1))</f>
        <v/>
      </c>
      <c r="I210" s="116">
        <f>IF(OR($B210="",$D210="",$F210=""),0,$F210*MAX(0,INT((MIN(IF($E210="",TODAY()-8,$E210),TODAY()-8)-$D210)/7)+1))</f>
        <v/>
      </c>
      <c r="J210" s="116">
        <f>IF(OR($B210="",$D210="",$F210=""),0,$F210*MAX(0,INT((MIN(IF($E210="",TODAY()-15,$E210),TODAY()-15)-$D210)/7)+1))</f>
        <v/>
      </c>
      <c r="K210" s="116">
        <f>IF(OR($B210="",$D210="",$F210=""),0,$F210*MAX(0,INT((MIN(IF($E210="",TODAY()-29,$E210),TODAY()-29)-$D210)/7)+1))</f>
        <v/>
      </c>
      <c r="L210" s="117">
        <f>IF($F210&gt;0,$H210/$F210,0)</f>
        <v/>
      </c>
      <c r="M210" s="112">
        <f>IF($B210="","",IF($C210="TANIMSIZ MÜŞTERİ","HATA",IF($G210="Pasif","PASİF",IF(AND(WEEKDAY($D210,2)=6,OR($E210="",WEEKDAY($E210,2)=6),$F210&gt;0),"UYGUN","HATA"))))</f>
        <v/>
      </c>
      <c r="N210" s="108" t="n"/>
      <c r="O210" s="6" t="n"/>
      <c r="P210" s="6" t="n"/>
    </row>
    <row r="211">
      <c r="A211" s="6" t="n"/>
      <c r="B211" s="107" t="n"/>
      <c r="C211" s="113">
        <f>IF($B211="","",IFERROR(INDEX(MUSTERILER!$C$7:$C$106,MATCH($B211,MUSTERILER!$B$7:$B$106,0)),"TANIMSIZ MÜŞTERİ"))</f>
        <v/>
      </c>
      <c r="D211" s="114" t="n"/>
      <c r="E211" s="114" t="n"/>
      <c r="F211" s="115" t="n"/>
      <c r="G211" s="107" t="n"/>
      <c r="H211" s="116">
        <f>IF(OR($B211="",$D211="",$F211=""),0,$F211*MAX(0,INT((MIN(IF($E211="",TODAY(),$E211),TODAY())-$D211)/7)+1))</f>
        <v/>
      </c>
      <c r="I211" s="116">
        <f>IF(OR($B211="",$D211="",$F211=""),0,$F211*MAX(0,INT((MIN(IF($E211="",TODAY()-8,$E211),TODAY()-8)-$D211)/7)+1))</f>
        <v/>
      </c>
      <c r="J211" s="116">
        <f>IF(OR($B211="",$D211="",$F211=""),0,$F211*MAX(0,INT((MIN(IF($E211="",TODAY()-15,$E211),TODAY()-15)-$D211)/7)+1))</f>
        <v/>
      </c>
      <c r="K211" s="116">
        <f>IF(OR($B211="",$D211="",$F211=""),0,$F211*MAX(0,INT((MIN(IF($E211="",TODAY()-29,$E211),TODAY()-29)-$D211)/7)+1))</f>
        <v/>
      </c>
      <c r="L211" s="117">
        <f>IF($F211&gt;0,$H211/$F211,0)</f>
        <v/>
      </c>
      <c r="M211" s="112">
        <f>IF($B211="","",IF($C211="TANIMSIZ MÜŞTERİ","HATA",IF($G211="Pasif","PASİF",IF(AND(WEEKDAY($D211,2)=6,OR($E211="",WEEKDAY($E211,2)=6),$F211&gt;0),"UYGUN","HATA"))))</f>
        <v/>
      </c>
      <c r="N211" s="108" t="n"/>
      <c r="O211" s="6" t="n"/>
      <c r="P211" s="6" t="n"/>
    </row>
    <row r="212">
      <c r="A212" s="6" t="n"/>
      <c r="B212" s="107" t="n"/>
      <c r="C212" s="113">
        <f>IF($B212="","",IFERROR(INDEX(MUSTERILER!$C$7:$C$106,MATCH($B212,MUSTERILER!$B$7:$B$106,0)),"TANIMSIZ MÜŞTERİ"))</f>
        <v/>
      </c>
      <c r="D212" s="114" t="n"/>
      <c r="E212" s="114" t="n"/>
      <c r="F212" s="115" t="n"/>
      <c r="G212" s="107" t="n"/>
      <c r="H212" s="116">
        <f>IF(OR($B212="",$D212="",$F212=""),0,$F212*MAX(0,INT((MIN(IF($E212="",TODAY(),$E212),TODAY())-$D212)/7)+1))</f>
        <v/>
      </c>
      <c r="I212" s="116">
        <f>IF(OR($B212="",$D212="",$F212=""),0,$F212*MAX(0,INT((MIN(IF($E212="",TODAY()-8,$E212),TODAY()-8)-$D212)/7)+1))</f>
        <v/>
      </c>
      <c r="J212" s="116">
        <f>IF(OR($B212="",$D212="",$F212=""),0,$F212*MAX(0,INT((MIN(IF($E212="",TODAY()-15,$E212),TODAY()-15)-$D212)/7)+1))</f>
        <v/>
      </c>
      <c r="K212" s="116">
        <f>IF(OR($B212="",$D212="",$F212=""),0,$F212*MAX(0,INT((MIN(IF($E212="",TODAY()-29,$E212),TODAY()-29)-$D212)/7)+1))</f>
        <v/>
      </c>
      <c r="L212" s="117">
        <f>IF($F212&gt;0,$H212/$F212,0)</f>
        <v/>
      </c>
      <c r="M212" s="112">
        <f>IF($B212="","",IF($C212="TANIMSIZ MÜŞTERİ","HATA",IF($G212="Pasif","PASİF",IF(AND(WEEKDAY($D212,2)=6,OR($E212="",WEEKDAY($E212,2)=6),$F212&gt;0),"UYGUN","HATA"))))</f>
        <v/>
      </c>
      <c r="N212" s="108" t="n"/>
      <c r="O212" s="6" t="n"/>
      <c r="P212" s="6" t="n"/>
    </row>
    <row r="213">
      <c r="A213" s="6" t="n"/>
      <c r="B213" s="107" t="n"/>
      <c r="C213" s="113">
        <f>IF($B213="","",IFERROR(INDEX(MUSTERILER!$C$7:$C$106,MATCH($B213,MUSTERILER!$B$7:$B$106,0)),"TANIMSIZ MÜŞTERİ"))</f>
        <v/>
      </c>
      <c r="D213" s="114" t="n"/>
      <c r="E213" s="114" t="n"/>
      <c r="F213" s="115" t="n"/>
      <c r="G213" s="107" t="n"/>
      <c r="H213" s="116">
        <f>IF(OR($B213="",$D213="",$F213=""),0,$F213*MAX(0,INT((MIN(IF($E213="",TODAY(),$E213),TODAY())-$D213)/7)+1))</f>
        <v/>
      </c>
      <c r="I213" s="116">
        <f>IF(OR($B213="",$D213="",$F213=""),0,$F213*MAX(0,INT((MIN(IF($E213="",TODAY()-8,$E213),TODAY()-8)-$D213)/7)+1))</f>
        <v/>
      </c>
      <c r="J213" s="116">
        <f>IF(OR($B213="",$D213="",$F213=""),0,$F213*MAX(0,INT((MIN(IF($E213="",TODAY()-15,$E213),TODAY()-15)-$D213)/7)+1))</f>
        <v/>
      </c>
      <c r="K213" s="116">
        <f>IF(OR($B213="",$D213="",$F213=""),0,$F213*MAX(0,INT((MIN(IF($E213="",TODAY()-29,$E213),TODAY()-29)-$D213)/7)+1))</f>
        <v/>
      </c>
      <c r="L213" s="117">
        <f>IF($F213&gt;0,$H213/$F213,0)</f>
        <v/>
      </c>
      <c r="M213" s="112">
        <f>IF($B213="","",IF($C213="TANIMSIZ MÜŞTERİ","HATA",IF($G213="Pasif","PASİF",IF(AND(WEEKDAY($D213,2)=6,OR($E213="",WEEKDAY($E213,2)=6),$F213&gt;0),"UYGUN","HATA"))))</f>
        <v/>
      </c>
      <c r="N213" s="108" t="n"/>
      <c r="O213" s="6" t="n"/>
      <c r="P213" s="6" t="n"/>
    </row>
    <row r="214">
      <c r="A214" s="6" t="n"/>
      <c r="B214" s="107" t="n"/>
      <c r="C214" s="113">
        <f>IF($B214="","",IFERROR(INDEX(MUSTERILER!$C$7:$C$106,MATCH($B214,MUSTERILER!$B$7:$B$106,0)),"TANIMSIZ MÜŞTERİ"))</f>
        <v/>
      </c>
      <c r="D214" s="114" t="n"/>
      <c r="E214" s="114" t="n"/>
      <c r="F214" s="115" t="n"/>
      <c r="G214" s="107" t="n"/>
      <c r="H214" s="116">
        <f>IF(OR($B214="",$D214="",$F214=""),0,$F214*MAX(0,INT((MIN(IF($E214="",TODAY(),$E214),TODAY())-$D214)/7)+1))</f>
        <v/>
      </c>
      <c r="I214" s="116">
        <f>IF(OR($B214="",$D214="",$F214=""),0,$F214*MAX(0,INT((MIN(IF($E214="",TODAY()-8,$E214),TODAY()-8)-$D214)/7)+1))</f>
        <v/>
      </c>
      <c r="J214" s="116">
        <f>IF(OR($B214="",$D214="",$F214=""),0,$F214*MAX(0,INT((MIN(IF($E214="",TODAY()-15,$E214),TODAY()-15)-$D214)/7)+1))</f>
        <v/>
      </c>
      <c r="K214" s="116">
        <f>IF(OR($B214="",$D214="",$F214=""),0,$F214*MAX(0,INT((MIN(IF($E214="",TODAY()-29,$E214),TODAY()-29)-$D214)/7)+1))</f>
        <v/>
      </c>
      <c r="L214" s="117">
        <f>IF($F214&gt;0,$H214/$F214,0)</f>
        <v/>
      </c>
      <c r="M214" s="112">
        <f>IF($B214="","",IF($C214="TANIMSIZ MÜŞTERİ","HATA",IF($G214="Pasif","PASİF",IF(AND(WEEKDAY($D214,2)=6,OR($E214="",WEEKDAY($E214,2)=6),$F214&gt;0),"UYGUN","HATA"))))</f>
        <v/>
      </c>
      <c r="N214" s="108" t="n"/>
      <c r="O214" s="6" t="n"/>
      <c r="P214" s="6" t="n"/>
    </row>
    <row r="215">
      <c r="A215" s="6" t="n"/>
      <c r="B215" s="107" t="n"/>
      <c r="C215" s="113">
        <f>IF($B215="","",IFERROR(INDEX(MUSTERILER!$C$7:$C$106,MATCH($B215,MUSTERILER!$B$7:$B$106,0)),"TANIMSIZ MÜŞTERİ"))</f>
        <v/>
      </c>
      <c r="D215" s="114" t="n"/>
      <c r="E215" s="114" t="n"/>
      <c r="F215" s="115" t="n"/>
      <c r="G215" s="107" t="n"/>
      <c r="H215" s="116">
        <f>IF(OR($B215="",$D215="",$F215=""),0,$F215*MAX(0,INT((MIN(IF($E215="",TODAY(),$E215),TODAY())-$D215)/7)+1))</f>
        <v/>
      </c>
      <c r="I215" s="116">
        <f>IF(OR($B215="",$D215="",$F215=""),0,$F215*MAX(0,INT((MIN(IF($E215="",TODAY()-8,$E215),TODAY()-8)-$D215)/7)+1))</f>
        <v/>
      </c>
      <c r="J215" s="116">
        <f>IF(OR($B215="",$D215="",$F215=""),0,$F215*MAX(0,INT((MIN(IF($E215="",TODAY()-15,$E215),TODAY()-15)-$D215)/7)+1))</f>
        <v/>
      </c>
      <c r="K215" s="116">
        <f>IF(OR($B215="",$D215="",$F215=""),0,$F215*MAX(0,INT((MIN(IF($E215="",TODAY()-29,$E215),TODAY()-29)-$D215)/7)+1))</f>
        <v/>
      </c>
      <c r="L215" s="117">
        <f>IF($F215&gt;0,$H215/$F215,0)</f>
        <v/>
      </c>
      <c r="M215" s="112">
        <f>IF($B215="","",IF($C215="TANIMSIZ MÜŞTERİ","HATA",IF($G215="Pasif","PASİF",IF(AND(WEEKDAY($D215,2)=6,OR($E215="",WEEKDAY($E215,2)=6),$F215&gt;0),"UYGUN","HATA"))))</f>
        <v/>
      </c>
      <c r="N215" s="108" t="n"/>
      <c r="O215" s="6" t="n"/>
      <c r="P215" s="6" t="n"/>
    </row>
    <row r="216">
      <c r="A216" s="6" t="n"/>
      <c r="B216" s="107" t="n"/>
      <c r="C216" s="113">
        <f>IF($B216="","",IFERROR(INDEX(MUSTERILER!$C$7:$C$106,MATCH($B216,MUSTERILER!$B$7:$B$106,0)),"TANIMSIZ MÜŞTERİ"))</f>
        <v/>
      </c>
      <c r="D216" s="114" t="n"/>
      <c r="E216" s="114" t="n"/>
      <c r="F216" s="115" t="n"/>
      <c r="G216" s="107" t="n"/>
      <c r="H216" s="116">
        <f>IF(OR($B216="",$D216="",$F216=""),0,$F216*MAX(0,INT((MIN(IF($E216="",TODAY(),$E216),TODAY())-$D216)/7)+1))</f>
        <v/>
      </c>
      <c r="I216" s="116">
        <f>IF(OR($B216="",$D216="",$F216=""),0,$F216*MAX(0,INT((MIN(IF($E216="",TODAY()-8,$E216),TODAY()-8)-$D216)/7)+1))</f>
        <v/>
      </c>
      <c r="J216" s="116">
        <f>IF(OR($B216="",$D216="",$F216=""),0,$F216*MAX(0,INT((MIN(IF($E216="",TODAY()-15,$E216),TODAY()-15)-$D216)/7)+1))</f>
        <v/>
      </c>
      <c r="K216" s="116">
        <f>IF(OR($B216="",$D216="",$F216=""),0,$F216*MAX(0,INT((MIN(IF($E216="",TODAY()-29,$E216),TODAY()-29)-$D216)/7)+1))</f>
        <v/>
      </c>
      <c r="L216" s="117">
        <f>IF($F216&gt;0,$H216/$F216,0)</f>
        <v/>
      </c>
      <c r="M216" s="112">
        <f>IF($B216="","",IF($C216="TANIMSIZ MÜŞTERİ","HATA",IF($G216="Pasif","PASİF",IF(AND(WEEKDAY($D216,2)=6,OR($E216="",WEEKDAY($E216,2)=6),$F216&gt;0),"UYGUN","HATA"))))</f>
        <v/>
      </c>
      <c r="N216" s="108" t="n"/>
      <c r="O216" s="6" t="n"/>
      <c r="P216" s="6" t="n"/>
    </row>
    <row r="217">
      <c r="A217" s="6" t="n"/>
      <c r="B217" s="107" t="n"/>
      <c r="C217" s="113">
        <f>IF($B217="","",IFERROR(INDEX(MUSTERILER!$C$7:$C$106,MATCH($B217,MUSTERILER!$B$7:$B$106,0)),"TANIMSIZ MÜŞTERİ"))</f>
        <v/>
      </c>
      <c r="D217" s="114" t="n"/>
      <c r="E217" s="114" t="n"/>
      <c r="F217" s="115" t="n"/>
      <c r="G217" s="107" t="n"/>
      <c r="H217" s="116">
        <f>IF(OR($B217="",$D217="",$F217=""),0,$F217*MAX(0,INT((MIN(IF($E217="",TODAY(),$E217),TODAY())-$D217)/7)+1))</f>
        <v/>
      </c>
      <c r="I217" s="116">
        <f>IF(OR($B217="",$D217="",$F217=""),0,$F217*MAX(0,INT((MIN(IF($E217="",TODAY()-8,$E217),TODAY()-8)-$D217)/7)+1))</f>
        <v/>
      </c>
      <c r="J217" s="116">
        <f>IF(OR($B217="",$D217="",$F217=""),0,$F217*MAX(0,INT((MIN(IF($E217="",TODAY()-15,$E217),TODAY()-15)-$D217)/7)+1))</f>
        <v/>
      </c>
      <c r="K217" s="116">
        <f>IF(OR($B217="",$D217="",$F217=""),0,$F217*MAX(0,INT((MIN(IF($E217="",TODAY()-29,$E217),TODAY()-29)-$D217)/7)+1))</f>
        <v/>
      </c>
      <c r="L217" s="117">
        <f>IF($F217&gt;0,$H217/$F217,0)</f>
        <v/>
      </c>
      <c r="M217" s="112">
        <f>IF($B217="","",IF($C217="TANIMSIZ MÜŞTERİ","HATA",IF($G217="Pasif","PASİF",IF(AND(WEEKDAY($D217,2)=6,OR($E217="",WEEKDAY($E217,2)=6),$F217&gt;0),"UYGUN","HATA"))))</f>
        <v/>
      </c>
      <c r="N217" s="108" t="n"/>
      <c r="O217" s="6" t="n"/>
      <c r="P217" s="6" t="n"/>
    </row>
    <row r="218">
      <c r="A218" s="6" t="n"/>
      <c r="B218" s="107" t="n"/>
      <c r="C218" s="113">
        <f>IF($B218="","",IFERROR(INDEX(MUSTERILER!$C$7:$C$106,MATCH($B218,MUSTERILER!$B$7:$B$106,0)),"TANIMSIZ MÜŞTERİ"))</f>
        <v/>
      </c>
      <c r="D218" s="114" t="n"/>
      <c r="E218" s="114" t="n"/>
      <c r="F218" s="115" t="n"/>
      <c r="G218" s="107" t="n"/>
      <c r="H218" s="116">
        <f>IF(OR($B218="",$D218="",$F218=""),0,$F218*MAX(0,INT((MIN(IF($E218="",TODAY(),$E218),TODAY())-$D218)/7)+1))</f>
        <v/>
      </c>
      <c r="I218" s="116">
        <f>IF(OR($B218="",$D218="",$F218=""),0,$F218*MAX(0,INT((MIN(IF($E218="",TODAY()-8,$E218),TODAY()-8)-$D218)/7)+1))</f>
        <v/>
      </c>
      <c r="J218" s="116">
        <f>IF(OR($B218="",$D218="",$F218=""),0,$F218*MAX(0,INT((MIN(IF($E218="",TODAY()-15,$E218),TODAY()-15)-$D218)/7)+1))</f>
        <v/>
      </c>
      <c r="K218" s="116">
        <f>IF(OR($B218="",$D218="",$F218=""),0,$F218*MAX(0,INT((MIN(IF($E218="",TODAY()-29,$E218),TODAY()-29)-$D218)/7)+1))</f>
        <v/>
      </c>
      <c r="L218" s="117">
        <f>IF($F218&gt;0,$H218/$F218,0)</f>
        <v/>
      </c>
      <c r="M218" s="112">
        <f>IF($B218="","",IF($C218="TANIMSIZ MÜŞTERİ","HATA",IF($G218="Pasif","PASİF",IF(AND(WEEKDAY($D218,2)=6,OR($E218="",WEEKDAY($E218,2)=6),$F218&gt;0),"UYGUN","HATA"))))</f>
        <v/>
      </c>
      <c r="N218" s="108" t="n"/>
      <c r="O218" s="6" t="n"/>
      <c r="P218" s="6" t="n"/>
    </row>
    <row r="219">
      <c r="A219" s="6" t="n"/>
      <c r="B219" s="107" t="n"/>
      <c r="C219" s="113">
        <f>IF($B219="","",IFERROR(INDEX(MUSTERILER!$C$7:$C$106,MATCH($B219,MUSTERILER!$B$7:$B$106,0)),"TANIMSIZ MÜŞTERİ"))</f>
        <v/>
      </c>
      <c r="D219" s="114" t="n"/>
      <c r="E219" s="114" t="n"/>
      <c r="F219" s="115" t="n"/>
      <c r="G219" s="107" t="n"/>
      <c r="H219" s="116">
        <f>IF(OR($B219="",$D219="",$F219=""),0,$F219*MAX(0,INT((MIN(IF($E219="",TODAY(),$E219),TODAY())-$D219)/7)+1))</f>
        <v/>
      </c>
      <c r="I219" s="116">
        <f>IF(OR($B219="",$D219="",$F219=""),0,$F219*MAX(0,INT((MIN(IF($E219="",TODAY()-8,$E219),TODAY()-8)-$D219)/7)+1))</f>
        <v/>
      </c>
      <c r="J219" s="116">
        <f>IF(OR($B219="",$D219="",$F219=""),0,$F219*MAX(0,INT((MIN(IF($E219="",TODAY()-15,$E219),TODAY()-15)-$D219)/7)+1))</f>
        <v/>
      </c>
      <c r="K219" s="116">
        <f>IF(OR($B219="",$D219="",$F219=""),0,$F219*MAX(0,INT((MIN(IF($E219="",TODAY()-29,$E219),TODAY()-29)-$D219)/7)+1))</f>
        <v/>
      </c>
      <c r="L219" s="117">
        <f>IF($F219&gt;0,$H219/$F219,0)</f>
        <v/>
      </c>
      <c r="M219" s="112">
        <f>IF($B219="","",IF($C219="TANIMSIZ MÜŞTERİ","HATA",IF($G219="Pasif","PASİF",IF(AND(WEEKDAY($D219,2)=6,OR($E219="",WEEKDAY($E219,2)=6),$F219&gt;0),"UYGUN","HATA"))))</f>
        <v/>
      </c>
      <c r="N219" s="108" t="n"/>
      <c r="O219" s="6" t="n"/>
      <c r="P219" s="6" t="n"/>
    </row>
    <row r="220">
      <c r="A220" s="6" t="n"/>
      <c r="B220" s="107" t="n"/>
      <c r="C220" s="113">
        <f>IF($B220="","",IFERROR(INDEX(MUSTERILER!$C$7:$C$106,MATCH($B220,MUSTERILER!$B$7:$B$106,0)),"TANIMSIZ MÜŞTERİ"))</f>
        <v/>
      </c>
      <c r="D220" s="114" t="n"/>
      <c r="E220" s="114" t="n"/>
      <c r="F220" s="115" t="n"/>
      <c r="G220" s="107" t="n"/>
      <c r="H220" s="116">
        <f>IF(OR($B220="",$D220="",$F220=""),0,$F220*MAX(0,INT((MIN(IF($E220="",TODAY(),$E220),TODAY())-$D220)/7)+1))</f>
        <v/>
      </c>
      <c r="I220" s="116">
        <f>IF(OR($B220="",$D220="",$F220=""),0,$F220*MAX(0,INT((MIN(IF($E220="",TODAY()-8,$E220),TODAY()-8)-$D220)/7)+1))</f>
        <v/>
      </c>
      <c r="J220" s="116">
        <f>IF(OR($B220="",$D220="",$F220=""),0,$F220*MAX(0,INT((MIN(IF($E220="",TODAY()-15,$E220),TODAY()-15)-$D220)/7)+1))</f>
        <v/>
      </c>
      <c r="K220" s="116">
        <f>IF(OR($B220="",$D220="",$F220=""),0,$F220*MAX(0,INT((MIN(IF($E220="",TODAY()-29,$E220),TODAY()-29)-$D220)/7)+1))</f>
        <v/>
      </c>
      <c r="L220" s="117">
        <f>IF($F220&gt;0,$H220/$F220,0)</f>
        <v/>
      </c>
      <c r="M220" s="112">
        <f>IF($B220="","",IF($C220="TANIMSIZ MÜŞTERİ","HATA",IF($G220="Pasif","PASİF",IF(AND(WEEKDAY($D220,2)=6,OR($E220="",WEEKDAY($E220,2)=6),$F220&gt;0),"UYGUN","HATA"))))</f>
        <v/>
      </c>
      <c r="N220" s="108" t="n"/>
      <c r="O220" s="6" t="n"/>
      <c r="P220" s="6" t="n"/>
    </row>
    <row r="221">
      <c r="A221" s="6" t="n"/>
      <c r="B221" s="107" t="n"/>
      <c r="C221" s="113">
        <f>IF($B221="","",IFERROR(INDEX(MUSTERILER!$C$7:$C$106,MATCH($B221,MUSTERILER!$B$7:$B$106,0)),"TANIMSIZ MÜŞTERİ"))</f>
        <v/>
      </c>
      <c r="D221" s="114" t="n"/>
      <c r="E221" s="114" t="n"/>
      <c r="F221" s="115" t="n"/>
      <c r="G221" s="107" t="n"/>
      <c r="H221" s="116">
        <f>IF(OR($B221="",$D221="",$F221=""),0,$F221*MAX(0,INT((MIN(IF($E221="",TODAY(),$E221),TODAY())-$D221)/7)+1))</f>
        <v/>
      </c>
      <c r="I221" s="116">
        <f>IF(OR($B221="",$D221="",$F221=""),0,$F221*MAX(0,INT((MIN(IF($E221="",TODAY()-8,$E221),TODAY()-8)-$D221)/7)+1))</f>
        <v/>
      </c>
      <c r="J221" s="116">
        <f>IF(OR($B221="",$D221="",$F221=""),0,$F221*MAX(0,INT((MIN(IF($E221="",TODAY()-15,$E221),TODAY()-15)-$D221)/7)+1))</f>
        <v/>
      </c>
      <c r="K221" s="116">
        <f>IF(OR($B221="",$D221="",$F221=""),0,$F221*MAX(0,INT((MIN(IF($E221="",TODAY()-29,$E221),TODAY()-29)-$D221)/7)+1))</f>
        <v/>
      </c>
      <c r="L221" s="117">
        <f>IF($F221&gt;0,$H221/$F221,0)</f>
        <v/>
      </c>
      <c r="M221" s="112">
        <f>IF($B221="","",IF($C221="TANIMSIZ MÜŞTERİ","HATA",IF($G221="Pasif","PASİF",IF(AND(WEEKDAY($D221,2)=6,OR($E221="",WEEKDAY($E221,2)=6),$F221&gt;0),"UYGUN","HATA"))))</f>
        <v/>
      </c>
      <c r="N221" s="108" t="n"/>
      <c r="O221" s="6" t="n"/>
      <c r="P221" s="6" t="n"/>
    </row>
    <row r="222">
      <c r="A222" s="6" t="n"/>
      <c r="B222" s="107" t="n"/>
      <c r="C222" s="113">
        <f>IF($B222="","",IFERROR(INDEX(MUSTERILER!$C$7:$C$106,MATCH($B222,MUSTERILER!$B$7:$B$106,0)),"TANIMSIZ MÜŞTERİ"))</f>
        <v/>
      </c>
      <c r="D222" s="114" t="n"/>
      <c r="E222" s="114" t="n"/>
      <c r="F222" s="115" t="n"/>
      <c r="G222" s="107" t="n"/>
      <c r="H222" s="116">
        <f>IF(OR($B222="",$D222="",$F222=""),0,$F222*MAX(0,INT((MIN(IF($E222="",TODAY(),$E222),TODAY())-$D222)/7)+1))</f>
        <v/>
      </c>
      <c r="I222" s="116">
        <f>IF(OR($B222="",$D222="",$F222=""),0,$F222*MAX(0,INT((MIN(IF($E222="",TODAY()-8,$E222),TODAY()-8)-$D222)/7)+1))</f>
        <v/>
      </c>
      <c r="J222" s="116">
        <f>IF(OR($B222="",$D222="",$F222=""),0,$F222*MAX(0,INT((MIN(IF($E222="",TODAY()-15,$E222),TODAY()-15)-$D222)/7)+1))</f>
        <v/>
      </c>
      <c r="K222" s="116">
        <f>IF(OR($B222="",$D222="",$F222=""),0,$F222*MAX(0,INT((MIN(IF($E222="",TODAY()-29,$E222),TODAY()-29)-$D222)/7)+1))</f>
        <v/>
      </c>
      <c r="L222" s="117">
        <f>IF($F222&gt;0,$H222/$F222,0)</f>
        <v/>
      </c>
      <c r="M222" s="112">
        <f>IF($B222="","",IF($C222="TANIMSIZ MÜŞTERİ","HATA",IF($G222="Pasif","PASİF",IF(AND(WEEKDAY($D222,2)=6,OR($E222="",WEEKDAY($E222,2)=6),$F222&gt;0),"UYGUN","HATA"))))</f>
        <v/>
      </c>
      <c r="N222" s="108" t="n"/>
      <c r="O222" s="6" t="n"/>
      <c r="P222" s="6" t="n"/>
    </row>
    <row r="223">
      <c r="A223" s="6" t="n"/>
      <c r="B223" s="107" t="n"/>
      <c r="C223" s="113">
        <f>IF($B223="","",IFERROR(INDEX(MUSTERILER!$C$7:$C$106,MATCH($B223,MUSTERILER!$B$7:$B$106,0)),"TANIMSIZ MÜŞTERİ"))</f>
        <v/>
      </c>
      <c r="D223" s="114" t="n"/>
      <c r="E223" s="114" t="n"/>
      <c r="F223" s="115" t="n"/>
      <c r="G223" s="107" t="n"/>
      <c r="H223" s="116">
        <f>IF(OR($B223="",$D223="",$F223=""),0,$F223*MAX(0,INT((MIN(IF($E223="",TODAY(),$E223),TODAY())-$D223)/7)+1))</f>
        <v/>
      </c>
      <c r="I223" s="116">
        <f>IF(OR($B223="",$D223="",$F223=""),0,$F223*MAX(0,INT((MIN(IF($E223="",TODAY()-8,$E223),TODAY()-8)-$D223)/7)+1))</f>
        <v/>
      </c>
      <c r="J223" s="116">
        <f>IF(OR($B223="",$D223="",$F223=""),0,$F223*MAX(0,INT((MIN(IF($E223="",TODAY()-15,$E223),TODAY()-15)-$D223)/7)+1))</f>
        <v/>
      </c>
      <c r="K223" s="116">
        <f>IF(OR($B223="",$D223="",$F223=""),0,$F223*MAX(0,INT((MIN(IF($E223="",TODAY()-29,$E223),TODAY()-29)-$D223)/7)+1))</f>
        <v/>
      </c>
      <c r="L223" s="117">
        <f>IF($F223&gt;0,$H223/$F223,0)</f>
        <v/>
      </c>
      <c r="M223" s="112">
        <f>IF($B223="","",IF($C223="TANIMSIZ MÜŞTERİ","HATA",IF($G223="Pasif","PASİF",IF(AND(WEEKDAY($D223,2)=6,OR($E223="",WEEKDAY($E223,2)=6),$F223&gt;0),"UYGUN","HATA"))))</f>
        <v/>
      </c>
      <c r="N223" s="108" t="n"/>
      <c r="O223" s="6" t="n"/>
      <c r="P223" s="6" t="n"/>
    </row>
    <row r="224">
      <c r="A224" s="6" t="n"/>
      <c r="B224" s="107" t="n"/>
      <c r="C224" s="113">
        <f>IF($B224="","",IFERROR(INDEX(MUSTERILER!$C$7:$C$106,MATCH($B224,MUSTERILER!$B$7:$B$106,0)),"TANIMSIZ MÜŞTERİ"))</f>
        <v/>
      </c>
      <c r="D224" s="114" t="n"/>
      <c r="E224" s="114" t="n"/>
      <c r="F224" s="115" t="n"/>
      <c r="G224" s="107" t="n"/>
      <c r="H224" s="116">
        <f>IF(OR($B224="",$D224="",$F224=""),0,$F224*MAX(0,INT((MIN(IF($E224="",TODAY(),$E224),TODAY())-$D224)/7)+1))</f>
        <v/>
      </c>
      <c r="I224" s="116">
        <f>IF(OR($B224="",$D224="",$F224=""),0,$F224*MAX(0,INT((MIN(IF($E224="",TODAY()-8,$E224),TODAY()-8)-$D224)/7)+1))</f>
        <v/>
      </c>
      <c r="J224" s="116">
        <f>IF(OR($B224="",$D224="",$F224=""),0,$F224*MAX(0,INT((MIN(IF($E224="",TODAY()-15,$E224),TODAY()-15)-$D224)/7)+1))</f>
        <v/>
      </c>
      <c r="K224" s="116">
        <f>IF(OR($B224="",$D224="",$F224=""),0,$F224*MAX(0,INT((MIN(IF($E224="",TODAY()-29,$E224),TODAY()-29)-$D224)/7)+1))</f>
        <v/>
      </c>
      <c r="L224" s="117">
        <f>IF($F224&gt;0,$H224/$F224,0)</f>
        <v/>
      </c>
      <c r="M224" s="112">
        <f>IF($B224="","",IF($C224="TANIMSIZ MÜŞTERİ","HATA",IF($G224="Pasif","PASİF",IF(AND(WEEKDAY($D224,2)=6,OR($E224="",WEEKDAY($E224,2)=6),$F224&gt;0),"UYGUN","HATA"))))</f>
        <v/>
      </c>
      <c r="N224" s="108" t="n"/>
      <c r="O224" s="6" t="n"/>
      <c r="P224" s="6" t="n"/>
    </row>
    <row r="225">
      <c r="A225" s="6" t="n"/>
      <c r="B225" s="107" t="n"/>
      <c r="C225" s="113">
        <f>IF($B225="","",IFERROR(INDEX(MUSTERILER!$C$7:$C$106,MATCH($B225,MUSTERILER!$B$7:$B$106,0)),"TANIMSIZ MÜŞTERİ"))</f>
        <v/>
      </c>
      <c r="D225" s="114" t="n"/>
      <c r="E225" s="114" t="n"/>
      <c r="F225" s="115" t="n"/>
      <c r="G225" s="107" t="n"/>
      <c r="H225" s="116">
        <f>IF(OR($B225="",$D225="",$F225=""),0,$F225*MAX(0,INT((MIN(IF($E225="",TODAY(),$E225),TODAY())-$D225)/7)+1))</f>
        <v/>
      </c>
      <c r="I225" s="116">
        <f>IF(OR($B225="",$D225="",$F225=""),0,$F225*MAX(0,INT((MIN(IF($E225="",TODAY()-8,$E225),TODAY()-8)-$D225)/7)+1))</f>
        <v/>
      </c>
      <c r="J225" s="116">
        <f>IF(OR($B225="",$D225="",$F225=""),0,$F225*MAX(0,INT((MIN(IF($E225="",TODAY()-15,$E225),TODAY()-15)-$D225)/7)+1))</f>
        <v/>
      </c>
      <c r="K225" s="116">
        <f>IF(OR($B225="",$D225="",$F225=""),0,$F225*MAX(0,INT((MIN(IF($E225="",TODAY()-29,$E225),TODAY()-29)-$D225)/7)+1))</f>
        <v/>
      </c>
      <c r="L225" s="117">
        <f>IF($F225&gt;0,$H225/$F225,0)</f>
        <v/>
      </c>
      <c r="M225" s="112">
        <f>IF($B225="","",IF($C225="TANIMSIZ MÜŞTERİ","HATA",IF($G225="Pasif","PASİF",IF(AND(WEEKDAY($D225,2)=6,OR($E225="",WEEKDAY($E225,2)=6),$F225&gt;0),"UYGUN","HATA"))))</f>
        <v/>
      </c>
      <c r="N225" s="108" t="n"/>
      <c r="O225" s="6" t="n"/>
      <c r="P225" s="6" t="n"/>
    </row>
    <row r="226">
      <c r="A226" s="6" t="n"/>
      <c r="B226" s="107" t="n"/>
      <c r="C226" s="113">
        <f>IF($B226="","",IFERROR(INDEX(MUSTERILER!$C$7:$C$106,MATCH($B226,MUSTERILER!$B$7:$B$106,0)),"TANIMSIZ MÜŞTERİ"))</f>
        <v/>
      </c>
      <c r="D226" s="114" t="n"/>
      <c r="E226" s="114" t="n"/>
      <c r="F226" s="115" t="n"/>
      <c r="G226" s="107" t="n"/>
      <c r="H226" s="116">
        <f>IF(OR($B226="",$D226="",$F226=""),0,$F226*MAX(0,INT((MIN(IF($E226="",TODAY(),$E226),TODAY())-$D226)/7)+1))</f>
        <v/>
      </c>
      <c r="I226" s="116">
        <f>IF(OR($B226="",$D226="",$F226=""),0,$F226*MAX(0,INT((MIN(IF($E226="",TODAY()-8,$E226),TODAY()-8)-$D226)/7)+1))</f>
        <v/>
      </c>
      <c r="J226" s="116">
        <f>IF(OR($B226="",$D226="",$F226=""),0,$F226*MAX(0,INT((MIN(IF($E226="",TODAY()-15,$E226),TODAY()-15)-$D226)/7)+1))</f>
        <v/>
      </c>
      <c r="K226" s="116">
        <f>IF(OR($B226="",$D226="",$F226=""),0,$F226*MAX(0,INT((MIN(IF($E226="",TODAY()-29,$E226),TODAY()-29)-$D226)/7)+1))</f>
        <v/>
      </c>
      <c r="L226" s="117">
        <f>IF($F226&gt;0,$H226/$F226,0)</f>
        <v/>
      </c>
      <c r="M226" s="112">
        <f>IF($B226="","",IF($C226="TANIMSIZ MÜŞTERİ","HATA",IF($G226="Pasif","PASİF",IF(AND(WEEKDAY($D226,2)=6,OR($E226="",WEEKDAY($E226,2)=6),$F226&gt;0),"UYGUN","HATA"))))</f>
        <v/>
      </c>
      <c r="N226" s="108" t="n"/>
      <c r="O226" s="6" t="n"/>
      <c r="P226" s="6" t="n"/>
    </row>
    <row r="227">
      <c r="A227" s="6" t="n"/>
      <c r="B227" s="107" t="n"/>
      <c r="C227" s="113">
        <f>IF($B227="","",IFERROR(INDEX(MUSTERILER!$C$7:$C$106,MATCH($B227,MUSTERILER!$B$7:$B$106,0)),"TANIMSIZ MÜŞTERİ"))</f>
        <v/>
      </c>
      <c r="D227" s="114" t="n"/>
      <c r="E227" s="114" t="n"/>
      <c r="F227" s="115" t="n"/>
      <c r="G227" s="107" t="n"/>
      <c r="H227" s="116">
        <f>IF(OR($B227="",$D227="",$F227=""),0,$F227*MAX(0,INT((MIN(IF($E227="",TODAY(),$E227),TODAY())-$D227)/7)+1))</f>
        <v/>
      </c>
      <c r="I227" s="116">
        <f>IF(OR($B227="",$D227="",$F227=""),0,$F227*MAX(0,INT((MIN(IF($E227="",TODAY()-8,$E227),TODAY()-8)-$D227)/7)+1))</f>
        <v/>
      </c>
      <c r="J227" s="116">
        <f>IF(OR($B227="",$D227="",$F227=""),0,$F227*MAX(0,INT((MIN(IF($E227="",TODAY()-15,$E227),TODAY()-15)-$D227)/7)+1))</f>
        <v/>
      </c>
      <c r="K227" s="116">
        <f>IF(OR($B227="",$D227="",$F227=""),0,$F227*MAX(0,INT((MIN(IF($E227="",TODAY()-29,$E227),TODAY()-29)-$D227)/7)+1))</f>
        <v/>
      </c>
      <c r="L227" s="117">
        <f>IF($F227&gt;0,$H227/$F227,0)</f>
        <v/>
      </c>
      <c r="M227" s="112">
        <f>IF($B227="","",IF($C227="TANIMSIZ MÜŞTERİ","HATA",IF($G227="Pasif","PASİF",IF(AND(WEEKDAY($D227,2)=6,OR($E227="",WEEKDAY($E227,2)=6),$F227&gt;0),"UYGUN","HATA"))))</f>
        <v/>
      </c>
      <c r="N227" s="108" t="n"/>
      <c r="O227" s="6" t="n"/>
      <c r="P227" s="6" t="n"/>
    </row>
    <row r="228">
      <c r="A228" s="6" t="n"/>
      <c r="B228" s="107" t="n"/>
      <c r="C228" s="113">
        <f>IF($B228="","",IFERROR(INDEX(MUSTERILER!$C$7:$C$106,MATCH($B228,MUSTERILER!$B$7:$B$106,0)),"TANIMSIZ MÜŞTERİ"))</f>
        <v/>
      </c>
      <c r="D228" s="114" t="n"/>
      <c r="E228" s="114" t="n"/>
      <c r="F228" s="115" t="n"/>
      <c r="G228" s="107" t="n"/>
      <c r="H228" s="116">
        <f>IF(OR($B228="",$D228="",$F228=""),0,$F228*MAX(0,INT((MIN(IF($E228="",TODAY(),$E228),TODAY())-$D228)/7)+1))</f>
        <v/>
      </c>
      <c r="I228" s="116">
        <f>IF(OR($B228="",$D228="",$F228=""),0,$F228*MAX(0,INT((MIN(IF($E228="",TODAY()-8,$E228),TODAY()-8)-$D228)/7)+1))</f>
        <v/>
      </c>
      <c r="J228" s="116">
        <f>IF(OR($B228="",$D228="",$F228=""),0,$F228*MAX(0,INT((MIN(IF($E228="",TODAY()-15,$E228),TODAY()-15)-$D228)/7)+1))</f>
        <v/>
      </c>
      <c r="K228" s="116">
        <f>IF(OR($B228="",$D228="",$F228=""),0,$F228*MAX(0,INT((MIN(IF($E228="",TODAY()-29,$E228),TODAY()-29)-$D228)/7)+1))</f>
        <v/>
      </c>
      <c r="L228" s="117">
        <f>IF($F228&gt;0,$H228/$F228,0)</f>
        <v/>
      </c>
      <c r="M228" s="112">
        <f>IF($B228="","",IF($C228="TANIMSIZ MÜŞTERİ","HATA",IF($G228="Pasif","PASİF",IF(AND(WEEKDAY($D228,2)=6,OR($E228="",WEEKDAY($E228,2)=6),$F228&gt;0),"UYGUN","HATA"))))</f>
        <v/>
      </c>
      <c r="N228" s="108" t="n"/>
      <c r="O228" s="6" t="n"/>
      <c r="P228" s="6" t="n"/>
    </row>
    <row r="229">
      <c r="A229" s="6" t="n"/>
      <c r="B229" s="107" t="n"/>
      <c r="C229" s="113">
        <f>IF($B229="","",IFERROR(INDEX(MUSTERILER!$C$7:$C$106,MATCH($B229,MUSTERILER!$B$7:$B$106,0)),"TANIMSIZ MÜŞTERİ"))</f>
        <v/>
      </c>
      <c r="D229" s="114" t="n"/>
      <c r="E229" s="114" t="n"/>
      <c r="F229" s="115" t="n"/>
      <c r="G229" s="107" t="n"/>
      <c r="H229" s="116">
        <f>IF(OR($B229="",$D229="",$F229=""),0,$F229*MAX(0,INT((MIN(IF($E229="",TODAY(),$E229),TODAY())-$D229)/7)+1))</f>
        <v/>
      </c>
      <c r="I229" s="116">
        <f>IF(OR($B229="",$D229="",$F229=""),0,$F229*MAX(0,INT((MIN(IF($E229="",TODAY()-8,$E229),TODAY()-8)-$D229)/7)+1))</f>
        <v/>
      </c>
      <c r="J229" s="116">
        <f>IF(OR($B229="",$D229="",$F229=""),0,$F229*MAX(0,INT((MIN(IF($E229="",TODAY()-15,$E229),TODAY()-15)-$D229)/7)+1))</f>
        <v/>
      </c>
      <c r="K229" s="116">
        <f>IF(OR($B229="",$D229="",$F229=""),0,$F229*MAX(0,INT((MIN(IF($E229="",TODAY()-29,$E229),TODAY()-29)-$D229)/7)+1))</f>
        <v/>
      </c>
      <c r="L229" s="117">
        <f>IF($F229&gt;0,$H229/$F229,0)</f>
        <v/>
      </c>
      <c r="M229" s="112">
        <f>IF($B229="","",IF($C229="TANIMSIZ MÜŞTERİ","HATA",IF($G229="Pasif","PASİF",IF(AND(WEEKDAY($D229,2)=6,OR($E229="",WEEKDAY($E229,2)=6),$F229&gt;0),"UYGUN","HATA"))))</f>
        <v/>
      </c>
      <c r="N229" s="108" t="n"/>
      <c r="O229" s="6" t="n"/>
      <c r="P229" s="6" t="n"/>
    </row>
    <row r="230">
      <c r="A230" s="6" t="n"/>
      <c r="B230" s="107" t="n"/>
      <c r="C230" s="113">
        <f>IF($B230="","",IFERROR(INDEX(MUSTERILER!$C$7:$C$106,MATCH($B230,MUSTERILER!$B$7:$B$106,0)),"TANIMSIZ MÜŞTERİ"))</f>
        <v/>
      </c>
      <c r="D230" s="114" t="n"/>
      <c r="E230" s="114" t="n"/>
      <c r="F230" s="115" t="n"/>
      <c r="G230" s="107" t="n"/>
      <c r="H230" s="116">
        <f>IF(OR($B230="",$D230="",$F230=""),0,$F230*MAX(0,INT((MIN(IF($E230="",TODAY(),$E230),TODAY())-$D230)/7)+1))</f>
        <v/>
      </c>
      <c r="I230" s="116">
        <f>IF(OR($B230="",$D230="",$F230=""),0,$F230*MAX(0,INT((MIN(IF($E230="",TODAY()-8,$E230),TODAY()-8)-$D230)/7)+1))</f>
        <v/>
      </c>
      <c r="J230" s="116">
        <f>IF(OR($B230="",$D230="",$F230=""),0,$F230*MAX(0,INT((MIN(IF($E230="",TODAY()-15,$E230),TODAY()-15)-$D230)/7)+1))</f>
        <v/>
      </c>
      <c r="K230" s="116">
        <f>IF(OR($B230="",$D230="",$F230=""),0,$F230*MAX(0,INT((MIN(IF($E230="",TODAY()-29,$E230),TODAY()-29)-$D230)/7)+1))</f>
        <v/>
      </c>
      <c r="L230" s="117">
        <f>IF($F230&gt;0,$H230/$F230,0)</f>
        <v/>
      </c>
      <c r="M230" s="112">
        <f>IF($B230="","",IF($C230="TANIMSIZ MÜŞTERİ","HATA",IF($G230="Pasif","PASİF",IF(AND(WEEKDAY($D230,2)=6,OR($E230="",WEEKDAY($E230,2)=6),$F230&gt;0),"UYGUN","HATA"))))</f>
        <v/>
      </c>
      <c r="N230" s="108" t="n"/>
      <c r="O230" s="6" t="n"/>
      <c r="P230" s="6" t="n"/>
    </row>
    <row r="231">
      <c r="A231" s="6" t="n"/>
      <c r="B231" s="107" t="n"/>
      <c r="C231" s="113">
        <f>IF($B231="","",IFERROR(INDEX(MUSTERILER!$C$7:$C$106,MATCH($B231,MUSTERILER!$B$7:$B$106,0)),"TANIMSIZ MÜŞTERİ"))</f>
        <v/>
      </c>
      <c r="D231" s="114" t="n"/>
      <c r="E231" s="114" t="n"/>
      <c r="F231" s="115" t="n"/>
      <c r="G231" s="107" t="n"/>
      <c r="H231" s="116">
        <f>IF(OR($B231="",$D231="",$F231=""),0,$F231*MAX(0,INT((MIN(IF($E231="",TODAY(),$E231),TODAY())-$D231)/7)+1))</f>
        <v/>
      </c>
      <c r="I231" s="116">
        <f>IF(OR($B231="",$D231="",$F231=""),0,$F231*MAX(0,INT((MIN(IF($E231="",TODAY()-8,$E231),TODAY()-8)-$D231)/7)+1))</f>
        <v/>
      </c>
      <c r="J231" s="116">
        <f>IF(OR($B231="",$D231="",$F231=""),0,$F231*MAX(0,INT((MIN(IF($E231="",TODAY()-15,$E231),TODAY()-15)-$D231)/7)+1))</f>
        <v/>
      </c>
      <c r="K231" s="116">
        <f>IF(OR($B231="",$D231="",$F231=""),0,$F231*MAX(0,INT((MIN(IF($E231="",TODAY()-29,$E231),TODAY()-29)-$D231)/7)+1))</f>
        <v/>
      </c>
      <c r="L231" s="117">
        <f>IF($F231&gt;0,$H231/$F231,0)</f>
        <v/>
      </c>
      <c r="M231" s="112">
        <f>IF($B231="","",IF($C231="TANIMSIZ MÜŞTERİ","HATA",IF($G231="Pasif","PASİF",IF(AND(WEEKDAY($D231,2)=6,OR($E231="",WEEKDAY($E231,2)=6),$F231&gt;0),"UYGUN","HATA"))))</f>
        <v/>
      </c>
      <c r="N231" s="108" t="n"/>
      <c r="O231" s="6" t="n"/>
      <c r="P231" s="6" t="n"/>
    </row>
    <row r="232">
      <c r="A232" s="6" t="n"/>
      <c r="B232" s="107" t="n"/>
      <c r="C232" s="113">
        <f>IF($B232="","",IFERROR(INDEX(MUSTERILER!$C$7:$C$106,MATCH($B232,MUSTERILER!$B$7:$B$106,0)),"TANIMSIZ MÜŞTERİ"))</f>
        <v/>
      </c>
      <c r="D232" s="114" t="n"/>
      <c r="E232" s="114" t="n"/>
      <c r="F232" s="115" t="n"/>
      <c r="G232" s="107" t="n"/>
      <c r="H232" s="116">
        <f>IF(OR($B232="",$D232="",$F232=""),0,$F232*MAX(0,INT((MIN(IF($E232="",TODAY(),$E232),TODAY())-$D232)/7)+1))</f>
        <v/>
      </c>
      <c r="I232" s="116">
        <f>IF(OR($B232="",$D232="",$F232=""),0,$F232*MAX(0,INT((MIN(IF($E232="",TODAY()-8,$E232),TODAY()-8)-$D232)/7)+1))</f>
        <v/>
      </c>
      <c r="J232" s="116">
        <f>IF(OR($B232="",$D232="",$F232=""),0,$F232*MAX(0,INT((MIN(IF($E232="",TODAY()-15,$E232),TODAY()-15)-$D232)/7)+1))</f>
        <v/>
      </c>
      <c r="K232" s="116">
        <f>IF(OR($B232="",$D232="",$F232=""),0,$F232*MAX(0,INT((MIN(IF($E232="",TODAY()-29,$E232),TODAY()-29)-$D232)/7)+1))</f>
        <v/>
      </c>
      <c r="L232" s="117">
        <f>IF($F232&gt;0,$H232/$F232,0)</f>
        <v/>
      </c>
      <c r="M232" s="112">
        <f>IF($B232="","",IF($C232="TANIMSIZ MÜŞTERİ","HATA",IF($G232="Pasif","PASİF",IF(AND(WEEKDAY($D232,2)=6,OR($E232="",WEEKDAY($E232,2)=6),$F232&gt;0),"UYGUN","HATA"))))</f>
        <v/>
      </c>
      <c r="N232" s="108" t="n"/>
      <c r="O232" s="6" t="n"/>
      <c r="P232" s="6" t="n"/>
    </row>
    <row r="233">
      <c r="A233" s="6" t="n"/>
      <c r="B233" s="107" t="n"/>
      <c r="C233" s="113">
        <f>IF($B233="","",IFERROR(INDEX(MUSTERILER!$C$7:$C$106,MATCH($B233,MUSTERILER!$B$7:$B$106,0)),"TANIMSIZ MÜŞTERİ"))</f>
        <v/>
      </c>
      <c r="D233" s="114" t="n"/>
      <c r="E233" s="114" t="n"/>
      <c r="F233" s="115" t="n"/>
      <c r="G233" s="107" t="n"/>
      <c r="H233" s="116">
        <f>IF(OR($B233="",$D233="",$F233=""),0,$F233*MAX(0,INT((MIN(IF($E233="",TODAY(),$E233),TODAY())-$D233)/7)+1))</f>
        <v/>
      </c>
      <c r="I233" s="116">
        <f>IF(OR($B233="",$D233="",$F233=""),0,$F233*MAX(0,INT((MIN(IF($E233="",TODAY()-8,$E233),TODAY()-8)-$D233)/7)+1))</f>
        <v/>
      </c>
      <c r="J233" s="116">
        <f>IF(OR($B233="",$D233="",$F233=""),0,$F233*MAX(0,INT((MIN(IF($E233="",TODAY()-15,$E233),TODAY()-15)-$D233)/7)+1))</f>
        <v/>
      </c>
      <c r="K233" s="116">
        <f>IF(OR($B233="",$D233="",$F233=""),0,$F233*MAX(0,INT((MIN(IF($E233="",TODAY()-29,$E233),TODAY()-29)-$D233)/7)+1))</f>
        <v/>
      </c>
      <c r="L233" s="117">
        <f>IF($F233&gt;0,$H233/$F233,0)</f>
        <v/>
      </c>
      <c r="M233" s="112">
        <f>IF($B233="","",IF($C233="TANIMSIZ MÜŞTERİ","HATA",IF($G233="Pasif","PASİF",IF(AND(WEEKDAY($D233,2)=6,OR($E233="",WEEKDAY($E233,2)=6),$F233&gt;0),"UYGUN","HATA"))))</f>
        <v/>
      </c>
      <c r="N233" s="108" t="n"/>
      <c r="O233" s="6" t="n"/>
      <c r="P233" s="6" t="n"/>
    </row>
    <row r="234">
      <c r="A234" s="6" t="n"/>
      <c r="B234" s="107" t="n"/>
      <c r="C234" s="113">
        <f>IF($B234="","",IFERROR(INDEX(MUSTERILER!$C$7:$C$106,MATCH($B234,MUSTERILER!$B$7:$B$106,0)),"TANIMSIZ MÜŞTERİ"))</f>
        <v/>
      </c>
      <c r="D234" s="114" t="n"/>
      <c r="E234" s="114" t="n"/>
      <c r="F234" s="115" t="n"/>
      <c r="G234" s="107" t="n"/>
      <c r="H234" s="116">
        <f>IF(OR($B234="",$D234="",$F234=""),0,$F234*MAX(0,INT((MIN(IF($E234="",TODAY(),$E234),TODAY())-$D234)/7)+1))</f>
        <v/>
      </c>
      <c r="I234" s="116">
        <f>IF(OR($B234="",$D234="",$F234=""),0,$F234*MAX(0,INT((MIN(IF($E234="",TODAY()-8,$E234),TODAY()-8)-$D234)/7)+1))</f>
        <v/>
      </c>
      <c r="J234" s="116">
        <f>IF(OR($B234="",$D234="",$F234=""),0,$F234*MAX(0,INT((MIN(IF($E234="",TODAY()-15,$E234),TODAY()-15)-$D234)/7)+1))</f>
        <v/>
      </c>
      <c r="K234" s="116">
        <f>IF(OR($B234="",$D234="",$F234=""),0,$F234*MAX(0,INT((MIN(IF($E234="",TODAY()-29,$E234),TODAY()-29)-$D234)/7)+1))</f>
        <v/>
      </c>
      <c r="L234" s="117">
        <f>IF($F234&gt;0,$H234/$F234,0)</f>
        <v/>
      </c>
      <c r="M234" s="112">
        <f>IF($B234="","",IF($C234="TANIMSIZ MÜŞTERİ","HATA",IF($G234="Pasif","PASİF",IF(AND(WEEKDAY($D234,2)=6,OR($E234="",WEEKDAY($E234,2)=6),$F234&gt;0),"UYGUN","HATA"))))</f>
        <v/>
      </c>
      <c r="N234" s="108" t="n"/>
      <c r="O234" s="6" t="n"/>
      <c r="P234" s="6" t="n"/>
    </row>
    <row r="235">
      <c r="A235" s="6" t="n"/>
      <c r="B235" s="107" t="n"/>
      <c r="C235" s="113">
        <f>IF($B235="","",IFERROR(INDEX(MUSTERILER!$C$7:$C$106,MATCH($B235,MUSTERILER!$B$7:$B$106,0)),"TANIMSIZ MÜŞTERİ"))</f>
        <v/>
      </c>
      <c r="D235" s="114" t="n"/>
      <c r="E235" s="114" t="n"/>
      <c r="F235" s="115" t="n"/>
      <c r="G235" s="107" t="n"/>
      <c r="H235" s="116">
        <f>IF(OR($B235="",$D235="",$F235=""),0,$F235*MAX(0,INT((MIN(IF($E235="",TODAY(),$E235),TODAY())-$D235)/7)+1))</f>
        <v/>
      </c>
      <c r="I235" s="116">
        <f>IF(OR($B235="",$D235="",$F235=""),0,$F235*MAX(0,INT((MIN(IF($E235="",TODAY()-8,$E235),TODAY()-8)-$D235)/7)+1))</f>
        <v/>
      </c>
      <c r="J235" s="116">
        <f>IF(OR($B235="",$D235="",$F235=""),0,$F235*MAX(0,INT((MIN(IF($E235="",TODAY()-15,$E235),TODAY()-15)-$D235)/7)+1))</f>
        <v/>
      </c>
      <c r="K235" s="116">
        <f>IF(OR($B235="",$D235="",$F235=""),0,$F235*MAX(0,INT((MIN(IF($E235="",TODAY()-29,$E235),TODAY()-29)-$D235)/7)+1))</f>
        <v/>
      </c>
      <c r="L235" s="117">
        <f>IF($F235&gt;0,$H235/$F235,0)</f>
        <v/>
      </c>
      <c r="M235" s="112">
        <f>IF($B235="","",IF($C235="TANIMSIZ MÜŞTERİ","HATA",IF($G235="Pasif","PASİF",IF(AND(WEEKDAY($D235,2)=6,OR($E235="",WEEKDAY($E235,2)=6),$F235&gt;0),"UYGUN","HATA"))))</f>
        <v/>
      </c>
      <c r="N235" s="108" t="n"/>
      <c r="O235" s="6" t="n"/>
      <c r="P235" s="6" t="n"/>
    </row>
    <row r="236">
      <c r="A236" s="6" t="n"/>
      <c r="B236" s="107" t="n"/>
      <c r="C236" s="113">
        <f>IF($B236="","",IFERROR(INDEX(MUSTERILER!$C$7:$C$106,MATCH($B236,MUSTERILER!$B$7:$B$106,0)),"TANIMSIZ MÜŞTERİ"))</f>
        <v/>
      </c>
      <c r="D236" s="114" t="n"/>
      <c r="E236" s="114" t="n"/>
      <c r="F236" s="115" t="n"/>
      <c r="G236" s="107" t="n"/>
      <c r="H236" s="116">
        <f>IF(OR($B236="",$D236="",$F236=""),0,$F236*MAX(0,INT((MIN(IF($E236="",TODAY(),$E236),TODAY())-$D236)/7)+1))</f>
        <v/>
      </c>
      <c r="I236" s="116">
        <f>IF(OR($B236="",$D236="",$F236=""),0,$F236*MAX(0,INT((MIN(IF($E236="",TODAY()-8,$E236),TODAY()-8)-$D236)/7)+1))</f>
        <v/>
      </c>
      <c r="J236" s="116">
        <f>IF(OR($B236="",$D236="",$F236=""),0,$F236*MAX(0,INT((MIN(IF($E236="",TODAY()-15,$E236),TODAY()-15)-$D236)/7)+1))</f>
        <v/>
      </c>
      <c r="K236" s="116">
        <f>IF(OR($B236="",$D236="",$F236=""),0,$F236*MAX(0,INT((MIN(IF($E236="",TODAY()-29,$E236),TODAY()-29)-$D236)/7)+1))</f>
        <v/>
      </c>
      <c r="L236" s="117">
        <f>IF($F236&gt;0,$H236/$F236,0)</f>
        <v/>
      </c>
      <c r="M236" s="112">
        <f>IF($B236="","",IF($C236="TANIMSIZ MÜŞTERİ","HATA",IF($G236="Pasif","PASİF",IF(AND(WEEKDAY($D236,2)=6,OR($E236="",WEEKDAY($E236,2)=6),$F236&gt;0),"UYGUN","HATA"))))</f>
        <v/>
      </c>
      <c r="N236" s="108" t="n"/>
      <c r="O236" s="6" t="n"/>
      <c r="P236" s="6" t="n"/>
    </row>
    <row r="237">
      <c r="A237" s="6" t="n"/>
      <c r="B237" s="107" t="n"/>
      <c r="C237" s="113">
        <f>IF($B237="","",IFERROR(INDEX(MUSTERILER!$C$7:$C$106,MATCH($B237,MUSTERILER!$B$7:$B$106,0)),"TANIMSIZ MÜŞTERİ"))</f>
        <v/>
      </c>
      <c r="D237" s="114" t="n"/>
      <c r="E237" s="114" t="n"/>
      <c r="F237" s="115" t="n"/>
      <c r="G237" s="107" t="n"/>
      <c r="H237" s="116">
        <f>IF(OR($B237="",$D237="",$F237=""),0,$F237*MAX(0,INT((MIN(IF($E237="",TODAY(),$E237),TODAY())-$D237)/7)+1))</f>
        <v/>
      </c>
      <c r="I237" s="116">
        <f>IF(OR($B237="",$D237="",$F237=""),0,$F237*MAX(0,INT((MIN(IF($E237="",TODAY()-8,$E237),TODAY()-8)-$D237)/7)+1))</f>
        <v/>
      </c>
      <c r="J237" s="116">
        <f>IF(OR($B237="",$D237="",$F237=""),0,$F237*MAX(0,INT((MIN(IF($E237="",TODAY()-15,$E237),TODAY()-15)-$D237)/7)+1))</f>
        <v/>
      </c>
      <c r="K237" s="116">
        <f>IF(OR($B237="",$D237="",$F237=""),0,$F237*MAX(0,INT((MIN(IF($E237="",TODAY()-29,$E237),TODAY()-29)-$D237)/7)+1))</f>
        <v/>
      </c>
      <c r="L237" s="117">
        <f>IF($F237&gt;0,$H237/$F237,0)</f>
        <v/>
      </c>
      <c r="M237" s="112">
        <f>IF($B237="","",IF($C237="TANIMSIZ MÜŞTERİ","HATA",IF($G237="Pasif","PASİF",IF(AND(WEEKDAY($D237,2)=6,OR($E237="",WEEKDAY($E237,2)=6),$F237&gt;0),"UYGUN","HATA"))))</f>
        <v/>
      </c>
      <c r="N237" s="108" t="n"/>
      <c r="O237" s="6" t="n"/>
      <c r="P237" s="6" t="n"/>
    </row>
    <row r="238">
      <c r="A238" s="6" t="n"/>
      <c r="B238" s="107" t="n"/>
      <c r="C238" s="113">
        <f>IF($B238="","",IFERROR(INDEX(MUSTERILER!$C$7:$C$106,MATCH($B238,MUSTERILER!$B$7:$B$106,0)),"TANIMSIZ MÜŞTERİ"))</f>
        <v/>
      </c>
      <c r="D238" s="114" t="n"/>
      <c r="E238" s="114" t="n"/>
      <c r="F238" s="115" t="n"/>
      <c r="G238" s="107" t="n"/>
      <c r="H238" s="116">
        <f>IF(OR($B238="",$D238="",$F238=""),0,$F238*MAX(0,INT((MIN(IF($E238="",TODAY(),$E238),TODAY())-$D238)/7)+1))</f>
        <v/>
      </c>
      <c r="I238" s="116">
        <f>IF(OR($B238="",$D238="",$F238=""),0,$F238*MAX(0,INT((MIN(IF($E238="",TODAY()-8,$E238),TODAY()-8)-$D238)/7)+1))</f>
        <v/>
      </c>
      <c r="J238" s="116">
        <f>IF(OR($B238="",$D238="",$F238=""),0,$F238*MAX(0,INT((MIN(IF($E238="",TODAY()-15,$E238),TODAY()-15)-$D238)/7)+1))</f>
        <v/>
      </c>
      <c r="K238" s="116">
        <f>IF(OR($B238="",$D238="",$F238=""),0,$F238*MAX(0,INT((MIN(IF($E238="",TODAY()-29,$E238),TODAY()-29)-$D238)/7)+1))</f>
        <v/>
      </c>
      <c r="L238" s="117">
        <f>IF($F238&gt;0,$H238/$F238,0)</f>
        <v/>
      </c>
      <c r="M238" s="112">
        <f>IF($B238="","",IF($C238="TANIMSIZ MÜŞTERİ","HATA",IF($G238="Pasif","PASİF",IF(AND(WEEKDAY($D238,2)=6,OR($E238="",WEEKDAY($E238,2)=6),$F238&gt;0),"UYGUN","HATA"))))</f>
        <v/>
      </c>
      <c r="N238" s="108" t="n"/>
      <c r="O238" s="6" t="n"/>
      <c r="P238" s="6" t="n"/>
    </row>
    <row r="239">
      <c r="A239" s="6" t="n"/>
      <c r="B239" s="107" t="n"/>
      <c r="C239" s="113">
        <f>IF($B239="","",IFERROR(INDEX(MUSTERILER!$C$7:$C$106,MATCH($B239,MUSTERILER!$B$7:$B$106,0)),"TANIMSIZ MÜŞTERİ"))</f>
        <v/>
      </c>
      <c r="D239" s="114" t="n"/>
      <c r="E239" s="114" t="n"/>
      <c r="F239" s="115" t="n"/>
      <c r="G239" s="107" t="n"/>
      <c r="H239" s="116">
        <f>IF(OR($B239="",$D239="",$F239=""),0,$F239*MAX(0,INT((MIN(IF($E239="",TODAY(),$E239),TODAY())-$D239)/7)+1))</f>
        <v/>
      </c>
      <c r="I239" s="116">
        <f>IF(OR($B239="",$D239="",$F239=""),0,$F239*MAX(0,INT((MIN(IF($E239="",TODAY()-8,$E239),TODAY()-8)-$D239)/7)+1))</f>
        <v/>
      </c>
      <c r="J239" s="116">
        <f>IF(OR($B239="",$D239="",$F239=""),0,$F239*MAX(0,INT((MIN(IF($E239="",TODAY()-15,$E239),TODAY()-15)-$D239)/7)+1))</f>
        <v/>
      </c>
      <c r="K239" s="116">
        <f>IF(OR($B239="",$D239="",$F239=""),0,$F239*MAX(0,INT((MIN(IF($E239="",TODAY()-29,$E239),TODAY()-29)-$D239)/7)+1))</f>
        <v/>
      </c>
      <c r="L239" s="117">
        <f>IF($F239&gt;0,$H239/$F239,0)</f>
        <v/>
      </c>
      <c r="M239" s="112">
        <f>IF($B239="","",IF($C239="TANIMSIZ MÜŞTERİ","HATA",IF($G239="Pasif","PASİF",IF(AND(WEEKDAY($D239,2)=6,OR($E239="",WEEKDAY($E239,2)=6),$F239&gt;0),"UYGUN","HATA"))))</f>
        <v/>
      </c>
      <c r="N239" s="108" t="n"/>
      <c r="O239" s="6" t="n"/>
      <c r="P239" s="6" t="n"/>
    </row>
    <row r="240">
      <c r="A240" s="6" t="n"/>
      <c r="B240" s="107" t="n"/>
      <c r="C240" s="113">
        <f>IF($B240="","",IFERROR(INDEX(MUSTERILER!$C$7:$C$106,MATCH($B240,MUSTERILER!$B$7:$B$106,0)),"TANIMSIZ MÜŞTERİ"))</f>
        <v/>
      </c>
      <c r="D240" s="114" t="n"/>
      <c r="E240" s="114" t="n"/>
      <c r="F240" s="115" t="n"/>
      <c r="G240" s="107" t="n"/>
      <c r="H240" s="116">
        <f>IF(OR($B240="",$D240="",$F240=""),0,$F240*MAX(0,INT((MIN(IF($E240="",TODAY(),$E240),TODAY())-$D240)/7)+1))</f>
        <v/>
      </c>
      <c r="I240" s="116">
        <f>IF(OR($B240="",$D240="",$F240=""),0,$F240*MAX(0,INT((MIN(IF($E240="",TODAY()-8,$E240),TODAY()-8)-$D240)/7)+1))</f>
        <v/>
      </c>
      <c r="J240" s="116">
        <f>IF(OR($B240="",$D240="",$F240=""),0,$F240*MAX(0,INT((MIN(IF($E240="",TODAY()-15,$E240),TODAY()-15)-$D240)/7)+1))</f>
        <v/>
      </c>
      <c r="K240" s="116">
        <f>IF(OR($B240="",$D240="",$F240=""),0,$F240*MAX(0,INT((MIN(IF($E240="",TODAY()-29,$E240),TODAY()-29)-$D240)/7)+1))</f>
        <v/>
      </c>
      <c r="L240" s="117">
        <f>IF($F240&gt;0,$H240/$F240,0)</f>
        <v/>
      </c>
      <c r="M240" s="112">
        <f>IF($B240="","",IF($C240="TANIMSIZ MÜŞTERİ","HATA",IF($G240="Pasif","PASİF",IF(AND(WEEKDAY($D240,2)=6,OR($E240="",WEEKDAY($E240,2)=6),$F240&gt;0),"UYGUN","HATA"))))</f>
        <v/>
      </c>
      <c r="N240" s="108" t="n"/>
      <c r="O240" s="6" t="n"/>
      <c r="P240" s="6" t="n"/>
    </row>
    <row r="241">
      <c r="A241" s="6" t="n"/>
      <c r="B241" s="107" t="n"/>
      <c r="C241" s="113">
        <f>IF($B241="","",IFERROR(INDEX(MUSTERILER!$C$7:$C$106,MATCH($B241,MUSTERILER!$B$7:$B$106,0)),"TANIMSIZ MÜŞTERİ"))</f>
        <v/>
      </c>
      <c r="D241" s="114" t="n"/>
      <c r="E241" s="114" t="n"/>
      <c r="F241" s="115" t="n"/>
      <c r="G241" s="107" t="n"/>
      <c r="H241" s="116">
        <f>IF(OR($B241="",$D241="",$F241=""),0,$F241*MAX(0,INT((MIN(IF($E241="",TODAY(),$E241),TODAY())-$D241)/7)+1))</f>
        <v/>
      </c>
      <c r="I241" s="116">
        <f>IF(OR($B241="",$D241="",$F241=""),0,$F241*MAX(0,INT((MIN(IF($E241="",TODAY()-8,$E241),TODAY()-8)-$D241)/7)+1))</f>
        <v/>
      </c>
      <c r="J241" s="116">
        <f>IF(OR($B241="",$D241="",$F241=""),0,$F241*MAX(0,INT((MIN(IF($E241="",TODAY()-15,$E241),TODAY()-15)-$D241)/7)+1))</f>
        <v/>
      </c>
      <c r="K241" s="116">
        <f>IF(OR($B241="",$D241="",$F241=""),0,$F241*MAX(0,INT((MIN(IF($E241="",TODAY()-29,$E241),TODAY()-29)-$D241)/7)+1))</f>
        <v/>
      </c>
      <c r="L241" s="117">
        <f>IF($F241&gt;0,$H241/$F241,0)</f>
        <v/>
      </c>
      <c r="M241" s="112">
        <f>IF($B241="","",IF($C241="TANIMSIZ MÜŞTERİ","HATA",IF($G241="Pasif","PASİF",IF(AND(WEEKDAY($D241,2)=6,OR($E241="",WEEKDAY($E241,2)=6),$F241&gt;0),"UYGUN","HATA"))))</f>
        <v/>
      </c>
      <c r="N241" s="108" t="n"/>
      <c r="O241" s="6" t="n"/>
      <c r="P241" s="6" t="n"/>
    </row>
    <row r="242">
      <c r="A242" s="6" t="n"/>
      <c r="B242" s="107" t="n"/>
      <c r="C242" s="113">
        <f>IF($B242="","",IFERROR(INDEX(MUSTERILER!$C$7:$C$106,MATCH($B242,MUSTERILER!$B$7:$B$106,0)),"TANIMSIZ MÜŞTERİ"))</f>
        <v/>
      </c>
      <c r="D242" s="114" t="n"/>
      <c r="E242" s="114" t="n"/>
      <c r="F242" s="115" t="n"/>
      <c r="G242" s="107" t="n"/>
      <c r="H242" s="116">
        <f>IF(OR($B242="",$D242="",$F242=""),0,$F242*MAX(0,INT((MIN(IF($E242="",TODAY(),$E242),TODAY())-$D242)/7)+1))</f>
        <v/>
      </c>
      <c r="I242" s="116">
        <f>IF(OR($B242="",$D242="",$F242=""),0,$F242*MAX(0,INT((MIN(IF($E242="",TODAY()-8,$E242),TODAY()-8)-$D242)/7)+1))</f>
        <v/>
      </c>
      <c r="J242" s="116">
        <f>IF(OR($B242="",$D242="",$F242=""),0,$F242*MAX(0,INT((MIN(IF($E242="",TODAY()-15,$E242),TODAY()-15)-$D242)/7)+1))</f>
        <v/>
      </c>
      <c r="K242" s="116">
        <f>IF(OR($B242="",$D242="",$F242=""),0,$F242*MAX(0,INT((MIN(IF($E242="",TODAY()-29,$E242),TODAY()-29)-$D242)/7)+1))</f>
        <v/>
      </c>
      <c r="L242" s="117">
        <f>IF($F242&gt;0,$H242/$F242,0)</f>
        <v/>
      </c>
      <c r="M242" s="112">
        <f>IF($B242="","",IF($C242="TANIMSIZ MÜŞTERİ","HATA",IF($G242="Pasif","PASİF",IF(AND(WEEKDAY($D242,2)=6,OR($E242="",WEEKDAY($E242,2)=6),$F242&gt;0),"UYGUN","HATA"))))</f>
        <v/>
      </c>
      <c r="N242" s="108" t="n"/>
      <c r="O242" s="6" t="n"/>
      <c r="P242" s="6" t="n"/>
    </row>
    <row r="243">
      <c r="A243" s="6" t="n"/>
      <c r="B243" s="107" t="n"/>
      <c r="C243" s="113">
        <f>IF($B243="","",IFERROR(INDEX(MUSTERILER!$C$7:$C$106,MATCH($B243,MUSTERILER!$B$7:$B$106,0)),"TANIMSIZ MÜŞTERİ"))</f>
        <v/>
      </c>
      <c r="D243" s="114" t="n"/>
      <c r="E243" s="114" t="n"/>
      <c r="F243" s="115" t="n"/>
      <c r="G243" s="107" t="n"/>
      <c r="H243" s="116">
        <f>IF(OR($B243="",$D243="",$F243=""),0,$F243*MAX(0,INT((MIN(IF($E243="",TODAY(),$E243),TODAY())-$D243)/7)+1))</f>
        <v/>
      </c>
      <c r="I243" s="116">
        <f>IF(OR($B243="",$D243="",$F243=""),0,$F243*MAX(0,INT((MIN(IF($E243="",TODAY()-8,$E243),TODAY()-8)-$D243)/7)+1))</f>
        <v/>
      </c>
      <c r="J243" s="116">
        <f>IF(OR($B243="",$D243="",$F243=""),0,$F243*MAX(0,INT((MIN(IF($E243="",TODAY()-15,$E243),TODAY()-15)-$D243)/7)+1))</f>
        <v/>
      </c>
      <c r="K243" s="116">
        <f>IF(OR($B243="",$D243="",$F243=""),0,$F243*MAX(0,INT((MIN(IF($E243="",TODAY()-29,$E243),TODAY()-29)-$D243)/7)+1))</f>
        <v/>
      </c>
      <c r="L243" s="117">
        <f>IF($F243&gt;0,$H243/$F243,0)</f>
        <v/>
      </c>
      <c r="M243" s="112">
        <f>IF($B243="","",IF($C243="TANIMSIZ MÜŞTERİ","HATA",IF($G243="Pasif","PASİF",IF(AND(WEEKDAY($D243,2)=6,OR($E243="",WEEKDAY($E243,2)=6),$F243&gt;0),"UYGUN","HATA"))))</f>
        <v/>
      </c>
      <c r="N243" s="108" t="n"/>
      <c r="O243" s="6" t="n"/>
      <c r="P243" s="6" t="n"/>
    </row>
    <row r="244">
      <c r="A244" s="6" t="n"/>
      <c r="B244" s="107" t="n"/>
      <c r="C244" s="113">
        <f>IF($B244="","",IFERROR(INDEX(MUSTERILER!$C$7:$C$106,MATCH($B244,MUSTERILER!$B$7:$B$106,0)),"TANIMSIZ MÜŞTERİ"))</f>
        <v/>
      </c>
      <c r="D244" s="114" t="n"/>
      <c r="E244" s="114" t="n"/>
      <c r="F244" s="115" t="n"/>
      <c r="G244" s="107" t="n"/>
      <c r="H244" s="116">
        <f>IF(OR($B244="",$D244="",$F244=""),0,$F244*MAX(0,INT((MIN(IF($E244="",TODAY(),$E244),TODAY())-$D244)/7)+1))</f>
        <v/>
      </c>
      <c r="I244" s="116">
        <f>IF(OR($B244="",$D244="",$F244=""),0,$F244*MAX(0,INT((MIN(IF($E244="",TODAY()-8,$E244),TODAY()-8)-$D244)/7)+1))</f>
        <v/>
      </c>
      <c r="J244" s="116">
        <f>IF(OR($B244="",$D244="",$F244=""),0,$F244*MAX(0,INT((MIN(IF($E244="",TODAY()-15,$E244),TODAY()-15)-$D244)/7)+1))</f>
        <v/>
      </c>
      <c r="K244" s="116">
        <f>IF(OR($B244="",$D244="",$F244=""),0,$F244*MAX(0,INT((MIN(IF($E244="",TODAY()-29,$E244),TODAY()-29)-$D244)/7)+1))</f>
        <v/>
      </c>
      <c r="L244" s="117">
        <f>IF($F244&gt;0,$H244/$F244,0)</f>
        <v/>
      </c>
      <c r="M244" s="112">
        <f>IF($B244="","",IF($C244="TANIMSIZ MÜŞTERİ","HATA",IF($G244="Pasif","PASİF",IF(AND(WEEKDAY($D244,2)=6,OR($E244="",WEEKDAY($E244,2)=6),$F244&gt;0),"UYGUN","HATA"))))</f>
        <v/>
      </c>
      <c r="N244" s="108" t="n"/>
      <c r="O244" s="6" t="n"/>
      <c r="P244" s="6" t="n"/>
    </row>
    <row r="245">
      <c r="A245" s="6" t="n"/>
      <c r="B245" s="107" t="n"/>
      <c r="C245" s="113">
        <f>IF($B245="","",IFERROR(INDEX(MUSTERILER!$C$7:$C$106,MATCH($B245,MUSTERILER!$B$7:$B$106,0)),"TANIMSIZ MÜŞTERİ"))</f>
        <v/>
      </c>
      <c r="D245" s="114" t="n"/>
      <c r="E245" s="114" t="n"/>
      <c r="F245" s="115" t="n"/>
      <c r="G245" s="107" t="n"/>
      <c r="H245" s="116">
        <f>IF(OR($B245="",$D245="",$F245=""),0,$F245*MAX(0,INT((MIN(IF($E245="",TODAY(),$E245),TODAY())-$D245)/7)+1))</f>
        <v/>
      </c>
      <c r="I245" s="116">
        <f>IF(OR($B245="",$D245="",$F245=""),0,$F245*MAX(0,INT((MIN(IF($E245="",TODAY()-8,$E245),TODAY()-8)-$D245)/7)+1))</f>
        <v/>
      </c>
      <c r="J245" s="116">
        <f>IF(OR($B245="",$D245="",$F245=""),0,$F245*MAX(0,INT((MIN(IF($E245="",TODAY()-15,$E245),TODAY()-15)-$D245)/7)+1))</f>
        <v/>
      </c>
      <c r="K245" s="116">
        <f>IF(OR($B245="",$D245="",$F245=""),0,$F245*MAX(0,INT((MIN(IF($E245="",TODAY()-29,$E245),TODAY()-29)-$D245)/7)+1))</f>
        <v/>
      </c>
      <c r="L245" s="117">
        <f>IF($F245&gt;0,$H245/$F245,0)</f>
        <v/>
      </c>
      <c r="M245" s="112">
        <f>IF($B245="","",IF($C245="TANIMSIZ MÜŞTERİ","HATA",IF($G245="Pasif","PASİF",IF(AND(WEEKDAY($D245,2)=6,OR($E245="",WEEKDAY($E245,2)=6),$F245&gt;0),"UYGUN","HATA"))))</f>
        <v/>
      </c>
      <c r="N245" s="108" t="n"/>
      <c r="O245" s="6" t="n"/>
      <c r="P245" s="6" t="n"/>
    </row>
    <row r="246">
      <c r="A246" s="6" t="n"/>
      <c r="B246" s="107" t="n"/>
      <c r="C246" s="113">
        <f>IF($B246="","",IFERROR(INDEX(MUSTERILER!$C$7:$C$106,MATCH($B246,MUSTERILER!$B$7:$B$106,0)),"TANIMSIZ MÜŞTERİ"))</f>
        <v/>
      </c>
      <c r="D246" s="114" t="n"/>
      <c r="E246" s="114" t="n"/>
      <c r="F246" s="115" t="n"/>
      <c r="G246" s="107" t="n"/>
      <c r="H246" s="116">
        <f>IF(OR($B246="",$D246="",$F246=""),0,$F246*MAX(0,INT((MIN(IF($E246="",TODAY(),$E246),TODAY())-$D246)/7)+1))</f>
        <v/>
      </c>
      <c r="I246" s="116">
        <f>IF(OR($B246="",$D246="",$F246=""),0,$F246*MAX(0,INT((MIN(IF($E246="",TODAY()-8,$E246),TODAY()-8)-$D246)/7)+1))</f>
        <v/>
      </c>
      <c r="J246" s="116">
        <f>IF(OR($B246="",$D246="",$F246=""),0,$F246*MAX(0,INT((MIN(IF($E246="",TODAY()-15,$E246),TODAY()-15)-$D246)/7)+1))</f>
        <v/>
      </c>
      <c r="K246" s="116">
        <f>IF(OR($B246="",$D246="",$F246=""),0,$F246*MAX(0,INT((MIN(IF($E246="",TODAY()-29,$E246),TODAY()-29)-$D246)/7)+1))</f>
        <v/>
      </c>
      <c r="L246" s="117">
        <f>IF($F246&gt;0,$H246/$F246,0)</f>
        <v/>
      </c>
      <c r="M246" s="112">
        <f>IF($B246="","",IF($C246="TANIMSIZ MÜŞTERİ","HATA",IF($G246="Pasif","PASİF",IF(AND(WEEKDAY($D246,2)=6,OR($E246="",WEEKDAY($E246,2)=6),$F246&gt;0),"UYGUN","HATA"))))</f>
        <v/>
      </c>
      <c r="N246" s="108" t="n"/>
      <c r="O246" s="6" t="n"/>
      <c r="P246" s="6" t="n"/>
    </row>
    <row r="247">
      <c r="A247" s="6" t="n"/>
      <c r="B247" s="107" t="n"/>
      <c r="C247" s="113">
        <f>IF($B247="","",IFERROR(INDEX(MUSTERILER!$C$7:$C$106,MATCH($B247,MUSTERILER!$B$7:$B$106,0)),"TANIMSIZ MÜŞTERİ"))</f>
        <v/>
      </c>
      <c r="D247" s="114" t="n"/>
      <c r="E247" s="114" t="n"/>
      <c r="F247" s="115" t="n"/>
      <c r="G247" s="107" t="n"/>
      <c r="H247" s="116">
        <f>IF(OR($B247="",$D247="",$F247=""),0,$F247*MAX(0,INT((MIN(IF($E247="",TODAY(),$E247),TODAY())-$D247)/7)+1))</f>
        <v/>
      </c>
      <c r="I247" s="116">
        <f>IF(OR($B247="",$D247="",$F247=""),0,$F247*MAX(0,INT((MIN(IF($E247="",TODAY()-8,$E247),TODAY()-8)-$D247)/7)+1))</f>
        <v/>
      </c>
      <c r="J247" s="116">
        <f>IF(OR($B247="",$D247="",$F247=""),0,$F247*MAX(0,INT((MIN(IF($E247="",TODAY()-15,$E247),TODAY()-15)-$D247)/7)+1))</f>
        <v/>
      </c>
      <c r="K247" s="116">
        <f>IF(OR($B247="",$D247="",$F247=""),0,$F247*MAX(0,INT((MIN(IF($E247="",TODAY()-29,$E247),TODAY()-29)-$D247)/7)+1))</f>
        <v/>
      </c>
      <c r="L247" s="117">
        <f>IF($F247&gt;0,$H247/$F247,0)</f>
        <v/>
      </c>
      <c r="M247" s="112">
        <f>IF($B247="","",IF($C247="TANIMSIZ MÜŞTERİ","HATA",IF($G247="Pasif","PASİF",IF(AND(WEEKDAY($D247,2)=6,OR($E247="",WEEKDAY($E247,2)=6),$F247&gt;0),"UYGUN","HATA"))))</f>
        <v/>
      </c>
      <c r="N247" s="108" t="n"/>
      <c r="O247" s="6" t="n"/>
      <c r="P247" s="6" t="n"/>
    </row>
    <row r="248">
      <c r="A248" s="6" t="n"/>
      <c r="B248" s="107" t="n"/>
      <c r="C248" s="113">
        <f>IF($B248="","",IFERROR(INDEX(MUSTERILER!$C$7:$C$106,MATCH($B248,MUSTERILER!$B$7:$B$106,0)),"TANIMSIZ MÜŞTERİ"))</f>
        <v/>
      </c>
      <c r="D248" s="114" t="n"/>
      <c r="E248" s="114" t="n"/>
      <c r="F248" s="115" t="n"/>
      <c r="G248" s="107" t="n"/>
      <c r="H248" s="116">
        <f>IF(OR($B248="",$D248="",$F248=""),0,$F248*MAX(0,INT((MIN(IF($E248="",TODAY(),$E248),TODAY())-$D248)/7)+1))</f>
        <v/>
      </c>
      <c r="I248" s="116">
        <f>IF(OR($B248="",$D248="",$F248=""),0,$F248*MAX(0,INT((MIN(IF($E248="",TODAY()-8,$E248),TODAY()-8)-$D248)/7)+1))</f>
        <v/>
      </c>
      <c r="J248" s="116">
        <f>IF(OR($B248="",$D248="",$F248=""),0,$F248*MAX(0,INT((MIN(IF($E248="",TODAY()-15,$E248),TODAY()-15)-$D248)/7)+1))</f>
        <v/>
      </c>
      <c r="K248" s="116">
        <f>IF(OR($B248="",$D248="",$F248=""),0,$F248*MAX(0,INT((MIN(IF($E248="",TODAY()-29,$E248),TODAY()-29)-$D248)/7)+1))</f>
        <v/>
      </c>
      <c r="L248" s="117">
        <f>IF($F248&gt;0,$H248/$F248,0)</f>
        <v/>
      </c>
      <c r="M248" s="112">
        <f>IF($B248="","",IF($C248="TANIMSIZ MÜŞTERİ","HATA",IF($G248="Pasif","PASİF",IF(AND(WEEKDAY($D248,2)=6,OR($E248="",WEEKDAY($E248,2)=6),$F248&gt;0),"UYGUN","HATA"))))</f>
        <v/>
      </c>
      <c r="N248" s="108" t="n"/>
      <c r="O248" s="6" t="n"/>
      <c r="P248" s="6" t="n"/>
    </row>
    <row r="249">
      <c r="A249" s="6" t="n"/>
      <c r="B249" s="107" t="n"/>
      <c r="C249" s="113">
        <f>IF($B249="","",IFERROR(INDEX(MUSTERILER!$C$7:$C$106,MATCH($B249,MUSTERILER!$B$7:$B$106,0)),"TANIMSIZ MÜŞTERİ"))</f>
        <v/>
      </c>
      <c r="D249" s="114" t="n"/>
      <c r="E249" s="114" t="n"/>
      <c r="F249" s="115" t="n"/>
      <c r="G249" s="107" t="n"/>
      <c r="H249" s="116">
        <f>IF(OR($B249="",$D249="",$F249=""),0,$F249*MAX(0,INT((MIN(IF($E249="",TODAY(),$E249),TODAY())-$D249)/7)+1))</f>
        <v/>
      </c>
      <c r="I249" s="116">
        <f>IF(OR($B249="",$D249="",$F249=""),0,$F249*MAX(0,INT((MIN(IF($E249="",TODAY()-8,$E249),TODAY()-8)-$D249)/7)+1))</f>
        <v/>
      </c>
      <c r="J249" s="116">
        <f>IF(OR($B249="",$D249="",$F249=""),0,$F249*MAX(0,INT((MIN(IF($E249="",TODAY()-15,$E249),TODAY()-15)-$D249)/7)+1))</f>
        <v/>
      </c>
      <c r="K249" s="116">
        <f>IF(OR($B249="",$D249="",$F249=""),0,$F249*MAX(0,INT((MIN(IF($E249="",TODAY()-29,$E249),TODAY()-29)-$D249)/7)+1))</f>
        <v/>
      </c>
      <c r="L249" s="117">
        <f>IF($F249&gt;0,$H249/$F249,0)</f>
        <v/>
      </c>
      <c r="M249" s="112">
        <f>IF($B249="","",IF($C249="TANIMSIZ MÜŞTERİ","HATA",IF($G249="Pasif","PASİF",IF(AND(WEEKDAY($D249,2)=6,OR($E249="",WEEKDAY($E249,2)=6),$F249&gt;0),"UYGUN","HATA"))))</f>
        <v/>
      </c>
      <c r="N249" s="108" t="n"/>
      <c r="O249" s="6" t="n"/>
      <c r="P249" s="6" t="n"/>
    </row>
    <row r="250">
      <c r="A250" s="6" t="n"/>
      <c r="B250" s="107" t="n"/>
      <c r="C250" s="113">
        <f>IF($B250="","",IFERROR(INDEX(MUSTERILER!$C$7:$C$106,MATCH($B250,MUSTERILER!$B$7:$B$106,0)),"TANIMSIZ MÜŞTERİ"))</f>
        <v/>
      </c>
      <c r="D250" s="114" t="n"/>
      <c r="E250" s="114" t="n"/>
      <c r="F250" s="115" t="n"/>
      <c r="G250" s="107" t="n"/>
      <c r="H250" s="116">
        <f>IF(OR($B250="",$D250="",$F250=""),0,$F250*MAX(0,INT((MIN(IF($E250="",TODAY(),$E250),TODAY())-$D250)/7)+1))</f>
        <v/>
      </c>
      <c r="I250" s="116">
        <f>IF(OR($B250="",$D250="",$F250=""),0,$F250*MAX(0,INT((MIN(IF($E250="",TODAY()-8,$E250),TODAY()-8)-$D250)/7)+1))</f>
        <v/>
      </c>
      <c r="J250" s="116">
        <f>IF(OR($B250="",$D250="",$F250=""),0,$F250*MAX(0,INT((MIN(IF($E250="",TODAY()-15,$E250),TODAY()-15)-$D250)/7)+1))</f>
        <v/>
      </c>
      <c r="K250" s="116">
        <f>IF(OR($B250="",$D250="",$F250=""),0,$F250*MAX(0,INT((MIN(IF($E250="",TODAY()-29,$E250),TODAY()-29)-$D250)/7)+1))</f>
        <v/>
      </c>
      <c r="L250" s="117">
        <f>IF($F250&gt;0,$H250/$F250,0)</f>
        <v/>
      </c>
      <c r="M250" s="112">
        <f>IF($B250="","",IF($C250="TANIMSIZ MÜŞTERİ","HATA",IF($G250="Pasif","PASİF",IF(AND(WEEKDAY($D250,2)=6,OR($E250="",WEEKDAY($E250,2)=6),$F250&gt;0),"UYGUN","HATA"))))</f>
        <v/>
      </c>
      <c r="N250" s="108" t="n"/>
      <c r="O250" s="6" t="n"/>
      <c r="P250" s="6" t="n"/>
    </row>
    <row r="251">
      <c r="A251" s="6" t="n"/>
      <c r="B251" s="107" t="n"/>
      <c r="C251" s="113">
        <f>IF($B251="","",IFERROR(INDEX(MUSTERILER!$C$7:$C$106,MATCH($B251,MUSTERILER!$B$7:$B$106,0)),"TANIMSIZ MÜŞTERİ"))</f>
        <v/>
      </c>
      <c r="D251" s="114" t="n"/>
      <c r="E251" s="114" t="n"/>
      <c r="F251" s="115" t="n"/>
      <c r="G251" s="107" t="n"/>
      <c r="H251" s="116">
        <f>IF(OR($B251="",$D251="",$F251=""),0,$F251*MAX(0,INT((MIN(IF($E251="",TODAY(),$E251),TODAY())-$D251)/7)+1))</f>
        <v/>
      </c>
      <c r="I251" s="116">
        <f>IF(OR($B251="",$D251="",$F251=""),0,$F251*MAX(0,INT((MIN(IF($E251="",TODAY()-8,$E251),TODAY()-8)-$D251)/7)+1))</f>
        <v/>
      </c>
      <c r="J251" s="116">
        <f>IF(OR($B251="",$D251="",$F251=""),0,$F251*MAX(0,INT((MIN(IF($E251="",TODAY()-15,$E251),TODAY()-15)-$D251)/7)+1))</f>
        <v/>
      </c>
      <c r="K251" s="116">
        <f>IF(OR($B251="",$D251="",$F251=""),0,$F251*MAX(0,INT((MIN(IF($E251="",TODAY()-29,$E251),TODAY()-29)-$D251)/7)+1))</f>
        <v/>
      </c>
      <c r="L251" s="117">
        <f>IF($F251&gt;0,$H251/$F251,0)</f>
        <v/>
      </c>
      <c r="M251" s="112">
        <f>IF($B251="","",IF($C251="TANIMSIZ MÜŞTERİ","HATA",IF($G251="Pasif","PASİF",IF(AND(WEEKDAY($D251,2)=6,OR($E251="",WEEKDAY($E251,2)=6),$F251&gt;0),"UYGUN","HATA"))))</f>
        <v/>
      </c>
      <c r="N251" s="108" t="n"/>
      <c r="O251" s="6" t="n"/>
      <c r="P251" s="6" t="n"/>
    </row>
    <row r="252">
      <c r="A252" s="6" t="n"/>
      <c r="B252" s="107" t="n"/>
      <c r="C252" s="113">
        <f>IF($B252="","",IFERROR(INDEX(MUSTERILER!$C$7:$C$106,MATCH($B252,MUSTERILER!$B$7:$B$106,0)),"TANIMSIZ MÜŞTERİ"))</f>
        <v/>
      </c>
      <c r="D252" s="114" t="n"/>
      <c r="E252" s="114" t="n"/>
      <c r="F252" s="115" t="n"/>
      <c r="G252" s="107" t="n"/>
      <c r="H252" s="116">
        <f>IF(OR($B252="",$D252="",$F252=""),0,$F252*MAX(0,INT((MIN(IF($E252="",TODAY(),$E252),TODAY())-$D252)/7)+1))</f>
        <v/>
      </c>
      <c r="I252" s="116">
        <f>IF(OR($B252="",$D252="",$F252=""),0,$F252*MAX(0,INT((MIN(IF($E252="",TODAY()-8,$E252),TODAY()-8)-$D252)/7)+1))</f>
        <v/>
      </c>
      <c r="J252" s="116">
        <f>IF(OR($B252="",$D252="",$F252=""),0,$F252*MAX(0,INT((MIN(IF($E252="",TODAY()-15,$E252),TODAY()-15)-$D252)/7)+1))</f>
        <v/>
      </c>
      <c r="K252" s="116">
        <f>IF(OR($B252="",$D252="",$F252=""),0,$F252*MAX(0,INT((MIN(IF($E252="",TODAY()-29,$E252),TODAY()-29)-$D252)/7)+1))</f>
        <v/>
      </c>
      <c r="L252" s="117">
        <f>IF($F252&gt;0,$H252/$F252,0)</f>
        <v/>
      </c>
      <c r="M252" s="112">
        <f>IF($B252="","",IF($C252="TANIMSIZ MÜŞTERİ","HATA",IF($G252="Pasif","PASİF",IF(AND(WEEKDAY($D252,2)=6,OR($E252="",WEEKDAY($E252,2)=6),$F252&gt;0),"UYGUN","HATA"))))</f>
        <v/>
      </c>
      <c r="N252" s="108" t="n"/>
      <c r="O252" s="6" t="n"/>
      <c r="P252" s="6" t="n"/>
    </row>
    <row r="253">
      <c r="A253" s="6" t="n"/>
      <c r="B253" s="107" t="n"/>
      <c r="C253" s="113">
        <f>IF($B253="","",IFERROR(INDEX(MUSTERILER!$C$7:$C$106,MATCH($B253,MUSTERILER!$B$7:$B$106,0)),"TANIMSIZ MÜŞTERİ"))</f>
        <v/>
      </c>
      <c r="D253" s="114" t="n"/>
      <c r="E253" s="114" t="n"/>
      <c r="F253" s="115" t="n"/>
      <c r="G253" s="107" t="n"/>
      <c r="H253" s="116">
        <f>IF(OR($B253="",$D253="",$F253=""),0,$F253*MAX(0,INT((MIN(IF($E253="",TODAY(),$E253),TODAY())-$D253)/7)+1))</f>
        <v/>
      </c>
      <c r="I253" s="116">
        <f>IF(OR($B253="",$D253="",$F253=""),0,$F253*MAX(0,INT((MIN(IF($E253="",TODAY()-8,$E253),TODAY()-8)-$D253)/7)+1))</f>
        <v/>
      </c>
      <c r="J253" s="116">
        <f>IF(OR($B253="",$D253="",$F253=""),0,$F253*MAX(0,INT((MIN(IF($E253="",TODAY()-15,$E253),TODAY()-15)-$D253)/7)+1))</f>
        <v/>
      </c>
      <c r="K253" s="116">
        <f>IF(OR($B253="",$D253="",$F253=""),0,$F253*MAX(0,INT((MIN(IF($E253="",TODAY()-29,$E253),TODAY()-29)-$D253)/7)+1))</f>
        <v/>
      </c>
      <c r="L253" s="117">
        <f>IF($F253&gt;0,$H253/$F253,0)</f>
        <v/>
      </c>
      <c r="M253" s="112">
        <f>IF($B253="","",IF($C253="TANIMSIZ MÜŞTERİ","HATA",IF($G253="Pasif","PASİF",IF(AND(WEEKDAY($D253,2)=6,OR($E253="",WEEKDAY($E253,2)=6),$F253&gt;0),"UYGUN","HATA"))))</f>
        <v/>
      </c>
      <c r="N253" s="108" t="n"/>
      <c r="O253" s="6" t="n"/>
      <c r="P253" s="6" t="n"/>
    </row>
    <row r="254">
      <c r="A254" s="6" t="n"/>
      <c r="B254" s="107" t="n"/>
      <c r="C254" s="113">
        <f>IF($B254="","",IFERROR(INDEX(MUSTERILER!$C$7:$C$106,MATCH($B254,MUSTERILER!$B$7:$B$106,0)),"TANIMSIZ MÜŞTERİ"))</f>
        <v/>
      </c>
      <c r="D254" s="114" t="n"/>
      <c r="E254" s="114" t="n"/>
      <c r="F254" s="115" t="n"/>
      <c r="G254" s="107" t="n"/>
      <c r="H254" s="116">
        <f>IF(OR($B254="",$D254="",$F254=""),0,$F254*MAX(0,INT((MIN(IF($E254="",TODAY(),$E254),TODAY())-$D254)/7)+1))</f>
        <v/>
      </c>
      <c r="I254" s="116">
        <f>IF(OR($B254="",$D254="",$F254=""),0,$F254*MAX(0,INT((MIN(IF($E254="",TODAY()-8,$E254),TODAY()-8)-$D254)/7)+1))</f>
        <v/>
      </c>
      <c r="J254" s="116">
        <f>IF(OR($B254="",$D254="",$F254=""),0,$F254*MAX(0,INT((MIN(IF($E254="",TODAY()-15,$E254),TODAY()-15)-$D254)/7)+1))</f>
        <v/>
      </c>
      <c r="K254" s="116">
        <f>IF(OR($B254="",$D254="",$F254=""),0,$F254*MAX(0,INT((MIN(IF($E254="",TODAY()-29,$E254),TODAY()-29)-$D254)/7)+1))</f>
        <v/>
      </c>
      <c r="L254" s="117">
        <f>IF($F254&gt;0,$H254/$F254,0)</f>
        <v/>
      </c>
      <c r="M254" s="112">
        <f>IF($B254="","",IF($C254="TANIMSIZ MÜŞTERİ","HATA",IF($G254="Pasif","PASİF",IF(AND(WEEKDAY($D254,2)=6,OR($E254="",WEEKDAY($E254,2)=6),$F254&gt;0),"UYGUN","HATA"))))</f>
        <v/>
      </c>
      <c r="N254" s="108" t="n"/>
      <c r="O254" s="6" t="n"/>
      <c r="P254" s="6" t="n"/>
    </row>
    <row r="255">
      <c r="A255" s="6" t="n"/>
      <c r="B255" s="107" t="n"/>
      <c r="C255" s="113">
        <f>IF($B255="","",IFERROR(INDEX(MUSTERILER!$C$7:$C$106,MATCH($B255,MUSTERILER!$B$7:$B$106,0)),"TANIMSIZ MÜŞTERİ"))</f>
        <v/>
      </c>
      <c r="D255" s="114" t="n"/>
      <c r="E255" s="114" t="n"/>
      <c r="F255" s="115" t="n"/>
      <c r="G255" s="107" t="n"/>
      <c r="H255" s="116">
        <f>IF(OR($B255="",$D255="",$F255=""),0,$F255*MAX(0,INT((MIN(IF($E255="",TODAY(),$E255),TODAY())-$D255)/7)+1))</f>
        <v/>
      </c>
      <c r="I255" s="116">
        <f>IF(OR($B255="",$D255="",$F255=""),0,$F255*MAX(0,INT((MIN(IF($E255="",TODAY()-8,$E255),TODAY()-8)-$D255)/7)+1))</f>
        <v/>
      </c>
      <c r="J255" s="116">
        <f>IF(OR($B255="",$D255="",$F255=""),0,$F255*MAX(0,INT((MIN(IF($E255="",TODAY()-15,$E255),TODAY()-15)-$D255)/7)+1))</f>
        <v/>
      </c>
      <c r="K255" s="116">
        <f>IF(OR($B255="",$D255="",$F255=""),0,$F255*MAX(0,INT((MIN(IF($E255="",TODAY()-29,$E255),TODAY()-29)-$D255)/7)+1))</f>
        <v/>
      </c>
      <c r="L255" s="117">
        <f>IF($F255&gt;0,$H255/$F255,0)</f>
        <v/>
      </c>
      <c r="M255" s="112">
        <f>IF($B255="","",IF($C255="TANIMSIZ MÜŞTERİ","HATA",IF($G255="Pasif","PASİF",IF(AND(WEEKDAY($D255,2)=6,OR($E255="",WEEKDAY($E255,2)=6),$F255&gt;0),"UYGUN","HATA"))))</f>
        <v/>
      </c>
      <c r="N255" s="108" t="n"/>
      <c r="O255" s="6" t="n"/>
      <c r="P255" s="6" t="n"/>
    </row>
    <row r="256">
      <c r="A256" s="6" t="n"/>
      <c r="B256" s="107" t="n"/>
      <c r="C256" s="113">
        <f>IF($B256="","",IFERROR(INDEX(MUSTERILER!$C$7:$C$106,MATCH($B256,MUSTERILER!$B$7:$B$106,0)),"TANIMSIZ MÜŞTERİ"))</f>
        <v/>
      </c>
      <c r="D256" s="114" t="n"/>
      <c r="E256" s="114" t="n"/>
      <c r="F256" s="115" t="n"/>
      <c r="G256" s="107" t="n"/>
      <c r="H256" s="116">
        <f>IF(OR($B256="",$D256="",$F256=""),0,$F256*MAX(0,INT((MIN(IF($E256="",TODAY(),$E256),TODAY())-$D256)/7)+1))</f>
        <v/>
      </c>
      <c r="I256" s="116">
        <f>IF(OR($B256="",$D256="",$F256=""),0,$F256*MAX(0,INT((MIN(IF($E256="",TODAY()-8,$E256),TODAY()-8)-$D256)/7)+1))</f>
        <v/>
      </c>
      <c r="J256" s="116">
        <f>IF(OR($B256="",$D256="",$F256=""),0,$F256*MAX(0,INT((MIN(IF($E256="",TODAY()-15,$E256),TODAY()-15)-$D256)/7)+1))</f>
        <v/>
      </c>
      <c r="K256" s="116">
        <f>IF(OR($B256="",$D256="",$F256=""),0,$F256*MAX(0,INT((MIN(IF($E256="",TODAY()-29,$E256),TODAY()-29)-$D256)/7)+1))</f>
        <v/>
      </c>
      <c r="L256" s="117">
        <f>IF($F256&gt;0,$H256/$F256,0)</f>
        <v/>
      </c>
      <c r="M256" s="112">
        <f>IF($B256="","",IF($C256="TANIMSIZ MÜŞTERİ","HATA",IF($G256="Pasif","PASİF",IF(AND(WEEKDAY($D256,2)=6,OR($E256="",WEEKDAY($E256,2)=6),$F256&gt;0),"UYGUN","HATA"))))</f>
        <v/>
      </c>
      <c r="N256" s="108" t="n"/>
      <c r="O256" s="6" t="n"/>
      <c r="P256" s="6" t="n"/>
    </row>
    <row r="257">
      <c r="A257" s="6" t="n"/>
      <c r="B257" s="107" t="n"/>
      <c r="C257" s="113">
        <f>IF($B257="","",IFERROR(INDEX(MUSTERILER!$C$7:$C$106,MATCH($B257,MUSTERILER!$B$7:$B$106,0)),"TANIMSIZ MÜŞTERİ"))</f>
        <v/>
      </c>
      <c r="D257" s="114" t="n"/>
      <c r="E257" s="114" t="n"/>
      <c r="F257" s="115" t="n"/>
      <c r="G257" s="107" t="n"/>
      <c r="H257" s="116">
        <f>IF(OR($B257="",$D257="",$F257=""),0,$F257*MAX(0,INT((MIN(IF($E257="",TODAY(),$E257),TODAY())-$D257)/7)+1))</f>
        <v/>
      </c>
      <c r="I257" s="116">
        <f>IF(OR($B257="",$D257="",$F257=""),0,$F257*MAX(0,INT((MIN(IF($E257="",TODAY()-8,$E257),TODAY()-8)-$D257)/7)+1))</f>
        <v/>
      </c>
      <c r="J257" s="116">
        <f>IF(OR($B257="",$D257="",$F257=""),0,$F257*MAX(0,INT((MIN(IF($E257="",TODAY()-15,$E257),TODAY()-15)-$D257)/7)+1))</f>
        <v/>
      </c>
      <c r="K257" s="116">
        <f>IF(OR($B257="",$D257="",$F257=""),0,$F257*MAX(0,INT((MIN(IF($E257="",TODAY()-29,$E257),TODAY()-29)-$D257)/7)+1))</f>
        <v/>
      </c>
      <c r="L257" s="117">
        <f>IF($F257&gt;0,$H257/$F257,0)</f>
        <v/>
      </c>
      <c r="M257" s="112">
        <f>IF($B257="","",IF($C257="TANIMSIZ MÜŞTERİ","HATA",IF($G257="Pasif","PASİF",IF(AND(WEEKDAY($D257,2)=6,OR($E257="",WEEKDAY($E257,2)=6),$F257&gt;0),"UYGUN","HATA"))))</f>
        <v/>
      </c>
      <c r="N257" s="108" t="n"/>
      <c r="O257" s="6" t="n"/>
      <c r="P257" s="6" t="n"/>
    </row>
    <row r="258">
      <c r="A258" s="6" t="n"/>
      <c r="B258" s="107" t="n"/>
      <c r="C258" s="113">
        <f>IF($B258="","",IFERROR(INDEX(MUSTERILER!$C$7:$C$106,MATCH($B258,MUSTERILER!$B$7:$B$106,0)),"TANIMSIZ MÜŞTERİ"))</f>
        <v/>
      </c>
      <c r="D258" s="114" t="n"/>
      <c r="E258" s="114" t="n"/>
      <c r="F258" s="115" t="n"/>
      <c r="G258" s="107" t="n"/>
      <c r="H258" s="116">
        <f>IF(OR($B258="",$D258="",$F258=""),0,$F258*MAX(0,INT((MIN(IF($E258="",TODAY(),$E258),TODAY())-$D258)/7)+1))</f>
        <v/>
      </c>
      <c r="I258" s="116">
        <f>IF(OR($B258="",$D258="",$F258=""),0,$F258*MAX(0,INT((MIN(IF($E258="",TODAY()-8,$E258),TODAY()-8)-$D258)/7)+1))</f>
        <v/>
      </c>
      <c r="J258" s="116">
        <f>IF(OR($B258="",$D258="",$F258=""),0,$F258*MAX(0,INT((MIN(IF($E258="",TODAY()-15,$E258),TODAY()-15)-$D258)/7)+1))</f>
        <v/>
      </c>
      <c r="K258" s="116">
        <f>IF(OR($B258="",$D258="",$F258=""),0,$F258*MAX(0,INT((MIN(IF($E258="",TODAY()-29,$E258),TODAY()-29)-$D258)/7)+1))</f>
        <v/>
      </c>
      <c r="L258" s="117">
        <f>IF($F258&gt;0,$H258/$F258,0)</f>
        <v/>
      </c>
      <c r="M258" s="112">
        <f>IF($B258="","",IF($C258="TANIMSIZ MÜŞTERİ","HATA",IF($G258="Pasif","PASİF",IF(AND(WEEKDAY($D258,2)=6,OR($E258="",WEEKDAY($E258,2)=6),$F258&gt;0),"UYGUN","HATA"))))</f>
        <v/>
      </c>
      <c r="N258" s="108" t="n"/>
      <c r="O258" s="6" t="n"/>
      <c r="P258" s="6" t="n"/>
    </row>
    <row r="259">
      <c r="A259" s="6" t="n"/>
      <c r="B259" s="107" t="n"/>
      <c r="C259" s="113">
        <f>IF($B259="","",IFERROR(INDEX(MUSTERILER!$C$7:$C$106,MATCH($B259,MUSTERILER!$B$7:$B$106,0)),"TANIMSIZ MÜŞTERİ"))</f>
        <v/>
      </c>
      <c r="D259" s="114" t="n"/>
      <c r="E259" s="114" t="n"/>
      <c r="F259" s="115" t="n"/>
      <c r="G259" s="107" t="n"/>
      <c r="H259" s="116">
        <f>IF(OR($B259="",$D259="",$F259=""),0,$F259*MAX(0,INT((MIN(IF($E259="",TODAY(),$E259),TODAY())-$D259)/7)+1))</f>
        <v/>
      </c>
      <c r="I259" s="116">
        <f>IF(OR($B259="",$D259="",$F259=""),0,$F259*MAX(0,INT((MIN(IF($E259="",TODAY()-8,$E259),TODAY()-8)-$D259)/7)+1))</f>
        <v/>
      </c>
      <c r="J259" s="116">
        <f>IF(OR($B259="",$D259="",$F259=""),0,$F259*MAX(0,INT((MIN(IF($E259="",TODAY()-15,$E259),TODAY()-15)-$D259)/7)+1))</f>
        <v/>
      </c>
      <c r="K259" s="116">
        <f>IF(OR($B259="",$D259="",$F259=""),0,$F259*MAX(0,INT((MIN(IF($E259="",TODAY()-29,$E259),TODAY()-29)-$D259)/7)+1))</f>
        <v/>
      </c>
      <c r="L259" s="117">
        <f>IF($F259&gt;0,$H259/$F259,0)</f>
        <v/>
      </c>
      <c r="M259" s="112">
        <f>IF($B259="","",IF($C259="TANIMSIZ MÜŞTERİ","HATA",IF($G259="Pasif","PASİF",IF(AND(WEEKDAY($D259,2)=6,OR($E259="",WEEKDAY($E259,2)=6),$F259&gt;0),"UYGUN","HATA"))))</f>
        <v/>
      </c>
      <c r="N259" s="108" t="n"/>
      <c r="O259" s="6" t="n"/>
      <c r="P259" s="6" t="n"/>
    </row>
    <row r="260">
      <c r="A260" s="6" t="n"/>
      <c r="B260" s="107" t="n"/>
      <c r="C260" s="113">
        <f>IF($B260="","",IFERROR(INDEX(MUSTERILER!$C$7:$C$106,MATCH($B260,MUSTERILER!$B$7:$B$106,0)),"TANIMSIZ MÜŞTERİ"))</f>
        <v/>
      </c>
      <c r="D260" s="114" t="n"/>
      <c r="E260" s="114" t="n"/>
      <c r="F260" s="115" t="n"/>
      <c r="G260" s="107" t="n"/>
      <c r="H260" s="116">
        <f>IF(OR($B260="",$D260="",$F260=""),0,$F260*MAX(0,INT((MIN(IF($E260="",TODAY(),$E260),TODAY())-$D260)/7)+1))</f>
        <v/>
      </c>
      <c r="I260" s="116">
        <f>IF(OR($B260="",$D260="",$F260=""),0,$F260*MAX(0,INT((MIN(IF($E260="",TODAY()-8,$E260),TODAY()-8)-$D260)/7)+1))</f>
        <v/>
      </c>
      <c r="J260" s="116">
        <f>IF(OR($B260="",$D260="",$F260=""),0,$F260*MAX(0,INT((MIN(IF($E260="",TODAY()-15,$E260),TODAY()-15)-$D260)/7)+1))</f>
        <v/>
      </c>
      <c r="K260" s="116">
        <f>IF(OR($B260="",$D260="",$F260=""),0,$F260*MAX(0,INT((MIN(IF($E260="",TODAY()-29,$E260),TODAY()-29)-$D260)/7)+1))</f>
        <v/>
      </c>
      <c r="L260" s="117">
        <f>IF($F260&gt;0,$H260/$F260,0)</f>
        <v/>
      </c>
      <c r="M260" s="112">
        <f>IF($B260="","",IF($C260="TANIMSIZ MÜŞTERİ","HATA",IF($G260="Pasif","PASİF",IF(AND(WEEKDAY($D260,2)=6,OR($E260="",WEEKDAY($E260,2)=6),$F260&gt;0),"UYGUN","HATA"))))</f>
        <v/>
      </c>
      <c r="N260" s="108" t="n"/>
      <c r="O260" s="6" t="n"/>
      <c r="P260" s="6" t="n"/>
    </row>
    <row r="261">
      <c r="A261" s="6" t="n"/>
      <c r="B261" s="107" t="n"/>
      <c r="C261" s="113">
        <f>IF($B261="","",IFERROR(INDEX(MUSTERILER!$C$7:$C$106,MATCH($B261,MUSTERILER!$B$7:$B$106,0)),"TANIMSIZ MÜŞTERİ"))</f>
        <v/>
      </c>
      <c r="D261" s="114" t="n"/>
      <c r="E261" s="114" t="n"/>
      <c r="F261" s="115" t="n"/>
      <c r="G261" s="107" t="n"/>
      <c r="H261" s="116">
        <f>IF(OR($B261="",$D261="",$F261=""),0,$F261*MAX(0,INT((MIN(IF($E261="",TODAY(),$E261),TODAY())-$D261)/7)+1))</f>
        <v/>
      </c>
      <c r="I261" s="116">
        <f>IF(OR($B261="",$D261="",$F261=""),0,$F261*MAX(0,INT((MIN(IF($E261="",TODAY()-8,$E261),TODAY()-8)-$D261)/7)+1))</f>
        <v/>
      </c>
      <c r="J261" s="116">
        <f>IF(OR($B261="",$D261="",$F261=""),0,$F261*MAX(0,INT((MIN(IF($E261="",TODAY()-15,$E261),TODAY()-15)-$D261)/7)+1))</f>
        <v/>
      </c>
      <c r="K261" s="116">
        <f>IF(OR($B261="",$D261="",$F261=""),0,$F261*MAX(0,INT((MIN(IF($E261="",TODAY()-29,$E261),TODAY()-29)-$D261)/7)+1))</f>
        <v/>
      </c>
      <c r="L261" s="117">
        <f>IF($F261&gt;0,$H261/$F261,0)</f>
        <v/>
      </c>
      <c r="M261" s="112">
        <f>IF($B261="","",IF($C261="TANIMSIZ MÜŞTERİ","HATA",IF($G261="Pasif","PASİF",IF(AND(WEEKDAY($D261,2)=6,OR($E261="",WEEKDAY($E261,2)=6),$F261&gt;0),"UYGUN","HATA"))))</f>
        <v/>
      </c>
      <c r="N261" s="108" t="n"/>
      <c r="O261" s="6" t="n"/>
      <c r="P261" s="6" t="n"/>
    </row>
    <row r="262">
      <c r="A262" s="6" t="n"/>
      <c r="B262" s="107" t="n"/>
      <c r="C262" s="113">
        <f>IF($B262="","",IFERROR(INDEX(MUSTERILER!$C$7:$C$106,MATCH($B262,MUSTERILER!$B$7:$B$106,0)),"TANIMSIZ MÜŞTERİ"))</f>
        <v/>
      </c>
      <c r="D262" s="114" t="n"/>
      <c r="E262" s="114" t="n"/>
      <c r="F262" s="115" t="n"/>
      <c r="G262" s="107" t="n"/>
      <c r="H262" s="116">
        <f>IF(OR($B262="",$D262="",$F262=""),0,$F262*MAX(0,INT((MIN(IF($E262="",TODAY(),$E262),TODAY())-$D262)/7)+1))</f>
        <v/>
      </c>
      <c r="I262" s="116">
        <f>IF(OR($B262="",$D262="",$F262=""),0,$F262*MAX(0,INT((MIN(IF($E262="",TODAY()-8,$E262),TODAY()-8)-$D262)/7)+1))</f>
        <v/>
      </c>
      <c r="J262" s="116">
        <f>IF(OR($B262="",$D262="",$F262=""),0,$F262*MAX(0,INT((MIN(IF($E262="",TODAY()-15,$E262),TODAY()-15)-$D262)/7)+1))</f>
        <v/>
      </c>
      <c r="K262" s="116">
        <f>IF(OR($B262="",$D262="",$F262=""),0,$F262*MAX(0,INT((MIN(IF($E262="",TODAY()-29,$E262),TODAY()-29)-$D262)/7)+1))</f>
        <v/>
      </c>
      <c r="L262" s="117">
        <f>IF($F262&gt;0,$H262/$F262,0)</f>
        <v/>
      </c>
      <c r="M262" s="112">
        <f>IF($B262="","",IF($C262="TANIMSIZ MÜŞTERİ","HATA",IF($G262="Pasif","PASİF",IF(AND(WEEKDAY($D262,2)=6,OR($E262="",WEEKDAY($E262,2)=6),$F262&gt;0),"UYGUN","HATA"))))</f>
        <v/>
      </c>
      <c r="N262" s="108" t="n"/>
      <c r="O262" s="6" t="n"/>
      <c r="P262" s="6" t="n"/>
    </row>
    <row r="263">
      <c r="A263" s="6" t="n"/>
      <c r="B263" s="107" t="n"/>
      <c r="C263" s="113">
        <f>IF($B263="","",IFERROR(INDEX(MUSTERILER!$C$7:$C$106,MATCH($B263,MUSTERILER!$B$7:$B$106,0)),"TANIMSIZ MÜŞTERİ"))</f>
        <v/>
      </c>
      <c r="D263" s="114" t="n"/>
      <c r="E263" s="114" t="n"/>
      <c r="F263" s="115" t="n"/>
      <c r="G263" s="107" t="n"/>
      <c r="H263" s="116">
        <f>IF(OR($B263="",$D263="",$F263=""),0,$F263*MAX(0,INT((MIN(IF($E263="",TODAY(),$E263),TODAY())-$D263)/7)+1))</f>
        <v/>
      </c>
      <c r="I263" s="116">
        <f>IF(OR($B263="",$D263="",$F263=""),0,$F263*MAX(0,INT((MIN(IF($E263="",TODAY()-8,$E263),TODAY()-8)-$D263)/7)+1))</f>
        <v/>
      </c>
      <c r="J263" s="116">
        <f>IF(OR($B263="",$D263="",$F263=""),0,$F263*MAX(0,INT((MIN(IF($E263="",TODAY()-15,$E263),TODAY()-15)-$D263)/7)+1))</f>
        <v/>
      </c>
      <c r="K263" s="116">
        <f>IF(OR($B263="",$D263="",$F263=""),0,$F263*MAX(0,INT((MIN(IF($E263="",TODAY()-29,$E263),TODAY()-29)-$D263)/7)+1))</f>
        <v/>
      </c>
      <c r="L263" s="117">
        <f>IF($F263&gt;0,$H263/$F263,0)</f>
        <v/>
      </c>
      <c r="M263" s="112">
        <f>IF($B263="","",IF($C263="TANIMSIZ MÜŞTERİ","HATA",IF($G263="Pasif","PASİF",IF(AND(WEEKDAY($D263,2)=6,OR($E263="",WEEKDAY($E263,2)=6),$F263&gt;0),"UYGUN","HATA"))))</f>
        <v/>
      </c>
      <c r="N263" s="108" t="n"/>
      <c r="O263" s="6" t="n"/>
      <c r="P263" s="6" t="n"/>
    </row>
    <row r="264">
      <c r="A264" s="6" t="n"/>
      <c r="B264" s="107" t="n"/>
      <c r="C264" s="113">
        <f>IF($B264="","",IFERROR(INDEX(MUSTERILER!$C$7:$C$106,MATCH($B264,MUSTERILER!$B$7:$B$106,0)),"TANIMSIZ MÜŞTERİ"))</f>
        <v/>
      </c>
      <c r="D264" s="114" t="n"/>
      <c r="E264" s="114" t="n"/>
      <c r="F264" s="115" t="n"/>
      <c r="G264" s="107" t="n"/>
      <c r="H264" s="116">
        <f>IF(OR($B264="",$D264="",$F264=""),0,$F264*MAX(0,INT((MIN(IF($E264="",TODAY(),$E264),TODAY())-$D264)/7)+1))</f>
        <v/>
      </c>
      <c r="I264" s="116">
        <f>IF(OR($B264="",$D264="",$F264=""),0,$F264*MAX(0,INT((MIN(IF($E264="",TODAY()-8,$E264),TODAY()-8)-$D264)/7)+1))</f>
        <v/>
      </c>
      <c r="J264" s="116">
        <f>IF(OR($B264="",$D264="",$F264=""),0,$F264*MAX(0,INT((MIN(IF($E264="",TODAY()-15,$E264),TODAY()-15)-$D264)/7)+1))</f>
        <v/>
      </c>
      <c r="K264" s="116">
        <f>IF(OR($B264="",$D264="",$F264=""),0,$F264*MAX(0,INT((MIN(IF($E264="",TODAY()-29,$E264),TODAY()-29)-$D264)/7)+1))</f>
        <v/>
      </c>
      <c r="L264" s="117">
        <f>IF($F264&gt;0,$H264/$F264,0)</f>
        <v/>
      </c>
      <c r="M264" s="112">
        <f>IF($B264="","",IF($C264="TANIMSIZ MÜŞTERİ","HATA",IF($G264="Pasif","PASİF",IF(AND(WEEKDAY($D264,2)=6,OR($E264="",WEEKDAY($E264,2)=6),$F264&gt;0),"UYGUN","HATA"))))</f>
        <v/>
      </c>
      <c r="N264" s="108" t="n"/>
      <c r="O264" s="6" t="n"/>
      <c r="P264" s="6" t="n"/>
    </row>
    <row r="265">
      <c r="A265" s="6" t="n"/>
      <c r="B265" s="107" t="n"/>
      <c r="C265" s="113">
        <f>IF($B265="","",IFERROR(INDEX(MUSTERILER!$C$7:$C$106,MATCH($B265,MUSTERILER!$B$7:$B$106,0)),"TANIMSIZ MÜŞTERİ"))</f>
        <v/>
      </c>
      <c r="D265" s="114" t="n"/>
      <c r="E265" s="114" t="n"/>
      <c r="F265" s="115" t="n"/>
      <c r="G265" s="107" t="n"/>
      <c r="H265" s="116">
        <f>IF(OR($B265="",$D265="",$F265=""),0,$F265*MAX(0,INT((MIN(IF($E265="",TODAY(),$E265),TODAY())-$D265)/7)+1))</f>
        <v/>
      </c>
      <c r="I265" s="116">
        <f>IF(OR($B265="",$D265="",$F265=""),0,$F265*MAX(0,INT((MIN(IF($E265="",TODAY()-8,$E265),TODAY()-8)-$D265)/7)+1))</f>
        <v/>
      </c>
      <c r="J265" s="116">
        <f>IF(OR($B265="",$D265="",$F265=""),0,$F265*MAX(0,INT((MIN(IF($E265="",TODAY()-15,$E265),TODAY()-15)-$D265)/7)+1))</f>
        <v/>
      </c>
      <c r="K265" s="116">
        <f>IF(OR($B265="",$D265="",$F265=""),0,$F265*MAX(0,INT((MIN(IF($E265="",TODAY()-29,$E265),TODAY()-29)-$D265)/7)+1))</f>
        <v/>
      </c>
      <c r="L265" s="117">
        <f>IF($F265&gt;0,$H265/$F265,0)</f>
        <v/>
      </c>
      <c r="M265" s="112">
        <f>IF($B265="","",IF($C265="TANIMSIZ MÜŞTERİ","HATA",IF($G265="Pasif","PASİF",IF(AND(WEEKDAY($D265,2)=6,OR($E265="",WEEKDAY($E265,2)=6),$F265&gt;0),"UYGUN","HATA"))))</f>
        <v/>
      </c>
      <c r="N265" s="108" t="n"/>
      <c r="O265" s="6" t="n"/>
      <c r="P265" s="6" t="n"/>
    </row>
    <row r="266">
      <c r="A266" s="6" t="n"/>
      <c r="B266" s="107" t="n"/>
      <c r="C266" s="113">
        <f>IF($B266="","",IFERROR(INDEX(MUSTERILER!$C$7:$C$106,MATCH($B266,MUSTERILER!$B$7:$B$106,0)),"TANIMSIZ MÜŞTERİ"))</f>
        <v/>
      </c>
      <c r="D266" s="114" t="n"/>
      <c r="E266" s="114" t="n"/>
      <c r="F266" s="115" t="n"/>
      <c r="G266" s="107" t="n"/>
      <c r="H266" s="116">
        <f>IF(OR($B266="",$D266="",$F266=""),0,$F266*MAX(0,INT((MIN(IF($E266="",TODAY(),$E266),TODAY())-$D266)/7)+1))</f>
        <v/>
      </c>
      <c r="I266" s="116">
        <f>IF(OR($B266="",$D266="",$F266=""),0,$F266*MAX(0,INT((MIN(IF($E266="",TODAY()-8,$E266),TODAY()-8)-$D266)/7)+1))</f>
        <v/>
      </c>
      <c r="J266" s="116">
        <f>IF(OR($B266="",$D266="",$F266=""),0,$F266*MAX(0,INT((MIN(IF($E266="",TODAY()-15,$E266),TODAY()-15)-$D266)/7)+1))</f>
        <v/>
      </c>
      <c r="K266" s="116">
        <f>IF(OR($B266="",$D266="",$F266=""),0,$F266*MAX(0,INT((MIN(IF($E266="",TODAY()-29,$E266),TODAY()-29)-$D266)/7)+1))</f>
        <v/>
      </c>
      <c r="L266" s="117">
        <f>IF($F266&gt;0,$H266/$F266,0)</f>
        <v/>
      </c>
      <c r="M266" s="112">
        <f>IF($B266="","",IF($C266="TANIMSIZ MÜŞTERİ","HATA",IF($G266="Pasif","PASİF",IF(AND(WEEKDAY($D266,2)=6,OR($E266="",WEEKDAY($E266,2)=6),$F266&gt;0),"UYGUN","HATA"))))</f>
        <v/>
      </c>
      <c r="N266" s="108" t="n"/>
      <c r="O266" s="6" t="n"/>
      <c r="P266" s="6" t="n"/>
    </row>
    <row r="267">
      <c r="A267" s="6" t="n"/>
      <c r="B267" s="107" t="n"/>
      <c r="C267" s="113">
        <f>IF($B267="","",IFERROR(INDEX(MUSTERILER!$C$7:$C$106,MATCH($B267,MUSTERILER!$B$7:$B$106,0)),"TANIMSIZ MÜŞTERİ"))</f>
        <v/>
      </c>
      <c r="D267" s="114" t="n"/>
      <c r="E267" s="114" t="n"/>
      <c r="F267" s="115" t="n"/>
      <c r="G267" s="107" t="n"/>
      <c r="H267" s="116">
        <f>IF(OR($B267="",$D267="",$F267=""),0,$F267*MAX(0,INT((MIN(IF($E267="",TODAY(),$E267),TODAY())-$D267)/7)+1))</f>
        <v/>
      </c>
      <c r="I267" s="116">
        <f>IF(OR($B267="",$D267="",$F267=""),0,$F267*MAX(0,INT((MIN(IF($E267="",TODAY()-8,$E267),TODAY()-8)-$D267)/7)+1))</f>
        <v/>
      </c>
      <c r="J267" s="116">
        <f>IF(OR($B267="",$D267="",$F267=""),0,$F267*MAX(0,INT((MIN(IF($E267="",TODAY()-15,$E267),TODAY()-15)-$D267)/7)+1))</f>
        <v/>
      </c>
      <c r="K267" s="116">
        <f>IF(OR($B267="",$D267="",$F267=""),0,$F267*MAX(0,INT((MIN(IF($E267="",TODAY()-29,$E267),TODAY()-29)-$D267)/7)+1))</f>
        <v/>
      </c>
      <c r="L267" s="117">
        <f>IF($F267&gt;0,$H267/$F267,0)</f>
        <v/>
      </c>
      <c r="M267" s="112">
        <f>IF($B267="","",IF($C267="TANIMSIZ MÜŞTERİ","HATA",IF($G267="Pasif","PASİF",IF(AND(WEEKDAY($D267,2)=6,OR($E267="",WEEKDAY($E267,2)=6),$F267&gt;0),"UYGUN","HATA"))))</f>
        <v/>
      </c>
      <c r="N267" s="108" t="n"/>
      <c r="O267" s="6" t="n"/>
      <c r="P267" s="6" t="n"/>
    </row>
    <row r="268">
      <c r="A268" s="6" t="n"/>
      <c r="B268" s="107" t="n"/>
      <c r="C268" s="113">
        <f>IF($B268="","",IFERROR(INDEX(MUSTERILER!$C$7:$C$106,MATCH($B268,MUSTERILER!$B$7:$B$106,0)),"TANIMSIZ MÜŞTERİ"))</f>
        <v/>
      </c>
      <c r="D268" s="114" t="n"/>
      <c r="E268" s="114" t="n"/>
      <c r="F268" s="115" t="n"/>
      <c r="G268" s="107" t="n"/>
      <c r="H268" s="116">
        <f>IF(OR($B268="",$D268="",$F268=""),0,$F268*MAX(0,INT((MIN(IF($E268="",TODAY(),$E268),TODAY())-$D268)/7)+1))</f>
        <v/>
      </c>
      <c r="I268" s="116">
        <f>IF(OR($B268="",$D268="",$F268=""),0,$F268*MAX(0,INT((MIN(IF($E268="",TODAY()-8,$E268),TODAY()-8)-$D268)/7)+1))</f>
        <v/>
      </c>
      <c r="J268" s="116">
        <f>IF(OR($B268="",$D268="",$F268=""),0,$F268*MAX(0,INT((MIN(IF($E268="",TODAY()-15,$E268),TODAY()-15)-$D268)/7)+1))</f>
        <v/>
      </c>
      <c r="K268" s="116">
        <f>IF(OR($B268="",$D268="",$F268=""),0,$F268*MAX(0,INT((MIN(IF($E268="",TODAY()-29,$E268),TODAY()-29)-$D268)/7)+1))</f>
        <v/>
      </c>
      <c r="L268" s="117">
        <f>IF($F268&gt;0,$H268/$F268,0)</f>
        <v/>
      </c>
      <c r="M268" s="112">
        <f>IF($B268="","",IF($C268="TANIMSIZ MÜŞTERİ","HATA",IF($G268="Pasif","PASİF",IF(AND(WEEKDAY($D268,2)=6,OR($E268="",WEEKDAY($E268,2)=6),$F268&gt;0),"UYGUN","HATA"))))</f>
        <v/>
      </c>
      <c r="N268" s="108" t="n"/>
      <c r="O268" s="6" t="n"/>
      <c r="P268" s="6" t="n"/>
    </row>
    <row r="269">
      <c r="A269" s="6" t="n"/>
      <c r="B269" s="107" t="n"/>
      <c r="C269" s="113">
        <f>IF($B269="","",IFERROR(INDEX(MUSTERILER!$C$7:$C$106,MATCH($B269,MUSTERILER!$B$7:$B$106,0)),"TANIMSIZ MÜŞTERİ"))</f>
        <v/>
      </c>
      <c r="D269" s="114" t="n"/>
      <c r="E269" s="114" t="n"/>
      <c r="F269" s="115" t="n"/>
      <c r="G269" s="107" t="n"/>
      <c r="H269" s="116">
        <f>IF(OR($B269="",$D269="",$F269=""),0,$F269*MAX(0,INT((MIN(IF($E269="",TODAY(),$E269),TODAY())-$D269)/7)+1))</f>
        <v/>
      </c>
      <c r="I269" s="116">
        <f>IF(OR($B269="",$D269="",$F269=""),0,$F269*MAX(0,INT((MIN(IF($E269="",TODAY()-8,$E269),TODAY()-8)-$D269)/7)+1))</f>
        <v/>
      </c>
      <c r="J269" s="116">
        <f>IF(OR($B269="",$D269="",$F269=""),0,$F269*MAX(0,INT((MIN(IF($E269="",TODAY()-15,$E269),TODAY()-15)-$D269)/7)+1))</f>
        <v/>
      </c>
      <c r="K269" s="116">
        <f>IF(OR($B269="",$D269="",$F269=""),0,$F269*MAX(0,INT((MIN(IF($E269="",TODAY()-29,$E269),TODAY()-29)-$D269)/7)+1))</f>
        <v/>
      </c>
      <c r="L269" s="117">
        <f>IF($F269&gt;0,$H269/$F269,0)</f>
        <v/>
      </c>
      <c r="M269" s="112">
        <f>IF($B269="","",IF($C269="TANIMSIZ MÜŞTERİ","HATA",IF($G269="Pasif","PASİF",IF(AND(WEEKDAY($D269,2)=6,OR($E269="",WEEKDAY($E269,2)=6),$F269&gt;0),"UYGUN","HATA"))))</f>
        <v/>
      </c>
      <c r="N269" s="108" t="n"/>
      <c r="O269" s="6" t="n"/>
      <c r="P269" s="6" t="n"/>
    </row>
    <row r="270">
      <c r="A270" s="6" t="n"/>
      <c r="B270" s="107" t="n"/>
      <c r="C270" s="113">
        <f>IF($B270="","",IFERROR(INDEX(MUSTERILER!$C$7:$C$106,MATCH($B270,MUSTERILER!$B$7:$B$106,0)),"TANIMSIZ MÜŞTERİ"))</f>
        <v/>
      </c>
      <c r="D270" s="114" t="n"/>
      <c r="E270" s="114" t="n"/>
      <c r="F270" s="115" t="n"/>
      <c r="G270" s="107" t="n"/>
      <c r="H270" s="116">
        <f>IF(OR($B270="",$D270="",$F270=""),0,$F270*MAX(0,INT((MIN(IF($E270="",TODAY(),$E270),TODAY())-$D270)/7)+1))</f>
        <v/>
      </c>
      <c r="I270" s="116">
        <f>IF(OR($B270="",$D270="",$F270=""),0,$F270*MAX(0,INT((MIN(IF($E270="",TODAY()-8,$E270),TODAY()-8)-$D270)/7)+1))</f>
        <v/>
      </c>
      <c r="J270" s="116">
        <f>IF(OR($B270="",$D270="",$F270=""),0,$F270*MAX(0,INT((MIN(IF($E270="",TODAY()-15,$E270),TODAY()-15)-$D270)/7)+1))</f>
        <v/>
      </c>
      <c r="K270" s="116">
        <f>IF(OR($B270="",$D270="",$F270=""),0,$F270*MAX(0,INT((MIN(IF($E270="",TODAY()-29,$E270),TODAY()-29)-$D270)/7)+1))</f>
        <v/>
      </c>
      <c r="L270" s="117">
        <f>IF($F270&gt;0,$H270/$F270,0)</f>
        <v/>
      </c>
      <c r="M270" s="112">
        <f>IF($B270="","",IF($C270="TANIMSIZ MÜŞTERİ","HATA",IF($G270="Pasif","PASİF",IF(AND(WEEKDAY($D270,2)=6,OR($E270="",WEEKDAY($E270,2)=6),$F270&gt;0),"UYGUN","HATA"))))</f>
        <v/>
      </c>
      <c r="N270" s="108" t="n"/>
      <c r="O270" s="6" t="n"/>
      <c r="P270" s="6" t="n"/>
    </row>
    <row r="271">
      <c r="A271" s="6" t="n"/>
      <c r="B271" s="107" t="n"/>
      <c r="C271" s="113">
        <f>IF($B271="","",IFERROR(INDEX(MUSTERILER!$C$7:$C$106,MATCH($B271,MUSTERILER!$B$7:$B$106,0)),"TANIMSIZ MÜŞTERİ"))</f>
        <v/>
      </c>
      <c r="D271" s="114" t="n"/>
      <c r="E271" s="114" t="n"/>
      <c r="F271" s="115" t="n"/>
      <c r="G271" s="107" t="n"/>
      <c r="H271" s="116">
        <f>IF(OR($B271="",$D271="",$F271=""),0,$F271*MAX(0,INT((MIN(IF($E271="",TODAY(),$E271),TODAY())-$D271)/7)+1))</f>
        <v/>
      </c>
      <c r="I271" s="116">
        <f>IF(OR($B271="",$D271="",$F271=""),0,$F271*MAX(0,INT((MIN(IF($E271="",TODAY()-8,$E271),TODAY()-8)-$D271)/7)+1))</f>
        <v/>
      </c>
      <c r="J271" s="116">
        <f>IF(OR($B271="",$D271="",$F271=""),0,$F271*MAX(0,INT((MIN(IF($E271="",TODAY()-15,$E271),TODAY()-15)-$D271)/7)+1))</f>
        <v/>
      </c>
      <c r="K271" s="116">
        <f>IF(OR($B271="",$D271="",$F271=""),0,$F271*MAX(0,INT((MIN(IF($E271="",TODAY()-29,$E271),TODAY()-29)-$D271)/7)+1))</f>
        <v/>
      </c>
      <c r="L271" s="117">
        <f>IF($F271&gt;0,$H271/$F271,0)</f>
        <v/>
      </c>
      <c r="M271" s="112">
        <f>IF($B271="","",IF($C271="TANIMSIZ MÜŞTERİ","HATA",IF($G271="Pasif","PASİF",IF(AND(WEEKDAY($D271,2)=6,OR($E271="",WEEKDAY($E271,2)=6),$F271&gt;0),"UYGUN","HATA"))))</f>
        <v/>
      </c>
      <c r="N271" s="108" t="n"/>
      <c r="O271" s="6" t="n"/>
      <c r="P271" s="6" t="n"/>
    </row>
    <row r="272">
      <c r="A272" s="6" t="n"/>
      <c r="B272" s="107" t="n"/>
      <c r="C272" s="113">
        <f>IF($B272="","",IFERROR(INDEX(MUSTERILER!$C$7:$C$106,MATCH($B272,MUSTERILER!$B$7:$B$106,0)),"TANIMSIZ MÜŞTERİ"))</f>
        <v/>
      </c>
      <c r="D272" s="114" t="n"/>
      <c r="E272" s="114" t="n"/>
      <c r="F272" s="115" t="n"/>
      <c r="G272" s="107" t="n"/>
      <c r="H272" s="116">
        <f>IF(OR($B272="",$D272="",$F272=""),0,$F272*MAX(0,INT((MIN(IF($E272="",TODAY(),$E272),TODAY())-$D272)/7)+1))</f>
        <v/>
      </c>
      <c r="I272" s="116">
        <f>IF(OR($B272="",$D272="",$F272=""),0,$F272*MAX(0,INT((MIN(IF($E272="",TODAY()-8,$E272),TODAY()-8)-$D272)/7)+1))</f>
        <v/>
      </c>
      <c r="J272" s="116">
        <f>IF(OR($B272="",$D272="",$F272=""),0,$F272*MAX(0,INT((MIN(IF($E272="",TODAY()-15,$E272),TODAY()-15)-$D272)/7)+1))</f>
        <v/>
      </c>
      <c r="K272" s="116">
        <f>IF(OR($B272="",$D272="",$F272=""),0,$F272*MAX(0,INT((MIN(IF($E272="",TODAY()-29,$E272),TODAY()-29)-$D272)/7)+1))</f>
        <v/>
      </c>
      <c r="L272" s="117">
        <f>IF($F272&gt;0,$H272/$F272,0)</f>
        <v/>
      </c>
      <c r="M272" s="112">
        <f>IF($B272="","",IF($C272="TANIMSIZ MÜŞTERİ","HATA",IF($G272="Pasif","PASİF",IF(AND(WEEKDAY($D272,2)=6,OR($E272="",WEEKDAY($E272,2)=6),$F272&gt;0),"UYGUN","HATA"))))</f>
        <v/>
      </c>
      <c r="N272" s="108" t="n"/>
      <c r="O272" s="6" t="n"/>
      <c r="P272" s="6" t="n"/>
    </row>
    <row r="273">
      <c r="A273" s="6" t="n"/>
      <c r="B273" s="107" t="n"/>
      <c r="C273" s="113">
        <f>IF($B273="","",IFERROR(INDEX(MUSTERILER!$C$7:$C$106,MATCH($B273,MUSTERILER!$B$7:$B$106,0)),"TANIMSIZ MÜŞTERİ"))</f>
        <v/>
      </c>
      <c r="D273" s="114" t="n"/>
      <c r="E273" s="114" t="n"/>
      <c r="F273" s="115" t="n"/>
      <c r="G273" s="107" t="n"/>
      <c r="H273" s="116">
        <f>IF(OR($B273="",$D273="",$F273=""),0,$F273*MAX(0,INT((MIN(IF($E273="",TODAY(),$E273),TODAY())-$D273)/7)+1))</f>
        <v/>
      </c>
      <c r="I273" s="116">
        <f>IF(OR($B273="",$D273="",$F273=""),0,$F273*MAX(0,INT((MIN(IF($E273="",TODAY()-8,$E273),TODAY()-8)-$D273)/7)+1))</f>
        <v/>
      </c>
      <c r="J273" s="116">
        <f>IF(OR($B273="",$D273="",$F273=""),0,$F273*MAX(0,INT((MIN(IF($E273="",TODAY()-15,$E273),TODAY()-15)-$D273)/7)+1))</f>
        <v/>
      </c>
      <c r="K273" s="116">
        <f>IF(OR($B273="",$D273="",$F273=""),0,$F273*MAX(0,INT((MIN(IF($E273="",TODAY()-29,$E273),TODAY()-29)-$D273)/7)+1))</f>
        <v/>
      </c>
      <c r="L273" s="117">
        <f>IF($F273&gt;0,$H273/$F273,0)</f>
        <v/>
      </c>
      <c r="M273" s="112">
        <f>IF($B273="","",IF($C273="TANIMSIZ MÜŞTERİ","HATA",IF($G273="Pasif","PASİF",IF(AND(WEEKDAY($D273,2)=6,OR($E273="",WEEKDAY($E273,2)=6),$F273&gt;0),"UYGUN","HATA"))))</f>
        <v/>
      </c>
      <c r="N273" s="108" t="n"/>
      <c r="O273" s="6" t="n"/>
      <c r="P273" s="6" t="n"/>
    </row>
    <row r="274">
      <c r="A274" s="6" t="n"/>
      <c r="B274" s="107" t="n"/>
      <c r="C274" s="113">
        <f>IF($B274="","",IFERROR(INDEX(MUSTERILER!$C$7:$C$106,MATCH($B274,MUSTERILER!$B$7:$B$106,0)),"TANIMSIZ MÜŞTERİ"))</f>
        <v/>
      </c>
      <c r="D274" s="114" t="n"/>
      <c r="E274" s="114" t="n"/>
      <c r="F274" s="115" t="n"/>
      <c r="G274" s="107" t="n"/>
      <c r="H274" s="116">
        <f>IF(OR($B274="",$D274="",$F274=""),0,$F274*MAX(0,INT((MIN(IF($E274="",TODAY(),$E274),TODAY())-$D274)/7)+1))</f>
        <v/>
      </c>
      <c r="I274" s="116">
        <f>IF(OR($B274="",$D274="",$F274=""),0,$F274*MAX(0,INT((MIN(IF($E274="",TODAY()-8,$E274),TODAY()-8)-$D274)/7)+1))</f>
        <v/>
      </c>
      <c r="J274" s="116">
        <f>IF(OR($B274="",$D274="",$F274=""),0,$F274*MAX(0,INT((MIN(IF($E274="",TODAY()-15,$E274),TODAY()-15)-$D274)/7)+1))</f>
        <v/>
      </c>
      <c r="K274" s="116">
        <f>IF(OR($B274="",$D274="",$F274=""),0,$F274*MAX(0,INT((MIN(IF($E274="",TODAY()-29,$E274),TODAY()-29)-$D274)/7)+1))</f>
        <v/>
      </c>
      <c r="L274" s="117">
        <f>IF($F274&gt;0,$H274/$F274,0)</f>
        <v/>
      </c>
      <c r="M274" s="112">
        <f>IF($B274="","",IF($C274="TANIMSIZ MÜŞTERİ","HATA",IF($G274="Pasif","PASİF",IF(AND(WEEKDAY($D274,2)=6,OR($E274="",WEEKDAY($E274,2)=6),$F274&gt;0),"UYGUN","HATA"))))</f>
        <v/>
      </c>
      <c r="N274" s="108" t="n"/>
      <c r="O274" s="6" t="n"/>
      <c r="P274" s="6" t="n"/>
    </row>
    <row r="275">
      <c r="A275" s="6" t="n"/>
      <c r="B275" s="107" t="n"/>
      <c r="C275" s="113">
        <f>IF($B275="","",IFERROR(INDEX(MUSTERILER!$C$7:$C$106,MATCH($B275,MUSTERILER!$B$7:$B$106,0)),"TANIMSIZ MÜŞTERİ"))</f>
        <v/>
      </c>
      <c r="D275" s="114" t="n"/>
      <c r="E275" s="114" t="n"/>
      <c r="F275" s="115" t="n"/>
      <c r="G275" s="107" t="n"/>
      <c r="H275" s="116">
        <f>IF(OR($B275="",$D275="",$F275=""),0,$F275*MAX(0,INT((MIN(IF($E275="",TODAY(),$E275),TODAY())-$D275)/7)+1))</f>
        <v/>
      </c>
      <c r="I275" s="116">
        <f>IF(OR($B275="",$D275="",$F275=""),0,$F275*MAX(0,INT((MIN(IF($E275="",TODAY()-8,$E275),TODAY()-8)-$D275)/7)+1))</f>
        <v/>
      </c>
      <c r="J275" s="116">
        <f>IF(OR($B275="",$D275="",$F275=""),0,$F275*MAX(0,INT((MIN(IF($E275="",TODAY()-15,$E275),TODAY()-15)-$D275)/7)+1))</f>
        <v/>
      </c>
      <c r="K275" s="116">
        <f>IF(OR($B275="",$D275="",$F275=""),0,$F275*MAX(0,INT((MIN(IF($E275="",TODAY()-29,$E275),TODAY()-29)-$D275)/7)+1))</f>
        <v/>
      </c>
      <c r="L275" s="117">
        <f>IF($F275&gt;0,$H275/$F275,0)</f>
        <v/>
      </c>
      <c r="M275" s="112">
        <f>IF($B275="","",IF($C275="TANIMSIZ MÜŞTERİ","HATA",IF($G275="Pasif","PASİF",IF(AND(WEEKDAY($D275,2)=6,OR($E275="",WEEKDAY($E275,2)=6),$F275&gt;0),"UYGUN","HATA"))))</f>
        <v/>
      </c>
      <c r="N275" s="108" t="n"/>
      <c r="O275" s="6" t="n"/>
      <c r="P275" s="6" t="n"/>
    </row>
    <row r="276">
      <c r="A276" s="6" t="n"/>
      <c r="B276" s="107" t="n"/>
      <c r="C276" s="113">
        <f>IF($B276="","",IFERROR(INDEX(MUSTERILER!$C$7:$C$106,MATCH($B276,MUSTERILER!$B$7:$B$106,0)),"TANIMSIZ MÜŞTERİ"))</f>
        <v/>
      </c>
      <c r="D276" s="114" t="n"/>
      <c r="E276" s="114" t="n"/>
      <c r="F276" s="115" t="n"/>
      <c r="G276" s="107" t="n"/>
      <c r="H276" s="116">
        <f>IF(OR($B276="",$D276="",$F276=""),0,$F276*MAX(0,INT((MIN(IF($E276="",TODAY(),$E276),TODAY())-$D276)/7)+1))</f>
        <v/>
      </c>
      <c r="I276" s="116">
        <f>IF(OR($B276="",$D276="",$F276=""),0,$F276*MAX(0,INT((MIN(IF($E276="",TODAY()-8,$E276),TODAY()-8)-$D276)/7)+1))</f>
        <v/>
      </c>
      <c r="J276" s="116">
        <f>IF(OR($B276="",$D276="",$F276=""),0,$F276*MAX(0,INT((MIN(IF($E276="",TODAY()-15,$E276),TODAY()-15)-$D276)/7)+1))</f>
        <v/>
      </c>
      <c r="K276" s="116">
        <f>IF(OR($B276="",$D276="",$F276=""),0,$F276*MAX(0,INT((MIN(IF($E276="",TODAY()-29,$E276),TODAY()-29)-$D276)/7)+1))</f>
        <v/>
      </c>
      <c r="L276" s="117">
        <f>IF($F276&gt;0,$H276/$F276,0)</f>
        <v/>
      </c>
      <c r="M276" s="112">
        <f>IF($B276="","",IF($C276="TANIMSIZ MÜŞTERİ","HATA",IF($G276="Pasif","PASİF",IF(AND(WEEKDAY($D276,2)=6,OR($E276="",WEEKDAY($E276,2)=6),$F276&gt;0),"UYGUN","HATA"))))</f>
        <v/>
      </c>
      <c r="N276" s="108" t="n"/>
      <c r="O276" s="6" t="n"/>
      <c r="P276" s="6" t="n"/>
    </row>
    <row r="277">
      <c r="A277" s="6" t="n"/>
      <c r="B277" s="107" t="n"/>
      <c r="C277" s="113">
        <f>IF($B277="","",IFERROR(INDEX(MUSTERILER!$C$7:$C$106,MATCH($B277,MUSTERILER!$B$7:$B$106,0)),"TANIMSIZ MÜŞTERİ"))</f>
        <v/>
      </c>
      <c r="D277" s="114" t="n"/>
      <c r="E277" s="114" t="n"/>
      <c r="F277" s="115" t="n"/>
      <c r="G277" s="107" t="n"/>
      <c r="H277" s="116">
        <f>IF(OR($B277="",$D277="",$F277=""),0,$F277*MAX(0,INT((MIN(IF($E277="",TODAY(),$E277),TODAY())-$D277)/7)+1))</f>
        <v/>
      </c>
      <c r="I277" s="116">
        <f>IF(OR($B277="",$D277="",$F277=""),0,$F277*MAX(0,INT((MIN(IF($E277="",TODAY()-8,$E277),TODAY()-8)-$D277)/7)+1))</f>
        <v/>
      </c>
      <c r="J277" s="116">
        <f>IF(OR($B277="",$D277="",$F277=""),0,$F277*MAX(0,INT((MIN(IF($E277="",TODAY()-15,$E277),TODAY()-15)-$D277)/7)+1))</f>
        <v/>
      </c>
      <c r="K277" s="116">
        <f>IF(OR($B277="",$D277="",$F277=""),0,$F277*MAX(0,INT((MIN(IF($E277="",TODAY()-29,$E277),TODAY()-29)-$D277)/7)+1))</f>
        <v/>
      </c>
      <c r="L277" s="117">
        <f>IF($F277&gt;0,$H277/$F277,0)</f>
        <v/>
      </c>
      <c r="M277" s="112">
        <f>IF($B277="","",IF($C277="TANIMSIZ MÜŞTERİ","HATA",IF($G277="Pasif","PASİF",IF(AND(WEEKDAY($D277,2)=6,OR($E277="",WEEKDAY($E277,2)=6),$F277&gt;0),"UYGUN","HATA"))))</f>
        <v/>
      </c>
      <c r="N277" s="108" t="n"/>
      <c r="O277" s="6" t="n"/>
      <c r="P277" s="6" t="n"/>
    </row>
    <row r="278">
      <c r="A278" s="6" t="n"/>
      <c r="B278" s="107" t="n"/>
      <c r="C278" s="113">
        <f>IF($B278="","",IFERROR(INDEX(MUSTERILER!$C$7:$C$106,MATCH($B278,MUSTERILER!$B$7:$B$106,0)),"TANIMSIZ MÜŞTERİ"))</f>
        <v/>
      </c>
      <c r="D278" s="114" t="n"/>
      <c r="E278" s="114" t="n"/>
      <c r="F278" s="115" t="n"/>
      <c r="G278" s="107" t="n"/>
      <c r="H278" s="116">
        <f>IF(OR($B278="",$D278="",$F278=""),0,$F278*MAX(0,INT((MIN(IF($E278="",TODAY(),$E278),TODAY())-$D278)/7)+1))</f>
        <v/>
      </c>
      <c r="I278" s="116">
        <f>IF(OR($B278="",$D278="",$F278=""),0,$F278*MAX(0,INT((MIN(IF($E278="",TODAY()-8,$E278),TODAY()-8)-$D278)/7)+1))</f>
        <v/>
      </c>
      <c r="J278" s="116">
        <f>IF(OR($B278="",$D278="",$F278=""),0,$F278*MAX(0,INT((MIN(IF($E278="",TODAY()-15,$E278),TODAY()-15)-$D278)/7)+1))</f>
        <v/>
      </c>
      <c r="K278" s="116">
        <f>IF(OR($B278="",$D278="",$F278=""),0,$F278*MAX(0,INT((MIN(IF($E278="",TODAY()-29,$E278),TODAY()-29)-$D278)/7)+1))</f>
        <v/>
      </c>
      <c r="L278" s="117">
        <f>IF($F278&gt;0,$H278/$F278,0)</f>
        <v/>
      </c>
      <c r="M278" s="112">
        <f>IF($B278="","",IF($C278="TANIMSIZ MÜŞTERİ","HATA",IF($G278="Pasif","PASİF",IF(AND(WEEKDAY($D278,2)=6,OR($E278="",WEEKDAY($E278,2)=6),$F278&gt;0),"UYGUN","HATA"))))</f>
        <v/>
      </c>
      <c r="N278" s="108" t="n"/>
      <c r="O278" s="6" t="n"/>
      <c r="P278" s="6" t="n"/>
    </row>
    <row r="279">
      <c r="A279" s="6" t="n"/>
      <c r="B279" s="107" t="n"/>
      <c r="C279" s="113">
        <f>IF($B279="","",IFERROR(INDEX(MUSTERILER!$C$7:$C$106,MATCH($B279,MUSTERILER!$B$7:$B$106,0)),"TANIMSIZ MÜŞTERİ"))</f>
        <v/>
      </c>
      <c r="D279" s="114" t="n"/>
      <c r="E279" s="114" t="n"/>
      <c r="F279" s="115" t="n"/>
      <c r="G279" s="107" t="n"/>
      <c r="H279" s="116">
        <f>IF(OR($B279="",$D279="",$F279=""),0,$F279*MAX(0,INT((MIN(IF($E279="",TODAY(),$E279),TODAY())-$D279)/7)+1))</f>
        <v/>
      </c>
      <c r="I279" s="116">
        <f>IF(OR($B279="",$D279="",$F279=""),0,$F279*MAX(0,INT((MIN(IF($E279="",TODAY()-8,$E279),TODAY()-8)-$D279)/7)+1))</f>
        <v/>
      </c>
      <c r="J279" s="116">
        <f>IF(OR($B279="",$D279="",$F279=""),0,$F279*MAX(0,INT((MIN(IF($E279="",TODAY()-15,$E279),TODAY()-15)-$D279)/7)+1))</f>
        <v/>
      </c>
      <c r="K279" s="116">
        <f>IF(OR($B279="",$D279="",$F279=""),0,$F279*MAX(0,INT((MIN(IF($E279="",TODAY()-29,$E279),TODAY()-29)-$D279)/7)+1))</f>
        <v/>
      </c>
      <c r="L279" s="117">
        <f>IF($F279&gt;0,$H279/$F279,0)</f>
        <v/>
      </c>
      <c r="M279" s="112">
        <f>IF($B279="","",IF($C279="TANIMSIZ MÜŞTERİ","HATA",IF($G279="Pasif","PASİF",IF(AND(WEEKDAY($D279,2)=6,OR($E279="",WEEKDAY($E279,2)=6),$F279&gt;0),"UYGUN","HATA"))))</f>
        <v/>
      </c>
      <c r="N279" s="108" t="n"/>
      <c r="O279" s="6" t="n"/>
      <c r="P279" s="6" t="n"/>
    </row>
    <row r="280">
      <c r="A280" s="6" t="n"/>
      <c r="B280" s="107" t="n"/>
      <c r="C280" s="113">
        <f>IF($B280="","",IFERROR(INDEX(MUSTERILER!$C$7:$C$106,MATCH($B280,MUSTERILER!$B$7:$B$106,0)),"TANIMSIZ MÜŞTERİ"))</f>
        <v/>
      </c>
      <c r="D280" s="114" t="n"/>
      <c r="E280" s="114" t="n"/>
      <c r="F280" s="115" t="n"/>
      <c r="G280" s="107" t="n"/>
      <c r="H280" s="116">
        <f>IF(OR($B280="",$D280="",$F280=""),0,$F280*MAX(0,INT((MIN(IF($E280="",TODAY(),$E280),TODAY())-$D280)/7)+1))</f>
        <v/>
      </c>
      <c r="I280" s="116">
        <f>IF(OR($B280="",$D280="",$F280=""),0,$F280*MAX(0,INT((MIN(IF($E280="",TODAY()-8,$E280),TODAY()-8)-$D280)/7)+1))</f>
        <v/>
      </c>
      <c r="J280" s="116">
        <f>IF(OR($B280="",$D280="",$F280=""),0,$F280*MAX(0,INT((MIN(IF($E280="",TODAY()-15,$E280),TODAY()-15)-$D280)/7)+1))</f>
        <v/>
      </c>
      <c r="K280" s="116">
        <f>IF(OR($B280="",$D280="",$F280=""),0,$F280*MAX(0,INT((MIN(IF($E280="",TODAY()-29,$E280),TODAY()-29)-$D280)/7)+1))</f>
        <v/>
      </c>
      <c r="L280" s="117">
        <f>IF($F280&gt;0,$H280/$F280,0)</f>
        <v/>
      </c>
      <c r="M280" s="112">
        <f>IF($B280="","",IF($C280="TANIMSIZ MÜŞTERİ","HATA",IF($G280="Pasif","PASİF",IF(AND(WEEKDAY($D280,2)=6,OR($E280="",WEEKDAY($E280,2)=6),$F280&gt;0),"UYGUN","HATA"))))</f>
        <v/>
      </c>
      <c r="N280" s="108" t="n"/>
      <c r="O280" s="6" t="n"/>
      <c r="P280" s="6" t="n"/>
    </row>
    <row r="281">
      <c r="A281" s="6" t="n"/>
      <c r="B281" s="107" t="n"/>
      <c r="C281" s="113">
        <f>IF($B281="","",IFERROR(INDEX(MUSTERILER!$C$7:$C$106,MATCH($B281,MUSTERILER!$B$7:$B$106,0)),"TANIMSIZ MÜŞTERİ"))</f>
        <v/>
      </c>
      <c r="D281" s="114" t="n"/>
      <c r="E281" s="114" t="n"/>
      <c r="F281" s="115" t="n"/>
      <c r="G281" s="107" t="n"/>
      <c r="H281" s="116">
        <f>IF(OR($B281="",$D281="",$F281=""),0,$F281*MAX(0,INT((MIN(IF($E281="",TODAY(),$E281),TODAY())-$D281)/7)+1))</f>
        <v/>
      </c>
      <c r="I281" s="116">
        <f>IF(OR($B281="",$D281="",$F281=""),0,$F281*MAX(0,INT((MIN(IF($E281="",TODAY()-8,$E281),TODAY()-8)-$D281)/7)+1))</f>
        <v/>
      </c>
      <c r="J281" s="116">
        <f>IF(OR($B281="",$D281="",$F281=""),0,$F281*MAX(0,INT((MIN(IF($E281="",TODAY()-15,$E281),TODAY()-15)-$D281)/7)+1))</f>
        <v/>
      </c>
      <c r="K281" s="116">
        <f>IF(OR($B281="",$D281="",$F281=""),0,$F281*MAX(0,INT((MIN(IF($E281="",TODAY()-29,$E281),TODAY()-29)-$D281)/7)+1))</f>
        <v/>
      </c>
      <c r="L281" s="117">
        <f>IF($F281&gt;0,$H281/$F281,0)</f>
        <v/>
      </c>
      <c r="M281" s="112">
        <f>IF($B281="","",IF($C281="TANIMSIZ MÜŞTERİ","HATA",IF($G281="Pasif","PASİF",IF(AND(WEEKDAY($D281,2)=6,OR($E281="",WEEKDAY($E281,2)=6),$F281&gt;0),"UYGUN","HATA"))))</f>
        <v/>
      </c>
      <c r="N281" s="108" t="n"/>
      <c r="O281" s="6" t="n"/>
      <c r="P281" s="6" t="n"/>
    </row>
    <row r="282">
      <c r="A282" s="6" t="n"/>
      <c r="B282" s="107" t="n"/>
      <c r="C282" s="113">
        <f>IF($B282="","",IFERROR(INDEX(MUSTERILER!$C$7:$C$106,MATCH($B282,MUSTERILER!$B$7:$B$106,0)),"TANIMSIZ MÜŞTERİ"))</f>
        <v/>
      </c>
      <c r="D282" s="114" t="n"/>
      <c r="E282" s="114" t="n"/>
      <c r="F282" s="115" t="n"/>
      <c r="G282" s="107" t="n"/>
      <c r="H282" s="116">
        <f>IF(OR($B282="",$D282="",$F282=""),0,$F282*MAX(0,INT((MIN(IF($E282="",TODAY(),$E282),TODAY())-$D282)/7)+1))</f>
        <v/>
      </c>
      <c r="I282" s="116">
        <f>IF(OR($B282="",$D282="",$F282=""),0,$F282*MAX(0,INT((MIN(IF($E282="",TODAY()-8,$E282),TODAY()-8)-$D282)/7)+1))</f>
        <v/>
      </c>
      <c r="J282" s="116">
        <f>IF(OR($B282="",$D282="",$F282=""),0,$F282*MAX(0,INT((MIN(IF($E282="",TODAY()-15,$E282),TODAY()-15)-$D282)/7)+1))</f>
        <v/>
      </c>
      <c r="K282" s="116">
        <f>IF(OR($B282="",$D282="",$F282=""),0,$F282*MAX(0,INT((MIN(IF($E282="",TODAY()-29,$E282),TODAY()-29)-$D282)/7)+1))</f>
        <v/>
      </c>
      <c r="L282" s="117">
        <f>IF($F282&gt;0,$H282/$F282,0)</f>
        <v/>
      </c>
      <c r="M282" s="112">
        <f>IF($B282="","",IF($C282="TANIMSIZ MÜŞTERİ","HATA",IF($G282="Pasif","PASİF",IF(AND(WEEKDAY($D282,2)=6,OR($E282="",WEEKDAY($E282,2)=6),$F282&gt;0),"UYGUN","HATA"))))</f>
        <v/>
      </c>
      <c r="N282" s="108" t="n"/>
      <c r="O282" s="6" t="n"/>
      <c r="P282" s="6" t="n"/>
    </row>
    <row r="283">
      <c r="A283" s="6" t="n"/>
      <c r="B283" s="107" t="n"/>
      <c r="C283" s="113">
        <f>IF($B283="","",IFERROR(INDEX(MUSTERILER!$C$7:$C$106,MATCH($B283,MUSTERILER!$B$7:$B$106,0)),"TANIMSIZ MÜŞTERİ"))</f>
        <v/>
      </c>
      <c r="D283" s="114" t="n"/>
      <c r="E283" s="114" t="n"/>
      <c r="F283" s="115" t="n"/>
      <c r="G283" s="107" t="n"/>
      <c r="H283" s="116">
        <f>IF(OR($B283="",$D283="",$F283=""),0,$F283*MAX(0,INT((MIN(IF($E283="",TODAY(),$E283),TODAY())-$D283)/7)+1))</f>
        <v/>
      </c>
      <c r="I283" s="116">
        <f>IF(OR($B283="",$D283="",$F283=""),0,$F283*MAX(0,INT((MIN(IF($E283="",TODAY()-8,$E283),TODAY()-8)-$D283)/7)+1))</f>
        <v/>
      </c>
      <c r="J283" s="116">
        <f>IF(OR($B283="",$D283="",$F283=""),0,$F283*MAX(0,INT((MIN(IF($E283="",TODAY()-15,$E283),TODAY()-15)-$D283)/7)+1))</f>
        <v/>
      </c>
      <c r="K283" s="116">
        <f>IF(OR($B283="",$D283="",$F283=""),0,$F283*MAX(0,INT((MIN(IF($E283="",TODAY()-29,$E283),TODAY()-29)-$D283)/7)+1))</f>
        <v/>
      </c>
      <c r="L283" s="117">
        <f>IF($F283&gt;0,$H283/$F283,0)</f>
        <v/>
      </c>
      <c r="M283" s="112">
        <f>IF($B283="","",IF($C283="TANIMSIZ MÜŞTERİ","HATA",IF($G283="Pasif","PASİF",IF(AND(WEEKDAY($D283,2)=6,OR($E283="",WEEKDAY($E283,2)=6),$F283&gt;0),"UYGUN","HATA"))))</f>
        <v/>
      </c>
      <c r="N283" s="108" t="n"/>
      <c r="O283" s="6" t="n"/>
      <c r="P283" s="6" t="n"/>
    </row>
    <row r="284">
      <c r="A284" s="6" t="n"/>
      <c r="B284" s="107" t="n"/>
      <c r="C284" s="113">
        <f>IF($B284="","",IFERROR(INDEX(MUSTERILER!$C$7:$C$106,MATCH($B284,MUSTERILER!$B$7:$B$106,0)),"TANIMSIZ MÜŞTERİ"))</f>
        <v/>
      </c>
      <c r="D284" s="114" t="n"/>
      <c r="E284" s="114" t="n"/>
      <c r="F284" s="115" t="n"/>
      <c r="G284" s="107" t="n"/>
      <c r="H284" s="116">
        <f>IF(OR($B284="",$D284="",$F284=""),0,$F284*MAX(0,INT((MIN(IF($E284="",TODAY(),$E284),TODAY())-$D284)/7)+1))</f>
        <v/>
      </c>
      <c r="I284" s="116">
        <f>IF(OR($B284="",$D284="",$F284=""),0,$F284*MAX(0,INT((MIN(IF($E284="",TODAY()-8,$E284),TODAY()-8)-$D284)/7)+1))</f>
        <v/>
      </c>
      <c r="J284" s="116">
        <f>IF(OR($B284="",$D284="",$F284=""),0,$F284*MAX(0,INT((MIN(IF($E284="",TODAY()-15,$E284),TODAY()-15)-$D284)/7)+1))</f>
        <v/>
      </c>
      <c r="K284" s="116">
        <f>IF(OR($B284="",$D284="",$F284=""),0,$F284*MAX(0,INT((MIN(IF($E284="",TODAY()-29,$E284),TODAY()-29)-$D284)/7)+1))</f>
        <v/>
      </c>
      <c r="L284" s="117">
        <f>IF($F284&gt;0,$H284/$F284,0)</f>
        <v/>
      </c>
      <c r="M284" s="112">
        <f>IF($B284="","",IF($C284="TANIMSIZ MÜŞTERİ","HATA",IF($G284="Pasif","PASİF",IF(AND(WEEKDAY($D284,2)=6,OR($E284="",WEEKDAY($E284,2)=6),$F284&gt;0),"UYGUN","HATA"))))</f>
        <v/>
      </c>
      <c r="N284" s="108" t="n"/>
      <c r="O284" s="6" t="n"/>
      <c r="P284" s="6" t="n"/>
    </row>
    <row r="285">
      <c r="A285" s="6" t="n"/>
      <c r="B285" s="107" t="n"/>
      <c r="C285" s="113">
        <f>IF($B285="","",IFERROR(INDEX(MUSTERILER!$C$7:$C$106,MATCH($B285,MUSTERILER!$B$7:$B$106,0)),"TANIMSIZ MÜŞTERİ"))</f>
        <v/>
      </c>
      <c r="D285" s="114" t="n"/>
      <c r="E285" s="114" t="n"/>
      <c r="F285" s="115" t="n"/>
      <c r="G285" s="107" t="n"/>
      <c r="H285" s="116">
        <f>IF(OR($B285="",$D285="",$F285=""),0,$F285*MAX(0,INT((MIN(IF($E285="",TODAY(),$E285),TODAY())-$D285)/7)+1))</f>
        <v/>
      </c>
      <c r="I285" s="116">
        <f>IF(OR($B285="",$D285="",$F285=""),0,$F285*MAX(0,INT((MIN(IF($E285="",TODAY()-8,$E285),TODAY()-8)-$D285)/7)+1))</f>
        <v/>
      </c>
      <c r="J285" s="116">
        <f>IF(OR($B285="",$D285="",$F285=""),0,$F285*MAX(0,INT((MIN(IF($E285="",TODAY()-15,$E285),TODAY()-15)-$D285)/7)+1))</f>
        <v/>
      </c>
      <c r="K285" s="116">
        <f>IF(OR($B285="",$D285="",$F285=""),0,$F285*MAX(0,INT((MIN(IF($E285="",TODAY()-29,$E285),TODAY()-29)-$D285)/7)+1))</f>
        <v/>
      </c>
      <c r="L285" s="117">
        <f>IF($F285&gt;0,$H285/$F285,0)</f>
        <v/>
      </c>
      <c r="M285" s="112">
        <f>IF($B285="","",IF($C285="TANIMSIZ MÜŞTERİ","HATA",IF($G285="Pasif","PASİF",IF(AND(WEEKDAY($D285,2)=6,OR($E285="",WEEKDAY($E285,2)=6),$F285&gt;0),"UYGUN","HATA"))))</f>
        <v/>
      </c>
      <c r="N285" s="108" t="n"/>
      <c r="O285" s="6" t="n"/>
      <c r="P285" s="6" t="n"/>
    </row>
    <row r="286">
      <c r="A286" s="6" t="n"/>
      <c r="B286" s="107" t="n"/>
      <c r="C286" s="113">
        <f>IF($B286="","",IFERROR(INDEX(MUSTERILER!$C$7:$C$106,MATCH($B286,MUSTERILER!$B$7:$B$106,0)),"TANIMSIZ MÜŞTERİ"))</f>
        <v/>
      </c>
      <c r="D286" s="114" t="n"/>
      <c r="E286" s="114" t="n"/>
      <c r="F286" s="115" t="n"/>
      <c r="G286" s="107" t="n"/>
      <c r="H286" s="116">
        <f>IF(OR($B286="",$D286="",$F286=""),0,$F286*MAX(0,INT((MIN(IF($E286="",TODAY(),$E286),TODAY())-$D286)/7)+1))</f>
        <v/>
      </c>
      <c r="I286" s="116">
        <f>IF(OR($B286="",$D286="",$F286=""),0,$F286*MAX(0,INT((MIN(IF($E286="",TODAY()-8,$E286),TODAY()-8)-$D286)/7)+1))</f>
        <v/>
      </c>
      <c r="J286" s="116">
        <f>IF(OR($B286="",$D286="",$F286=""),0,$F286*MAX(0,INT((MIN(IF($E286="",TODAY()-15,$E286),TODAY()-15)-$D286)/7)+1))</f>
        <v/>
      </c>
      <c r="K286" s="116">
        <f>IF(OR($B286="",$D286="",$F286=""),0,$F286*MAX(0,INT((MIN(IF($E286="",TODAY()-29,$E286),TODAY()-29)-$D286)/7)+1))</f>
        <v/>
      </c>
      <c r="L286" s="117">
        <f>IF($F286&gt;0,$H286/$F286,0)</f>
        <v/>
      </c>
      <c r="M286" s="112">
        <f>IF($B286="","",IF($C286="TANIMSIZ MÜŞTERİ","HATA",IF($G286="Pasif","PASİF",IF(AND(WEEKDAY($D286,2)=6,OR($E286="",WEEKDAY($E286,2)=6),$F286&gt;0),"UYGUN","HATA"))))</f>
        <v/>
      </c>
      <c r="N286" s="108" t="n"/>
      <c r="O286" s="6" t="n"/>
      <c r="P286" s="6" t="n"/>
    </row>
    <row r="287">
      <c r="A287" s="6" t="n"/>
      <c r="B287" s="107" t="n"/>
      <c r="C287" s="113">
        <f>IF($B287="","",IFERROR(INDEX(MUSTERILER!$C$7:$C$106,MATCH($B287,MUSTERILER!$B$7:$B$106,0)),"TANIMSIZ MÜŞTERİ"))</f>
        <v/>
      </c>
      <c r="D287" s="114" t="n"/>
      <c r="E287" s="114" t="n"/>
      <c r="F287" s="115" t="n"/>
      <c r="G287" s="107" t="n"/>
      <c r="H287" s="116">
        <f>IF(OR($B287="",$D287="",$F287=""),0,$F287*MAX(0,INT((MIN(IF($E287="",TODAY(),$E287),TODAY())-$D287)/7)+1))</f>
        <v/>
      </c>
      <c r="I287" s="116">
        <f>IF(OR($B287="",$D287="",$F287=""),0,$F287*MAX(0,INT((MIN(IF($E287="",TODAY()-8,$E287),TODAY()-8)-$D287)/7)+1))</f>
        <v/>
      </c>
      <c r="J287" s="116">
        <f>IF(OR($B287="",$D287="",$F287=""),0,$F287*MAX(0,INT((MIN(IF($E287="",TODAY()-15,$E287),TODAY()-15)-$D287)/7)+1))</f>
        <v/>
      </c>
      <c r="K287" s="116">
        <f>IF(OR($B287="",$D287="",$F287=""),0,$F287*MAX(0,INT((MIN(IF($E287="",TODAY()-29,$E287),TODAY()-29)-$D287)/7)+1))</f>
        <v/>
      </c>
      <c r="L287" s="117">
        <f>IF($F287&gt;0,$H287/$F287,0)</f>
        <v/>
      </c>
      <c r="M287" s="112">
        <f>IF($B287="","",IF($C287="TANIMSIZ MÜŞTERİ","HATA",IF($G287="Pasif","PASİF",IF(AND(WEEKDAY($D287,2)=6,OR($E287="",WEEKDAY($E287,2)=6),$F287&gt;0),"UYGUN","HATA"))))</f>
        <v/>
      </c>
      <c r="N287" s="108" t="n"/>
      <c r="O287" s="6" t="n"/>
      <c r="P287" s="6" t="n"/>
    </row>
    <row r="288">
      <c r="A288" s="6" t="n"/>
      <c r="B288" s="107" t="n"/>
      <c r="C288" s="113">
        <f>IF($B288="","",IFERROR(INDEX(MUSTERILER!$C$7:$C$106,MATCH($B288,MUSTERILER!$B$7:$B$106,0)),"TANIMSIZ MÜŞTERİ"))</f>
        <v/>
      </c>
      <c r="D288" s="114" t="n"/>
      <c r="E288" s="114" t="n"/>
      <c r="F288" s="115" t="n"/>
      <c r="G288" s="107" t="n"/>
      <c r="H288" s="116">
        <f>IF(OR($B288="",$D288="",$F288=""),0,$F288*MAX(0,INT((MIN(IF($E288="",TODAY(),$E288),TODAY())-$D288)/7)+1))</f>
        <v/>
      </c>
      <c r="I288" s="116">
        <f>IF(OR($B288="",$D288="",$F288=""),0,$F288*MAX(0,INT((MIN(IF($E288="",TODAY()-8,$E288),TODAY()-8)-$D288)/7)+1))</f>
        <v/>
      </c>
      <c r="J288" s="116">
        <f>IF(OR($B288="",$D288="",$F288=""),0,$F288*MAX(0,INT((MIN(IF($E288="",TODAY()-15,$E288),TODAY()-15)-$D288)/7)+1))</f>
        <v/>
      </c>
      <c r="K288" s="116">
        <f>IF(OR($B288="",$D288="",$F288=""),0,$F288*MAX(0,INT((MIN(IF($E288="",TODAY()-29,$E288),TODAY()-29)-$D288)/7)+1))</f>
        <v/>
      </c>
      <c r="L288" s="117">
        <f>IF($F288&gt;0,$H288/$F288,0)</f>
        <v/>
      </c>
      <c r="M288" s="112">
        <f>IF($B288="","",IF($C288="TANIMSIZ MÜŞTERİ","HATA",IF($G288="Pasif","PASİF",IF(AND(WEEKDAY($D288,2)=6,OR($E288="",WEEKDAY($E288,2)=6),$F288&gt;0),"UYGUN","HATA"))))</f>
        <v/>
      </c>
      <c r="N288" s="108" t="n"/>
      <c r="O288" s="6" t="n"/>
      <c r="P288" s="6" t="n"/>
    </row>
    <row r="289">
      <c r="A289" s="6" t="n"/>
      <c r="B289" s="107" t="n"/>
      <c r="C289" s="113">
        <f>IF($B289="","",IFERROR(INDEX(MUSTERILER!$C$7:$C$106,MATCH($B289,MUSTERILER!$B$7:$B$106,0)),"TANIMSIZ MÜŞTERİ"))</f>
        <v/>
      </c>
      <c r="D289" s="114" t="n"/>
      <c r="E289" s="114" t="n"/>
      <c r="F289" s="115" t="n"/>
      <c r="G289" s="107" t="n"/>
      <c r="H289" s="116">
        <f>IF(OR($B289="",$D289="",$F289=""),0,$F289*MAX(0,INT((MIN(IF($E289="",TODAY(),$E289),TODAY())-$D289)/7)+1))</f>
        <v/>
      </c>
      <c r="I289" s="116">
        <f>IF(OR($B289="",$D289="",$F289=""),0,$F289*MAX(0,INT((MIN(IF($E289="",TODAY()-8,$E289),TODAY()-8)-$D289)/7)+1))</f>
        <v/>
      </c>
      <c r="J289" s="116">
        <f>IF(OR($B289="",$D289="",$F289=""),0,$F289*MAX(0,INT((MIN(IF($E289="",TODAY()-15,$E289),TODAY()-15)-$D289)/7)+1))</f>
        <v/>
      </c>
      <c r="K289" s="116">
        <f>IF(OR($B289="",$D289="",$F289=""),0,$F289*MAX(0,INT((MIN(IF($E289="",TODAY()-29,$E289),TODAY()-29)-$D289)/7)+1))</f>
        <v/>
      </c>
      <c r="L289" s="117">
        <f>IF($F289&gt;0,$H289/$F289,0)</f>
        <v/>
      </c>
      <c r="M289" s="112">
        <f>IF($B289="","",IF($C289="TANIMSIZ MÜŞTERİ","HATA",IF($G289="Pasif","PASİF",IF(AND(WEEKDAY($D289,2)=6,OR($E289="",WEEKDAY($E289,2)=6),$F289&gt;0),"UYGUN","HATA"))))</f>
        <v/>
      </c>
      <c r="N289" s="108" t="n"/>
      <c r="O289" s="6" t="n"/>
      <c r="P289" s="6" t="n"/>
    </row>
    <row r="290">
      <c r="A290" s="6" t="n"/>
      <c r="B290" s="107" t="n"/>
      <c r="C290" s="113">
        <f>IF($B290="","",IFERROR(INDEX(MUSTERILER!$C$7:$C$106,MATCH($B290,MUSTERILER!$B$7:$B$106,0)),"TANIMSIZ MÜŞTERİ"))</f>
        <v/>
      </c>
      <c r="D290" s="114" t="n"/>
      <c r="E290" s="114" t="n"/>
      <c r="F290" s="115" t="n"/>
      <c r="G290" s="107" t="n"/>
      <c r="H290" s="116">
        <f>IF(OR($B290="",$D290="",$F290=""),0,$F290*MAX(0,INT((MIN(IF($E290="",TODAY(),$E290),TODAY())-$D290)/7)+1))</f>
        <v/>
      </c>
      <c r="I290" s="116">
        <f>IF(OR($B290="",$D290="",$F290=""),0,$F290*MAX(0,INT((MIN(IF($E290="",TODAY()-8,$E290),TODAY()-8)-$D290)/7)+1))</f>
        <v/>
      </c>
      <c r="J290" s="116">
        <f>IF(OR($B290="",$D290="",$F290=""),0,$F290*MAX(0,INT((MIN(IF($E290="",TODAY()-15,$E290),TODAY()-15)-$D290)/7)+1))</f>
        <v/>
      </c>
      <c r="K290" s="116">
        <f>IF(OR($B290="",$D290="",$F290=""),0,$F290*MAX(0,INT((MIN(IF($E290="",TODAY()-29,$E290),TODAY()-29)-$D290)/7)+1))</f>
        <v/>
      </c>
      <c r="L290" s="117">
        <f>IF($F290&gt;0,$H290/$F290,0)</f>
        <v/>
      </c>
      <c r="M290" s="112">
        <f>IF($B290="","",IF($C290="TANIMSIZ MÜŞTERİ","HATA",IF($G290="Pasif","PASİF",IF(AND(WEEKDAY($D290,2)=6,OR($E290="",WEEKDAY($E290,2)=6),$F290&gt;0),"UYGUN","HATA"))))</f>
        <v/>
      </c>
      <c r="N290" s="108" t="n"/>
      <c r="O290" s="6" t="n"/>
      <c r="P290" s="6" t="n"/>
    </row>
    <row r="291">
      <c r="A291" s="6" t="n"/>
      <c r="B291" s="107" t="n"/>
      <c r="C291" s="113">
        <f>IF($B291="","",IFERROR(INDEX(MUSTERILER!$C$7:$C$106,MATCH($B291,MUSTERILER!$B$7:$B$106,0)),"TANIMSIZ MÜŞTERİ"))</f>
        <v/>
      </c>
      <c r="D291" s="114" t="n"/>
      <c r="E291" s="114" t="n"/>
      <c r="F291" s="115" t="n"/>
      <c r="G291" s="107" t="n"/>
      <c r="H291" s="116">
        <f>IF(OR($B291="",$D291="",$F291=""),0,$F291*MAX(0,INT((MIN(IF($E291="",TODAY(),$E291),TODAY())-$D291)/7)+1))</f>
        <v/>
      </c>
      <c r="I291" s="116">
        <f>IF(OR($B291="",$D291="",$F291=""),0,$F291*MAX(0,INT((MIN(IF($E291="",TODAY()-8,$E291),TODAY()-8)-$D291)/7)+1))</f>
        <v/>
      </c>
      <c r="J291" s="116">
        <f>IF(OR($B291="",$D291="",$F291=""),0,$F291*MAX(0,INT((MIN(IF($E291="",TODAY()-15,$E291),TODAY()-15)-$D291)/7)+1))</f>
        <v/>
      </c>
      <c r="K291" s="116">
        <f>IF(OR($B291="",$D291="",$F291=""),0,$F291*MAX(0,INT((MIN(IF($E291="",TODAY()-29,$E291),TODAY()-29)-$D291)/7)+1))</f>
        <v/>
      </c>
      <c r="L291" s="117">
        <f>IF($F291&gt;0,$H291/$F291,0)</f>
        <v/>
      </c>
      <c r="M291" s="112">
        <f>IF($B291="","",IF($C291="TANIMSIZ MÜŞTERİ","HATA",IF($G291="Pasif","PASİF",IF(AND(WEEKDAY($D291,2)=6,OR($E291="",WEEKDAY($E291,2)=6),$F291&gt;0),"UYGUN","HATA"))))</f>
        <v/>
      </c>
      <c r="N291" s="108" t="n"/>
      <c r="O291" s="6" t="n"/>
      <c r="P291" s="6" t="n"/>
    </row>
    <row r="292">
      <c r="A292" s="6" t="n"/>
      <c r="B292" s="107" t="n"/>
      <c r="C292" s="113">
        <f>IF($B292="","",IFERROR(INDEX(MUSTERILER!$C$7:$C$106,MATCH($B292,MUSTERILER!$B$7:$B$106,0)),"TANIMSIZ MÜŞTERİ"))</f>
        <v/>
      </c>
      <c r="D292" s="114" t="n"/>
      <c r="E292" s="114" t="n"/>
      <c r="F292" s="115" t="n"/>
      <c r="G292" s="107" t="n"/>
      <c r="H292" s="116">
        <f>IF(OR($B292="",$D292="",$F292=""),0,$F292*MAX(0,INT((MIN(IF($E292="",TODAY(),$E292),TODAY())-$D292)/7)+1))</f>
        <v/>
      </c>
      <c r="I292" s="116">
        <f>IF(OR($B292="",$D292="",$F292=""),0,$F292*MAX(0,INT((MIN(IF($E292="",TODAY()-8,$E292),TODAY()-8)-$D292)/7)+1))</f>
        <v/>
      </c>
      <c r="J292" s="116">
        <f>IF(OR($B292="",$D292="",$F292=""),0,$F292*MAX(0,INT((MIN(IF($E292="",TODAY()-15,$E292),TODAY()-15)-$D292)/7)+1))</f>
        <v/>
      </c>
      <c r="K292" s="116">
        <f>IF(OR($B292="",$D292="",$F292=""),0,$F292*MAX(0,INT((MIN(IF($E292="",TODAY()-29,$E292),TODAY()-29)-$D292)/7)+1))</f>
        <v/>
      </c>
      <c r="L292" s="117">
        <f>IF($F292&gt;0,$H292/$F292,0)</f>
        <v/>
      </c>
      <c r="M292" s="112">
        <f>IF($B292="","",IF($C292="TANIMSIZ MÜŞTERİ","HATA",IF($G292="Pasif","PASİF",IF(AND(WEEKDAY($D292,2)=6,OR($E292="",WEEKDAY($E292,2)=6),$F292&gt;0),"UYGUN","HATA"))))</f>
        <v/>
      </c>
      <c r="N292" s="108" t="n"/>
      <c r="O292" s="6" t="n"/>
      <c r="P292" s="6" t="n"/>
    </row>
    <row r="293">
      <c r="A293" s="6" t="n"/>
      <c r="B293" s="107" t="n"/>
      <c r="C293" s="113">
        <f>IF($B293="","",IFERROR(INDEX(MUSTERILER!$C$7:$C$106,MATCH($B293,MUSTERILER!$B$7:$B$106,0)),"TANIMSIZ MÜŞTERİ"))</f>
        <v/>
      </c>
      <c r="D293" s="114" t="n"/>
      <c r="E293" s="114" t="n"/>
      <c r="F293" s="115" t="n"/>
      <c r="G293" s="107" t="n"/>
      <c r="H293" s="116">
        <f>IF(OR($B293="",$D293="",$F293=""),0,$F293*MAX(0,INT((MIN(IF($E293="",TODAY(),$E293),TODAY())-$D293)/7)+1))</f>
        <v/>
      </c>
      <c r="I293" s="116">
        <f>IF(OR($B293="",$D293="",$F293=""),0,$F293*MAX(0,INT((MIN(IF($E293="",TODAY()-8,$E293),TODAY()-8)-$D293)/7)+1))</f>
        <v/>
      </c>
      <c r="J293" s="116">
        <f>IF(OR($B293="",$D293="",$F293=""),0,$F293*MAX(0,INT((MIN(IF($E293="",TODAY()-15,$E293),TODAY()-15)-$D293)/7)+1))</f>
        <v/>
      </c>
      <c r="K293" s="116">
        <f>IF(OR($B293="",$D293="",$F293=""),0,$F293*MAX(0,INT((MIN(IF($E293="",TODAY()-29,$E293),TODAY()-29)-$D293)/7)+1))</f>
        <v/>
      </c>
      <c r="L293" s="117">
        <f>IF($F293&gt;0,$H293/$F293,0)</f>
        <v/>
      </c>
      <c r="M293" s="112">
        <f>IF($B293="","",IF($C293="TANIMSIZ MÜŞTERİ","HATA",IF($G293="Pasif","PASİF",IF(AND(WEEKDAY($D293,2)=6,OR($E293="",WEEKDAY($E293,2)=6),$F293&gt;0),"UYGUN","HATA"))))</f>
        <v/>
      </c>
      <c r="N293" s="108" t="n"/>
      <c r="O293" s="6" t="n"/>
      <c r="P293" s="6" t="n"/>
    </row>
    <row r="294">
      <c r="A294" s="6" t="n"/>
      <c r="B294" s="107" t="n"/>
      <c r="C294" s="113">
        <f>IF($B294="","",IFERROR(INDEX(MUSTERILER!$C$7:$C$106,MATCH($B294,MUSTERILER!$B$7:$B$106,0)),"TANIMSIZ MÜŞTERİ"))</f>
        <v/>
      </c>
      <c r="D294" s="114" t="n"/>
      <c r="E294" s="114" t="n"/>
      <c r="F294" s="115" t="n"/>
      <c r="G294" s="107" t="n"/>
      <c r="H294" s="116">
        <f>IF(OR($B294="",$D294="",$F294=""),0,$F294*MAX(0,INT((MIN(IF($E294="",TODAY(),$E294),TODAY())-$D294)/7)+1))</f>
        <v/>
      </c>
      <c r="I294" s="116">
        <f>IF(OR($B294="",$D294="",$F294=""),0,$F294*MAX(0,INT((MIN(IF($E294="",TODAY()-8,$E294),TODAY()-8)-$D294)/7)+1))</f>
        <v/>
      </c>
      <c r="J294" s="116">
        <f>IF(OR($B294="",$D294="",$F294=""),0,$F294*MAX(0,INT((MIN(IF($E294="",TODAY()-15,$E294),TODAY()-15)-$D294)/7)+1))</f>
        <v/>
      </c>
      <c r="K294" s="116">
        <f>IF(OR($B294="",$D294="",$F294=""),0,$F294*MAX(0,INT((MIN(IF($E294="",TODAY()-29,$E294),TODAY()-29)-$D294)/7)+1))</f>
        <v/>
      </c>
      <c r="L294" s="117">
        <f>IF($F294&gt;0,$H294/$F294,0)</f>
        <v/>
      </c>
      <c r="M294" s="112">
        <f>IF($B294="","",IF($C294="TANIMSIZ MÜŞTERİ","HATA",IF($G294="Pasif","PASİF",IF(AND(WEEKDAY($D294,2)=6,OR($E294="",WEEKDAY($E294,2)=6),$F294&gt;0),"UYGUN","HATA"))))</f>
        <v/>
      </c>
      <c r="N294" s="108" t="n"/>
      <c r="O294" s="6" t="n"/>
      <c r="P294" s="6" t="n"/>
    </row>
    <row r="295">
      <c r="A295" s="6" t="n"/>
      <c r="B295" s="107" t="n"/>
      <c r="C295" s="113">
        <f>IF($B295="","",IFERROR(INDEX(MUSTERILER!$C$7:$C$106,MATCH($B295,MUSTERILER!$B$7:$B$106,0)),"TANIMSIZ MÜŞTERİ"))</f>
        <v/>
      </c>
      <c r="D295" s="114" t="n"/>
      <c r="E295" s="114" t="n"/>
      <c r="F295" s="115" t="n"/>
      <c r="G295" s="107" t="n"/>
      <c r="H295" s="116">
        <f>IF(OR($B295="",$D295="",$F295=""),0,$F295*MAX(0,INT((MIN(IF($E295="",TODAY(),$E295),TODAY())-$D295)/7)+1))</f>
        <v/>
      </c>
      <c r="I295" s="116">
        <f>IF(OR($B295="",$D295="",$F295=""),0,$F295*MAX(0,INT((MIN(IF($E295="",TODAY()-8,$E295),TODAY()-8)-$D295)/7)+1))</f>
        <v/>
      </c>
      <c r="J295" s="116">
        <f>IF(OR($B295="",$D295="",$F295=""),0,$F295*MAX(0,INT((MIN(IF($E295="",TODAY()-15,$E295),TODAY()-15)-$D295)/7)+1))</f>
        <v/>
      </c>
      <c r="K295" s="116">
        <f>IF(OR($B295="",$D295="",$F295=""),0,$F295*MAX(0,INT((MIN(IF($E295="",TODAY()-29,$E295),TODAY()-29)-$D295)/7)+1))</f>
        <v/>
      </c>
      <c r="L295" s="117">
        <f>IF($F295&gt;0,$H295/$F295,0)</f>
        <v/>
      </c>
      <c r="M295" s="112">
        <f>IF($B295="","",IF($C295="TANIMSIZ MÜŞTERİ","HATA",IF($G295="Pasif","PASİF",IF(AND(WEEKDAY($D295,2)=6,OR($E295="",WEEKDAY($E295,2)=6),$F295&gt;0),"UYGUN","HATA"))))</f>
        <v/>
      </c>
      <c r="N295" s="108" t="n"/>
      <c r="O295" s="6" t="n"/>
      <c r="P295" s="6" t="n"/>
    </row>
    <row r="296">
      <c r="A296" s="6" t="n"/>
      <c r="B296" s="107" t="n"/>
      <c r="C296" s="113">
        <f>IF($B296="","",IFERROR(INDEX(MUSTERILER!$C$7:$C$106,MATCH($B296,MUSTERILER!$B$7:$B$106,0)),"TANIMSIZ MÜŞTERİ"))</f>
        <v/>
      </c>
      <c r="D296" s="114" t="n"/>
      <c r="E296" s="114" t="n"/>
      <c r="F296" s="115" t="n"/>
      <c r="G296" s="107" t="n"/>
      <c r="H296" s="116">
        <f>IF(OR($B296="",$D296="",$F296=""),0,$F296*MAX(0,INT((MIN(IF($E296="",TODAY(),$E296),TODAY())-$D296)/7)+1))</f>
        <v/>
      </c>
      <c r="I296" s="116">
        <f>IF(OR($B296="",$D296="",$F296=""),0,$F296*MAX(0,INT((MIN(IF($E296="",TODAY()-8,$E296),TODAY()-8)-$D296)/7)+1))</f>
        <v/>
      </c>
      <c r="J296" s="116">
        <f>IF(OR($B296="",$D296="",$F296=""),0,$F296*MAX(0,INT((MIN(IF($E296="",TODAY()-15,$E296),TODAY()-15)-$D296)/7)+1))</f>
        <v/>
      </c>
      <c r="K296" s="116">
        <f>IF(OR($B296="",$D296="",$F296=""),0,$F296*MAX(0,INT((MIN(IF($E296="",TODAY()-29,$E296),TODAY()-29)-$D296)/7)+1))</f>
        <v/>
      </c>
      <c r="L296" s="117">
        <f>IF($F296&gt;0,$H296/$F296,0)</f>
        <v/>
      </c>
      <c r="M296" s="112">
        <f>IF($B296="","",IF($C296="TANIMSIZ MÜŞTERİ","HATA",IF($G296="Pasif","PASİF",IF(AND(WEEKDAY($D296,2)=6,OR($E296="",WEEKDAY($E296,2)=6),$F296&gt;0),"UYGUN","HATA"))))</f>
        <v/>
      </c>
      <c r="N296" s="108" t="n"/>
      <c r="O296" s="6" t="n"/>
      <c r="P296" s="6" t="n"/>
    </row>
    <row r="297">
      <c r="A297" s="6" t="n"/>
      <c r="B297" s="107" t="n"/>
      <c r="C297" s="113">
        <f>IF($B297="","",IFERROR(INDEX(MUSTERILER!$C$7:$C$106,MATCH($B297,MUSTERILER!$B$7:$B$106,0)),"TANIMSIZ MÜŞTERİ"))</f>
        <v/>
      </c>
      <c r="D297" s="114" t="n"/>
      <c r="E297" s="114" t="n"/>
      <c r="F297" s="115" t="n"/>
      <c r="G297" s="107" t="n"/>
      <c r="H297" s="116">
        <f>IF(OR($B297="",$D297="",$F297=""),0,$F297*MAX(0,INT((MIN(IF($E297="",TODAY(),$E297),TODAY())-$D297)/7)+1))</f>
        <v/>
      </c>
      <c r="I297" s="116">
        <f>IF(OR($B297="",$D297="",$F297=""),0,$F297*MAX(0,INT((MIN(IF($E297="",TODAY()-8,$E297),TODAY()-8)-$D297)/7)+1))</f>
        <v/>
      </c>
      <c r="J297" s="116">
        <f>IF(OR($B297="",$D297="",$F297=""),0,$F297*MAX(0,INT((MIN(IF($E297="",TODAY()-15,$E297),TODAY()-15)-$D297)/7)+1))</f>
        <v/>
      </c>
      <c r="K297" s="116">
        <f>IF(OR($B297="",$D297="",$F297=""),0,$F297*MAX(0,INT((MIN(IF($E297="",TODAY()-29,$E297),TODAY()-29)-$D297)/7)+1))</f>
        <v/>
      </c>
      <c r="L297" s="117">
        <f>IF($F297&gt;0,$H297/$F297,0)</f>
        <v/>
      </c>
      <c r="M297" s="112">
        <f>IF($B297="","",IF($C297="TANIMSIZ MÜŞTERİ","HATA",IF($G297="Pasif","PASİF",IF(AND(WEEKDAY($D297,2)=6,OR($E297="",WEEKDAY($E297,2)=6),$F297&gt;0),"UYGUN","HATA"))))</f>
        <v/>
      </c>
      <c r="N297" s="108" t="n"/>
      <c r="O297" s="6" t="n"/>
      <c r="P297" s="6" t="n"/>
    </row>
    <row r="298">
      <c r="A298" s="6" t="n"/>
      <c r="B298" s="107" t="n"/>
      <c r="C298" s="113">
        <f>IF($B298="","",IFERROR(INDEX(MUSTERILER!$C$7:$C$106,MATCH($B298,MUSTERILER!$B$7:$B$106,0)),"TANIMSIZ MÜŞTERİ"))</f>
        <v/>
      </c>
      <c r="D298" s="114" t="n"/>
      <c r="E298" s="114" t="n"/>
      <c r="F298" s="115" t="n"/>
      <c r="G298" s="107" t="n"/>
      <c r="H298" s="116">
        <f>IF(OR($B298="",$D298="",$F298=""),0,$F298*MAX(0,INT((MIN(IF($E298="",TODAY(),$E298),TODAY())-$D298)/7)+1))</f>
        <v/>
      </c>
      <c r="I298" s="116">
        <f>IF(OR($B298="",$D298="",$F298=""),0,$F298*MAX(0,INT((MIN(IF($E298="",TODAY()-8,$E298),TODAY()-8)-$D298)/7)+1))</f>
        <v/>
      </c>
      <c r="J298" s="116">
        <f>IF(OR($B298="",$D298="",$F298=""),0,$F298*MAX(0,INT((MIN(IF($E298="",TODAY()-15,$E298),TODAY()-15)-$D298)/7)+1))</f>
        <v/>
      </c>
      <c r="K298" s="116">
        <f>IF(OR($B298="",$D298="",$F298=""),0,$F298*MAX(0,INT((MIN(IF($E298="",TODAY()-29,$E298),TODAY()-29)-$D298)/7)+1))</f>
        <v/>
      </c>
      <c r="L298" s="117">
        <f>IF($F298&gt;0,$H298/$F298,0)</f>
        <v/>
      </c>
      <c r="M298" s="112">
        <f>IF($B298="","",IF($C298="TANIMSIZ MÜŞTERİ","HATA",IF($G298="Pasif","PASİF",IF(AND(WEEKDAY($D298,2)=6,OR($E298="",WEEKDAY($E298,2)=6),$F298&gt;0),"UYGUN","HATA"))))</f>
        <v/>
      </c>
      <c r="N298" s="108" t="n"/>
      <c r="O298" s="6" t="n"/>
      <c r="P298" s="6" t="n"/>
    </row>
    <row r="299">
      <c r="A299" s="6" t="n"/>
      <c r="B299" s="107" t="n"/>
      <c r="C299" s="113">
        <f>IF($B299="","",IFERROR(INDEX(MUSTERILER!$C$7:$C$106,MATCH($B299,MUSTERILER!$B$7:$B$106,0)),"TANIMSIZ MÜŞTERİ"))</f>
        <v/>
      </c>
      <c r="D299" s="114" t="n"/>
      <c r="E299" s="114" t="n"/>
      <c r="F299" s="115" t="n"/>
      <c r="G299" s="107" t="n"/>
      <c r="H299" s="116">
        <f>IF(OR($B299="",$D299="",$F299=""),0,$F299*MAX(0,INT((MIN(IF($E299="",TODAY(),$E299),TODAY())-$D299)/7)+1))</f>
        <v/>
      </c>
      <c r="I299" s="116">
        <f>IF(OR($B299="",$D299="",$F299=""),0,$F299*MAX(0,INT((MIN(IF($E299="",TODAY()-8,$E299),TODAY()-8)-$D299)/7)+1))</f>
        <v/>
      </c>
      <c r="J299" s="116">
        <f>IF(OR($B299="",$D299="",$F299=""),0,$F299*MAX(0,INT((MIN(IF($E299="",TODAY()-15,$E299),TODAY()-15)-$D299)/7)+1))</f>
        <v/>
      </c>
      <c r="K299" s="116">
        <f>IF(OR($B299="",$D299="",$F299=""),0,$F299*MAX(0,INT((MIN(IF($E299="",TODAY()-29,$E299),TODAY()-29)-$D299)/7)+1))</f>
        <v/>
      </c>
      <c r="L299" s="117">
        <f>IF($F299&gt;0,$H299/$F299,0)</f>
        <v/>
      </c>
      <c r="M299" s="112">
        <f>IF($B299="","",IF($C299="TANIMSIZ MÜŞTERİ","HATA",IF($G299="Pasif","PASİF",IF(AND(WEEKDAY($D299,2)=6,OR($E299="",WEEKDAY($E299,2)=6),$F299&gt;0),"UYGUN","HATA"))))</f>
        <v/>
      </c>
      <c r="N299" s="108" t="n"/>
      <c r="O299" s="6" t="n"/>
      <c r="P299" s="6" t="n"/>
    </row>
    <row r="300">
      <c r="A300" s="6" t="n"/>
      <c r="B300" s="107" t="n"/>
      <c r="C300" s="113">
        <f>IF($B300="","",IFERROR(INDEX(MUSTERILER!$C$7:$C$106,MATCH($B300,MUSTERILER!$B$7:$B$106,0)),"TANIMSIZ MÜŞTERİ"))</f>
        <v/>
      </c>
      <c r="D300" s="114" t="n"/>
      <c r="E300" s="114" t="n"/>
      <c r="F300" s="115" t="n"/>
      <c r="G300" s="107" t="n"/>
      <c r="H300" s="116">
        <f>IF(OR($B300="",$D300="",$F300=""),0,$F300*MAX(0,INT((MIN(IF($E300="",TODAY(),$E300),TODAY())-$D300)/7)+1))</f>
        <v/>
      </c>
      <c r="I300" s="116">
        <f>IF(OR($B300="",$D300="",$F300=""),0,$F300*MAX(0,INT((MIN(IF($E300="",TODAY()-8,$E300),TODAY()-8)-$D300)/7)+1))</f>
        <v/>
      </c>
      <c r="J300" s="116">
        <f>IF(OR($B300="",$D300="",$F300=""),0,$F300*MAX(0,INT((MIN(IF($E300="",TODAY()-15,$E300),TODAY()-15)-$D300)/7)+1))</f>
        <v/>
      </c>
      <c r="K300" s="116">
        <f>IF(OR($B300="",$D300="",$F300=""),0,$F300*MAX(0,INT((MIN(IF($E300="",TODAY()-29,$E300),TODAY()-29)-$D300)/7)+1))</f>
        <v/>
      </c>
      <c r="L300" s="117">
        <f>IF($F300&gt;0,$H300/$F300,0)</f>
        <v/>
      </c>
      <c r="M300" s="112">
        <f>IF($B300="","",IF($C300="TANIMSIZ MÜŞTERİ","HATA",IF($G300="Pasif","PASİF",IF(AND(WEEKDAY($D300,2)=6,OR($E300="",WEEKDAY($E300,2)=6),$F300&gt;0),"UYGUN","HATA"))))</f>
        <v/>
      </c>
      <c r="N300" s="108" t="n"/>
      <c r="O300" s="6" t="n"/>
      <c r="P300" s="6" t="n"/>
    </row>
    <row r="301">
      <c r="A301" s="6" t="n"/>
      <c r="B301" s="107" t="n"/>
      <c r="C301" s="113">
        <f>IF($B301="","",IFERROR(INDEX(MUSTERILER!$C$7:$C$106,MATCH($B301,MUSTERILER!$B$7:$B$106,0)),"TANIMSIZ MÜŞTERİ"))</f>
        <v/>
      </c>
      <c r="D301" s="114" t="n"/>
      <c r="E301" s="114" t="n"/>
      <c r="F301" s="115" t="n"/>
      <c r="G301" s="107" t="n"/>
      <c r="H301" s="116">
        <f>IF(OR($B301="",$D301="",$F301=""),0,$F301*MAX(0,INT((MIN(IF($E301="",TODAY(),$E301),TODAY())-$D301)/7)+1))</f>
        <v/>
      </c>
      <c r="I301" s="116">
        <f>IF(OR($B301="",$D301="",$F301=""),0,$F301*MAX(0,INT((MIN(IF($E301="",TODAY()-8,$E301),TODAY()-8)-$D301)/7)+1))</f>
        <v/>
      </c>
      <c r="J301" s="116">
        <f>IF(OR($B301="",$D301="",$F301=""),0,$F301*MAX(0,INT((MIN(IF($E301="",TODAY()-15,$E301),TODAY()-15)-$D301)/7)+1))</f>
        <v/>
      </c>
      <c r="K301" s="116">
        <f>IF(OR($B301="",$D301="",$F301=""),0,$F301*MAX(0,INT((MIN(IF($E301="",TODAY()-29,$E301),TODAY()-29)-$D301)/7)+1))</f>
        <v/>
      </c>
      <c r="L301" s="117">
        <f>IF($F301&gt;0,$H301/$F301,0)</f>
        <v/>
      </c>
      <c r="M301" s="112">
        <f>IF($B301="","",IF($C301="TANIMSIZ MÜŞTERİ","HATA",IF($G301="Pasif","PASİF",IF(AND(WEEKDAY($D301,2)=6,OR($E301="",WEEKDAY($E301,2)=6),$F301&gt;0),"UYGUN","HATA"))))</f>
        <v/>
      </c>
      <c r="N301" s="108" t="n"/>
      <c r="O301" s="6" t="n"/>
      <c r="P301" s="6" t="n"/>
    </row>
    <row r="302">
      <c r="A302" s="6" t="n"/>
      <c r="B302" s="107" t="n"/>
      <c r="C302" s="113">
        <f>IF($B302="","",IFERROR(INDEX(MUSTERILER!$C$7:$C$106,MATCH($B302,MUSTERILER!$B$7:$B$106,0)),"TANIMSIZ MÜŞTERİ"))</f>
        <v/>
      </c>
      <c r="D302" s="114" t="n"/>
      <c r="E302" s="114" t="n"/>
      <c r="F302" s="115" t="n"/>
      <c r="G302" s="107" t="n"/>
      <c r="H302" s="116">
        <f>IF(OR($B302="",$D302="",$F302=""),0,$F302*MAX(0,INT((MIN(IF($E302="",TODAY(),$E302),TODAY())-$D302)/7)+1))</f>
        <v/>
      </c>
      <c r="I302" s="116">
        <f>IF(OR($B302="",$D302="",$F302=""),0,$F302*MAX(0,INT((MIN(IF($E302="",TODAY()-8,$E302),TODAY()-8)-$D302)/7)+1))</f>
        <v/>
      </c>
      <c r="J302" s="116">
        <f>IF(OR($B302="",$D302="",$F302=""),0,$F302*MAX(0,INT((MIN(IF($E302="",TODAY()-15,$E302),TODAY()-15)-$D302)/7)+1))</f>
        <v/>
      </c>
      <c r="K302" s="116">
        <f>IF(OR($B302="",$D302="",$F302=""),0,$F302*MAX(0,INT((MIN(IF($E302="",TODAY()-29,$E302),TODAY()-29)-$D302)/7)+1))</f>
        <v/>
      </c>
      <c r="L302" s="117">
        <f>IF($F302&gt;0,$H302/$F302,0)</f>
        <v/>
      </c>
      <c r="M302" s="112">
        <f>IF($B302="","",IF($C302="TANIMSIZ MÜŞTERİ","HATA",IF($G302="Pasif","PASİF",IF(AND(WEEKDAY($D302,2)=6,OR($E302="",WEEKDAY($E302,2)=6),$F302&gt;0),"UYGUN","HATA"))))</f>
        <v/>
      </c>
      <c r="N302" s="108" t="n"/>
      <c r="O302" s="6" t="n"/>
      <c r="P302" s="6" t="n"/>
    </row>
    <row r="303">
      <c r="A303" s="6" t="n"/>
      <c r="B303" s="107" t="n"/>
      <c r="C303" s="113">
        <f>IF($B303="","",IFERROR(INDEX(MUSTERILER!$C$7:$C$106,MATCH($B303,MUSTERILER!$B$7:$B$106,0)),"TANIMSIZ MÜŞTERİ"))</f>
        <v/>
      </c>
      <c r="D303" s="114" t="n"/>
      <c r="E303" s="114" t="n"/>
      <c r="F303" s="115" t="n"/>
      <c r="G303" s="107" t="n"/>
      <c r="H303" s="116">
        <f>IF(OR($B303="",$D303="",$F303=""),0,$F303*MAX(0,INT((MIN(IF($E303="",TODAY(),$E303),TODAY())-$D303)/7)+1))</f>
        <v/>
      </c>
      <c r="I303" s="116">
        <f>IF(OR($B303="",$D303="",$F303=""),0,$F303*MAX(0,INT((MIN(IF($E303="",TODAY()-8,$E303),TODAY()-8)-$D303)/7)+1))</f>
        <v/>
      </c>
      <c r="J303" s="116">
        <f>IF(OR($B303="",$D303="",$F303=""),0,$F303*MAX(0,INT((MIN(IF($E303="",TODAY()-15,$E303),TODAY()-15)-$D303)/7)+1))</f>
        <v/>
      </c>
      <c r="K303" s="116">
        <f>IF(OR($B303="",$D303="",$F303=""),0,$F303*MAX(0,INT((MIN(IF($E303="",TODAY()-29,$E303),TODAY()-29)-$D303)/7)+1))</f>
        <v/>
      </c>
      <c r="L303" s="117">
        <f>IF($F303&gt;0,$H303/$F303,0)</f>
        <v/>
      </c>
      <c r="M303" s="112">
        <f>IF($B303="","",IF($C303="TANIMSIZ MÜŞTERİ","HATA",IF($G303="Pasif","PASİF",IF(AND(WEEKDAY($D303,2)=6,OR($E303="",WEEKDAY($E303,2)=6),$F303&gt;0),"UYGUN","HATA"))))</f>
        <v/>
      </c>
      <c r="N303" s="108" t="n"/>
      <c r="O303" s="6" t="n"/>
      <c r="P303" s="6" t="n"/>
    </row>
    <row r="304">
      <c r="A304" s="6" t="n"/>
      <c r="B304" s="107" t="n"/>
      <c r="C304" s="113">
        <f>IF($B304="","",IFERROR(INDEX(MUSTERILER!$C$7:$C$106,MATCH($B304,MUSTERILER!$B$7:$B$106,0)),"TANIMSIZ MÜŞTERİ"))</f>
        <v/>
      </c>
      <c r="D304" s="114" t="n"/>
      <c r="E304" s="114" t="n"/>
      <c r="F304" s="115" t="n"/>
      <c r="G304" s="107" t="n"/>
      <c r="H304" s="116">
        <f>IF(OR($B304="",$D304="",$F304=""),0,$F304*MAX(0,INT((MIN(IF($E304="",TODAY(),$E304),TODAY())-$D304)/7)+1))</f>
        <v/>
      </c>
      <c r="I304" s="116">
        <f>IF(OR($B304="",$D304="",$F304=""),0,$F304*MAX(0,INT((MIN(IF($E304="",TODAY()-8,$E304),TODAY()-8)-$D304)/7)+1))</f>
        <v/>
      </c>
      <c r="J304" s="116">
        <f>IF(OR($B304="",$D304="",$F304=""),0,$F304*MAX(0,INT((MIN(IF($E304="",TODAY()-15,$E304),TODAY()-15)-$D304)/7)+1))</f>
        <v/>
      </c>
      <c r="K304" s="116">
        <f>IF(OR($B304="",$D304="",$F304=""),0,$F304*MAX(0,INT((MIN(IF($E304="",TODAY()-29,$E304),TODAY()-29)-$D304)/7)+1))</f>
        <v/>
      </c>
      <c r="L304" s="117">
        <f>IF($F304&gt;0,$H304/$F304,0)</f>
        <v/>
      </c>
      <c r="M304" s="112">
        <f>IF($B304="","",IF($C304="TANIMSIZ MÜŞTERİ","HATA",IF($G304="Pasif","PASİF",IF(AND(WEEKDAY($D304,2)=6,OR($E304="",WEEKDAY($E304,2)=6),$F304&gt;0),"UYGUN","HATA"))))</f>
        <v/>
      </c>
      <c r="N304" s="108" t="n"/>
      <c r="O304" s="6" t="n"/>
      <c r="P304" s="6" t="n"/>
    </row>
    <row r="305">
      <c r="A305" s="6" t="n"/>
      <c r="B305" s="107" t="n"/>
      <c r="C305" s="113">
        <f>IF($B305="","",IFERROR(INDEX(MUSTERILER!$C$7:$C$106,MATCH($B305,MUSTERILER!$B$7:$B$106,0)),"TANIMSIZ MÜŞTERİ"))</f>
        <v/>
      </c>
      <c r="D305" s="114" t="n"/>
      <c r="E305" s="114" t="n"/>
      <c r="F305" s="115" t="n"/>
      <c r="G305" s="107" t="n"/>
      <c r="H305" s="116">
        <f>IF(OR($B305="",$D305="",$F305=""),0,$F305*MAX(0,INT((MIN(IF($E305="",TODAY(),$E305),TODAY())-$D305)/7)+1))</f>
        <v/>
      </c>
      <c r="I305" s="116">
        <f>IF(OR($B305="",$D305="",$F305=""),0,$F305*MAX(0,INT((MIN(IF($E305="",TODAY()-8,$E305),TODAY()-8)-$D305)/7)+1))</f>
        <v/>
      </c>
      <c r="J305" s="116">
        <f>IF(OR($B305="",$D305="",$F305=""),0,$F305*MAX(0,INT((MIN(IF($E305="",TODAY()-15,$E305),TODAY()-15)-$D305)/7)+1))</f>
        <v/>
      </c>
      <c r="K305" s="116">
        <f>IF(OR($B305="",$D305="",$F305=""),0,$F305*MAX(0,INT((MIN(IF($E305="",TODAY()-29,$E305),TODAY()-29)-$D305)/7)+1))</f>
        <v/>
      </c>
      <c r="L305" s="117">
        <f>IF($F305&gt;0,$H305/$F305,0)</f>
        <v/>
      </c>
      <c r="M305" s="112">
        <f>IF($B305="","",IF($C305="TANIMSIZ MÜŞTERİ","HATA",IF($G305="Pasif","PASİF",IF(AND(WEEKDAY($D305,2)=6,OR($E305="",WEEKDAY($E305,2)=6),$F305&gt;0),"UYGUN","HATA"))))</f>
        <v/>
      </c>
      <c r="N305" s="108" t="n"/>
      <c r="O305" s="6" t="n"/>
      <c r="P305" s="6" t="n"/>
    </row>
    <row r="306">
      <c r="A306" s="6" t="n"/>
      <c r="B306" s="107" t="n"/>
      <c r="C306" s="113">
        <f>IF($B306="","",IFERROR(INDEX(MUSTERILER!$C$7:$C$106,MATCH($B306,MUSTERILER!$B$7:$B$106,0)),"TANIMSIZ MÜŞTERİ"))</f>
        <v/>
      </c>
      <c r="D306" s="114" t="n"/>
      <c r="E306" s="114" t="n"/>
      <c r="F306" s="115" t="n"/>
      <c r="G306" s="107" t="n"/>
      <c r="H306" s="116">
        <f>IF(OR($B306="",$D306="",$F306=""),0,$F306*MAX(0,INT((MIN(IF($E306="",TODAY(),$E306),TODAY())-$D306)/7)+1))</f>
        <v/>
      </c>
      <c r="I306" s="116">
        <f>IF(OR($B306="",$D306="",$F306=""),0,$F306*MAX(0,INT((MIN(IF($E306="",TODAY()-8,$E306),TODAY()-8)-$D306)/7)+1))</f>
        <v/>
      </c>
      <c r="J306" s="116">
        <f>IF(OR($B306="",$D306="",$F306=""),0,$F306*MAX(0,INT((MIN(IF($E306="",TODAY()-15,$E306),TODAY()-15)-$D306)/7)+1))</f>
        <v/>
      </c>
      <c r="K306" s="116">
        <f>IF(OR($B306="",$D306="",$F306=""),0,$F306*MAX(0,INT((MIN(IF($E306="",TODAY()-29,$E306),TODAY()-29)-$D306)/7)+1))</f>
        <v/>
      </c>
      <c r="L306" s="117">
        <f>IF($F306&gt;0,$H306/$F306,0)</f>
        <v/>
      </c>
      <c r="M306" s="112">
        <f>IF($B306="","",IF($C306="TANIMSIZ MÜŞTERİ","HATA",IF($G306="Pasif","PASİF",IF(AND(WEEKDAY($D306,2)=6,OR($E306="",WEEKDAY($E306,2)=6),$F306&gt;0),"UYGUN","HATA"))))</f>
        <v/>
      </c>
      <c r="N306" s="108" t="n"/>
      <c r="O306" s="6" t="n"/>
      <c r="P306" s="6" t="n"/>
    </row>
    <row r="307">
      <c r="A307" s="6" t="n"/>
      <c r="B307" s="107" t="n"/>
      <c r="C307" s="113">
        <f>IF($B307="","",IFERROR(INDEX(MUSTERILER!$C$7:$C$106,MATCH($B307,MUSTERILER!$B$7:$B$106,0)),"TANIMSIZ MÜŞTERİ"))</f>
        <v/>
      </c>
      <c r="D307" s="114" t="n"/>
      <c r="E307" s="114" t="n"/>
      <c r="F307" s="115" t="n"/>
      <c r="G307" s="107" t="n"/>
      <c r="H307" s="116">
        <f>IF(OR($B307="",$D307="",$F307=""),0,$F307*MAX(0,INT((MIN(IF($E307="",TODAY(),$E307),TODAY())-$D307)/7)+1))</f>
        <v/>
      </c>
      <c r="I307" s="116">
        <f>IF(OR($B307="",$D307="",$F307=""),0,$F307*MAX(0,INT((MIN(IF($E307="",TODAY()-8,$E307),TODAY()-8)-$D307)/7)+1))</f>
        <v/>
      </c>
      <c r="J307" s="116">
        <f>IF(OR($B307="",$D307="",$F307=""),0,$F307*MAX(0,INT((MIN(IF($E307="",TODAY()-15,$E307),TODAY()-15)-$D307)/7)+1))</f>
        <v/>
      </c>
      <c r="K307" s="116">
        <f>IF(OR($B307="",$D307="",$F307=""),0,$F307*MAX(0,INT((MIN(IF($E307="",TODAY()-29,$E307),TODAY()-29)-$D307)/7)+1))</f>
        <v/>
      </c>
      <c r="L307" s="117">
        <f>IF($F307&gt;0,$H307/$F307,0)</f>
        <v/>
      </c>
      <c r="M307" s="112">
        <f>IF($B307="","",IF($C307="TANIMSIZ MÜŞTERİ","HATA",IF($G307="Pasif","PASİF",IF(AND(WEEKDAY($D307,2)=6,OR($E307="",WEEKDAY($E307,2)=6),$F307&gt;0),"UYGUN","HATA"))))</f>
        <v/>
      </c>
      <c r="N307" s="108" t="n"/>
      <c r="O307" s="6" t="n"/>
      <c r="P307" s="6" t="n"/>
    </row>
    <row r="308">
      <c r="A308" s="6" t="n"/>
      <c r="B308" s="107" t="n"/>
      <c r="C308" s="113">
        <f>IF($B308="","",IFERROR(INDEX(MUSTERILER!$C$7:$C$106,MATCH($B308,MUSTERILER!$B$7:$B$106,0)),"TANIMSIZ MÜŞTERİ"))</f>
        <v/>
      </c>
      <c r="D308" s="114" t="n"/>
      <c r="E308" s="114" t="n"/>
      <c r="F308" s="115" t="n"/>
      <c r="G308" s="107" t="n"/>
      <c r="H308" s="116">
        <f>IF(OR($B308="",$D308="",$F308=""),0,$F308*MAX(0,INT((MIN(IF($E308="",TODAY(),$E308),TODAY())-$D308)/7)+1))</f>
        <v/>
      </c>
      <c r="I308" s="116">
        <f>IF(OR($B308="",$D308="",$F308=""),0,$F308*MAX(0,INT((MIN(IF($E308="",TODAY()-8,$E308),TODAY()-8)-$D308)/7)+1))</f>
        <v/>
      </c>
      <c r="J308" s="116">
        <f>IF(OR($B308="",$D308="",$F308=""),0,$F308*MAX(0,INT((MIN(IF($E308="",TODAY()-15,$E308),TODAY()-15)-$D308)/7)+1))</f>
        <v/>
      </c>
      <c r="K308" s="116">
        <f>IF(OR($B308="",$D308="",$F308=""),0,$F308*MAX(0,INT((MIN(IF($E308="",TODAY()-29,$E308),TODAY()-29)-$D308)/7)+1))</f>
        <v/>
      </c>
      <c r="L308" s="117">
        <f>IF($F308&gt;0,$H308/$F308,0)</f>
        <v/>
      </c>
      <c r="M308" s="112">
        <f>IF($B308="","",IF($C308="TANIMSIZ MÜŞTERİ","HATA",IF($G308="Pasif","PASİF",IF(AND(WEEKDAY($D308,2)=6,OR($E308="",WEEKDAY($E308,2)=6),$F308&gt;0),"UYGUN","HATA"))))</f>
        <v/>
      </c>
      <c r="N308" s="108" t="n"/>
      <c r="O308" s="6" t="n"/>
      <c r="P308" s="6" t="n"/>
    </row>
    <row r="309">
      <c r="A309" s="6" t="n"/>
      <c r="B309" s="107" t="n"/>
      <c r="C309" s="113">
        <f>IF($B309="","",IFERROR(INDEX(MUSTERILER!$C$7:$C$106,MATCH($B309,MUSTERILER!$B$7:$B$106,0)),"TANIMSIZ MÜŞTERİ"))</f>
        <v/>
      </c>
      <c r="D309" s="114" t="n"/>
      <c r="E309" s="114" t="n"/>
      <c r="F309" s="115" t="n"/>
      <c r="G309" s="107" t="n"/>
      <c r="H309" s="116">
        <f>IF(OR($B309="",$D309="",$F309=""),0,$F309*MAX(0,INT((MIN(IF($E309="",TODAY(),$E309),TODAY())-$D309)/7)+1))</f>
        <v/>
      </c>
      <c r="I309" s="116">
        <f>IF(OR($B309="",$D309="",$F309=""),0,$F309*MAX(0,INT((MIN(IF($E309="",TODAY()-8,$E309),TODAY()-8)-$D309)/7)+1))</f>
        <v/>
      </c>
      <c r="J309" s="116">
        <f>IF(OR($B309="",$D309="",$F309=""),0,$F309*MAX(0,INT((MIN(IF($E309="",TODAY()-15,$E309),TODAY()-15)-$D309)/7)+1))</f>
        <v/>
      </c>
      <c r="K309" s="116">
        <f>IF(OR($B309="",$D309="",$F309=""),0,$F309*MAX(0,INT((MIN(IF($E309="",TODAY()-29,$E309),TODAY()-29)-$D309)/7)+1))</f>
        <v/>
      </c>
      <c r="L309" s="117">
        <f>IF($F309&gt;0,$H309/$F309,0)</f>
        <v/>
      </c>
      <c r="M309" s="112">
        <f>IF($B309="","",IF($C309="TANIMSIZ MÜŞTERİ","HATA",IF($G309="Pasif","PASİF",IF(AND(WEEKDAY($D309,2)=6,OR($E309="",WEEKDAY($E309,2)=6),$F309&gt;0),"UYGUN","HATA"))))</f>
        <v/>
      </c>
      <c r="N309" s="108" t="n"/>
      <c r="O309" s="6" t="n"/>
      <c r="P309" s="6" t="n"/>
    </row>
    <row r="310">
      <c r="A310" s="6" t="n"/>
      <c r="B310" s="107" t="n"/>
      <c r="C310" s="113">
        <f>IF($B310="","",IFERROR(INDEX(MUSTERILER!$C$7:$C$106,MATCH($B310,MUSTERILER!$B$7:$B$106,0)),"TANIMSIZ MÜŞTERİ"))</f>
        <v/>
      </c>
      <c r="D310" s="114" t="n"/>
      <c r="E310" s="114" t="n"/>
      <c r="F310" s="115" t="n"/>
      <c r="G310" s="107" t="n"/>
      <c r="H310" s="116">
        <f>IF(OR($B310="",$D310="",$F310=""),0,$F310*MAX(0,INT((MIN(IF($E310="",TODAY(),$E310),TODAY())-$D310)/7)+1))</f>
        <v/>
      </c>
      <c r="I310" s="116">
        <f>IF(OR($B310="",$D310="",$F310=""),0,$F310*MAX(0,INT((MIN(IF($E310="",TODAY()-8,$E310),TODAY()-8)-$D310)/7)+1))</f>
        <v/>
      </c>
      <c r="J310" s="116">
        <f>IF(OR($B310="",$D310="",$F310=""),0,$F310*MAX(0,INT((MIN(IF($E310="",TODAY()-15,$E310),TODAY()-15)-$D310)/7)+1))</f>
        <v/>
      </c>
      <c r="K310" s="116">
        <f>IF(OR($B310="",$D310="",$F310=""),0,$F310*MAX(0,INT((MIN(IF($E310="",TODAY()-29,$E310),TODAY()-29)-$D310)/7)+1))</f>
        <v/>
      </c>
      <c r="L310" s="117">
        <f>IF($F310&gt;0,$H310/$F310,0)</f>
        <v/>
      </c>
      <c r="M310" s="112">
        <f>IF($B310="","",IF($C310="TANIMSIZ MÜŞTERİ","HATA",IF($G310="Pasif","PASİF",IF(AND(WEEKDAY($D310,2)=6,OR($E310="",WEEKDAY($E310,2)=6),$F310&gt;0),"UYGUN","HATA"))))</f>
        <v/>
      </c>
      <c r="N310" s="108" t="n"/>
      <c r="O310" s="6" t="n"/>
      <c r="P310" s="6" t="n"/>
    </row>
    <row r="311">
      <c r="A311" s="6" t="n"/>
      <c r="B311" s="107" t="n"/>
      <c r="C311" s="113">
        <f>IF($B311="","",IFERROR(INDEX(MUSTERILER!$C$7:$C$106,MATCH($B311,MUSTERILER!$B$7:$B$106,0)),"TANIMSIZ MÜŞTERİ"))</f>
        <v/>
      </c>
      <c r="D311" s="114" t="n"/>
      <c r="E311" s="114" t="n"/>
      <c r="F311" s="115" t="n"/>
      <c r="G311" s="107" t="n"/>
      <c r="H311" s="116">
        <f>IF(OR($B311="",$D311="",$F311=""),0,$F311*MAX(0,INT((MIN(IF($E311="",TODAY(),$E311),TODAY())-$D311)/7)+1))</f>
        <v/>
      </c>
      <c r="I311" s="116">
        <f>IF(OR($B311="",$D311="",$F311=""),0,$F311*MAX(0,INT((MIN(IF($E311="",TODAY()-8,$E311),TODAY()-8)-$D311)/7)+1))</f>
        <v/>
      </c>
      <c r="J311" s="116">
        <f>IF(OR($B311="",$D311="",$F311=""),0,$F311*MAX(0,INT((MIN(IF($E311="",TODAY()-15,$E311),TODAY()-15)-$D311)/7)+1))</f>
        <v/>
      </c>
      <c r="K311" s="116">
        <f>IF(OR($B311="",$D311="",$F311=""),0,$F311*MAX(0,INT((MIN(IF($E311="",TODAY()-29,$E311),TODAY()-29)-$D311)/7)+1))</f>
        <v/>
      </c>
      <c r="L311" s="117">
        <f>IF($F311&gt;0,$H311/$F311,0)</f>
        <v/>
      </c>
      <c r="M311" s="112">
        <f>IF($B311="","",IF($C311="TANIMSIZ MÜŞTERİ","HATA",IF($G311="Pasif","PASİF",IF(AND(WEEKDAY($D311,2)=6,OR($E311="",WEEKDAY($E311,2)=6),$F311&gt;0),"UYGUN","HATA"))))</f>
        <v/>
      </c>
      <c r="N311" s="108" t="n"/>
      <c r="O311" s="6" t="n"/>
      <c r="P311" s="6" t="n"/>
    </row>
    <row r="312">
      <c r="A312" s="6" t="n"/>
      <c r="B312" s="107" t="n"/>
      <c r="C312" s="113">
        <f>IF($B312="","",IFERROR(INDEX(MUSTERILER!$C$7:$C$106,MATCH($B312,MUSTERILER!$B$7:$B$106,0)),"TANIMSIZ MÜŞTERİ"))</f>
        <v/>
      </c>
      <c r="D312" s="114" t="n"/>
      <c r="E312" s="114" t="n"/>
      <c r="F312" s="115" t="n"/>
      <c r="G312" s="107" t="n"/>
      <c r="H312" s="116">
        <f>IF(OR($B312="",$D312="",$F312=""),0,$F312*MAX(0,INT((MIN(IF($E312="",TODAY(),$E312),TODAY())-$D312)/7)+1))</f>
        <v/>
      </c>
      <c r="I312" s="116">
        <f>IF(OR($B312="",$D312="",$F312=""),0,$F312*MAX(0,INT((MIN(IF($E312="",TODAY()-8,$E312),TODAY()-8)-$D312)/7)+1))</f>
        <v/>
      </c>
      <c r="J312" s="116">
        <f>IF(OR($B312="",$D312="",$F312=""),0,$F312*MAX(0,INT((MIN(IF($E312="",TODAY()-15,$E312),TODAY()-15)-$D312)/7)+1))</f>
        <v/>
      </c>
      <c r="K312" s="116">
        <f>IF(OR($B312="",$D312="",$F312=""),0,$F312*MAX(0,INT((MIN(IF($E312="",TODAY()-29,$E312),TODAY()-29)-$D312)/7)+1))</f>
        <v/>
      </c>
      <c r="L312" s="117">
        <f>IF($F312&gt;0,$H312/$F312,0)</f>
        <v/>
      </c>
      <c r="M312" s="112">
        <f>IF($B312="","",IF($C312="TANIMSIZ MÜŞTERİ","HATA",IF($G312="Pasif","PASİF",IF(AND(WEEKDAY($D312,2)=6,OR($E312="",WEEKDAY($E312,2)=6),$F312&gt;0),"UYGUN","HATA"))))</f>
        <v/>
      </c>
      <c r="N312" s="108" t="n"/>
      <c r="O312" s="6" t="n"/>
      <c r="P312" s="6" t="n"/>
    </row>
    <row r="313">
      <c r="A313" s="6" t="n"/>
      <c r="B313" s="107" t="n"/>
      <c r="C313" s="113">
        <f>IF($B313="","",IFERROR(INDEX(MUSTERILER!$C$7:$C$106,MATCH($B313,MUSTERILER!$B$7:$B$106,0)),"TANIMSIZ MÜŞTERİ"))</f>
        <v/>
      </c>
      <c r="D313" s="114" t="n"/>
      <c r="E313" s="114" t="n"/>
      <c r="F313" s="115" t="n"/>
      <c r="G313" s="107" t="n"/>
      <c r="H313" s="116">
        <f>IF(OR($B313="",$D313="",$F313=""),0,$F313*MAX(0,INT((MIN(IF($E313="",TODAY(),$E313),TODAY())-$D313)/7)+1))</f>
        <v/>
      </c>
      <c r="I313" s="116">
        <f>IF(OR($B313="",$D313="",$F313=""),0,$F313*MAX(0,INT((MIN(IF($E313="",TODAY()-8,$E313),TODAY()-8)-$D313)/7)+1))</f>
        <v/>
      </c>
      <c r="J313" s="116">
        <f>IF(OR($B313="",$D313="",$F313=""),0,$F313*MAX(0,INT((MIN(IF($E313="",TODAY()-15,$E313),TODAY()-15)-$D313)/7)+1))</f>
        <v/>
      </c>
      <c r="K313" s="116">
        <f>IF(OR($B313="",$D313="",$F313=""),0,$F313*MAX(0,INT((MIN(IF($E313="",TODAY()-29,$E313),TODAY()-29)-$D313)/7)+1))</f>
        <v/>
      </c>
      <c r="L313" s="117">
        <f>IF($F313&gt;0,$H313/$F313,0)</f>
        <v/>
      </c>
      <c r="M313" s="112">
        <f>IF($B313="","",IF($C313="TANIMSIZ MÜŞTERİ","HATA",IF($G313="Pasif","PASİF",IF(AND(WEEKDAY($D313,2)=6,OR($E313="",WEEKDAY($E313,2)=6),$F313&gt;0),"UYGUN","HATA"))))</f>
        <v/>
      </c>
      <c r="N313" s="108" t="n"/>
      <c r="O313" s="6" t="n"/>
      <c r="P313" s="6" t="n"/>
    </row>
    <row r="314">
      <c r="A314" s="6" t="n"/>
      <c r="B314" s="107" t="n"/>
      <c r="C314" s="113">
        <f>IF($B314="","",IFERROR(INDEX(MUSTERILER!$C$7:$C$106,MATCH($B314,MUSTERILER!$B$7:$B$106,0)),"TANIMSIZ MÜŞTERİ"))</f>
        <v/>
      </c>
      <c r="D314" s="114" t="n"/>
      <c r="E314" s="114" t="n"/>
      <c r="F314" s="115" t="n"/>
      <c r="G314" s="107" t="n"/>
      <c r="H314" s="116">
        <f>IF(OR($B314="",$D314="",$F314=""),0,$F314*MAX(0,INT((MIN(IF($E314="",TODAY(),$E314),TODAY())-$D314)/7)+1))</f>
        <v/>
      </c>
      <c r="I314" s="116">
        <f>IF(OR($B314="",$D314="",$F314=""),0,$F314*MAX(0,INT((MIN(IF($E314="",TODAY()-8,$E314),TODAY()-8)-$D314)/7)+1))</f>
        <v/>
      </c>
      <c r="J314" s="116">
        <f>IF(OR($B314="",$D314="",$F314=""),0,$F314*MAX(0,INT((MIN(IF($E314="",TODAY()-15,$E314),TODAY()-15)-$D314)/7)+1))</f>
        <v/>
      </c>
      <c r="K314" s="116">
        <f>IF(OR($B314="",$D314="",$F314=""),0,$F314*MAX(0,INT((MIN(IF($E314="",TODAY()-29,$E314),TODAY()-29)-$D314)/7)+1))</f>
        <v/>
      </c>
      <c r="L314" s="117">
        <f>IF($F314&gt;0,$H314/$F314,0)</f>
        <v/>
      </c>
      <c r="M314" s="112">
        <f>IF($B314="","",IF($C314="TANIMSIZ MÜŞTERİ","HATA",IF($G314="Pasif","PASİF",IF(AND(WEEKDAY($D314,2)=6,OR($E314="",WEEKDAY($E314,2)=6),$F314&gt;0),"UYGUN","HATA"))))</f>
        <v/>
      </c>
      <c r="N314" s="108" t="n"/>
      <c r="O314" s="6" t="n"/>
      <c r="P314" s="6" t="n"/>
    </row>
    <row r="315">
      <c r="A315" s="6" t="n"/>
      <c r="B315" s="107" t="n"/>
      <c r="C315" s="113">
        <f>IF($B315="","",IFERROR(INDEX(MUSTERILER!$C$7:$C$106,MATCH($B315,MUSTERILER!$B$7:$B$106,0)),"TANIMSIZ MÜŞTERİ"))</f>
        <v/>
      </c>
      <c r="D315" s="114" t="n"/>
      <c r="E315" s="114" t="n"/>
      <c r="F315" s="115" t="n"/>
      <c r="G315" s="107" t="n"/>
      <c r="H315" s="116">
        <f>IF(OR($B315="",$D315="",$F315=""),0,$F315*MAX(0,INT((MIN(IF($E315="",TODAY(),$E315),TODAY())-$D315)/7)+1))</f>
        <v/>
      </c>
      <c r="I315" s="116">
        <f>IF(OR($B315="",$D315="",$F315=""),0,$F315*MAX(0,INT((MIN(IF($E315="",TODAY()-8,$E315),TODAY()-8)-$D315)/7)+1))</f>
        <v/>
      </c>
      <c r="J315" s="116">
        <f>IF(OR($B315="",$D315="",$F315=""),0,$F315*MAX(0,INT((MIN(IF($E315="",TODAY()-15,$E315),TODAY()-15)-$D315)/7)+1))</f>
        <v/>
      </c>
      <c r="K315" s="116">
        <f>IF(OR($B315="",$D315="",$F315=""),0,$F315*MAX(0,INT((MIN(IF($E315="",TODAY()-29,$E315),TODAY()-29)-$D315)/7)+1))</f>
        <v/>
      </c>
      <c r="L315" s="117">
        <f>IF($F315&gt;0,$H315/$F315,0)</f>
        <v/>
      </c>
      <c r="M315" s="112">
        <f>IF($B315="","",IF($C315="TANIMSIZ MÜŞTERİ","HATA",IF($G315="Pasif","PASİF",IF(AND(WEEKDAY($D315,2)=6,OR($E315="",WEEKDAY($E315,2)=6),$F315&gt;0),"UYGUN","HATA"))))</f>
        <v/>
      </c>
      <c r="N315" s="108" t="n"/>
      <c r="O315" s="6" t="n"/>
      <c r="P315" s="6" t="n"/>
    </row>
    <row r="316">
      <c r="A316" s="6" t="n"/>
      <c r="B316" s="107" t="n"/>
      <c r="C316" s="113">
        <f>IF($B316="","",IFERROR(INDEX(MUSTERILER!$C$7:$C$106,MATCH($B316,MUSTERILER!$B$7:$B$106,0)),"TANIMSIZ MÜŞTERİ"))</f>
        <v/>
      </c>
      <c r="D316" s="114" t="n"/>
      <c r="E316" s="114" t="n"/>
      <c r="F316" s="115" t="n"/>
      <c r="G316" s="107" t="n"/>
      <c r="H316" s="116">
        <f>IF(OR($B316="",$D316="",$F316=""),0,$F316*MAX(0,INT((MIN(IF($E316="",TODAY(),$E316),TODAY())-$D316)/7)+1))</f>
        <v/>
      </c>
      <c r="I316" s="116">
        <f>IF(OR($B316="",$D316="",$F316=""),0,$F316*MAX(0,INT((MIN(IF($E316="",TODAY()-8,$E316),TODAY()-8)-$D316)/7)+1))</f>
        <v/>
      </c>
      <c r="J316" s="116">
        <f>IF(OR($B316="",$D316="",$F316=""),0,$F316*MAX(0,INT((MIN(IF($E316="",TODAY()-15,$E316),TODAY()-15)-$D316)/7)+1))</f>
        <v/>
      </c>
      <c r="K316" s="116">
        <f>IF(OR($B316="",$D316="",$F316=""),0,$F316*MAX(0,INT((MIN(IF($E316="",TODAY()-29,$E316),TODAY()-29)-$D316)/7)+1))</f>
        <v/>
      </c>
      <c r="L316" s="117">
        <f>IF($F316&gt;0,$H316/$F316,0)</f>
        <v/>
      </c>
      <c r="M316" s="112">
        <f>IF($B316="","",IF($C316="TANIMSIZ MÜŞTERİ","HATA",IF($G316="Pasif","PASİF",IF(AND(WEEKDAY($D316,2)=6,OR($E316="",WEEKDAY($E316,2)=6),$F316&gt;0),"UYGUN","HATA"))))</f>
        <v/>
      </c>
      <c r="N316" s="108" t="n"/>
      <c r="O316" s="6" t="n"/>
      <c r="P316" s="6" t="n"/>
    </row>
    <row r="317">
      <c r="A317" s="6" t="n"/>
      <c r="B317" s="107" t="n"/>
      <c r="C317" s="113">
        <f>IF($B317="","",IFERROR(INDEX(MUSTERILER!$C$7:$C$106,MATCH($B317,MUSTERILER!$B$7:$B$106,0)),"TANIMSIZ MÜŞTERİ"))</f>
        <v/>
      </c>
      <c r="D317" s="114" t="n"/>
      <c r="E317" s="114" t="n"/>
      <c r="F317" s="115" t="n"/>
      <c r="G317" s="107" t="n"/>
      <c r="H317" s="116">
        <f>IF(OR($B317="",$D317="",$F317=""),0,$F317*MAX(0,INT((MIN(IF($E317="",TODAY(),$E317),TODAY())-$D317)/7)+1))</f>
        <v/>
      </c>
      <c r="I317" s="116">
        <f>IF(OR($B317="",$D317="",$F317=""),0,$F317*MAX(0,INT((MIN(IF($E317="",TODAY()-8,$E317),TODAY()-8)-$D317)/7)+1))</f>
        <v/>
      </c>
      <c r="J317" s="116">
        <f>IF(OR($B317="",$D317="",$F317=""),0,$F317*MAX(0,INT((MIN(IF($E317="",TODAY()-15,$E317),TODAY()-15)-$D317)/7)+1))</f>
        <v/>
      </c>
      <c r="K317" s="116">
        <f>IF(OR($B317="",$D317="",$F317=""),0,$F317*MAX(0,INT((MIN(IF($E317="",TODAY()-29,$E317),TODAY()-29)-$D317)/7)+1))</f>
        <v/>
      </c>
      <c r="L317" s="117">
        <f>IF($F317&gt;0,$H317/$F317,0)</f>
        <v/>
      </c>
      <c r="M317" s="112">
        <f>IF($B317="","",IF($C317="TANIMSIZ MÜŞTERİ","HATA",IF($G317="Pasif","PASİF",IF(AND(WEEKDAY($D317,2)=6,OR($E317="",WEEKDAY($E317,2)=6),$F317&gt;0),"UYGUN","HATA"))))</f>
        <v/>
      </c>
      <c r="N317" s="108" t="n"/>
      <c r="O317" s="6" t="n"/>
      <c r="P317" s="6" t="n"/>
    </row>
    <row r="318">
      <c r="A318" s="6" t="n"/>
      <c r="B318" s="107" t="n"/>
      <c r="C318" s="113">
        <f>IF($B318="","",IFERROR(INDEX(MUSTERILER!$C$7:$C$106,MATCH($B318,MUSTERILER!$B$7:$B$106,0)),"TANIMSIZ MÜŞTERİ"))</f>
        <v/>
      </c>
      <c r="D318" s="114" t="n"/>
      <c r="E318" s="114" t="n"/>
      <c r="F318" s="115" t="n"/>
      <c r="G318" s="107" t="n"/>
      <c r="H318" s="116">
        <f>IF(OR($B318="",$D318="",$F318=""),0,$F318*MAX(0,INT((MIN(IF($E318="",TODAY(),$E318),TODAY())-$D318)/7)+1))</f>
        <v/>
      </c>
      <c r="I318" s="116">
        <f>IF(OR($B318="",$D318="",$F318=""),0,$F318*MAX(0,INT((MIN(IF($E318="",TODAY()-8,$E318),TODAY()-8)-$D318)/7)+1))</f>
        <v/>
      </c>
      <c r="J318" s="116">
        <f>IF(OR($B318="",$D318="",$F318=""),0,$F318*MAX(0,INT((MIN(IF($E318="",TODAY()-15,$E318),TODAY()-15)-$D318)/7)+1))</f>
        <v/>
      </c>
      <c r="K318" s="116">
        <f>IF(OR($B318="",$D318="",$F318=""),0,$F318*MAX(0,INT((MIN(IF($E318="",TODAY()-29,$E318),TODAY()-29)-$D318)/7)+1))</f>
        <v/>
      </c>
      <c r="L318" s="117">
        <f>IF($F318&gt;0,$H318/$F318,0)</f>
        <v/>
      </c>
      <c r="M318" s="112">
        <f>IF($B318="","",IF($C318="TANIMSIZ MÜŞTERİ","HATA",IF($G318="Pasif","PASİF",IF(AND(WEEKDAY($D318,2)=6,OR($E318="",WEEKDAY($E318,2)=6),$F318&gt;0),"UYGUN","HATA"))))</f>
        <v/>
      </c>
      <c r="N318" s="108" t="n"/>
      <c r="O318" s="6" t="n"/>
      <c r="P318" s="6" t="n"/>
    </row>
    <row r="319">
      <c r="A319" s="6" t="n"/>
      <c r="B319" s="107" t="n"/>
      <c r="C319" s="113">
        <f>IF($B319="","",IFERROR(INDEX(MUSTERILER!$C$7:$C$106,MATCH($B319,MUSTERILER!$B$7:$B$106,0)),"TANIMSIZ MÜŞTERİ"))</f>
        <v/>
      </c>
      <c r="D319" s="114" t="n"/>
      <c r="E319" s="114" t="n"/>
      <c r="F319" s="115" t="n"/>
      <c r="G319" s="107" t="n"/>
      <c r="H319" s="116">
        <f>IF(OR($B319="",$D319="",$F319=""),0,$F319*MAX(0,INT((MIN(IF($E319="",TODAY(),$E319),TODAY())-$D319)/7)+1))</f>
        <v/>
      </c>
      <c r="I319" s="116">
        <f>IF(OR($B319="",$D319="",$F319=""),0,$F319*MAX(0,INT((MIN(IF($E319="",TODAY()-8,$E319),TODAY()-8)-$D319)/7)+1))</f>
        <v/>
      </c>
      <c r="J319" s="116">
        <f>IF(OR($B319="",$D319="",$F319=""),0,$F319*MAX(0,INT((MIN(IF($E319="",TODAY()-15,$E319),TODAY()-15)-$D319)/7)+1))</f>
        <v/>
      </c>
      <c r="K319" s="116">
        <f>IF(OR($B319="",$D319="",$F319=""),0,$F319*MAX(0,INT((MIN(IF($E319="",TODAY()-29,$E319),TODAY()-29)-$D319)/7)+1))</f>
        <v/>
      </c>
      <c r="L319" s="117">
        <f>IF($F319&gt;0,$H319/$F319,0)</f>
        <v/>
      </c>
      <c r="M319" s="112">
        <f>IF($B319="","",IF($C319="TANIMSIZ MÜŞTERİ","HATA",IF($G319="Pasif","PASİF",IF(AND(WEEKDAY($D319,2)=6,OR($E319="",WEEKDAY($E319,2)=6),$F319&gt;0),"UYGUN","HATA"))))</f>
        <v/>
      </c>
      <c r="N319" s="108" t="n"/>
      <c r="O319" s="6" t="n"/>
      <c r="P319" s="6" t="n"/>
    </row>
    <row r="320">
      <c r="A320" s="6" t="n"/>
      <c r="B320" s="107" t="n"/>
      <c r="C320" s="113">
        <f>IF($B320="","",IFERROR(INDEX(MUSTERILER!$C$7:$C$106,MATCH($B320,MUSTERILER!$B$7:$B$106,0)),"TANIMSIZ MÜŞTERİ"))</f>
        <v/>
      </c>
      <c r="D320" s="114" t="n"/>
      <c r="E320" s="114" t="n"/>
      <c r="F320" s="115" t="n"/>
      <c r="G320" s="107" t="n"/>
      <c r="H320" s="116">
        <f>IF(OR($B320="",$D320="",$F320=""),0,$F320*MAX(0,INT((MIN(IF($E320="",TODAY(),$E320),TODAY())-$D320)/7)+1))</f>
        <v/>
      </c>
      <c r="I320" s="116">
        <f>IF(OR($B320="",$D320="",$F320=""),0,$F320*MAX(0,INT((MIN(IF($E320="",TODAY()-8,$E320),TODAY()-8)-$D320)/7)+1))</f>
        <v/>
      </c>
      <c r="J320" s="116">
        <f>IF(OR($B320="",$D320="",$F320=""),0,$F320*MAX(0,INT((MIN(IF($E320="",TODAY()-15,$E320),TODAY()-15)-$D320)/7)+1))</f>
        <v/>
      </c>
      <c r="K320" s="116">
        <f>IF(OR($B320="",$D320="",$F320=""),0,$F320*MAX(0,INT((MIN(IF($E320="",TODAY()-29,$E320),TODAY()-29)-$D320)/7)+1))</f>
        <v/>
      </c>
      <c r="L320" s="117">
        <f>IF($F320&gt;0,$H320/$F320,0)</f>
        <v/>
      </c>
      <c r="M320" s="112">
        <f>IF($B320="","",IF($C320="TANIMSIZ MÜŞTERİ","HATA",IF($G320="Pasif","PASİF",IF(AND(WEEKDAY($D320,2)=6,OR($E320="",WEEKDAY($E320,2)=6),$F320&gt;0),"UYGUN","HATA"))))</f>
        <v/>
      </c>
      <c r="N320" s="108" t="n"/>
      <c r="O320" s="6" t="n"/>
      <c r="P320" s="6" t="n"/>
    </row>
    <row r="321">
      <c r="A321" s="6" t="n"/>
      <c r="B321" s="107" t="n"/>
      <c r="C321" s="113">
        <f>IF($B321="","",IFERROR(INDEX(MUSTERILER!$C$7:$C$106,MATCH($B321,MUSTERILER!$B$7:$B$106,0)),"TANIMSIZ MÜŞTERİ"))</f>
        <v/>
      </c>
      <c r="D321" s="114" t="n"/>
      <c r="E321" s="114" t="n"/>
      <c r="F321" s="115" t="n"/>
      <c r="G321" s="107" t="n"/>
      <c r="H321" s="116">
        <f>IF(OR($B321="",$D321="",$F321=""),0,$F321*MAX(0,INT((MIN(IF($E321="",TODAY(),$E321),TODAY())-$D321)/7)+1))</f>
        <v/>
      </c>
      <c r="I321" s="116">
        <f>IF(OR($B321="",$D321="",$F321=""),0,$F321*MAX(0,INT((MIN(IF($E321="",TODAY()-8,$E321),TODAY()-8)-$D321)/7)+1))</f>
        <v/>
      </c>
      <c r="J321" s="116">
        <f>IF(OR($B321="",$D321="",$F321=""),0,$F321*MAX(0,INT((MIN(IF($E321="",TODAY()-15,$E321),TODAY()-15)-$D321)/7)+1))</f>
        <v/>
      </c>
      <c r="K321" s="116">
        <f>IF(OR($B321="",$D321="",$F321=""),0,$F321*MAX(0,INT((MIN(IF($E321="",TODAY()-29,$E321),TODAY()-29)-$D321)/7)+1))</f>
        <v/>
      </c>
      <c r="L321" s="117">
        <f>IF($F321&gt;0,$H321/$F321,0)</f>
        <v/>
      </c>
      <c r="M321" s="112">
        <f>IF($B321="","",IF($C321="TANIMSIZ MÜŞTERİ","HATA",IF($G321="Pasif","PASİF",IF(AND(WEEKDAY($D321,2)=6,OR($E321="",WEEKDAY($E321,2)=6),$F321&gt;0),"UYGUN","HATA"))))</f>
        <v/>
      </c>
      <c r="N321" s="108" t="n"/>
      <c r="O321" s="6" t="n"/>
      <c r="P321" s="6" t="n"/>
    </row>
    <row r="322">
      <c r="A322" s="6" t="n"/>
      <c r="B322" s="107" t="n"/>
      <c r="C322" s="113">
        <f>IF($B322="","",IFERROR(INDEX(MUSTERILER!$C$7:$C$106,MATCH($B322,MUSTERILER!$B$7:$B$106,0)),"TANIMSIZ MÜŞTERİ"))</f>
        <v/>
      </c>
      <c r="D322" s="114" t="n"/>
      <c r="E322" s="114" t="n"/>
      <c r="F322" s="115" t="n"/>
      <c r="G322" s="107" t="n"/>
      <c r="H322" s="116">
        <f>IF(OR($B322="",$D322="",$F322=""),0,$F322*MAX(0,INT((MIN(IF($E322="",TODAY(),$E322),TODAY())-$D322)/7)+1))</f>
        <v/>
      </c>
      <c r="I322" s="116">
        <f>IF(OR($B322="",$D322="",$F322=""),0,$F322*MAX(0,INT((MIN(IF($E322="",TODAY()-8,$E322),TODAY()-8)-$D322)/7)+1))</f>
        <v/>
      </c>
      <c r="J322" s="116">
        <f>IF(OR($B322="",$D322="",$F322=""),0,$F322*MAX(0,INT((MIN(IF($E322="",TODAY()-15,$E322),TODAY()-15)-$D322)/7)+1))</f>
        <v/>
      </c>
      <c r="K322" s="116">
        <f>IF(OR($B322="",$D322="",$F322=""),0,$F322*MAX(0,INT((MIN(IF($E322="",TODAY()-29,$E322),TODAY()-29)-$D322)/7)+1))</f>
        <v/>
      </c>
      <c r="L322" s="117">
        <f>IF($F322&gt;0,$H322/$F322,0)</f>
        <v/>
      </c>
      <c r="M322" s="112">
        <f>IF($B322="","",IF($C322="TANIMSIZ MÜŞTERİ","HATA",IF($G322="Pasif","PASİF",IF(AND(WEEKDAY($D322,2)=6,OR($E322="",WEEKDAY($E322,2)=6),$F322&gt;0),"UYGUN","HATA"))))</f>
        <v/>
      </c>
      <c r="N322" s="108" t="n"/>
      <c r="O322" s="6" t="n"/>
      <c r="P322" s="6" t="n"/>
    </row>
    <row r="323">
      <c r="A323" s="6" t="n"/>
      <c r="B323" s="107" t="n"/>
      <c r="C323" s="113">
        <f>IF($B323="","",IFERROR(INDEX(MUSTERILER!$C$7:$C$106,MATCH($B323,MUSTERILER!$B$7:$B$106,0)),"TANIMSIZ MÜŞTERİ"))</f>
        <v/>
      </c>
      <c r="D323" s="114" t="n"/>
      <c r="E323" s="114" t="n"/>
      <c r="F323" s="115" t="n"/>
      <c r="G323" s="107" t="n"/>
      <c r="H323" s="116">
        <f>IF(OR($B323="",$D323="",$F323=""),0,$F323*MAX(0,INT((MIN(IF($E323="",TODAY(),$E323),TODAY())-$D323)/7)+1))</f>
        <v/>
      </c>
      <c r="I323" s="116">
        <f>IF(OR($B323="",$D323="",$F323=""),0,$F323*MAX(0,INT((MIN(IF($E323="",TODAY()-8,$E323),TODAY()-8)-$D323)/7)+1))</f>
        <v/>
      </c>
      <c r="J323" s="116">
        <f>IF(OR($B323="",$D323="",$F323=""),0,$F323*MAX(0,INT((MIN(IF($E323="",TODAY()-15,$E323),TODAY()-15)-$D323)/7)+1))</f>
        <v/>
      </c>
      <c r="K323" s="116">
        <f>IF(OR($B323="",$D323="",$F323=""),0,$F323*MAX(0,INT((MIN(IF($E323="",TODAY()-29,$E323),TODAY()-29)-$D323)/7)+1))</f>
        <v/>
      </c>
      <c r="L323" s="117">
        <f>IF($F323&gt;0,$H323/$F323,0)</f>
        <v/>
      </c>
      <c r="M323" s="112">
        <f>IF($B323="","",IF($C323="TANIMSIZ MÜŞTERİ","HATA",IF($G323="Pasif","PASİF",IF(AND(WEEKDAY($D323,2)=6,OR($E323="",WEEKDAY($E323,2)=6),$F323&gt;0),"UYGUN","HATA"))))</f>
        <v/>
      </c>
      <c r="N323" s="108" t="n"/>
      <c r="O323" s="6" t="n"/>
      <c r="P323" s="6" t="n"/>
    </row>
    <row r="324">
      <c r="A324" s="6" t="n"/>
      <c r="B324" s="107" t="n"/>
      <c r="C324" s="113">
        <f>IF($B324="","",IFERROR(INDEX(MUSTERILER!$C$7:$C$106,MATCH($B324,MUSTERILER!$B$7:$B$106,0)),"TANIMSIZ MÜŞTERİ"))</f>
        <v/>
      </c>
      <c r="D324" s="114" t="n"/>
      <c r="E324" s="114" t="n"/>
      <c r="F324" s="115" t="n"/>
      <c r="G324" s="107" t="n"/>
      <c r="H324" s="116">
        <f>IF(OR($B324="",$D324="",$F324=""),0,$F324*MAX(0,INT((MIN(IF($E324="",TODAY(),$E324),TODAY())-$D324)/7)+1))</f>
        <v/>
      </c>
      <c r="I324" s="116">
        <f>IF(OR($B324="",$D324="",$F324=""),0,$F324*MAX(0,INT((MIN(IF($E324="",TODAY()-8,$E324),TODAY()-8)-$D324)/7)+1))</f>
        <v/>
      </c>
      <c r="J324" s="116">
        <f>IF(OR($B324="",$D324="",$F324=""),0,$F324*MAX(0,INT((MIN(IF($E324="",TODAY()-15,$E324),TODAY()-15)-$D324)/7)+1))</f>
        <v/>
      </c>
      <c r="K324" s="116">
        <f>IF(OR($B324="",$D324="",$F324=""),0,$F324*MAX(0,INT((MIN(IF($E324="",TODAY()-29,$E324),TODAY()-29)-$D324)/7)+1))</f>
        <v/>
      </c>
      <c r="L324" s="117">
        <f>IF($F324&gt;0,$H324/$F324,0)</f>
        <v/>
      </c>
      <c r="M324" s="112">
        <f>IF($B324="","",IF($C324="TANIMSIZ MÜŞTERİ","HATA",IF($G324="Pasif","PASİF",IF(AND(WEEKDAY($D324,2)=6,OR($E324="",WEEKDAY($E324,2)=6),$F324&gt;0),"UYGUN","HATA"))))</f>
        <v/>
      </c>
      <c r="N324" s="108" t="n"/>
      <c r="O324" s="6" t="n"/>
      <c r="P324" s="6" t="n"/>
    </row>
    <row r="325">
      <c r="A325" s="6" t="n"/>
      <c r="B325" s="107" t="n"/>
      <c r="C325" s="113">
        <f>IF($B325="","",IFERROR(INDEX(MUSTERILER!$C$7:$C$106,MATCH($B325,MUSTERILER!$B$7:$B$106,0)),"TANIMSIZ MÜŞTERİ"))</f>
        <v/>
      </c>
      <c r="D325" s="114" t="n"/>
      <c r="E325" s="114" t="n"/>
      <c r="F325" s="115" t="n"/>
      <c r="G325" s="107" t="n"/>
      <c r="H325" s="116">
        <f>IF(OR($B325="",$D325="",$F325=""),0,$F325*MAX(0,INT((MIN(IF($E325="",TODAY(),$E325),TODAY())-$D325)/7)+1))</f>
        <v/>
      </c>
      <c r="I325" s="116">
        <f>IF(OR($B325="",$D325="",$F325=""),0,$F325*MAX(0,INT((MIN(IF($E325="",TODAY()-8,$E325),TODAY()-8)-$D325)/7)+1))</f>
        <v/>
      </c>
      <c r="J325" s="116">
        <f>IF(OR($B325="",$D325="",$F325=""),0,$F325*MAX(0,INT((MIN(IF($E325="",TODAY()-15,$E325),TODAY()-15)-$D325)/7)+1))</f>
        <v/>
      </c>
      <c r="K325" s="116">
        <f>IF(OR($B325="",$D325="",$F325=""),0,$F325*MAX(0,INT((MIN(IF($E325="",TODAY()-29,$E325),TODAY()-29)-$D325)/7)+1))</f>
        <v/>
      </c>
      <c r="L325" s="117">
        <f>IF($F325&gt;0,$H325/$F325,0)</f>
        <v/>
      </c>
      <c r="M325" s="112">
        <f>IF($B325="","",IF($C325="TANIMSIZ MÜŞTERİ","HATA",IF($G325="Pasif","PASİF",IF(AND(WEEKDAY($D325,2)=6,OR($E325="",WEEKDAY($E325,2)=6),$F325&gt;0),"UYGUN","HATA"))))</f>
        <v/>
      </c>
      <c r="N325" s="108" t="n"/>
      <c r="O325" s="6" t="n"/>
      <c r="P325" s="6" t="n"/>
    </row>
    <row r="326">
      <c r="A326" s="6" t="n"/>
      <c r="B326" s="107" t="n"/>
      <c r="C326" s="113">
        <f>IF($B326="","",IFERROR(INDEX(MUSTERILER!$C$7:$C$106,MATCH($B326,MUSTERILER!$B$7:$B$106,0)),"TANIMSIZ MÜŞTERİ"))</f>
        <v/>
      </c>
      <c r="D326" s="114" t="n"/>
      <c r="E326" s="114" t="n"/>
      <c r="F326" s="115" t="n"/>
      <c r="G326" s="107" t="n"/>
      <c r="H326" s="116">
        <f>IF(OR($B326="",$D326="",$F326=""),0,$F326*MAX(0,INT((MIN(IF($E326="",TODAY(),$E326),TODAY())-$D326)/7)+1))</f>
        <v/>
      </c>
      <c r="I326" s="116">
        <f>IF(OR($B326="",$D326="",$F326=""),0,$F326*MAX(0,INT((MIN(IF($E326="",TODAY()-8,$E326),TODAY()-8)-$D326)/7)+1))</f>
        <v/>
      </c>
      <c r="J326" s="116">
        <f>IF(OR($B326="",$D326="",$F326=""),0,$F326*MAX(0,INT((MIN(IF($E326="",TODAY()-15,$E326),TODAY()-15)-$D326)/7)+1))</f>
        <v/>
      </c>
      <c r="K326" s="116">
        <f>IF(OR($B326="",$D326="",$F326=""),0,$F326*MAX(0,INT((MIN(IF($E326="",TODAY()-29,$E326),TODAY()-29)-$D326)/7)+1))</f>
        <v/>
      </c>
      <c r="L326" s="117">
        <f>IF($F326&gt;0,$H326/$F326,0)</f>
        <v/>
      </c>
      <c r="M326" s="112">
        <f>IF($B326="","",IF($C326="TANIMSIZ MÜŞTERİ","HATA",IF($G326="Pasif","PASİF",IF(AND(WEEKDAY($D326,2)=6,OR($E326="",WEEKDAY($E326,2)=6),$F326&gt;0),"UYGUN","HATA"))))</f>
        <v/>
      </c>
      <c r="N326" s="108" t="n"/>
      <c r="O326" s="6" t="n"/>
      <c r="P326" s="6" t="n"/>
    </row>
    <row r="327">
      <c r="A327" s="6" t="n"/>
      <c r="B327" s="107" t="n"/>
      <c r="C327" s="113">
        <f>IF($B327="","",IFERROR(INDEX(MUSTERILER!$C$7:$C$106,MATCH($B327,MUSTERILER!$B$7:$B$106,0)),"TANIMSIZ MÜŞTERİ"))</f>
        <v/>
      </c>
      <c r="D327" s="114" t="n"/>
      <c r="E327" s="114" t="n"/>
      <c r="F327" s="115" t="n"/>
      <c r="G327" s="107" t="n"/>
      <c r="H327" s="116">
        <f>IF(OR($B327="",$D327="",$F327=""),0,$F327*MAX(0,INT((MIN(IF($E327="",TODAY(),$E327),TODAY())-$D327)/7)+1))</f>
        <v/>
      </c>
      <c r="I327" s="116">
        <f>IF(OR($B327="",$D327="",$F327=""),0,$F327*MAX(0,INT((MIN(IF($E327="",TODAY()-8,$E327),TODAY()-8)-$D327)/7)+1))</f>
        <v/>
      </c>
      <c r="J327" s="116">
        <f>IF(OR($B327="",$D327="",$F327=""),0,$F327*MAX(0,INT((MIN(IF($E327="",TODAY()-15,$E327),TODAY()-15)-$D327)/7)+1))</f>
        <v/>
      </c>
      <c r="K327" s="116">
        <f>IF(OR($B327="",$D327="",$F327=""),0,$F327*MAX(0,INT((MIN(IF($E327="",TODAY()-29,$E327),TODAY()-29)-$D327)/7)+1))</f>
        <v/>
      </c>
      <c r="L327" s="117">
        <f>IF($F327&gt;0,$H327/$F327,0)</f>
        <v/>
      </c>
      <c r="M327" s="112">
        <f>IF($B327="","",IF($C327="TANIMSIZ MÜŞTERİ","HATA",IF($G327="Pasif","PASİF",IF(AND(WEEKDAY($D327,2)=6,OR($E327="",WEEKDAY($E327,2)=6),$F327&gt;0),"UYGUN","HATA"))))</f>
        <v/>
      </c>
      <c r="N327" s="108" t="n"/>
      <c r="O327" s="6" t="n"/>
      <c r="P327" s="6" t="n"/>
    </row>
    <row r="328">
      <c r="A328" s="6" t="n"/>
      <c r="B328" s="107" t="n"/>
      <c r="C328" s="113">
        <f>IF($B328="","",IFERROR(INDEX(MUSTERILER!$C$7:$C$106,MATCH($B328,MUSTERILER!$B$7:$B$106,0)),"TANIMSIZ MÜŞTERİ"))</f>
        <v/>
      </c>
      <c r="D328" s="114" t="n"/>
      <c r="E328" s="114" t="n"/>
      <c r="F328" s="115" t="n"/>
      <c r="G328" s="107" t="n"/>
      <c r="H328" s="116">
        <f>IF(OR($B328="",$D328="",$F328=""),0,$F328*MAX(0,INT((MIN(IF($E328="",TODAY(),$E328),TODAY())-$D328)/7)+1))</f>
        <v/>
      </c>
      <c r="I328" s="116">
        <f>IF(OR($B328="",$D328="",$F328=""),0,$F328*MAX(0,INT((MIN(IF($E328="",TODAY()-8,$E328),TODAY()-8)-$D328)/7)+1))</f>
        <v/>
      </c>
      <c r="J328" s="116">
        <f>IF(OR($B328="",$D328="",$F328=""),0,$F328*MAX(0,INT((MIN(IF($E328="",TODAY()-15,$E328),TODAY()-15)-$D328)/7)+1))</f>
        <v/>
      </c>
      <c r="K328" s="116">
        <f>IF(OR($B328="",$D328="",$F328=""),0,$F328*MAX(0,INT((MIN(IF($E328="",TODAY()-29,$E328),TODAY()-29)-$D328)/7)+1))</f>
        <v/>
      </c>
      <c r="L328" s="117">
        <f>IF($F328&gt;0,$H328/$F328,0)</f>
        <v/>
      </c>
      <c r="M328" s="112">
        <f>IF($B328="","",IF($C328="TANIMSIZ MÜŞTERİ","HATA",IF($G328="Pasif","PASİF",IF(AND(WEEKDAY($D328,2)=6,OR($E328="",WEEKDAY($E328,2)=6),$F328&gt;0),"UYGUN","HATA"))))</f>
        <v/>
      </c>
      <c r="N328" s="108" t="n"/>
      <c r="O328" s="6" t="n"/>
      <c r="P328" s="6" t="n"/>
    </row>
    <row r="329">
      <c r="A329" s="6" t="n"/>
      <c r="B329" s="107" t="n"/>
      <c r="C329" s="113">
        <f>IF($B329="","",IFERROR(INDEX(MUSTERILER!$C$7:$C$106,MATCH($B329,MUSTERILER!$B$7:$B$106,0)),"TANIMSIZ MÜŞTERİ"))</f>
        <v/>
      </c>
      <c r="D329" s="114" t="n"/>
      <c r="E329" s="114" t="n"/>
      <c r="F329" s="115" t="n"/>
      <c r="G329" s="107" t="n"/>
      <c r="H329" s="116">
        <f>IF(OR($B329="",$D329="",$F329=""),0,$F329*MAX(0,INT((MIN(IF($E329="",TODAY(),$E329),TODAY())-$D329)/7)+1))</f>
        <v/>
      </c>
      <c r="I329" s="116">
        <f>IF(OR($B329="",$D329="",$F329=""),0,$F329*MAX(0,INT((MIN(IF($E329="",TODAY()-8,$E329),TODAY()-8)-$D329)/7)+1))</f>
        <v/>
      </c>
      <c r="J329" s="116">
        <f>IF(OR($B329="",$D329="",$F329=""),0,$F329*MAX(0,INT((MIN(IF($E329="",TODAY()-15,$E329),TODAY()-15)-$D329)/7)+1))</f>
        <v/>
      </c>
      <c r="K329" s="116">
        <f>IF(OR($B329="",$D329="",$F329=""),0,$F329*MAX(0,INT((MIN(IF($E329="",TODAY()-29,$E329),TODAY()-29)-$D329)/7)+1))</f>
        <v/>
      </c>
      <c r="L329" s="117">
        <f>IF($F329&gt;0,$H329/$F329,0)</f>
        <v/>
      </c>
      <c r="M329" s="112">
        <f>IF($B329="","",IF($C329="TANIMSIZ MÜŞTERİ","HATA",IF($G329="Pasif","PASİF",IF(AND(WEEKDAY($D329,2)=6,OR($E329="",WEEKDAY($E329,2)=6),$F329&gt;0),"UYGUN","HATA"))))</f>
        <v/>
      </c>
      <c r="N329" s="108" t="n"/>
      <c r="O329" s="6" t="n"/>
      <c r="P329" s="6" t="n"/>
    </row>
    <row r="330">
      <c r="A330" s="6" t="n"/>
      <c r="B330" s="107" t="n"/>
      <c r="C330" s="113">
        <f>IF($B330="","",IFERROR(INDEX(MUSTERILER!$C$7:$C$106,MATCH($B330,MUSTERILER!$B$7:$B$106,0)),"TANIMSIZ MÜŞTERİ"))</f>
        <v/>
      </c>
      <c r="D330" s="114" t="n"/>
      <c r="E330" s="114" t="n"/>
      <c r="F330" s="115" t="n"/>
      <c r="G330" s="107" t="n"/>
      <c r="H330" s="116">
        <f>IF(OR($B330="",$D330="",$F330=""),0,$F330*MAX(0,INT((MIN(IF($E330="",TODAY(),$E330),TODAY())-$D330)/7)+1))</f>
        <v/>
      </c>
      <c r="I330" s="116">
        <f>IF(OR($B330="",$D330="",$F330=""),0,$F330*MAX(0,INT((MIN(IF($E330="",TODAY()-8,$E330),TODAY()-8)-$D330)/7)+1))</f>
        <v/>
      </c>
      <c r="J330" s="116">
        <f>IF(OR($B330="",$D330="",$F330=""),0,$F330*MAX(0,INT((MIN(IF($E330="",TODAY()-15,$E330),TODAY()-15)-$D330)/7)+1))</f>
        <v/>
      </c>
      <c r="K330" s="116">
        <f>IF(OR($B330="",$D330="",$F330=""),0,$F330*MAX(0,INT((MIN(IF($E330="",TODAY()-29,$E330),TODAY()-29)-$D330)/7)+1))</f>
        <v/>
      </c>
      <c r="L330" s="117">
        <f>IF($F330&gt;0,$H330/$F330,0)</f>
        <v/>
      </c>
      <c r="M330" s="112">
        <f>IF($B330="","",IF($C330="TANIMSIZ MÜŞTERİ","HATA",IF($G330="Pasif","PASİF",IF(AND(WEEKDAY($D330,2)=6,OR($E330="",WEEKDAY($E330,2)=6),$F330&gt;0),"UYGUN","HATA"))))</f>
        <v/>
      </c>
      <c r="N330" s="108" t="n"/>
      <c r="O330" s="6" t="n"/>
      <c r="P330" s="6" t="n"/>
    </row>
    <row r="331">
      <c r="A331" s="6" t="n"/>
      <c r="B331" s="107" t="n"/>
      <c r="C331" s="113">
        <f>IF($B331="","",IFERROR(INDEX(MUSTERILER!$C$7:$C$106,MATCH($B331,MUSTERILER!$B$7:$B$106,0)),"TANIMSIZ MÜŞTERİ"))</f>
        <v/>
      </c>
      <c r="D331" s="114" t="n"/>
      <c r="E331" s="114" t="n"/>
      <c r="F331" s="115" t="n"/>
      <c r="G331" s="107" t="n"/>
      <c r="H331" s="116">
        <f>IF(OR($B331="",$D331="",$F331=""),0,$F331*MAX(0,INT((MIN(IF($E331="",TODAY(),$E331),TODAY())-$D331)/7)+1))</f>
        <v/>
      </c>
      <c r="I331" s="116">
        <f>IF(OR($B331="",$D331="",$F331=""),0,$F331*MAX(0,INT((MIN(IF($E331="",TODAY()-8,$E331),TODAY()-8)-$D331)/7)+1))</f>
        <v/>
      </c>
      <c r="J331" s="116">
        <f>IF(OR($B331="",$D331="",$F331=""),0,$F331*MAX(0,INT((MIN(IF($E331="",TODAY()-15,$E331),TODAY()-15)-$D331)/7)+1))</f>
        <v/>
      </c>
      <c r="K331" s="116">
        <f>IF(OR($B331="",$D331="",$F331=""),0,$F331*MAX(0,INT((MIN(IF($E331="",TODAY()-29,$E331),TODAY()-29)-$D331)/7)+1))</f>
        <v/>
      </c>
      <c r="L331" s="117">
        <f>IF($F331&gt;0,$H331/$F331,0)</f>
        <v/>
      </c>
      <c r="M331" s="112">
        <f>IF($B331="","",IF($C331="TANIMSIZ MÜŞTERİ","HATA",IF($G331="Pasif","PASİF",IF(AND(WEEKDAY($D331,2)=6,OR($E331="",WEEKDAY($E331,2)=6),$F331&gt;0),"UYGUN","HATA"))))</f>
        <v/>
      </c>
      <c r="N331" s="108" t="n"/>
      <c r="O331" s="6" t="n"/>
      <c r="P331" s="6" t="n"/>
    </row>
    <row r="332">
      <c r="A332" s="6" t="n"/>
      <c r="B332" s="107" t="n"/>
      <c r="C332" s="113">
        <f>IF($B332="","",IFERROR(INDEX(MUSTERILER!$C$7:$C$106,MATCH($B332,MUSTERILER!$B$7:$B$106,0)),"TANIMSIZ MÜŞTERİ"))</f>
        <v/>
      </c>
      <c r="D332" s="114" t="n"/>
      <c r="E332" s="114" t="n"/>
      <c r="F332" s="115" t="n"/>
      <c r="G332" s="107" t="n"/>
      <c r="H332" s="116">
        <f>IF(OR($B332="",$D332="",$F332=""),0,$F332*MAX(0,INT((MIN(IF($E332="",TODAY(),$E332),TODAY())-$D332)/7)+1))</f>
        <v/>
      </c>
      <c r="I332" s="116">
        <f>IF(OR($B332="",$D332="",$F332=""),0,$F332*MAX(0,INT((MIN(IF($E332="",TODAY()-8,$E332),TODAY()-8)-$D332)/7)+1))</f>
        <v/>
      </c>
      <c r="J332" s="116">
        <f>IF(OR($B332="",$D332="",$F332=""),0,$F332*MAX(0,INT((MIN(IF($E332="",TODAY()-15,$E332),TODAY()-15)-$D332)/7)+1))</f>
        <v/>
      </c>
      <c r="K332" s="116">
        <f>IF(OR($B332="",$D332="",$F332=""),0,$F332*MAX(0,INT((MIN(IF($E332="",TODAY()-29,$E332),TODAY()-29)-$D332)/7)+1))</f>
        <v/>
      </c>
      <c r="L332" s="117">
        <f>IF($F332&gt;0,$H332/$F332,0)</f>
        <v/>
      </c>
      <c r="M332" s="112">
        <f>IF($B332="","",IF($C332="TANIMSIZ MÜŞTERİ","HATA",IF($G332="Pasif","PASİF",IF(AND(WEEKDAY($D332,2)=6,OR($E332="",WEEKDAY($E332,2)=6),$F332&gt;0),"UYGUN","HATA"))))</f>
        <v/>
      </c>
      <c r="N332" s="108" t="n"/>
      <c r="O332" s="6" t="n"/>
      <c r="P332" s="6" t="n"/>
    </row>
    <row r="333">
      <c r="A333" s="6" t="n"/>
      <c r="B333" s="107" t="n"/>
      <c r="C333" s="113">
        <f>IF($B333="","",IFERROR(INDEX(MUSTERILER!$C$7:$C$106,MATCH($B333,MUSTERILER!$B$7:$B$106,0)),"TANIMSIZ MÜŞTERİ"))</f>
        <v/>
      </c>
      <c r="D333" s="114" t="n"/>
      <c r="E333" s="114" t="n"/>
      <c r="F333" s="115" t="n"/>
      <c r="G333" s="107" t="n"/>
      <c r="H333" s="116">
        <f>IF(OR($B333="",$D333="",$F333=""),0,$F333*MAX(0,INT((MIN(IF($E333="",TODAY(),$E333),TODAY())-$D333)/7)+1))</f>
        <v/>
      </c>
      <c r="I333" s="116">
        <f>IF(OR($B333="",$D333="",$F333=""),0,$F333*MAX(0,INT((MIN(IF($E333="",TODAY()-8,$E333),TODAY()-8)-$D333)/7)+1))</f>
        <v/>
      </c>
      <c r="J333" s="116">
        <f>IF(OR($B333="",$D333="",$F333=""),0,$F333*MAX(0,INT((MIN(IF($E333="",TODAY()-15,$E333),TODAY()-15)-$D333)/7)+1))</f>
        <v/>
      </c>
      <c r="K333" s="116">
        <f>IF(OR($B333="",$D333="",$F333=""),0,$F333*MAX(0,INT((MIN(IF($E333="",TODAY()-29,$E333),TODAY()-29)-$D333)/7)+1))</f>
        <v/>
      </c>
      <c r="L333" s="117">
        <f>IF($F333&gt;0,$H333/$F333,0)</f>
        <v/>
      </c>
      <c r="M333" s="112">
        <f>IF($B333="","",IF($C333="TANIMSIZ MÜŞTERİ","HATA",IF($G333="Pasif","PASİF",IF(AND(WEEKDAY($D333,2)=6,OR($E333="",WEEKDAY($E333,2)=6),$F333&gt;0),"UYGUN","HATA"))))</f>
        <v/>
      </c>
      <c r="N333" s="108" t="n"/>
      <c r="O333" s="6" t="n"/>
      <c r="P333" s="6" t="n"/>
    </row>
    <row r="334">
      <c r="A334" s="6" t="n"/>
      <c r="B334" s="107" t="n"/>
      <c r="C334" s="113">
        <f>IF($B334="","",IFERROR(INDEX(MUSTERILER!$C$7:$C$106,MATCH($B334,MUSTERILER!$B$7:$B$106,0)),"TANIMSIZ MÜŞTERİ"))</f>
        <v/>
      </c>
      <c r="D334" s="114" t="n"/>
      <c r="E334" s="114" t="n"/>
      <c r="F334" s="115" t="n"/>
      <c r="G334" s="107" t="n"/>
      <c r="H334" s="116">
        <f>IF(OR($B334="",$D334="",$F334=""),0,$F334*MAX(0,INT((MIN(IF($E334="",TODAY(),$E334),TODAY())-$D334)/7)+1))</f>
        <v/>
      </c>
      <c r="I334" s="116">
        <f>IF(OR($B334="",$D334="",$F334=""),0,$F334*MAX(0,INT((MIN(IF($E334="",TODAY()-8,$E334),TODAY()-8)-$D334)/7)+1))</f>
        <v/>
      </c>
      <c r="J334" s="116">
        <f>IF(OR($B334="",$D334="",$F334=""),0,$F334*MAX(0,INT((MIN(IF($E334="",TODAY()-15,$E334),TODAY()-15)-$D334)/7)+1))</f>
        <v/>
      </c>
      <c r="K334" s="116">
        <f>IF(OR($B334="",$D334="",$F334=""),0,$F334*MAX(0,INT((MIN(IF($E334="",TODAY()-29,$E334),TODAY()-29)-$D334)/7)+1))</f>
        <v/>
      </c>
      <c r="L334" s="117">
        <f>IF($F334&gt;0,$H334/$F334,0)</f>
        <v/>
      </c>
      <c r="M334" s="112">
        <f>IF($B334="","",IF($C334="TANIMSIZ MÜŞTERİ","HATA",IF($G334="Pasif","PASİF",IF(AND(WEEKDAY($D334,2)=6,OR($E334="",WEEKDAY($E334,2)=6),$F334&gt;0),"UYGUN","HATA"))))</f>
        <v/>
      </c>
      <c r="N334" s="108" t="n"/>
      <c r="O334" s="6" t="n"/>
      <c r="P334" s="6" t="n"/>
    </row>
    <row r="335">
      <c r="A335" s="6" t="n"/>
      <c r="B335" s="107" t="n"/>
      <c r="C335" s="113">
        <f>IF($B335="","",IFERROR(INDEX(MUSTERILER!$C$7:$C$106,MATCH($B335,MUSTERILER!$B$7:$B$106,0)),"TANIMSIZ MÜŞTERİ"))</f>
        <v/>
      </c>
      <c r="D335" s="114" t="n"/>
      <c r="E335" s="114" t="n"/>
      <c r="F335" s="115" t="n"/>
      <c r="G335" s="107" t="n"/>
      <c r="H335" s="116">
        <f>IF(OR($B335="",$D335="",$F335=""),0,$F335*MAX(0,INT((MIN(IF($E335="",TODAY(),$E335),TODAY())-$D335)/7)+1))</f>
        <v/>
      </c>
      <c r="I335" s="116">
        <f>IF(OR($B335="",$D335="",$F335=""),0,$F335*MAX(0,INT((MIN(IF($E335="",TODAY()-8,$E335),TODAY()-8)-$D335)/7)+1))</f>
        <v/>
      </c>
      <c r="J335" s="116">
        <f>IF(OR($B335="",$D335="",$F335=""),0,$F335*MAX(0,INT((MIN(IF($E335="",TODAY()-15,$E335),TODAY()-15)-$D335)/7)+1))</f>
        <v/>
      </c>
      <c r="K335" s="116">
        <f>IF(OR($B335="",$D335="",$F335=""),0,$F335*MAX(0,INT((MIN(IF($E335="",TODAY()-29,$E335),TODAY()-29)-$D335)/7)+1))</f>
        <v/>
      </c>
      <c r="L335" s="117">
        <f>IF($F335&gt;0,$H335/$F335,0)</f>
        <v/>
      </c>
      <c r="M335" s="112">
        <f>IF($B335="","",IF($C335="TANIMSIZ MÜŞTERİ","HATA",IF($G335="Pasif","PASİF",IF(AND(WEEKDAY($D335,2)=6,OR($E335="",WEEKDAY($E335,2)=6),$F335&gt;0),"UYGUN","HATA"))))</f>
        <v/>
      </c>
      <c r="N335" s="108" t="n"/>
      <c r="O335" s="6" t="n"/>
      <c r="P335" s="6" t="n"/>
    </row>
    <row r="336">
      <c r="A336" s="6" t="n"/>
      <c r="B336" s="107" t="n"/>
      <c r="C336" s="113">
        <f>IF($B336="","",IFERROR(INDEX(MUSTERILER!$C$7:$C$106,MATCH($B336,MUSTERILER!$B$7:$B$106,0)),"TANIMSIZ MÜŞTERİ"))</f>
        <v/>
      </c>
      <c r="D336" s="114" t="n"/>
      <c r="E336" s="114" t="n"/>
      <c r="F336" s="115" t="n"/>
      <c r="G336" s="107" t="n"/>
      <c r="H336" s="116">
        <f>IF(OR($B336="",$D336="",$F336=""),0,$F336*MAX(0,INT((MIN(IF($E336="",TODAY(),$E336),TODAY())-$D336)/7)+1))</f>
        <v/>
      </c>
      <c r="I336" s="116">
        <f>IF(OR($B336="",$D336="",$F336=""),0,$F336*MAX(0,INT((MIN(IF($E336="",TODAY()-8,$E336),TODAY()-8)-$D336)/7)+1))</f>
        <v/>
      </c>
      <c r="J336" s="116">
        <f>IF(OR($B336="",$D336="",$F336=""),0,$F336*MAX(0,INT((MIN(IF($E336="",TODAY()-15,$E336),TODAY()-15)-$D336)/7)+1))</f>
        <v/>
      </c>
      <c r="K336" s="116">
        <f>IF(OR($B336="",$D336="",$F336=""),0,$F336*MAX(0,INT((MIN(IF($E336="",TODAY()-29,$E336),TODAY()-29)-$D336)/7)+1))</f>
        <v/>
      </c>
      <c r="L336" s="117">
        <f>IF($F336&gt;0,$H336/$F336,0)</f>
        <v/>
      </c>
      <c r="M336" s="112">
        <f>IF($B336="","",IF($C336="TANIMSIZ MÜŞTERİ","HATA",IF($G336="Pasif","PASİF",IF(AND(WEEKDAY($D336,2)=6,OR($E336="",WEEKDAY($E336,2)=6),$F336&gt;0),"UYGUN","HATA"))))</f>
        <v/>
      </c>
      <c r="N336" s="108" t="n"/>
      <c r="O336" s="6" t="n"/>
      <c r="P336" s="6" t="n"/>
    </row>
    <row r="337">
      <c r="A337" s="6" t="n"/>
      <c r="B337" s="107" t="n"/>
      <c r="C337" s="113">
        <f>IF($B337="","",IFERROR(INDEX(MUSTERILER!$C$7:$C$106,MATCH($B337,MUSTERILER!$B$7:$B$106,0)),"TANIMSIZ MÜŞTERİ"))</f>
        <v/>
      </c>
      <c r="D337" s="114" t="n"/>
      <c r="E337" s="114" t="n"/>
      <c r="F337" s="115" t="n"/>
      <c r="G337" s="107" t="n"/>
      <c r="H337" s="116">
        <f>IF(OR($B337="",$D337="",$F337=""),0,$F337*MAX(0,INT((MIN(IF($E337="",TODAY(),$E337),TODAY())-$D337)/7)+1))</f>
        <v/>
      </c>
      <c r="I337" s="116">
        <f>IF(OR($B337="",$D337="",$F337=""),0,$F337*MAX(0,INT((MIN(IF($E337="",TODAY()-8,$E337),TODAY()-8)-$D337)/7)+1))</f>
        <v/>
      </c>
      <c r="J337" s="116">
        <f>IF(OR($B337="",$D337="",$F337=""),0,$F337*MAX(0,INT((MIN(IF($E337="",TODAY()-15,$E337),TODAY()-15)-$D337)/7)+1))</f>
        <v/>
      </c>
      <c r="K337" s="116">
        <f>IF(OR($B337="",$D337="",$F337=""),0,$F337*MAX(0,INT((MIN(IF($E337="",TODAY()-29,$E337),TODAY()-29)-$D337)/7)+1))</f>
        <v/>
      </c>
      <c r="L337" s="117">
        <f>IF($F337&gt;0,$H337/$F337,0)</f>
        <v/>
      </c>
      <c r="M337" s="112">
        <f>IF($B337="","",IF($C337="TANIMSIZ MÜŞTERİ","HATA",IF($G337="Pasif","PASİF",IF(AND(WEEKDAY($D337,2)=6,OR($E337="",WEEKDAY($E337,2)=6),$F337&gt;0),"UYGUN","HATA"))))</f>
        <v/>
      </c>
      <c r="N337" s="108" t="n"/>
      <c r="O337" s="6" t="n"/>
      <c r="P337" s="6" t="n"/>
    </row>
    <row r="338">
      <c r="A338" s="6" t="n"/>
      <c r="B338" s="107" t="n"/>
      <c r="C338" s="113">
        <f>IF($B338="","",IFERROR(INDEX(MUSTERILER!$C$7:$C$106,MATCH($B338,MUSTERILER!$B$7:$B$106,0)),"TANIMSIZ MÜŞTERİ"))</f>
        <v/>
      </c>
      <c r="D338" s="114" t="n"/>
      <c r="E338" s="114" t="n"/>
      <c r="F338" s="115" t="n"/>
      <c r="G338" s="107" t="n"/>
      <c r="H338" s="116">
        <f>IF(OR($B338="",$D338="",$F338=""),0,$F338*MAX(0,INT((MIN(IF($E338="",TODAY(),$E338),TODAY())-$D338)/7)+1))</f>
        <v/>
      </c>
      <c r="I338" s="116">
        <f>IF(OR($B338="",$D338="",$F338=""),0,$F338*MAX(0,INT((MIN(IF($E338="",TODAY()-8,$E338),TODAY()-8)-$D338)/7)+1))</f>
        <v/>
      </c>
      <c r="J338" s="116">
        <f>IF(OR($B338="",$D338="",$F338=""),0,$F338*MAX(0,INT((MIN(IF($E338="",TODAY()-15,$E338),TODAY()-15)-$D338)/7)+1))</f>
        <v/>
      </c>
      <c r="K338" s="116">
        <f>IF(OR($B338="",$D338="",$F338=""),0,$F338*MAX(0,INT((MIN(IF($E338="",TODAY()-29,$E338),TODAY()-29)-$D338)/7)+1))</f>
        <v/>
      </c>
      <c r="L338" s="117">
        <f>IF($F338&gt;0,$H338/$F338,0)</f>
        <v/>
      </c>
      <c r="M338" s="112">
        <f>IF($B338="","",IF($C338="TANIMSIZ MÜŞTERİ","HATA",IF($G338="Pasif","PASİF",IF(AND(WEEKDAY($D338,2)=6,OR($E338="",WEEKDAY($E338,2)=6),$F338&gt;0),"UYGUN","HATA"))))</f>
        <v/>
      </c>
      <c r="N338" s="108" t="n"/>
      <c r="O338" s="6" t="n"/>
      <c r="P338" s="6" t="n"/>
    </row>
    <row r="339">
      <c r="A339" s="6" t="n"/>
      <c r="B339" s="107" t="n"/>
      <c r="C339" s="113">
        <f>IF($B339="","",IFERROR(INDEX(MUSTERILER!$C$7:$C$106,MATCH($B339,MUSTERILER!$B$7:$B$106,0)),"TANIMSIZ MÜŞTERİ"))</f>
        <v/>
      </c>
      <c r="D339" s="114" t="n"/>
      <c r="E339" s="114" t="n"/>
      <c r="F339" s="115" t="n"/>
      <c r="G339" s="107" t="n"/>
      <c r="H339" s="116">
        <f>IF(OR($B339="",$D339="",$F339=""),0,$F339*MAX(0,INT((MIN(IF($E339="",TODAY(),$E339),TODAY())-$D339)/7)+1))</f>
        <v/>
      </c>
      <c r="I339" s="116">
        <f>IF(OR($B339="",$D339="",$F339=""),0,$F339*MAX(0,INT((MIN(IF($E339="",TODAY()-8,$E339),TODAY()-8)-$D339)/7)+1))</f>
        <v/>
      </c>
      <c r="J339" s="116">
        <f>IF(OR($B339="",$D339="",$F339=""),0,$F339*MAX(0,INT((MIN(IF($E339="",TODAY()-15,$E339),TODAY()-15)-$D339)/7)+1))</f>
        <v/>
      </c>
      <c r="K339" s="116">
        <f>IF(OR($B339="",$D339="",$F339=""),0,$F339*MAX(0,INT((MIN(IF($E339="",TODAY()-29,$E339),TODAY()-29)-$D339)/7)+1))</f>
        <v/>
      </c>
      <c r="L339" s="117">
        <f>IF($F339&gt;0,$H339/$F339,0)</f>
        <v/>
      </c>
      <c r="M339" s="112">
        <f>IF($B339="","",IF($C339="TANIMSIZ MÜŞTERİ","HATA",IF($G339="Pasif","PASİF",IF(AND(WEEKDAY($D339,2)=6,OR($E339="",WEEKDAY($E339,2)=6),$F339&gt;0),"UYGUN","HATA"))))</f>
        <v/>
      </c>
      <c r="N339" s="108" t="n"/>
      <c r="O339" s="6" t="n"/>
      <c r="P339" s="6" t="n"/>
    </row>
    <row r="340">
      <c r="A340" s="6" t="n"/>
      <c r="B340" s="107" t="n"/>
      <c r="C340" s="113">
        <f>IF($B340="","",IFERROR(INDEX(MUSTERILER!$C$7:$C$106,MATCH($B340,MUSTERILER!$B$7:$B$106,0)),"TANIMSIZ MÜŞTERİ"))</f>
        <v/>
      </c>
      <c r="D340" s="114" t="n"/>
      <c r="E340" s="114" t="n"/>
      <c r="F340" s="115" t="n"/>
      <c r="G340" s="107" t="n"/>
      <c r="H340" s="116">
        <f>IF(OR($B340="",$D340="",$F340=""),0,$F340*MAX(0,INT((MIN(IF($E340="",TODAY(),$E340),TODAY())-$D340)/7)+1))</f>
        <v/>
      </c>
      <c r="I340" s="116">
        <f>IF(OR($B340="",$D340="",$F340=""),0,$F340*MAX(0,INT((MIN(IF($E340="",TODAY()-8,$E340),TODAY()-8)-$D340)/7)+1))</f>
        <v/>
      </c>
      <c r="J340" s="116">
        <f>IF(OR($B340="",$D340="",$F340=""),0,$F340*MAX(0,INT((MIN(IF($E340="",TODAY()-15,$E340),TODAY()-15)-$D340)/7)+1))</f>
        <v/>
      </c>
      <c r="K340" s="116">
        <f>IF(OR($B340="",$D340="",$F340=""),0,$F340*MAX(0,INT((MIN(IF($E340="",TODAY()-29,$E340),TODAY()-29)-$D340)/7)+1))</f>
        <v/>
      </c>
      <c r="L340" s="117">
        <f>IF($F340&gt;0,$H340/$F340,0)</f>
        <v/>
      </c>
      <c r="M340" s="112">
        <f>IF($B340="","",IF($C340="TANIMSIZ MÜŞTERİ","HATA",IF($G340="Pasif","PASİF",IF(AND(WEEKDAY($D340,2)=6,OR($E340="",WEEKDAY($E340,2)=6),$F340&gt;0),"UYGUN","HATA"))))</f>
        <v/>
      </c>
      <c r="N340" s="108" t="n"/>
      <c r="O340" s="6" t="n"/>
      <c r="P340" s="6" t="n"/>
    </row>
    <row r="341">
      <c r="A341" s="6" t="n"/>
      <c r="B341" s="107" t="n"/>
      <c r="C341" s="113">
        <f>IF($B341="","",IFERROR(INDEX(MUSTERILER!$C$7:$C$106,MATCH($B341,MUSTERILER!$B$7:$B$106,0)),"TANIMSIZ MÜŞTERİ"))</f>
        <v/>
      </c>
      <c r="D341" s="114" t="n"/>
      <c r="E341" s="114" t="n"/>
      <c r="F341" s="115" t="n"/>
      <c r="G341" s="107" t="n"/>
      <c r="H341" s="116">
        <f>IF(OR($B341="",$D341="",$F341=""),0,$F341*MAX(0,INT((MIN(IF($E341="",TODAY(),$E341),TODAY())-$D341)/7)+1))</f>
        <v/>
      </c>
      <c r="I341" s="116">
        <f>IF(OR($B341="",$D341="",$F341=""),0,$F341*MAX(0,INT((MIN(IF($E341="",TODAY()-8,$E341),TODAY()-8)-$D341)/7)+1))</f>
        <v/>
      </c>
      <c r="J341" s="116">
        <f>IF(OR($B341="",$D341="",$F341=""),0,$F341*MAX(0,INT((MIN(IF($E341="",TODAY()-15,$E341),TODAY()-15)-$D341)/7)+1))</f>
        <v/>
      </c>
      <c r="K341" s="116">
        <f>IF(OR($B341="",$D341="",$F341=""),0,$F341*MAX(0,INT((MIN(IF($E341="",TODAY()-29,$E341),TODAY()-29)-$D341)/7)+1))</f>
        <v/>
      </c>
      <c r="L341" s="117">
        <f>IF($F341&gt;0,$H341/$F341,0)</f>
        <v/>
      </c>
      <c r="M341" s="112">
        <f>IF($B341="","",IF($C341="TANIMSIZ MÜŞTERİ","HATA",IF($G341="Pasif","PASİF",IF(AND(WEEKDAY($D341,2)=6,OR($E341="",WEEKDAY($E341,2)=6),$F341&gt;0),"UYGUN","HATA"))))</f>
        <v/>
      </c>
      <c r="N341" s="108" t="n"/>
      <c r="O341" s="6" t="n"/>
      <c r="P341" s="6" t="n"/>
    </row>
    <row r="342">
      <c r="A342" s="6" t="n"/>
      <c r="B342" s="107" t="n"/>
      <c r="C342" s="113">
        <f>IF($B342="","",IFERROR(INDEX(MUSTERILER!$C$7:$C$106,MATCH($B342,MUSTERILER!$B$7:$B$106,0)),"TANIMSIZ MÜŞTERİ"))</f>
        <v/>
      </c>
      <c r="D342" s="114" t="n"/>
      <c r="E342" s="114" t="n"/>
      <c r="F342" s="115" t="n"/>
      <c r="G342" s="107" t="n"/>
      <c r="H342" s="116">
        <f>IF(OR($B342="",$D342="",$F342=""),0,$F342*MAX(0,INT((MIN(IF($E342="",TODAY(),$E342),TODAY())-$D342)/7)+1))</f>
        <v/>
      </c>
      <c r="I342" s="116">
        <f>IF(OR($B342="",$D342="",$F342=""),0,$F342*MAX(0,INT((MIN(IF($E342="",TODAY()-8,$E342),TODAY()-8)-$D342)/7)+1))</f>
        <v/>
      </c>
      <c r="J342" s="116">
        <f>IF(OR($B342="",$D342="",$F342=""),0,$F342*MAX(0,INT((MIN(IF($E342="",TODAY()-15,$E342),TODAY()-15)-$D342)/7)+1))</f>
        <v/>
      </c>
      <c r="K342" s="116">
        <f>IF(OR($B342="",$D342="",$F342=""),0,$F342*MAX(0,INT((MIN(IF($E342="",TODAY()-29,$E342),TODAY()-29)-$D342)/7)+1))</f>
        <v/>
      </c>
      <c r="L342" s="117">
        <f>IF($F342&gt;0,$H342/$F342,0)</f>
        <v/>
      </c>
      <c r="M342" s="112">
        <f>IF($B342="","",IF($C342="TANIMSIZ MÜŞTERİ","HATA",IF($G342="Pasif","PASİF",IF(AND(WEEKDAY($D342,2)=6,OR($E342="",WEEKDAY($E342,2)=6),$F342&gt;0),"UYGUN","HATA"))))</f>
        <v/>
      </c>
      <c r="N342" s="108" t="n"/>
      <c r="O342" s="6" t="n"/>
      <c r="P342" s="6" t="n"/>
    </row>
    <row r="343">
      <c r="A343" s="6" t="n"/>
      <c r="B343" s="107" t="n"/>
      <c r="C343" s="113">
        <f>IF($B343="","",IFERROR(INDEX(MUSTERILER!$C$7:$C$106,MATCH($B343,MUSTERILER!$B$7:$B$106,0)),"TANIMSIZ MÜŞTERİ"))</f>
        <v/>
      </c>
      <c r="D343" s="114" t="n"/>
      <c r="E343" s="114" t="n"/>
      <c r="F343" s="115" t="n"/>
      <c r="G343" s="107" t="n"/>
      <c r="H343" s="116">
        <f>IF(OR($B343="",$D343="",$F343=""),0,$F343*MAX(0,INT((MIN(IF($E343="",TODAY(),$E343),TODAY())-$D343)/7)+1))</f>
        <v/>
      </c>
      <c r="I343" s="116">
        <f>IF(OR($B343="",$D343="",$F343=""),0,$F343*MAX(0,INT((MIN(IF($E343="",TODAY()-8,$E343),TODAY()-8)-$D343)/7)+1))</f>
        <v/>
      </c>
      <c r="J343" s="116">
        <f>IF(OR($B343="",$D343="",$F343=""),0,$F343*MAX(0,INT((MIN(IF($E343="",TODAY()-15,$E343),TODAY()-15)-$D343)/7)+1))</f>
        <v/>
      </c>
      <c r="K343" s="116">
        <f>IF(OR($B343="",$D343="",$F343=""),0,$F343*MAX(0,INT((MIN(IF($E343="",TODAY()-29,$E343),TODAY()-29)-$D343)/7)+1))</f>
        <v/>
      </c>
      <c r="L343" s="117">
        <f>IF($F343&gt;0,$H343/$F343,0)</f>
        <v/>
      </c>
      <c r="M343" s="112">
        <f>IF($B343="","",IF($C343="TANIMSIZ MÜŞTERİ","HATA",IF($G343="Pasif","PASİF",IF(AND(WEEKDAY($D343,2)=6,OR($E343="",WEEKDAY($E343,2)=6),$F343&gt;0),"UYGUN","HATA"))))</f>
        <v/>
      </c>
      <c r="N343" s="108" t="n"/>
      <c r="O343" s="6" t="n"/>
      <c r="P343" s="6" t="n"/>
    </row>
    <row r="344">
      <c r="A344" s="6" t="n"/>
      <c r="B344" s="107" t="n"/>
      <c r="C344" s="113">
        <f>IF($B344="","",IFERROR(INDEX(MUSTERILER!$C$7:$C$106,MATCH($B344,MUSTERILER!$B$7:$B$106,0)),"TANIMSIZ MÜŞTERİ"))</f>
        <v/>
      </c>
      <c r="D344" s="114" t="n"/>
      <c r="E344" s="114" t="n"/>
      <c r="F344" s="115" t="n"/>
      <c r="G344" s="107" t="n"/>
      <c r="H344" s="116">
        <f>IF(OR($B344="",$D344="",$F344=""),0,$F344*MAX(0,INT((MIN(IF($E344="",TODAY(),$E344),TODAY())-$D344)/7)+1))</f>
        <v/>
      </c>
      <c r="I344" s="116">
        <f>IF(OR($B344="",$D344="",$F344=""),0,$F344*MAX(0,INT((MIN(IF($E344="",TODAY()-8,$E344),TODAY()-8)-$D344)/7)+1))</f>
        <v/>
      </c>
      <c r="J344" s="116">
        <f>IF(OR($B344="",$D344="",$F344=""),0,$F344*MAX(0,INT((MIN(IF($E344="",TODAY()-15,$E344),TODAY()-15)-$D344)/7)+1))</f>
        <v/>
      </c>
      <c r="K344" s="116">
        <f>IF(OR($B344="",$D344="",$F344=""),0,$F344*MAX(0,INT((MIN(IF($E344="",TODAY()-29,$E344),TODAY()-29)-$D344)/7)+1))</f>
        <v/>
      </c>
      <c r="L344" s="117">
        <f>IF($F344&gt;0,$H344/$F344,0)</f>
        <v/>
      </c>
      <c r="M344" s="112">
        <f>IF($B344="","",IF($C344="TANIMSIZ MÜŞTERİ","HATA",IF($G344="Pasif","PASİF",IF(AND(WEEKDAY($D344,2)=6,OR($E344="",WEEKDAY($E344,2)=6),$F344&gt;0),"UYGUN","HATA"))))</f>
        <v/>
      </c>
      <c r="N344" s="108" t="n"/>
      <c r="O344" s="6" t="n"/>
      <c r="P344" s="6" t="n"/>
    </row>
    <row r="345">
      <c r="A345" s="6" t="n"/>
      <c r="B345" s="107" t="n"/>
      <c r="C345" s="113">
        <f>IF($B345="","",IFERROR(INDEX(MUSTERILER!$C$7:$C$106,MATCH($B345,MUSTERILER!$B$7:$B$106,0)),"TANIMSIZ MÜŞTERİ"))</f>
        <v/>
      </c>
      <c r="D345" s="114" t="n"/>
      <c r="E345" s="114" t="n"/>
      <c r="F345" s="115" t="n"/>
      <c r="G345" s="107" t="n"/>
      <c r="H345" s="116">
        <f>IF(OR($B345="",$D345="",$F345=""),0,$F345*MAX(0,INT((MIN(IF($E345="",TODAY(),$E345),TODAY())-$D345)/7)+1))</f>
        <v/>
      </c>
      <c r="I345" s="116">
        <f>IF(OR($B345="",$D345="",$F345=""),0,$F345*MAX(0,INT((MIN(IF($E345="",TODAY()-8,$E345),TODAY()-8)-$D345)/7)+1))</f>
        <v/>
      </c>
      <c r="J345" s="116">
        <f>IF(OR($B345="",$D345="",$F345=""),0,$F345*MAX(0,INT((MIN(IF($E345="",TODAY()-15,$E345),TODAY()-15)-$D345)/7)+1))</f>
        <v/>
      </c>
      <c r="K345" s="116">
        <f>IF(OR($B345="",$D345="",$F345=""),0,$F345*MAX(0,INT((MIN(IF($E345="",TODAY()-29,$E345),TODAY()-29)-$D345)/7)+1))</f>
        <v/>
      </c>
      <c r="L345" s="117">
        <f>IF($F345&gt;0,$H345/$F345,0)</f>
        <v/>
      </c>
      <c r="M345" s="112">
        <f>IF($B345="","",IF($C345="TANIMSIZ MÜŞTERİ","HATA",IF($G345="Pasif","PASİF",IF(AND(WEEKDAY($D345,2)=6,OR($E345="",WEEKDAY($E345,2)=6),$F345&gt;0),"UYGUN","HATA"))))</f>
        <v/>
      </c>
      <c r="N345" s="108" t="n"/>
      <c r="O345" s="6" t="n"/>
      <c r="P345" s="6" t="n"/>
    </row>
    <row r="346">
      <c r="A346" s="6" t="n"/>
      <c r="B346" s="107" t="n"/>
      <c r="C346" s="113">
        <f>IF($B346="","",IFERROR(INDEX(MUSTERILER!$C$7:$C$106,MATCH($B346,MUSTERILER!$B$7:$B$106,0)),"TANIMSIZ MÜŞTERİ"))</f>
        <v/>
      </c>
      <c r="D346" s="114" t="n"/>
      <c r="E346" s="114" t="n"/>
      <c r="F346" s="115" t="n"/>
      <c r="G346" s="107" t="n"/>
      <c r="H346" s="116">
        <f>IF(OR($B346="",$D346="",$F346=""),0,$F346*MAX(0,INT((MIN(IF($E346="",TODAY(),$E346),TODAY())-$D346)/7)+1))</f>
        <v/>
      </c>
      <c r="I346" s="116">
        <f>IF(OR($B346="",$D346="",$F346=""),0,$F346*MAX(0,INT((MIN(IF($E346="",TODAY()-8,$E346),TODAY()-8)-$D346)/7)+1))</f>
        <v/>
      </c>
      <c r="J346" s="116">
        <f>IF(OR($B346="",$D346="",$F346=""),0,$F346*MAX(0,INT((MIN(IF($E346="",TODAY()-15,$E346),TODAY()-15)-$D346)/7)+1))</f>
        <v/>
      </c>
      <c r="K346" s="116">
        <f>IF(OR($B346="",$D346="",$F346=""),0,$F346*MAX(0,INT((MIN(IF($E346="",TODAY()-29,$E346),TODAY()-29)-$D346)/7)+1))</f>
        <v/>
      </c>
      <c r="L346" s="117">
        <f>IF($F346&gt;0,$H346/$F346,0)</f>
        <v/>
      </c>
      <c r="M346" s="112">
        <f>IF($B346="","",IF($C346="TANIMSIZ MÜŞTERİ","HATA",IF($G346="Pasif","PASİF",IF(AND(WEEKDAY($D346,2)=6,OR($E346="",WEEKDAY($E346,2)=6),$F346&gt;0),"UYGUN","HATA"))))</f>
        <v/>
      </c>
      <c r="N346" s="108" t="n"/>
      <c r="O346" s="6" t="n"/>
      <c r="P346" s="6" t="n"/>
    </row>
    <row r="347">
      <c r="A347" s="6" t="n"/>
      <c r="B347" s="107" t="n"/>
      <c r="C347" s="113">
        <f>IF($B347="","",IFERROR(INDEX(MUSTERILER!$C$7:$C$106,MATCH($B347,MUSTERILER!$B$7:$B$106,0)),"TANIMSIZ MÜŞTERİ"))</f>
        <v/>
      </c>
      <c r="D347" s="114" t="n"/>
      <c r="E347" s="114" t="n"/>
      <c r="F347" s="115" t="n"/>
      <c r="G347" s="107" t="n"/>
      <c r="H347" s="116">
        <f>IF(OR($B347="",$D347="",$F347=""),0,$F347*MAX(0,INT((MIN(IF($E347="",TODAY(),$E347),TODAY())-$D347)/7)+1))</f>
        <v/>
      </c>
      <c r="I347" s="116">
        <f>IF(OR($B347="",$D347="",$F347=""),0,$F347*MAX(0,INT((MIN(IF($E347="",TODAY()-8,$E347),TODAY()-8)-$D347)/7)+1))</f>
        <v/>
      </c>
      <c r="J347" s="116">
        <f>IF(OR($B347="",$D347="",$F347=""),0,$F347*MAX(0,INT((MIN(IF($E347="",TODAY()-15,$E347),TODAY()-15)-$D347)/7)+1))</f>
        <v/>
      </c>
      <c r="K347" s="116">
        <f>IF(OR($B347="",$D347="",$F347=""),0,$F347*MAX(0,INT((MIN(IF($E347="",TODAY()-29,$E347),TODAY()-29)-$D347)/7)+1))</f>
        <v/>
      </c>
      <c r="L347" s="117">
        <f>IF($F347&gt;0,$H347/$F347,0)</f>
        <v/>
      </c>
      <c r="M347" s="112">
        <f>IF($B347="","",IF($C347="TANIMSIZ MÜŞTERİ","HATA",IF($G347="Pasif","PASİF",IF(AND(WEEKDAY($D347,2)=6,OR($E347="",WEEKDAY($E347,2)=6),$F347&gt;0),"UYGUN","HATA"))))</f>
        <v/>
      </c>
      <c r="N347" s="108" t="n"/>
      <c r="O347" s="6" t="n"/>
      <c r="P347" s="6" t="n"/>
    </row>
    <row r="348">
      <c r="A348" s="6" t="n"/>
      <c r="B348" s="107" t="n"/>
      <c r="C348" s="113">
        <f>IF($B348="","",IFERROR(INDEX(MUSTERILER!$C$7:$C$106,MATCH($B348,MUSTERILER!$B$7:$B$106,0)),"TANIMSIZ MÜŞTERİ"))</f>
        <v/>
      </c>
      <c r="D348" s="114" t="n"/>
      <c r="E348" s="114" t="n"/>
      <c r="F348" s="115" t="n"/>
      <c r="G348" s="107" t="n"/>
      <c r="H348" s="116">
        <f>IF(OR($B348="",$D348="",$F348=""),0,$F348*MAX(0,INT((MIN(IF($E348="",TODAY(),$E348),TODAY())-$D348)/7)+1))</f>
        <v/>
      </c>
      <c r="I348" s="116">
        <f>IF(OR($B348="",$D348="",$F348=""),0,$F348*MAX(0,INT((MIN(IF($E348="",TODAY()-8,$E348),TODAY()-8)-$D348)/7)+1))</f>
        <v/>
      </c>
      <c r="J348" s="116">
        <f>IF(OR($B348="",$D348="",$F348=""),0,$F348*MAX(0,INT((MIN(IF($E348="",TODAY()-15,$E348),TODAY()-15)-$D348)/7)+1))</f>
        <v/>
      </c>
      <c r="K348" s="116">
        <f>IF(OR($B348="",$D348="",$F348=""),0,$F348*MAX(0,INT((MIN(IF($E348="",TODAY()-29,$E348),TODAY()-29)-$D348)/7)+1))</f>
        <v/>
      </c>
      <c r="L348" s="117">
        <f>IF($F348&gt;0,$H348/$F348,0)</f>
        <v/>
      </c>
      <c r="M348" s="112">
        <f>IF($B348="","",IF($C348="TANIMSIZ MÜŞTERİ","HATA",IF($G348="Pasif","PASİF",IF(AND(WEEKDAY($D348,2)=6,OR($E348="",WEEKDAY($E348,2)=6),$F348&gt;0),"UYGUN","HATA"))))</f>
        <v/>
      </c>
      <c r="N348" s="108" t="n"/>
      <c r="O348" s="6" t="n"/>
      <c r="P348" s="6" t="n"/>
    </row>
    <row r="349">
      <c r="A349" s="6" t="n"/>
      <c r="B349" s="107" t="n"/>
      <c r="C349" s="113">
        <f>IF($B349="","",IFERROR(INDEX(MUSTERILER!$C$7:$C$106,MATCH($B349,MUSTERILER!$B$7:$B$106,0)),"TANIMSIZ MÜŞTERİ"))</f>
        <v/>
      </c>
      <c r="D349" s="114" t="n"/>
      <c r="E349" s="114" t="n"/>
      <c r="F349" s="115" t="n"/>
      <c r="G349" s="107" t="n"/>
      <c r="H349" s="116">
        <f>IF(OR($B349="",$D349="",$F349=""),0,$F349*MAX(0,INT((MIN(IF($E349="",TODAY(),$E349),TODAY())-$D349)/7)+1))</f>
        <v/>
      </c>
      <c r="I349" s="116">
        <f>IF(OR($B349="",$D349="",$F349=""),0,$F349*MAX(0,INT((MIN(IF($E349="",TODAY()-8,$E349),TODAY()-8)-$D349)/7)+1))</f>
        <v/>
      </c>
      <c r="J349" s="116">
        <f>IF(OR($B349="",$D349="",$F349=""),0,$F349*MAX(0,INT((MIN(IF($E349="",TODAY()-15,$E349),TODAY()-15)-$D349)/7)+1))</f>
        <v/>
      </c>
      <c r="K349" s="116">
        <f>IF(OR($B349="",$D349="",$F349=""),0,$F349*MAX(0,INT((MIN(IF($E349="",TODAY()-29,$E349),TODAY()-29)-$D349)/7)+1))</f>
        <v/>
      </c>
      <c r="L349" s="117">
        <f>IF($F349&gt;0,$H349/$F349,0)</f>
        <v/>
      </c>
      <c r="M349" s="112">
        <f>IF($B349="","",IF($C349="TANIMSIZ MÜŞTERİ","HATA",IF($G349="Pasif","PASİF",IF(AND(WEEKDAY($D349,2)=6,OR($E349="",WEEKDAY($E349,2)=6),$F349&gt;0),"UYGUN","HATA"))))</f>
        <v/>
      </c>
      <c r="N349" s="108" t="n"/>
      <c r="O349" s="6" t="n"/>
      <c r="P349" s="6" t="n"/>
    </row>
    <row r="350">
      <c r="A350" s="6" t="n"/>
      <c r="B350" s="107" t="n"/>
      <c r="C350" s="113">
        <f>IF($B350="","",IFERROR(INDEX(MUSTERILER!$C$7:$C$106,MATCH($B350,MUSTERILER!$B$7:$B$106,0)),"TANIMSIZ MÜŞTERİ"))</f>
        <v/>
      </c>
      <c r="D350" s="114" t="n"/>
      <c r="E350" s="114" t="n"/>
      <c r="F350" s="115" t="n"/>
      <c r="G350" s="107" t="n"/>
      <c r="H350" s="116">
        <f>IF(OR($B350="",$D350="",$F350=""),0,$F350*MAX(0,INT((MIN(IF($E350="",TODAY(),$E350),TODAY())-$D350)/7)+1))</f>
        <v/>
      </c>
      <c r="I350" s="116">
        <f>IF(OR($B350="",$D350="",$F350=""),0,$F350*MAX(0,INT((MIN(IF($E350="",TODAY()-8,$E350),TODAY()-8)-$D350)/7)+1))</f>
        <v/>
      </c>
      <c r="J350" s="116">
        <f>IF(OR($B350="",$D350="",$F350=""),0,$F350*MAX(0,INT((MIN(IF($E350="",TODAY()-15,$E350),TODAY()-15)-$D350)/7)+1))</f>
        <v/>
      </c>
      <c r="K350" s="116">
        <f>IF(OR($B350="",$D350="",$F350=""),0,$F350*MAX(0,INT((MIN(IF($E350="",TODAY()-29,$E350),TODAY()-29)-$D350)/7)+1))</f>
        <v/>
      </c>
      <c r="L350" s="117">
        <f>IF($F350&gt;0,$H350/$F350,0)</f>
        <v/>
      </c>
      <c r="M350" s="112">
        <f>IF($B350="","",IF($C350="TANIMSIZ MÜŞTERİ","HATA",IF($G350="Pasif","PASİF",IF(AND(WEEKDAY($D350,2)=6,OR($E350="",WEEKDAY($E350,2)=6),$F350&gt;0),"UYGUN","HATA"))))</f>
        <v/>
      </c>
      <c r="N350" s="108" t="n"/>
      <c r="O350" s="6" t="n"/>
      <c r="P350" s="6" t="n"/>
    </row>
    <row r="351">
      <c r="A351" s="6" t="n"/>
      <c r="B351" s="107" t="n"/>
      <c r="C351" s="113">
        <f>IF($B351="","",IFERROR(INDEX(MUSTERILER!$C$7:$C$106,MATCH($B351,MUSTERILER!$B$7:$B$106,0)),"TANIMSIZ MÜŞTERİ"))</f>
        <v/>
      </c>
      <c r="D351" s="114" t="n"/>
      <c r="E351" s="114" t="n"/>
      <c r="F351" s="115" t="n"/>
      <c r="G351" s="107" t="n"/>
      <c r="H351" s="116">
        <f>IF(OR($B351="",$D351="",$F351=""),0,$F351*MAX(0,INT((MIN(IF($E351="",TODAY(),$E351),TODAY())-$D351)/7)+1))</f>
        <v/>
      </c>
      <c r="I351" s="116">
        <f>IF(OR($B351="",$D351="",$F351=""),0,$F351*MAX(0,INT((MIN(IF($E351="",TODAY()-8,$E351),TODAY()-8)-$D351)/7)+1))</f>
        <v/>
      </c>
      <c r="J351" s="116">
        <f>IF(OR($B351="",$D351="",$F351=""),0,$F351*MAX(0,INT((MIN(IF($E351="",TODAY()-15,$E351),TODAY()-15)-$D351)/7)+1))</f>
        <v/>
      </c>
      <c r="K351" s="116">
        <f>IF(OR($B351="",$D351="",$F351=""),0,$F351*MAX(0,INT((MIN(IF($E351="",TODAY()-29,$E351),TODAY()-29)-$D351)/7)+1))</f>
        <v/>
      </c>
      <c r="L351" s="117">
        <f>IF($F351&gt;0,$H351/$F351,0)</f>
        <v/>
      </c>
      <c r="M351" s="112">
        <f>IF($B351="","",IF($C351="TANIMSIZ MÜŞTERİ","HATA",IF($G351="Pasif","PASİF",IF(AND(WEEKDAY($D351,2)=6,OR($E351="",WEEKDAY($E351,2)=6),$F351&gt;0),"UYGUN","HATA"))))</f>
        <v/>
      </c>
      <c r="N351" s="108" t="n"/>
      <c r="O351" s="6" t="n"/>
      <c r="P351" s="6" t="n"/>
    </row>
    <row r="352">
      <c r="A352" s="6" t="n"/>
      <c r="B352" s="107" t="n"/>
      <c r="C352" s="113">
        <f>IF($B352="","",IFERROR(INDEX(MUSTERILER!$C$7:$C$106,MATCH($B352,MUSTERILER!$B$7:$B$106,0)),"TANIMSIZ MÜŞTERİ"))</f>
        <v/>
      </c>
      <c r="D352" s="114" t="n"/>
      <c r="E352" s="114" t="n"/>
      <c r="F352" s="115" t="n"/>
      <c r="G352" s="107" t="n"/>
      <c r="H352" s="116">
        <f>IF(OR($B352="",$D352="",$F352=""),0,$F352*MAX(0,INT((MIN(IF($E352="",TODAY(),$E352),TODAY())-$D352)/7)+1))</f>
        <v/>
      </c>
      <c r="I352" s="116">
        <f>IF(OR($B352="",$D352="",$F352=""),0,$F352*MAX(0,INT((MIN(IF($E352="",TODAY()-8,$E352),TODAY()-8)-$D352)/7)+1))</f>
        <v/>
      </c>
      <c r="J352" s="116">
        <f>IF(OR($B352="",$D352="",$F352=""),0,$F352*MAX(0,INT((MIN(IF($E352="",TODAY()-15,$E352),TODAY()-15)-$D352)/7)+1))</f>
        <v/>
      </c>
      <c r="K352" s="116">
        <f>IF(OR($B352="",$D352="",$F352=""),0,$F352*MAX(0,INT((MIN(IF($E352="",TODAY()-29,$E352),TODAY()-29)-$D352)/7)+1))</f>
        <v/>
      </c>
      <c r="L352" s="117">
        <f>IF($F352&gt;0,$H352/$F352,0)</f>
        <v/>
      </c>
      <c r="M352" s="112">
        <f>IF($B352="","",IF($C352="TANIMSIZ MÜŞTERİ","HATA",IF($G352="Pasif","PASİF",IF(AND(WEEKDAY($D352,2)=6,OR($E352="",WEEKDAY($E352,2)=6),$F352&gt;0),"UYGUN","HATA"))))</f>
        <v/>
      </c>
      <c r="N352" s="108" t="n"/>
      <c r="O352" s="6" t="n"/>
      <c r="P352" s="6" t="n"/>
    </row>
    <row r="353">
      <c r="A353" s="6" t="n"/>
      <c r="B353" s="107" t="n"/>
      <c r="C353" s="113">
        <f>IF($B353="","",IFERROR(INDEX(MUSTERILER!$C$7:$C$106,MATCH($B353,MUSTERILER!$B$7:$B$106,0)),"TANIMSIZ MÜŞTERİ"))</f>
        <v/>
      </c>
      <c r="D353" s="114" t="n"/>
      <c r="E353" s="114" t="n"/>
      <c r="F353" s="115" t="n"/>
      <c r="G353" s="107" t="n"/>
      <c r="H353" s="116">
        <f>IF(OR($B353="",$D353="",$F353=""),0,$F353*MAX(0,INT((MIN(IF($E353="",TODAY(),$E353),TODAY())-$D353)/7)+1))</f>
        <v/>
      </c>
      <c r="I353" s="116">
        <f>IF(OR($B353="",$D353="",$F353=""),0,$F353*MAX(0,INT((MIN(IF($E353="",TODAY()-8,$E353),TODAY()-8)-$D353)/7)+1))</f>
        <v/>
      </c>
      <c r="J353" s="116">
        <f>IF(OR($B353="",$D353="",$F353=""),0,$F353*MAX(0,INT((MIN(IF($E353="",TODAY()-15,$E353),TODAY()-15)-$D353)/7)+1))</f>
        <v/>
      </c>
      <c r="K353" s="116">
        <f>IF(OR($B353="",$D353="",$F353=""),0,$F353*MAX(0,INT((MIN(IF($E353="",TODAY()-29,$E353),TODAY()-29)-$D353)/7)+1))</f>
        <v/>
      </c>
      <c r="L353" s="117">
        <f>IF($F353&gt;0,$H353/$F353,0)</f>
        <v/>
      </c>
      <c r="M353" s="112">
        <f>IF($B353="","",IF($C353="TANIMSIZ MÜŞTERİ","HATA",IF($G353="Pasif","PASİF",IF(AND(WEEKDAY($D353,2)=6,OR($E353="",WEEKDAY($E353,2)=6),$F353&gt;0),"UYGUN","HATA"))))</f>
        <v/>
      </c>
      <c r="N353" s="108" t="n"/>
      <c r="O353" s="6" t="n"/>
      <c r="P353" s="6" t="n"/>
    </row>
    <row r="354">
      <c r="A354" s="6" t="n"/>
      <c r="B354" s="107" t="n"/>
      <c r="C354" s="113">
        <f>IF($B354="","",IFERROR(INDEX(MUSTERILER!$C$7:$C$106,MATCH($B354,MUSTERILER!$B$7:$B$106,0)),"TANIMSIZ MÜŞTERİ"))</f>
        <v/>
      </c>
      <c r="D354" s="114" t="n"/>
      <c r="E354" s="114" t="n"/>
      <c r="F354" s="115" t="n"/>
      <c r="G354" s="107" t="n"/>
      <c r="H354" s="116">
        <f>IF(OR($B354="",$D354="",$F354=""),0,$F354*MAX(0,INT((MIN(IF($E354="",TODAY(),$E354),TODAY())-$D354)/7)+1))</f>
        <v/>
      </c>
      <c r="I354" s="116">
        <f>IF(OR($B354="",$D354="",$F354=""),0,$F354*MAX(0,INT((MIN(IF($E354="",TODAY()-8,$E354),TODAY()-8)-$D354)/7)+1))</f>
        <v/>
      </c>
      <c r="J354" s="116">
        <f>IF(OR($B354="",$D354="",$F354=""),0,$F354*MAX(0,INT((MIN(IF($E354="",TODAY()-15,$E354),TODAY()-15)-$D354)/7)+1))</f>
        <v/>
      </c>
      <c r="K354" s="116">
        <f>IF(OR($B354="",$D354="",$F354=""),0,$F354*MAX(0,INT((MIN(IF($E354="",TODAY()-29,$E354),TODAY()-29)-$D354)/7)+1))</f>
        <v/>
      </c>
      <c r="L354" s="117">
        <f>IF($F354&gt;0,$H354/$F354,0)</f>
        <v/>
      </c>
      <c r="M354" s="112">
        <f>IF($B354="","",IF($C354="TANIMSIZ MÜŞTERİ","HATA",IF($G354="Pasif","PASİF",IF(AND(WEEKDAY($D354,2)=6,OR($E354="",WEEKDAY($E354,2)=6),$F354&gt;0),"UYGUN","HATA"))))</f>
        <v/>
      </c>
      <c r="N354" s="108" t="n"/>
      <c r="O354" s="6" t="n"/>
      <c r="P354" s="6" t="n"/>
    </row>
    <row r="355">
      <c r="A355" s="6" t="n"/>
      <c r="B355" s="107" t="n"/>
      <c r="C355" s="113">
        <f>IF($B355="","",IFERROR(INDEX(MUSTERILER!$C$7:$C$106,MATCH($B355,MUSTERILER!$B$7:$B$106,0)),"TANIMSIZ MÜŞTERİ"))</f>
        <v/>
      </c>
      <c r="D355" s="114" t="n"/>
      <c r="E355" s="114" t="n"/>
      <c r="F355" s="115" t="n"/>
      <c r="G355" s="107" t="n"/>
      <c r="H355" s="116">
        <f>IF(OR($B355="",$D355="",$F355=""),0,$F355*MAX(0,INT((MIN(IF($E355="",TODAY(),$E355),TODAY())-$D355)/7)+1))</f>
        <v/>
      </c>
      <c r="I355" s="116">
        <f>IF(OR($B355="",$D355="",$F355=""),0,$F355*MAX(0,INT((MIN(IF($E355="",TODAY()-8,$E355),TODAY()-8)-$D355)/7)+1))</f>
        <v/>
      </c>
      <c r="J355" s="116">
        <f>IF(OR($B355="",$D355="",$F355=""),0,$F355*MAX(0,INT((MIN(IF($E355="",TODAY()-15,$E355),TODAY()-15)-$D355)/7)+1))</f>
        <v/>
      </c>
      <c r="K355" s="116">
        <f>IF(OR($B355="",$D355="",$F355=""),0,$F355*MAX(0,INT((MIN(IF($E355="",TODAY()-29,$E355),TODAY()-29)-$D355)/7)+1))</f>
        <v/>
      </c>
      <c r="L355" s="117">
        <f>IF($F355&gt;0,$H355/$F355,0)</f>
        <v/>
      </c>
      <c r="M355" s="112">
        <f>IF($B355="","",IF($C355="TANIMSIZ MÜŞTERİ","HATA",IF($G355="Pasif","PASİF",IF(AND(WEEKDAY($D355,2)=6,OR($E355="",WEEKDAY($E355,2)=6),$F355&gt;0),"UYGUN","HATA"))))</f>
        <v/>
      </c>
      <c r="N355" s="108" t="n"/>
      <c r="O355" s="6" t="n"/>
      <c r="P355" s="6" t="n"/>
    </row>
    <row r="356">
      <c r="A356" s="6" t="n"/>
      <c r="B356" s="107" t="n"/>
      <c r="C356" s="113">
        <f>IF($B356="","",IFERROR(INDEX(MUSTERILER!$C$7:$C$106,MATCH($B356,MUSTERILER!$B$7:$B$106,0)),"TANIMSIZ MÜŞTERİ"))</f>
        <v/>
      </c>
      <c r="D356" s="114" t="n"/>
      <c r="E356" s="114" t="n"/>
      <c r="F356" s="115" t="n"/>
      <c r="G356" s="107" t="n"/>
      <c r="H356" s="116">
        <f>IF(OR($B356="",$D356="",$F356=""),0,$F356*MAX(0,INT((MIN(IF($E356="",TODAY(),$E356),TODAY())-$D356)/7)+1))</f>
        <v/>
      </c>
      <c r="I356" s="116">
        <f>IF(OR($B356="",$D356="",$F356=""),0,$F356*MAX(0,INT((MIN(IF($E356="",TODAY()-8,$E356),TODAY()-8)-$D356)/7)+1))</f>
        <v/>
      </c>
      <c r="J356" s="116">
        <f>IF(OR($B356="",$D356="",$F356=""),0,$F356*MAX(0,INT((MIN(IF($E356="",TODAY()-15,$E356),TODAY()-15)-$D356)/7)+1))</f>
        <v/>
      </c>
      <c r="K356" s="116">
        <f>IF(OR($B356="",$D356="",$F356=""),0,$F356*MAX(0,INT((MIN(IF($E356="",TODAY()-29,$E356),TODAY()-29)-$D356)/7)+1))</f>
        <v/>
      </c>
      <c r="L356" s="117">
        <f>IF($F356&gt;0,$H356/$F356,0)</f>
        <v/>
      </c>
      <c r="M356" s="112">
        <f>IF($B356="","",IF($C356="TANIMSIZ MÜŞTERİ","HATA",IF($G356="Pasif","PASİF",IF(AND(WEEKDAY($D356,2)=6,OR($E356="",WEEKDAY($E356,2)=6),$F356&gt;0),"UYGUN","HATA"))))</f>
        <v/>
      </c>
      <c r="N356" s="108" t="n"/>
      <c r="O356" s="6" t="n"/>
      <c r="P356" s="6" t="n"/>
    </row>
    <row r="357">
      <c r="A357" s="6" t="n"/>
      <c r="B357" s="107" t="n"/>
      <c r="C357" s="113">
        <f>IF($B357="","",IFERROR(INDEX(MUSTERILER!$C$7:$C$106,MATCH($B357,MUSTERILER!$B$7:$B$106,0)),"TANIMSIZ MÜŞTERİ"))</f>
        <v/>
      </c>
      <c r="D357" s="114" t="n"/>
      <c r="E357" s="114" t="n"/>
      <c r="F357" s="115" t="n"/>
      <c r="G357" s="107" t="n"/>
      <c r="H357" s="116">
        <f>IF(OR($B357="",$D357="",$F357=""),0,$F357*MAX(0,INT((MIN(IF($E357="",TODAY(),$E357),TODAY())-$D357)/7)+1))</f>
        <v/>
      </c>
      <c r="I357" s="116">
        <f>IF(OR($B357="",$D357="",$F357=""),0,$F357*MAX(0,INT((MIN(IF($E357="",TODAY()-8,$E357),TODAY()-8)-$D357)/7)+1))</f>
        <v/>
      </c>
      <c r="J357" s="116">
        <f>IF(OR($B357="",$D357="",$F357=""),0,$F357*MAX(0,INT((MIN(IF($E357="",TODAY()-15,$E357),TODAY()-15)-$D357)/7)+1))</f>
        <v/>
      </c>
      <c r="K357" s="116">
        <f>IF(OR($B357="",$D357="",$F357=""),0,$F357*MAX(0,INT((MIN(IF($E357="",TODAY()-29,$E357),TODAY()-29)-$D357)/7)+1))</f>
        <v/>
      </c>
      <c r="L357" s="117">
        <f>IF($F357&gt;0,$H357/$F357,0)</f>
        <v/>
      </c>
      <c r="M357" s="112">
        <f>IF($B357="","",IF($C357="TANIMSIZ MÜŞTERİ","HATA",IF($G357="Pasif","PASİF",IF(AND(WEEKDAY($D357,2)=6,OR($E357="",WEEKDAY($E357,2)=6),$F357&gt;0),"UYGUN","HATA"))))</f>
        <v/>
      </c>
      <c r="N357" s="108" t="n"/>
      <c r="O357" s="6" t="n"/>
      <c r="P357" s="6" t="n"/>
    </row>
    <row r="358">
      <c r="A358" s="6" t="n"/>
      <c r="B358" s="107" t="n"/>
      <c r="C358" s="113">
        <f>IF($B358="","",IFERROR(INDEX(MUSTERILER!$C$7:$C$106,MATCH($B358,MUSTERILER!$B$7:$B$106,0)),"TANIMSIZ MÜŞTERİ"))</f>
        <v/>
      </c>
      <c r="D358" s="114" t="n"/>
      <c r="E358" s="114" t="n"/>
      <c r="F358" s="115" t="n"/>
      <c r="G358" s="107" t="n"/>
      <c r="H358" s="116">
        <f>IF(OR($B358="",$D358="",$F358=""),0,$F358*MAX(0,INT((MIN(IF($E358="",TODAY(),$E358),TODAY())-$D358)/7)+1))</f>
        <v/>
      </c>
      <c r="I358" s="116">
        <f>IF(OR($B358="",$D358="",$F358=""),0,$F358*MAX(0,INT((MIN(IF($E358="",TODAY()-8,$E358),TODAY()-8)-$D358)/7)+1))</f>
        <v/>
      </c>
      <c r="J358" s="116">
        <f>IF(OR($B358="",$D358="",$F358=""),0,$F358*MAX(0,INT((MIN(IF($E358="",TODAY()-15,$E358),TODAY()-15)-$D358)/7)+1))</f>
        <v/>
      </c>
      <c r="K358" s="116">
        <f>IF(OR($B358="",$D358="",$F358=""),0,$F358*MAX(0,INT((MIN(IF($E358="",TODAY()-29,$E358),TODAY()-29)-$D358)/7)+1))</f>
        <v/>
      </c>
      <c r="L358" s="117">
        <f>IF($F358&gt;0,$H358/$F358,0)</f>
        <v/>
      </c>
      <c r="M358" s="112">
        <f>IF($B358="","",IF($C358="TANIMSIZ MÜŞTERİ","HATA",IF($G358="Pasif","PASİF",IF(AND(WEEKDAY($D358,2)=6,OR($E358="",WEEKDAY($E358,2)=6),$F358&gt;0),"UYGUN","HATA"))))</f>
        <v/>
      </c>
      <c r="N358" s="108" t="n"/>
      <c r="O358" s="6" t="n"/>
      <c r="P358" s="6" t="n"/>
    </row>
    <row r="359">
      <c r="A359" s="6" t="n"/>
      <c r="B359" s="107" t="n"/>
      <c r="C359" s="113">
        <f>IF($B359="","",IFERROR(INDEX(MUSTERILER!$C$7:$C$106,MATCH($B359,MUSTERILER!$B$7:$B$106,0)),"TANIMSIZ MÜŞTERİ"))</f>
        <v/>
      </c>
      <c r="D359" s="114" t="n"/>
      <c r="E359" s="114" t="n"/>
      <c r="F359" s="115" t="n"/>
      <c r="G359" s="107" t="n"/>
      <c r="H359" s="116">
        <f>IF(OR($B359="",$D359="",$F359=""),0,$F359*MAX(0,INT((MIN(IF($E359="",TODAY(),$E359),TODAY())-$D359)/7)+1))</f>
        <v/>
      </c>
      <c r="I359" s="116">
        <f>IF(OR($B359="",$D359="",$F359=""),0,$F359*MAX(0,INT((MIN(IF($E359="",TODAY()-8,$E359),TODAY()-8)-$D359)/7)+1))</f>
        <v/>
      </c>
      <c r="J359" s="116">
        <f>IF(OR($B359="",$D359="",$F359=""),0,$F359*MAX(0,INT((MIN(IF($E359="",TODAY()-15,$E359),TODAY()-15)-$D359)/7)+1))</f>
        <v/>
      </c>
      <c r="K359" s="116">
        <f>IF(OR($B359="",$D359="",$F359=""),0,$F359*MAX(0,INT((MIN(IF($E359="",TODAY()-29,$E359),TODAY()-29)-$D359)/7)+1))</f>
        <v/>
      </c>
      <c r="L359" s="117">
        <f>IF($F359&gt;0,$H359/$F359,0)</f>
        <v/>
      </c>
      <c r="M359" s="112">
        <f>IF($B359="","",IF($C359="TANIMSIZ MÜŞTERİ","HATA",IF($G359="Pasif","PASİF",IF(AND(WEEKDAY($D359,2)=6,OR($E359="",WEEKDAY($E359,2)=6),$F359&gt;0),"UYGUN","HATA"))))</f>
        <v/>
      </c>
      <c r="N359" s="108" t="n"/>
      <c r="O359" s="6" t="n"/>
      <c r="P359" s="6" t="n"/>
    </row>
    <row r="360">
      <c r="A360" s="6" t="n"/>
      <c r="B360" s="107" t="n"/>
      <c r="C360" s="113">
        <f>IF($B360="","",IFERROR(INDEX(MUSTERILER!$C$7:$C$106,MATCH($B360,MUSTERILER!$B$7:$B$106,0)),"TANIMSIZ MÜŞTERİ"))</f>
        <v/>
      </c>
      <c r="D360" s="114" t="n"/>
      <c r="E360" s="114" t="n"/>
      <c r="F360" s="115" t="n"/>
      <c r="G360" s="107" t="n"/>
      <c r="H360" s="116">
        <f>IF(OR($B360="",$D360="",$F360=""),0,$F360*MAX(0,INT((MIN(IF($E360="",TODAY(),$E360),TODAY())-$D360)/7)+1))</f>
        <v/>
      </c>
      <c r="I360" s="116">
        <f>IF(OR($B360="",$D360="",$F360=""),0,$F360*MAX(0,INT((MIN(IF($E360="",TODAY()-8,$E360),TODAY()-8)-$D360)/7)+1))</f>
        <v/>
      </c>
      <c r="J360" s="116">
        <f>IF(OR($B360="",$D360="",$F360=""),0,$F360*MAX(0,INT((MIN(IF($E360="",TODAY()-15,$E360),TODAY()-15)-$D360)/7)+1))</f>
        <v/>
      </c>
      <c r="K360" s="116">
        <f>IF(OR($B360="",$D360="",$F360=""),0,$F360*MAX(0,INT((MIN(IF($E360="",TODAY()-29,$E360),TODAY()-29)-$D360)/7)+1))</f>
        <v/>
      </c>
      <c r="L360" s="117">
        <f>IF($F360&gt;0,$H360/$F360,0)</f>
        <v/>
      </c>
      <c r="M360" s="112">
        <f>IF($B360="","",IF($C360="TANIMSIZ MÜŞTERİ","HATA",IF($G360="Pasif","PASİF",IF(AND(WEEKDAY($D360,2)=6,OR($E360="",WEEKDAY($E360,2)=6),$F360&gt;0),"UYGUN","HATA"))))</f>
        <v/>
      </c>
      <c r="N360" s="108" t="n"/>
      <c r="O360" s="6" t="n"/>
      <c r="P360" s="6" t="n"/>
    </row>
    <row r="361">
      <c r="A361" s="6" t="n"/>
      <c r="B361" s="107" t="n"/>
      <c r="C361" s="113">
        <f>IF($B361="","",IFERROR(INDEX(MUSTERILER!$C$7:$C$106,MATCH($B361,MUSTERILER!$B$7:$B$106,0)),"TANIMSIZ MÜŞTERİ"))</f>
        <v/>
      </c>
      <c r="D361" s="114" t="n"/>
      <c r="E361" s="114" t="n"/>
      <c r="F361" s="115" t="n"/>
      <c r="G361" s="107" t="n"/>
      <c r="H361" s="116">
        <f>IF(OR($B361="",$D361="",$F361=""),0,$F361*MAX(0,INT((MIN(IF($E361="",TODAY(),$E361),TODAY())-$D361)/7)+1))</f>
        <v/>
      </c>
      <c r="I361" s="116">
        <f>IF(OR($B361="",$D361="",$F361=""),0,$F361*MAX(0,INT((MIN(IF($E361="",TODAY()-8,$E361),TODAY()-8)-$D361)/7)+1))</f>
        <v/>
      </c>
      <c r="J361" s="116">
        <f>IF(OR($B361="",$D361="",$F361=""),0,$F361*MAX(0,INT((MIN(IF($E361="",TODAY()-15,$E361),TODAY()-15)-$D361)/7)+1))</f>
        <v/>
      </c>
      <c r="K361" s="116">
        <f>IF(OR($B361="",$D361="",$F361=""),0,$F361*MAX(0,INT((MIN(IF($E361="",TODAY()-29,$E361),TODAY()-29)-$D361)/7)+1))</f>
        <v/>
      </c>
      <c r="L361" s="117">
        <f>IF($F361&gt;0,$H361/$F361,0)</f>
        <v/>
      </c>
      <c r="M361" s="112">
        <f>IF($B361="","",IF($C361="TANIMSIZ MÜŞTERİ","HATA",IF($G361="Pasif","PASİF",IF(AND(WEEKDAY($D361,2)=6,OR($E361="",WEEKDAY($E361,2)=6),$F361&gt;0),"UYGUN","HATA"))))</f>
        <v/>
      </c>
      <c r="N361" s="108" t="n"/>
      <c r="O361" s="6" t="n"/>
      <c r="P361" s="6" t="n"/>
    </row>
    <row r="362">
      <c r="A362" s="6" t="n"/>
      <c r="B362" s="107" t="n"/>
      <c r="C362" s="113">
        <f>IF($B362="","",IFERROR(INDEX(MUSTERILER!$C$7:$C$106,MATCH($B362,MUSTERILER!$B$7:$B$106,0)),"TANIMSIZ MÜŞTERİ"))</f>
        <v/>
      </c>
      <c r="D362" s="114" t="n"/>
      <c r="E362" s="114" t="n"/>
      <c r="F362" s="115" t="n"/>
      <c r="G362" s="107" t="n"/>
      <c r="H362" s="116">
        <f>IF(OR($B362="",$D362="",$F362=""),0,$F362*MAX(0,INT((MIN(IF($E362="",TODAY(),$E362),TODAY())-$D362)/7)+1))</f>
        <v/>
      </c>
      <c r="I362" s="116">
        <f>IF(OR($B362="",$D362="",$F362=""),0,$F362*MAX(0,INT((MIN(IF($E362="",TODAY()-8,$E362),TODAY()-8)-$D362)/7)+1))</f>
        <v/>
      </c>
      <c r="J362" s="116">
        <f>IF(OR($B362="",$D362="",$F362=""),0,$F362*MAX(0,INT((MIN(IF($E362="",TODAY()-15,$E362),TODAY()-15)-$D362)/7)+1))</f>
        <v/>
      </c>
      <c r="K362" s="116">
        <f>IF(OR($B362="",$D362="",$F362=""),0,$F362*MAX(0,INT((MIN(IF($E362="",TODAY()-29,$E362),TODAY()-29)-$D362)/7)+1))</f>
        <v/>
      </c>
      <c r="L362" s="117">
        <f>IF($F362&gt;0,$H362/$F362,0)</f>
        <v/>
      </c>
      <c r="M362" s="112">
        <f>IF($B362="","",IF($C362="TANIMSIZ MÜŞTERİ","HATA",IF($G362="Pasif","PASİF",IF(AND(WEEKDAY($D362,2)=6,OR($E362="",WEEKDAY($E362,2)=6),$F362&gt;0),"UYGUN","HATA"))))</f>
        <v/>
      </c>
      <c r="N362" s="108" t="n"/>
      <c r="O362" s="6" t="n"/>
      <c r="P362" s="6" t="n"/>
    </row>
    <row r="363">
      <c r="A363" s="6" t="n"/>
      <c r="B363" s="107" t="n"/>
      <c r="C363" s="113">
        <f>IF($B363="","",IFERROR(INDEX(MUSTERILER!$C$7:$C$106,MATCH($B363,MUSTERILER!$B$7:$B$106,0)),"TANIMSIZ MÜŞTERİ"))</f>
        <v/>
      </c>
      <c r="D363" s="114" t="n"/>
      <c r="E363" s="114" t="n"/>
      <c r="F363" s="115" t="n"/>
      <c r="G363" s="107" t="n"/>
      <c r="H363" s="116">
        <f>IF(OR($B363="",$D363="",$F363=""),0,$F363*MAX(0,INT((MIN(IF($E363="",TODAY(),$E363),TODAY())-$D363)/7)+1))</f>
        <v/>
      </c>
      <c r="I363" s="116">
        <f>IF(OR($B363="",$D363="",$F363=""),0,$F363*MAX(0,INT((MIN(IF($E363="",TODAY()-8,$E363),TODAY()-8)-$D363)/7)+1))</f>
        <v/>
      </c>
      <c r="J363" s="116">
        <f>IF(OR($B363="",$D363="",$F363=""),0,$F363*MAX(0,INT((MIN(IF($E363="",TODAY()-15,$E363),TODAY()-15)-$D363)/7)+1))</f>
        <v/>
      </c>
      <c r="K363" s="116">
        <f>IF(OR($B363="",$D363="",$F363=""),0,$F363*MAX(0,INT((MIN(IF($E363="",TODAY()-29,$E363),TODAY()-29)-$D363)/7)+1))</f>
        <v/>
      </c>
      <c r="L363" s="117">
        <f>IF($F363&gt;0,$H363/$F363,0)</f>
        <v/>
      </c>
      <c r="M363" s="112">
        <f>IF($B363="","",IF($C363="TANIMSIZ MÜŞTERİ","HATA",IF($G363="Pasif","PASİF",IF(AND(WEEKDAY($D363,2)=6,OR($E363="",WEEKDAY($E363,2)=6),$F363&gt;0),"UYGUN","HATA"))))</f>
        <v/>
      </c>
      <c r="N363" s="108" t="n"/>
      <c r="O363" s="6" t="n"/>
      <c r="P363" s="6" t="n"/>
    </row>
    <row r="364">
      <c r="A364" s="6" t="n"/>
      <c r="B364" s="107" t="n"/>
      <c r="C364" s="113">
        <f>IF($B364="","",IFERROR(INDEX(MUSTERILER!$C$7:$C$106,MATCH($B364,MUSTERILER!$B$7:$B$106,0)),"TANIMSIZ MÜŞTERİ"))</f>
        <v/>
      </c>
      <c r="D364" s="114" t="n"/>
      <c r="E364" s="114" t="n"/>
      <c r="F364" s="115" t="n"/>
      <c r="G364" s="107" t="n"/>
      <c r="H364" s="116">
        <f>IF(OR($B364="",$D364="",$F364=""),0,$F364*MAX(0,INT((MIN(IF($E364="",TODAY(),$E364),TODAY())-$D364)/7)+1))</f>
        <v/>
      </c>
      <c r="I364" s="116">
        <f>IF(OR($B364="",$D364="",$F364=""),0,$F364*MAX(0,INT((MIN(IF($E364="",TODAY()-8,$E364),TODAY()-8)-$D364)/7)+1))</f>
        <v/>
      </c>
      <c r="J364" s="116">
        <f>IF(OR($B364="",$D364="",$F364=""),0,$F364*MAX(0,INT((MIN(IF($E364="",TODAY()-15,$E364),TODAY()-15)-$D364)/7)+1))</f>
        <v/>
      </c>
      <c r="K364" s="116">
        <f>IF(OR($B364="",$D364="",$F364=""),0,$F364*MAX(0,INT((MIN(IF($E364="",TODAY()-29,$E364),TODAY()-29)-$D364)/7)+1))</f>
        <v/>
      </c>
      <c r="L364" s="117">
        <f>IF($F364&gt;0,$H364/$F364,0)</f>
        <v/>
      </c>
      <c r="M364" s="112">
        <f>IF($B364="","",IF($C364="TANIMSIZ MÜŞTERİ","HATA",IF($G364="Pasif","PASİF",IF(AND(WEEKDAY($D364,2)=6,OR($E364="",WEEKDAY($E364,2)=6),$F364&gt;0),"UYGUN","HATA"))))</f>
        <v/>
      </c>
      <c r="N364" s="108" t="n"/>
      <c r="O364" s="6" t="n"/>
      <c r="P364" s="6" t="n"/>
    </row>
    <row r="365">
      <c r="A365" s="6" t="n"/>
      <c r="B365" s="107" t="n"/>
      <c r="C365" s="113">
        <f>IF($B365="","",IFERROR(INDEX(MUSTERILER!$C$7:$C$106,MATCH($B365,MUSTERILER!$B$7:$B$106,0)),"TANIMSIZ MÜŞTERİ"))</f>
        <v/>
      </c>
      <c r="D365" s="114" t="n"/>
      <c r="E365" s="114" t="n"/>
      <c r="F365" s="115" t="n"/>
      <c r="G365" s="107" t="n"/>
      <c r="H365" s="116">
        <f>IF(OR($B365="",$D365="",$F365=""),0,$F365*MAX(0,INT((MIN(IF($E365="",TODAY(),$E365),TODAY())-$D365)/7)+1))</f>
        <v/>
      </c>
      <c r="I365" s="116">
        <f>IF(OR($B365="",$D365="",$F365=""),0,$F365*MAX(0,INT((MIN(IF($E365="",TODAY()-8,$E365),TODAY()-8)-$D365)/7)+1))</f>
        <v/>
      </c>
      <c r="J365" s="116">
        <f>IF(OR($B365="",$D365="",$F365=""),0,$F365*MAX(0,INT((MIN(IF($E365="",TODAY()-15,$E365),TODAY()-15)-$D365)/7)+1))</f>
        <v/>
      </c>
      <c r="K365" s="116">
        <f>IF(OR($B365="",$D365="",$F365=""),0,$F365*MAX(0,INT((MIN(IF($E365="",TODAY()-29,$E365),TODAY()-29)-$D365)/7)+1))</f>
        <v/>
      </c>
      <c r="L365" s="117">
        <f>IF($F365&gt;0,$H365/$F365,0)</f>
        <v/>
      </c>
      <c r="M365" s="112">
        <f>IF($B365="","",IF($C365="TANIMSIZ MÜŞTERİ","HATA",IF($G365="Pasif","PASİF",IF(AND(WEEKDAY($D365,2)=6,OR($E365="",WEEKDAY($E365,2)=6),$F365&gt;0),"UYGUN","HATA"))))</f>
        <v/>
      </c>
      <c r="N365" s="108" t="n"/>
      <c r="O365" s="6" t="n"/>
      <c r="P365" s="6" t="n"/>
    </row>
    <row r="366">
      <c r="A366" s="6" t="n"/>
      <c r="B366" s="107" t="n"/>
      <c r="C366" s="113">
        <f>IF($B366="","",IFERROR(INDEX(MUSTERILER!$C$7:$C$106,MATCH($B366,MUSTERILER!$B$7:$B$106,0)),"TANIMSIZ MÜŞTERİ"))</f>
        <v/>
      </c>
      <c r="D366" s="114" t="n"/>
      <c r="E366" s="114" t="n"/>
      <c r="F366" s="115" t="n"/>
      <c r="G366" s="107" t="n"/>
      <c r="H366" s="116">
        <f>IF(OR($B366="",$D366="",$F366=""),0,$F366*MAX(0,INT((MIN(IF($E366="",TODAY(),$E366),TODAY())-$D366)/7)+1))</f>
        <v/>
      </c>
      <c r="I366" s="116">
        <f>IF(OR($B366="",$D366="",$F366=""),0,$F366*MAX(0,INT((MIN(IF($E366="",TODAY()-8,$E366),TODAY()-8)-$D366)/7)+1))</f>
        <v/>
      </c>
      <c r="J366" s="116">
        <f>IF(OR($B366="",$D366="",$F366=""),0,$F366*MAX(0,INT((MIN(IF($E366="",TODAY()-15,$E366),TODAY()-15)-$D366)/7)+1))</f>
        <v/>
      </c>
      <c r="K366" s="116">
        <f>IF(OR($B366="",$D366="",$F366=""),0,$F366*MAX(0,INT((MIN(IF($E366="",TODAY()-29,$E366),TODAY()-29)-$D366)/7)+1))</f>
        <v/>
      </c>
      <c r="L366" s="117">
        <f>IF($F366&gt;0,$H366/$F366,0)</f>
        <v/>
      </c>
      <c r="M366" s="112">
        <f>IF($B366="","",IF($C366="TANIMSIZ MÜŞTERİ","HATA",IF($G366="Pasif","PASİF",IF(AND(WEEKDAY($D366,2)=6,OR($E366="",WEEKDAY($E366,2)=6),$F366&gt;0),"UYGUN","HATA"))))</f>
        <v/>
      </c>
      <c r="N366" s="108" t="n"/>
      <c r="O366" s="6" t="n"/>
      <c r="P366" s="6" t="n"/>
    </row>
    <row r="367">
      <c r="A367" s="6" t="n"/>
      <c r="B367" s="107" t="n"/>
      <c r="C367" s="113">
        <f>IF($B367="","",IFERROR(INDEX(MUSTERILER!$C$7:$C$106,MATCH($B367,MUSTERILER!$B$7:$B$106,0)),"TANIMSIZ MÜŞTERİ"))</f>
        <v/>
      </c>
      <c r="D367" s="114" t="n"/>
      <c r="E367" s="114" t="n"/>
      <c r="F367" s="115" t="n"/>
      <c r="G367" s="107" t="n"/>
      <c r="H367" s="116">
        <f>IF(OR($B367="",$D367="",$F367=""),0,$F367*MAX(0,INT((MIN(IF($E367="",TODAY(),$E367),TODAY())-$D367)/7)+1))</f>
        <v/>
      </c>
      <c r="I367" s="116">
        <f>IF(OR($B367="",$D367="",$F367=""),0,$F367*MAX(0,INT((MIN(IF($E367="",TODAY()-8,$E367),TODAY()-8)-$D367)/7)+1))</f>
        <v/>
      </c>
      <c r="J367" s="116">
        <f>IF(OR($B367="",$D367="",$F367=""),0,$F367*MAX(0,INT((MIN(IF($E367="",TODAY()-15,$E367),TODAY()-15)-$D367)/7)+1))</f>
        <v/>
      </c>
      <c r="K367" s="116">
        <f>IF(OR($B367="",$D367="",$F367=""),0,$F367*MAX(0,INT((MIN(IF($E367="",TODAY()-29,$E367),TODAY()-29)-$D367)/7)+1))</f>
        <v/>
      </c>
      <c r="L367" s="117">
        <f>IF($F367&gt;0,$H367/$F367,0)</f>
        <v/>
      </c>
      <c r="M367" s="112">
        <f>IF($B367="","",IF($C367="TANIMSIZ MÜŞTERİ","HATA",IF($G367="Pasif","PASİF",IF(AND(WEEKDAY($D367,2)=6,OR($E367="",WEEKDAY($E367,2)=6),$F367&gt;0),"UYGUN","HATA"))))</f>
        <v/>
      </c>
      <c r="N367" s="108" t="n"/>
      <c r="O367" s="6" t="n"/>
      <c r="P367" s="6" t="n"/>
    </row>
    <row r="368">
      <c r="A368" s="6" t="n"/>
      <c r="B368" s="107" t="n"/>
      <c r="C368" s="113">
        <f>IF($B368="","",IFERROR(INDEX(MUSTERILER!$C$7:$C$106,MATCH($B368,MUSTERILER!$B$7:$B$106,0)),"TANIMSIZ MÜŞTERİ"))</f>
        <v/>
      </c>
      <c r="D368" s="114" t="n"/>
      <c r="E368" s="114" t="n"/>
      <c r="F368" s="115" t="n"/>
      <c r="G368" s="107" t="n"/>
      <c r="H368" s="116">
        <f>IF(OR($B368="",$D368="",$F368=""),0,$F368*MAX(0,INT((MIN(IF($E368="",TODAY(),$E368),TODAY())-$D368)/7)+1))</f>
        <v/>
      </c>
      <c r="I368" s="116">
        <f>IF(OR($B368="",$D368="",$F368=""),0,$F368*MAX(0,INT((MIN(IF($E368="",TODAY()-8,$E368),TODAY()-8)-$D368)/7)+1))</f>
        <v/>
      </c>
      <c r="J368" s="116">
        <f>IF(OR($B368="",$D368="",$F368=""),0,$F368*MAX(0,INT((MIN(IF($E368="",TODAY()-15,$E368),TODAY()-15)-$D368)/7)+1))</f>
        <v/>
      </c>
      <c r="K368" s="116">
        <f>IF(OR($B368="",$D368="",$F368=""),0,$F368*MAX(0,INT((MIN(IF($E368="",TODAY()-29,$E368),TODAY()-29)-$D368)/7)+1))</f>
        <v/>
      </c>
      <c r="L368" s="117">
        <f>IF($F368&gt;0,$H368/$F368,0)</f>
        <v/>
      </c>
      <c r="M368" s="112">
        <f>IF($B368="","",IF($C368="TANIMSIZ MÜŞTERİ","HATA",IF($G368="Pasif","PASİF",IF(AND(WEEKDAY($D368,2)=6,OR($E368="",WEEKDAY($E368,2)=6),$F368&gt;0),"UYGUN","HATA"))))</f>
        <v/>
      </c>
      <c r="N368" s="108" t="n"/>
      <c r="O368" s="6" t="n"/>
      <c r="P368" s="6" t="n"/>
    </row>
    <row r="369">
      <c r="A369" s="6" t="n"/>
      <c r="B369" s="107" t="n"/>
      <c r="C369" s="113">
        <f>IF($B369="","",IFERROR(INDEX(MUSTERILER!$C$7:$C$106,MATCH($B369,MUSTERILER!$B$7:$B$106,0)),"TANIMSIZ MÜŞTERİ"))</f>
        <v/>
      </c>
      <c r="D369" s="114" t="n"/>
      <c r="E369" s="114" t="n"/>
      <c r="F369" s="115" t="n"/>
      <c r="G369" s="107" t="n"/>
      <c r="H369" s="116">
        <f>IF(OR($B369="",$D369="",$F369=""),0,$F369*MAX(0,INT((MIN(IF($E369="",TODAY(),$E369),TODAY())-$D369)/7)+1))</f>
        <v/>
      </c>
      <c r="I369" s="116">
        <f>IF(OR($B369="",$D369="",$F369=""),0,$F369*MAX(0,INT((MIN(IF($E369="",TODAY()-8,$E369),TODAY()-8)-$D369)/7)+1))</f>
        <v/>
      </c>
      <c r="J369" s="116">
        <f>IF(OR($B369="",$D369="",$F369=""),0,$F369*MAX(0,INT((MIN(IF($E369="",TODAY()-15,$E369),TODAY()-15)-$D369)/7)+1))</f>
        <v/>
      </c>
      <c r="K369" s="116">
        <f>IF(OR($B369="",$D369="",$F369=""),0,$F369*MAX(0,INT((MIN(IF($E369="",TODAY()-29,$E369),TODAY()-29)-$D369)/7)+1))</f>
        <v/>
      </c>
      <c r="L369" s="117">
        <f>IF($F369&gt;0,$H369/$F369,0)</f>
        <v/>
      </c>
      <c r="M369" s="112">
        <f>IF($B369="","",IF($C369="TANIMSIZ MÜŞTERİ","HATA",IF($G369="Pasif","PASİF",IF(AND(WEEKDAY($D369,2)=6,OR($E369="",WEEKDAY($E369,2)=6),$F369&gt;0),"UYGUN","HATA"))))</f>
        <v/>
      </c>
      <c r="N369" s="108" t="n"/>
      <c r="O369" s="6" t="n"/>
      <c r="P369" s="6" t="n"/>
    </row>
    <row r="370">
      <c r="A370" s="6" t="n"/>
      <c r="B370" s="107" t="n"/>
      <c r="C370" s="113">
        <f>IF($B370="","",IFERROR(INDEX(MUSTERILER!$C$7:$C$106,MATCH($B370,MUSTERILER!$B$7:$B$106,0)),"TANIMSIZ MÜŞTERİ"))</f>
        <v/>
      </c>
      <c r="D370" s="114" t="n"/>
      <c r="E370" s="114" t="n"/>
      <c r="F370" s="115" t="n"/>
      <c r="G370" s="107" t="n"/>
      <c r="H370" s="116">
        <f>IF(OR($B370="",$D370="",$F370=""),0,$F370*MAX(0,INT((MIN(IF($E370="",TODAY(),$E370),TODAY())-$D370)/7)+1))</f>
        <v/>
      </c>
      <c r="I370" s="116">
        <f>IF(OR($B370="",$D370="",$F370=""),0,$F370*MAX(0,INT((MIN(IF($E370="",TODAY()-8,$E370),TODAY()-8)-$D370)/7)+1))</f>
        <v/>
      </c>
      <c r="J370" s="116">
        <f>IF(OR($B370="",$D370="",$F370=""),0,$F370*MAX(0,INT((MIN(IF($E370="",TODAY()-15,$E370),TODAY()-15)-$D370)/7)+1))</f>
        <v/>
      </c>
      <c r="K370" s="116">
        <f>IF(OR($B370="",$D370="",$F370=""),0,$F370*MAX(0,INT((MIN(IF($E370="",TODAY()-29,$E370),TODAY()-29)-$D370)/7)+1))</f>
        <v/>
      </c>
      <c r="L370" s="117">
        <f>IF($F370&gt;0,$H370/$F370,0)</f>
        <v/>
      </c>
      <c r="M370" s="112">
        <f>IF($B370="","",IF($C370="TANIMSIZ MÜŞTERİ","HATA",IF($G370="Pasif","PASİF",IF(AND(WEEKDAY($D370,2)=6,OR($E370="",WEEKDAY($E370,2)=6),$F370&gt;0),"UYGUN","HATA"))))</f>
        <v/>
      </c>
      <c r="N370" s="108" t="n"/>
      <c r="O370" s="6" t="n"/>
      <c r="P370" s="6" t="n"/>
    </row>
    <row r="371">
      <c r="A371" s="6" t="n"/>
      <c r="B371" s="107" t="n"/>
      <c r="C371" s="113">
        <f>IF($B371="","",IFERROR(INDEX(MUSTERILER!$C$7:$C$106,MATCH($B371,MUSTERILER!$B$7:$B$106,0)),"TANIMSIZ MÜŞTERİ"))</f>
        <v/>
      </c>
      <c r="D371" s="114" t="n"/>
      <c r="E371" s="114" t="n"/>
      <c r="F371" s="115" t="n"/>
      <c r="G371" s="107" t="n"/>
      <c r="H371" s="116">
        <f>IF(OR($B371="",$D371="",$F371=""),0,$F371*MAX(0,INT((MIN(IF($E371="",TODAY(),$E371),TODAY())-$D371)/7)+1))</f>
        <v/>
      </c>
      <c r="I371" s="116">
        <f>IF(OR($B371="",$D371="",$F371=""),0,$F371*MAX(0,INT((MIN(IF($E371="",TODAY()-8,$E371),TODAY()-8)-$D371)/7)+1))</f>
        <v/>
      </c>
      <c r="J371" s="116">
        <f>IF(OR($B371="",$D371="",$F371=""),0,$F371*MAX(0,INT((MIN(IF($E371="",TODAY()-15,$E371),TODAY()-15)-$D371)/7)+1))</f>
        <v/>
      </c>
      <c r="K371" s="116">
        <f>IF(OR($B371="",$D371="",$F371=""),0,$F371*MAX(0,INT((MIN(IF($E371="",TODAY()-29,$E371),TODAY()-29)-$D371)/7)+1))</f>
        <v/>
      </c>
      <c r="L371" s="117">
        <f>IF($F371&gt;0,$H371/$F371,0)</f>
        <v/>
      </c>
      <c r="M371" s="112">
        <f>IF($B371="","",IF($C371="TANIMSIZ MÜŞTERİ","HATA",IF($G371="Pasif","PASİF",IF(AND(WEEKDAY($D371,2)=6,OR($E371="",WEEKDAY($E371,2)=6),$F371&gt;0),"UYGUN","HATA"))))</f>
        <v/>
      </c>
      <c r="N371" s="108" t="n"/>
      <c r="O371" s="6" t="n"/>
      <c r="P371" s="6" t="n"/>
    </row>
    <row r="372">
      <c r="A372" s="6" t="n"/>
      <c r="B372" s="107" t="n"/>
      <c r="C372" s="113">
        <f>IF($B372="","",IFERROR(INDEX(MUSTERILER!$C$7:$C$106,MATCH($B372,MUSTERILER!$B$7:$B$106,0)),"TANIMSIZ MÜŞTERİ"))</f>
        <v/>
      </c>
      <c r="D372" s="114" t="n"/>
      <c r="E372" s="114" t="n"/>
      <c r="F372" s="115" t="n"/>
      <c r="G372" s="107" t="n"/>
      <c r="H372" s="116">
        <f>IF(OR($B372="",$D372="",$F372=""),0,$F372*MAX(0,INT((MIN(IF($E372="",TODAY(),$E372),TODAY())-$D372)/7)+1))</f>
        <v/>
      </c>
      <c r="I372" s="116">
        <f>IF(OR($B372="",$D372="",$F372=""),0,$F372*MAX(0,INT((MIN(IF($E372="",TODAY()-8,$E372),TODAY()-8)-$D372)/7)+1))</f>
        <v/>
      </c>
      <c r="J372" s="116">
        <f>IF(OR($B372="",$D372="",$F372=""),0,$F372*MAX(0,INT((MIN(IF($E372="",TODAY()-15,$E372),TODAY()-15)-$D372)/7)+1))</f>
        <v/>
      </c>
      <c r="K372" s="116">
        <f>IF(OR($B372="",$D372="",$F372=""),0,$F372*MAX(0,INT((MIN(IF($E372="",TODAY()-29,$E372),TODAY()-29)-$D372)/7)+1))</f>
        <v/>
      </c>
      <c r="L372" s="117">
        <f>IF($F372&gt;0,$H372/$F372,0)</f>
        <v/>
      </c>
      <c r="M372" s="112">
        <f>IF($B372="","",IF($C372="TANIMSIZ MÜŞTERİ","HATA",IF($G372="Pasif","PASİF",IF(AND(WEEKDAY($D372,2)=6,OR($E372="",WEEKDAY($E372,2)=6),$F372&gt;0),"UYGUN","HATA"))))</f>
        <v/>
      </c>
      <c r="N372" s="108" t="n"/>
      <c r="O372" s="6" t="n"/>
      <c r="P372" s="6" t="n"/>
    </row>
    <row r="373">
      <c r="A373" s="6" t="n"/>
      <c r="B373" s="107" t="n"/>
      <c r="C373" s="113">
        <f>IF($B373="","",IFERROR(INDEX(MUSTERILER!$C$7:$C$106,MATCH($B373,MUSTERILER!$B$7:$B$106,0)),"TANIMSIZ MÜŞTERİ"))</f>
        <v/>
      </c>
      <c r="D373" s="114" t="n"/>
      <c r="E373" s="114" t="n"/>
      <c r="F373" s="115" t="n"/>
      <c r="G373" s="107" t="n"/>
      <c r="H373" s="116">
        <f>IF(OR($B373="",$D373="",$F373=""),0,$F373*MAX(0,INT((MIN(IF($E373="",TODAY(),$E373),TODAY())-$D373)/7)+1))</f>
        <v/>
      </c>
      <c r="I373" s="116">
        <f>IF(OR($B373="",$D373="",$F373=""),0,$F373*MAX(0,INT((MIN(IF($E373="",TODAY()-8,$E373),TODAY()-8)-$D373)/7)+1))</f>
        <v/>
      </c>
      <c r="J373" s="116">
        <f>IF(OR($B373="",$D373="",$F373=""),0,$F373*MAX(0,INT((MIN(IF($E373="",TODAY()-15,$E373),TODAY()-15)-$D373)/7)+1))</f>
        <v/>
      </c>
      <c r="K373" s="116">
        <f>IF(OR($B373="",$D373="",$F373=""),0,$F373*MAX(0,INT((MIN(IF($E373="",TODAY()-29,$E373),TODAY()-29)-$D373)/7)+1))</f>
        <v/>
      </c>
      <c r="L373" s="117">
        <f>IF($F373&gt;0,$H373/$F373,0)</f>
        <v/>
      </c>
      <c r="M373" s="112">
        <f>IF($B373="","",IF($C373="TANIMSIZ MÜŞTERİ","HATA",IF($G373="Pasif","PASİF",IF(AND(WEEKDAY($D373,2)=6,OR($E373="",WEEKDAY($E373,2)=6),$F373&gt;0),"UYGUN","HATA"))))</f>
        <v/>
      </c>
      <c r="N373" s="108" t="n"/>
      <c r="O373" s="6" t="n"/>
      <c r="P373" s="6" t="n"/>
    </row>
    <row r="374">
      <c r="A374" s="6" t="n"/>
      <c r="B374" s="107" t="n"/>
      <c r="C374" s="113">
        <f>IF($B374="","",IFERROR(INDEX(MUSTERILER!$C$7:$C$106,MATCH($B374,MUSTERILER!$B$7:$B$106,0)),"TANIMSIZ MÜŞTERİ"))</f>
        <v/>
      </c>
      <c r="D374" s="114" t="n"/>
      <c r="E374" s="114" t="n"/>
      <c r="F374" s="115" t="n"/>
      <c r="G374" s="107" t="n"/>
      <c r="H374" s="116">
        <f>IF(OR($B374="",$D374="",$F374=""),0,$F374*MAX(0,INT((MIN(IF($E374="",TODAY(),$E374),TODAY())-$D374)/7)+1))</f>
        <v/>
      </c>
      <c r="I374" s="116">
        <f>IF(OR($B374="",$D374="",$F374=""),0,$F374*MAX(0,INT((MIN(IF($E374="",TODAY()-8,$E374),TODAY()-8)-$D374)/7)+1))</f>
        <v/>
      </c>
      <c r="J374" s="116">
        <f>IF(OR($B374="",$D374="",$F374=""),0,$F374*MAX(0,INT((MIN(IF($E374="",TODAY()-15,$E374),TODAY()-15)-$D374)/7)+1))</f>
        <v/>
      </c>
      <c r="K374" s="116">
        <f>IF(OR($B374="",$D374="",$F374=""),0,$F374*MAX(0,INT((MIN(IF($E374="",TODAY()-29,$E374),TODAY()-29)-$D374)/7)+1))</f>
        <v/>
      </c>
      <c r="L374" s="117">
        <f>IF($F374&gt;0,$H374/$F374,0)</f>
        <v/>
      </c>
      <c r="M374" s="112">
        <f>IF($B374="","",IF($C374="TANIMSIZ MÜŞTERİ","HATA",IF($G374="Pasif","PASİF",IF(AND(WEEKDAY($D374,2)=6,OR($E374="",WEEKDAY($E374,2)=6),$F374&gt;0),"UYGUN","HATA"))))</f>
        <v/>
      </c>
      <c r="N374" s="108" t="n"/>
      <c r="O374" s="6" t="n"/>
      <c r="P374" s="6" t="n"/>
    </row>
    <row r="375">
      <c r="A375" s="6" t="n"/>
      <c r="B375" s="107" t="n"/>
      <c r="C375" s="113">
        <f>IF($B375="","",IFERROR(INDEX(MUSTERILER!$C$7:$C$106,MATCH($B375,MUSTERILER!$B$7:$B$106,0)),"TANIMSIZ MÜŞTERİ"))</f>
        <v/>
      </c>
      <c r="D375" s="114" t="n"/>
      <c r="E375" s="114" t="n"/>
      <c r="F375" s="115" t="n"/>
      <c r="G375" s="107" t="n"/>
      <c r="H375" s="116">
        <f>IF(OR($B375="",$D375="",$F375=""),0,$F375*MAX(0,INT((MIN(IF($E375="",TODAY(),$E375),TODAY())-$D375)/7)+1))</f>
        <v/>
      </c>
      <c r="I375" s="116">
        <f>IF(OR($B375="",$D375="",$F375=""),0,$F375*MAX(0,INT((MIN(IF($E375="",TODAY()-8,$E375),TODAY()-8)-$D375)/7)+1))</f>
        <v/>
      </c>
      <c r="J375" s="116">
        <f>IF(OR($B375="",$D375="",$F375=""),0,$F375*MAX(0,INT((MIN(IF($E375="",TODAY()-15,$E375),TODAY()-15)-$D375)/7)+1))</f>
        <v/>
      </c>
      <c r="K375" s="116">
        <f>IF(OR($B375="",$D375="",$F375=""),0,$F375*MAX(0,INT((MIN(IF($E375="",TODAY()-29,$E375),TODAY()-29)-$D375)/7)+1))</f>
        <v/>
      </c>
      <c r="L375" s="117">
        <f>IF($F375&gt;0,$H375/$F375,0)</f>
        <v/>
      </c>
      <c r="M375" s="112">
        <f>IF($B375="","",IF($C375="TANIMSIZ MÜŞTERİ","HATA",IF($G375="Pasif","PASİF",IF(AND(WEEKDAY($D375,2)=6,OR($E375="",WEEKDAY($E375,2)=6),$F375&gt;0),"UYGUN","HATA"))))</f>
        <v/>
      </c>
      <c r="N375" s="108" t="n"/>
      <c r="O375" s="6" t="n"/>
      <c r="P375" s="6" t="n"/>
    </row>
    <row r="376">
      <c r="A376" s="6" t="n"/>
      <c r="B376" s="107" t="n"/>
      <c r="C376" s="113">
        <f>IF($B376="","",IFERROR(INDEX(MUSTERILER!$C$7:$C$106,MATCH($B376,MUSTERILER!$B$7:$B$106,0)),"TANIMSIZ MÜŞTERİ"))</f>
        <v/>
      </c>
      <c r="D376" s="114" t="n"/>
      <c r="E376" s="114" t="n"/>
      <c r="F376" s="115" t="n"/>
      <c r="G376" s="107" t="n"/>
      <c r="H376" s="116">
        <f>IF(OR($B376="",$D376="",$F376=""),0,$F376*MAX(0,INT((MIN(IF($E376="",TODAY(),$E376),TODAY())-$D376)/7)+1))</f>
        <v/>
      </c>
      <c r="I376" s="116">
        <f>IF(OR($B376="",$D376="",$F376=""),0,$F376*MAX(0,INT((MIN(IF($E376="",TODAY()-8,$E376),TODAY()-8)-$D376)/7)+1))</f>
        <v/>
      </c>
      <c r="J376" s="116">
        <f>IF(OR($B376="",$D376="",$F376=""),0,$F376*MAX(0,INT((MIN(IF($E376="",TODAY()-15,$E376),TODAY()-15)-$D376)/7)+1))</f>
        <v/>
      </c>
      <c r="K376" s="116">
        <f>IF(OR($B376="",$D376="",$F376=""),0,$F376*MAX(0,INT((MIN(IF($E376="",TODAY()-29,$E376),TODAY()-29)-$D376)/7)+1))</f>
        <v/>
      </c>
      <c r="L376" s="117">
        <f>IF($F376&gt;0,$H376/$F376,0)</f>
        <v/>
      </c>
      <c r="M376" s="112">
        <f>IF($B376="","",IF($C376="TANIMSIZ MÜŞTERİ","HATA",IF($G376="Pasif","PASİF",IF(AND(WEEKDAY($D376,2)=6,OR($E376="",WEEKDAY($E376,2)=6),$F376&gt;0),"UYGUN","HATA"))))</f>
        <v/>
      </c>
      <c r="N376" s="108" t="n"/>
      <c r="O376" s="6" t="n"/>
      <c r="P376" s="6" t="n"/>
    </row>
    <row r="377">
      <c r="A377" s="6" t="n"/>
      <c r="B377" s="107" t="n"/>
      <c r="C377" s="113">
        <f>IF($B377="","",IFERROR(INDEX(MUSTERILER!$C$7:$C$106,MATCH($B377,MUSTERILER!$B$7:$B$106,0)),"TANIMSIZ MÜŞTERİ"))</f>
        <v/>
      </c>
      <c r="D377" s="114" t="n"/>
      <c r="E377" s="114" t="n"/>
      <c r="F377" s="115" t="n"/>
      <c r="G377" s="107" t="n"/>
      <c r="H377" s="116">
        <f>IF(OR($B377="",$D377="",$F377=""),0,$F377*MAX(0,INT((MIN(IF($E377="",TODAY(),$E377),TODAY())-$D377)/7)+1))</f>
        <v/>
      </c>
      <c r="I377" s="116">
        <f>IF(OR($B377="",$D377="",$F377=""),0,$F377*MAX(0,INT((MIN(IF($E377="",TODAY()-8,$E377),TODAY()-8)-$D377)/7)+1))</f>
        <v/>
      </c>
      <c r="J377" s="116">
        <f>IF(OR($B377="",$D377="",$F377=""),0,$F377*MAX(0,INT((MIN(IF($E377="",TODAY()-15,$E377),TODAY()-15)-$D377)/7)+1))</f>
        <v/>
      </c>
      <c r="K377" s="116">
        <f>IF(OR($B377="",$D377="",$F377=""),0,$F377*MAX(0,INT((MIN(IF($E377="",TODAY()-29,$E377),TODAY()-29)-$D377)/7)+1))</f>
        <v/>
      </c>
      <c r="L377" s="117">
        <f>IF($F377&gt;0,$H377/$F377,0)</f>
        <v/>
      </c>
      <c r="M377" s="112">
        <f>IF($B377="","",IF($C377="TANIMSIZ MÜŞTERİ","HATA",IF($G377="Pasif","PASİF",IF(AND(WEEKDAY($D377,2)=6,OR($E377="",WEEKDAY($E377,2)=6),$F377&gt;0),"UYGUN","HATA"))))</f>
        <v/>
      </c>
      <c r="N377" s="108" t="n"/>
      <c r="O377" s="6" t="n"/>
      <c r="P377" s="6" t="n"/>
    </row>
    <row r="378">
      <c r="A378" s="6" t="n"/>
      <c r="B378" s="107" t="n"/>
      <c r="C378" s="113">
        <f>IF($B378="","",IFERROR(INDEX(MUSTERILER!$C$7:$C$106,MATCH($B378,MUSTERILER!$B$7:$B$106,0)),"TANIMSIZ MÜŞTERİ"))</f>
        <v/>
      </c>
      <c r="D378" s="114" t="n"/>
      <c r="E378" s="114" t="n"/>
      <c r="F378" s="115" t="n"/>
      <c r="G378" s="107" t="n"/>
      <c r="H378" s="116">
        <f>IF(OR($B378="",$D378="",$F378=""),0,$F378*MAX(0,INT((MIN(IF($E378="",TODAY(),$E378),TODAY())-$D378)/7)+1))</f>
        <v/>
      </c>
      <c r="I378" s="116">
        <f>IF(OR($B378="",$D378="",$F378=""),0,$F378*MAX(0,INT((MIN(IF($E378="",TODAY()-8,$E378),TODAY()-8)-$D378)/7)+1))</f>
        <v/>
      </c>
      <c r="J378" s="116">
        <f>IF(OR($B378="",$D378="",$F378=""),0,$F378*MAX(0,INT((MIN(IF($E378="",TODAY()-15,$E378),TODAY()-15)-$D378)/7)+1))</f>
        <v/>
      </c>
      <c r="K378" s="116">
        <f>IF(OR($B378="",$D378="",$F378=""),0,$F378*MAX(0,INT((MIN(IF($E378="",TODAY()-29,$E378),TODAY()-29)-$D378)/7)+1))</f>
        <v/>
      </c>
      <c r="L378" s="117">
        <f>IF($F378&gt;0,$H378/$F378,0)</f>
        <v/>
      </c>
      <c r="M378" s="112">
        <f>IF($B378="","",IF($C378="TANIMSIZ MÜŞTERİ","HATA",IF($G378="Pasif","PASİF",IF(AND(WEEKDAY($D378,2)=6,OR($E378="",WEEKDAY($E378,2)=6),$F378&gt;0),"UYGUN","HATA"))))</f>
        <v/>
      </c>
      <c r="N378" s="108" t="n"/>
      <c r="O378" s="6" t="n"/>
      <c r="P378" s="6" t="n"/>
    </row>
    <row r="379">
      <c r="A379" s="6" t="n"/>
      <c r="B379" s="107" t="n"/>
      <c r="C379" s="113">
        <f>IF($B379="","",IFERROR(INDEX(MUSTERILER!$C$7:$C$106,MATCH($B379,MUSTERILER!$B$7:$B$106,0)),"TANIMSIZ MÜŞTERİ"))</f>
        <v/>
      </c>
      <c r="D379" s="114" t="n"/>
      <c r="E379" s="114" t="n"/>
      <c r="F379" s="115" t="n"/>
      <c r="G379" s="107" t="n"/>
      <c r="H379" s="116">
        <f>IF(OR($B379="",$D379="",$F379=""),0,$F379*MAX(0,INT((MIN(IF($E379="",TODAY(),$E379),TODAY())-$D379)/7)+1))</f>
        <v/>
      </c>
      <c r="I379" s="116">
        <f>IF(OR($B379="",$D379="",$F379=""),0,$F379*MAX(0,INT((MIN(IF($E379="",TODAY()-8,$E379),TODAY()-8)-$D379)/7)+1))</f>
        <v/>
      </c>
      <c r="J379" s="116">
        <f>IF(OR($B379="",$D379="",$F379=""),0,$F379*MAX(0,INT((MIN(IF($E379="",TODAY()-15,$E379),TODAY()-15)-$D379)/7)+1))</f>
        <v/>
      </c>
      <c r="K379" s="116">
        <f>IF(OR($B379="",$D379="",$F379=""),0,$F379*MAX(0,INT((MIN(IF($E379="",TODAY()-29,$E379),TODAY()-29)-$D379)/7)+1))</f>
        <v/>
      </c>
      <c r="L379" s="117">
        <f>IF($F379&gt;0,$H379/$F379,0)</f>
        <v/>
      </c>
      <c r="M379" s="112">
        <f>IF($B379="","",IF($C379="TANIMSIZ MÜŞTERİ","HATA",IF($G379="Pasif","PASİF",IF(AND(WEEKDAY($D379,2)=6,OR($E379="",WEEKDAY($E379,2)=6),$F379&gt;0),"UYGUN","HATA"))))</f>
        <v/>
      </c>
      <c r="N379" s="108" t="n"/>
      <c r="O379" s="6" t="n"/>
      <c r="P379" s="6" t="n"/>
    </row>
    <row r="380">
      <c r="A380" s="6" t="n"/>
      <c r="B380" s="107" t="n"/>
      <c r="C380" s="113">
        <f>IF($B380="","",IFERROR(INDEX(MUSTERILER!$C$7:$C$106,MATCH($B380,MUSTERILER!$B$7:$B$106,0)),"TANIMSIZ MÜŞTERİ"))</f>
        <v/>
      </c>
      <c r="D380" s="114" t="n"/>
      <c r="E380" s="114" t="n"/>
      <c r="F380" s="115" t="n"/>
      <c r="G380" s="107" t="n"/>
      <c r="H380" s="116">
        <f>IF(OR($B380="",$D380="",$F380=""),0,$F380*MAX(0,INT((MIN(IF($E380="",TODAY(),$E380),TODAY())-$D380)/7)+1))</f>
        <v/>
      </c>
      <c r="I380" s="116">
        <f>IF(OR($B380="",$D380="",$F380=""),0,$F380*MAX(0,INT((MIN(IF($E380="",TODAY()-8,$E380),TODAY()-8)-$D380)/7)+1))</f>
        <v/>
      </c>
      <c r="J380" s="116">
        <f>IF(OR($B380="",$D380="",$F380=""),0,$F380*MAX(0,INT((MIN(IF($E380="",TODAY()-15,$E380),TODAY()-15)-$D380)/7)+1))</f>
        <v/>
      </c>
      <c r="K380" s="116">
        <f>IF(OR($B380="",$D380="",$F380=""),0,$F380*MAX(0,INT((MIN(IF($E380="",TODAY()-29,$E380),TODAY()-29)-$D380)/7)+1))</f>
        <v/>
      </c>
      <c r="L380" s="117">
        <f>IF($F380&gt;0,$H380/$F380,0)</f>
        <v/>
      </c>
      <c r="M380" s="112">
        <f>IF($B380="","",IF($C380="TANIMSIZ MÜŞTERİ","HATA",IF($G380="Pasif","PASİF",IF(AND(WEEKDAY($D380,2)=6,OR($E380="",WEEKDAY($E380,2)=6),$F380&gt;0),"UYGUN","HATA"))))</f>
        <v/>
      </c>
      <c r="N380" s="108" t="n"/>
      <c r="O380" s="6" t="n"/>
      <c r="P380" s="6" t="n"/>
    </row>
    <row r="381">
      <c r="A381" s="6" t="n"/>
      <c r="B381" s="107" t="n"/>
      <c r="C381" s="113">
        <f>IF($B381="","",IFERROR(INDEX(MUSTERILER!$C$7:$C$106,MATCH($B381,MUSTERILER!$B$7:$B$106,0)),"TANIMSIZ MÜŞTERİ"))</f>
        <v/>
      </c>
      <c r="D381" s="114" t="n"/>
      <c r="E381" s="114" t="n"/>
      <c r="F381" s="115" t="n"/>
      <c r="G381" s="107" t="n"/>
      <c r="H381" s="116">
        <f>IF(OR($B381="",$D381="",$F381=""),0,$F381*MAX(0,INT((MIN(IF($E381="",TODAY(),$E381),TODAY())-$D381)/7)+1))</f>
        <v/>
      </c>
      <c r="I381" s="116">
        <f>IF(OR($B381="",$D381="",$F381=""),0,$F381*MAX(0,INT((MIN(IF($E381="",TODAY()-8,$E381),TODAY()-8)-$D381)/7)+1))</f>
        <v/>
      </c>
      <c r="J381" s="116">
        <f>IF(OR($B381="",$D381="",$F381=""),0,$F381*MAX(0,INT((MIN(IF($E381="",TODAY()-15,$E381),TODAY()-15)-$D381)/7)+1))</f>
        <v/>
      </c>
      <c r="K381" s="116">
        <f>IF(OR($B381="",$D381="",$F381=""),0,$F381*MAX(0,INT((MIN(IF($E381="",TODAY()-29,$E381),TODAY()-29)-$D381)/7)+1))</f>
        <v/>
      </c>
      <c r="L381" s="117">
        <f>IF($F381&gt;0,$H381/$F381,0)</f>
        <v/>
      </c>
      <c r="M381" s="112">
        <f>IF($B381="","",IF($C381="TANIMSIZ MÜŞTERİ","HATA",IF($G381="Pasif","PASİF",IF(AND(WEEKDAY($D381,2)=6,OR($E381="",WEEKDAY($E381,2)=6),$F381&gt;0),"UYGUN","HATA"))))</f>
        <v/>
      </c>
      <c r="N381" s="108" t="n"/>
      <c r="O381" s="6" t="n"/>
      <c r="P381" s="6" t="n"/>
    </row>
    <row r="382">
      <c r="A382" s="6" t="n"/>
      <c r="B382" s="107" t="n"/>
      <c r="C382" s="113">
        <f>IF($B382="","",IFERROR(INDEX(MUSTERILER!$C$7:$C$106,MATCH($B382,MUSTERILER!$B$7:$B$106,0)),"TANIMSIZ MÜŞTERİ"))</f>
        <v/>
      </c>
      <c r="D382" s="114" t="n"/>
      <c r="E382" s="114" t="n"/>
      <c r="F382" s="115" t="n"/>
      <c r="G382" s="107" t="n"/>
      <c r="H382" s="116">
        <f>IF(OR($B382="",$D382="",$F382=""),0,$F382*MAX(0,INT((MIN(IF($E382="",TODAY(),$E382),TODAY())-$D382)/7)+1))</f>
        <v/>
      </c>
      <c r="I382" s="116">
        <f>IF(OR($B382="",$D382="",$F382=""),0,$F382*MAX(0,INT((MIN(IF($E382="",TODAY()-8,$E382),TODAY()-8)-$D382)/7)+1))</f>
        <v/>
      </c>
      <c r="J382" s="116">
        <f>IF(OR($B382="",$D382="",$F382=""),0,$F382*MAX(0,INT((MIN(IF($E382="",TODAY()-15,$E382),TODAY()-15)-$D382)/7)+1))</f>
        <v/>
      </c>
      <c r="K382" s="116">
        <f>IF(OR($B382="",$D382="",$F382=""),0,$F382*MAX(0,INT((MIN(IF($E382="",TODAY()-29,$E382),TODAY()-29)-$D382)/7)+1))</f>
        <v/>
      </c>
      <c r="L382" s="117">
        <f>IF($F382&gt;0,$H382/$F382,0)</f>
        <v/>
      </c>
      <c r="M382" s="112">
        <f>IF($B382="","",IF($C382="TANIMSIZ MÜŞTERİ","HATA",IF($G382="Pasif","PASİF",IF(AND(WEEKDAY($D382,2)=6,OR($E382="",WEEKDAY($E382,2)=6),$F382&gt;0),"UYGUN","HATA"))))</f>
        <v/>
      </c>
      <c r="N382" s="108" t="n"/>
      <c r="O382" s="6" t="n"/>
      <c r="P382" s="6" t="n"/>
    </row>
    <row r="383">
      <c r="A383" s="6" t="n"/>
      <c r="B383" s="107" t="n"/>
      <c r="C383" s="113">
        <f>IF($B383="","",IFERROR(INDEX(MUSTERILER!$C$7:$C$106,MATCH($B383,MUSTERILER!$B$7:$B$106,0)),"TANIMSIZ MÜŞTERİ"))</f>
        <v/>
      </c>
      <c r="D383" s="114" t="n"/>
      <c r="E383" s="114" t="n"/>
      <c r="F383" s="115" t="n"/>
      <c r="G383" s="107" t="n"/>
      <c r="H383" s="116">
        <f>IF(OR($B383="",$D383="",$F383=""),0,$F383*MAX(0,INT((MIN(IF($E383="",TODAY(),$E383),TODAY())-$D383)/7)+1))</f>
        <v/>
      </c>
      <c r="I383" s="116">
        <f>IF(OR($B383="",$D383="",$F383=""),0,$F383*MAX(0,INT((MIN(IF($E383="",TODAY()-8,$E383),TODAY()-8)-$D383)/7)+1))</f>
        <v/>
      </c>
      <c r="J383" s="116">
        <f>IF(OR($B383="",$D383="",$F383=""),0,$F383*MAX(0,INT((MIN(IF($E383="",TODAY()-15,$E383),TODAY()-15)-$D383)/7)+1))</f>
        <v/>
      </c>
      <c r="K383" s="116">
        <f>IF(OR($B383="",$D383="",$F383=""),0,$F383*MAX(0,INT((MIN(IF($E383="",TODAY()-29,$E383),TODAY()-29)-$D383)/7)+1))</f>
        <v/>
      </c>
      <c r="L383" s="117">
        <f>IF($F383&gt;0,$H383/$F383,0)</f>
        <v/>
      </c>
      <c r="M383" s="112">
        <f>IF($B383="","",IF($C383="TANIMSIZ MÜŞTERİ","HATA",IF($G383="Pasif","PASİF",IF(AND(WEEKDAY($D383,2)=6,OR($E383="",WEEKDAY($E383,2)=6),$F383&gt;0),"UYGUN","HATA"))))</f>
        <v/>
      </c>
      <c r="N383" s="108" t="n"/>
      <c r="O383" s="6" t="n"/>
      <c r="P383" s="6" t="n"/>
    </row>
    <row r="384">
      <c r="A384" s="6" t="n"/>
      <c r="B384" s="107" t="n"/>
      <c r="C384" s="113">
        <f>IF($B384="","",IFERROR(INDEX(MUSTERILER!$C$7:$C$106,MATCH($B384,MUSTERILER!$B$7:$B$106,0)),"TANIMSIZ MÜŞTERİ"))</f>
        <v/>
      </c>
      <c r="D384" s="114" t="n"/>
      <c r="E384" s="114" t="n"/>
      <c r="F384" s="115" t="n"/>
      <c r="G384" s="107" t="n"/>
      <c r="H384" s="116">
        <f>IF(OR($B384="",$D384="",$F384=""),0,$F384*MAX(0,INT((MIN(IF($E384="",TODAY(),$E384),TODAY())-$D384)/7)+1))</f>
        <v/>
      </c>
      <c r="I384" s="116">
        <f>IF(OR($B384="",$D384="",$F384=""),0,$F384*MAX(0,INT((MIN(IF($E384="",TODAY()-8,$E384),TODAY()-8)-$D384)/7)+1))</f>
        <v/>
      </c>
      <c r="J384" s="116">
        <f>IF(OR($B384="",$D384="",$F384=""),0,$F384*MAX(0,INT((MIN(IF($E384="",TODAY()-15,$E384),TODAY()-15)-$D384)/7)+1))</f>
        <v/>
      </c>
      <c r="K384" s="116">
        <f>IF(OR($B384="",$D384="",$F384=""),0,$F384*MAX(0,INT((MIN(IF($E384="",TODAY()-29,$E384),TODAY()-29)-$D384)/7)+1))</f>
        <v/>
      </c>
      <c r="L384" s="117">
        <f>IF($F384&gt;0,$H384/$F384,0)</f>
        <v/>
      </c>
      <c r="M384" s="112">
        <f>IF($B384="","",IF($C384="TANIMSIZ MÜŞTERİ","HATA",IF($G384="Pasif","PASİF",IF(AND(WEEKDAY($D384,2)=6,OR($E384="",WEEKDAY($E384,2)=6),$F384&gt;0),"UYGUN","HATA"))))</f>
        <v/>
      </c>
      <c r="N384" s="108" t="n"/>
      <c r="O384" s="6" t="n"/>
      <c r="P384" s="6" t="n"/>
    </row>
    <row r="385">
      <c r="A385" s="6" t="n"/>
      <c r="B385" s="107" t="n"/>
      <c r="C385" s="113">
        <f>IF($B385="","",IFERROR(INDEX(MUSTERILER!$C$7:$C$106,MATCH($B385,MUSTERILER!$B$7:$B$106,0)),"TANIMSIZ MÜŞTERİ"))</f>
        <v/>
      </c>
      <c r="D385" s="114" t="n"/>
      <c r="E385" s="114" t="n"/>
      <c r="F385" s="115" t="n"/>
      <c r="G385" s="107" t="n"/>
      <c r="H385" s="116">
        <f>IF(OR($B385="",$D385="",$F385=""),0,$F385*MAX(0,INT((MIN(IF($E385="",TODAY(),$E385),TODAY())-$D385)/7)+1))</f>
        <v/>
      </c>
      <c r="I385" s="116">
        <f>IF(OR($B385="",$D385="",$F385=""),0,$F385*MAX(0,INT((MIN(IF($E385="",TODAY()-8,$E385),TODAY()-8)-$D385)/7)+1))</f>
        <v/>
      </c>
      <c r="J385" s="116">
        <f>IF(OR($B385="",$D385="",$F385=""),0,$F385*MAX(0,INT((MIN(IF($E385="",TODAY()-15,$E385),TODAY()-15)-$D385)/7)+1))</f>
        <v/>
      </c>
      <c r="K385" s="116">
        <f>IF(OR($B385="",$D385="",$F385=""),0,$F385*MAX(0,INT((MIN(IF($E385="",TODAY()-29,$E385),TODAY()-29)-$D385)/7)+1))</f>
        <v/>
      </c>
      <c r="L385" s="117">
        <f>IF($F385&gt;0,$H385/$F385,0)</f>
        <v/>
      </c>
      <c r="M385" s="112">
        <f>IF($B385="","",IF($C385="TANIMSIZ MÜŞTERİ","HATA",IF($G385="Pasif","PASİF",IF(AND(WEEKDAY($D385,2)=6,OR($E385="",WEEKDAY($E385,2)=6),$F385&gt;0),"UYGUN","HATA"))))</f>
        <v/>
      </c>
      <c r="N385" s="108" t="n"/>
      <c r="O385" s="6" t="n"/>
      <c r="P385" s="6" t="n"/>
    </row>
    <row r="386">
      <c r="A386" s="6" t="n"/>
      <c r="B386" s="107" t="n"/>
      <c r="C386" s="113">
        <f>IF($B386="","",IFERROR(INDEX(MUSTERILER!$C$7:$C$106,MATCH($B386,MUSTERILER!$B$7:$B$106,0)),"TANIMSIZ MÜŞTERİ"))</f>
        <v/>
      </c>
      <c r="D386" s="114" t="n"/>
      <c r="E386" s="114" t="n"/>
      <c r="F386" s="115" t="n"/>
      <c r="G386" s="107" t="n"/>
      <c r="H386" s="116">
        <f>IF(OR($B386="",$D386="",$F386=""),0,$F386*MAX(0,INT((MIN(IF($E386="",TODAY(),$E386),TODAY())-$D386)/7)+1))</f>
        <v/>
      </c>
      <c r="I386" s="116">
        <f>IF(OR($B386="",$D386="",$F386=""),0,$F386*MAX(0,INT((MIN(IF($E386="",TODAY()-8,$E386),TODAY()-8)-$D386)/7)+1))</f>
        <v/>
      </c>
      <c r="J386" s="116">
        <f>IF(OR($B386="",$D386="",$F386=""),0,$F386*MAX(0,INT((MIN(IF($E386="",TODAY()-15,$E386),TODAY()-15)-$D386)/7)+1))</f>
        <v/>
      </c>
      <c r="K386" s="116">
        <f>IF(OR($B386="",$D386="",$F386=""),0,$F386*MAX(0,INT((MIN(IF($E386="",TODAY()-29,$E386),TODAY()-29)-$D386)/7)+1))</f>
        <v/>
      </c>
      <c r="L386" s="117">
        <f>IF($F386&gt;0,$H386/$F386,0)</f>
        <v/>
      </c>
      <c r="M386" s="112">
        <f>IF($B386="","",IF($C386="TANIMSIZ MÜŞTERİ","HATA",IF($G386="Pasif","PASİF",IF(AND(WEEKDAY($D386,2)=6,OR($E386="",WEEKDAY($E386,2)=6),$F386&gt;0),"UYGUN","HATA"))))</f>
        <v/>
      </c>
      <c r="N386" s="108" t="n"/>
      <c r="O386" s="6" t="n"/>
      <c r="P386" s="6" t="n"/>
    </row>
    <row r="387">
      <c r="A387" s="6" t="n"/>
      <c r="B387" s="107" t="n"/>
      <c r="C387" s="113">
        <f>IF($B387="","",IFERROR(INDEX(MUSTERILER!$C$7:$C$106,MATCH($B387,MUSTERILER!$B$7:$B$106,0)),"TANIMSIZ MÜŞTERİ"))</f>
        <v/>
      </c>
      <c r="D387" s="114" t="n"/>
      <c r="E387" s="114" t="n"/>
      <c r="F387" s="115" t="n"/>
      <c r="G387" s="107" t="n"/>
      <c r="H387" s="116">
        <f>IF(OR($B387="",$D387="",$F387=""),0,$F387*MAX(0,INT((MIN(IF($E387="",TODAY(),$E387),TODAY())-$D387)/7)+1))</f>
        <v/>
      </c>
      <c r="I387" s="116">
        <f>IF(OR($B387="",$D387="",$F387=""),0,$F387*MAX(0,INT((MIN(IF($E387="",TODAY()-8,$E387),TODAY()-8)-$D387)/7)+1))</f>
        <v/>
      </c>
      <c r="J387" s="116">
        <f>IF(OR($B387="",$D387="",$F387=""),0,$F387*MAX(0,INT((MIN(IF($E387="",TODAY()-15,$E387),TODAY()-15)-$D387)/7)+1))</f>
        <v/>
      </c>
      <c r="K387" s="116">
        <f>IF(OR($B387="",$D387="",$F387=""),0,$F387*MAX(0,INT((MIN(IF($E387="",TODAY()-29,$E387),TODAY()-29)-$D387)/7)+1))</f>
        <v/>
      </c>
      <c r="L387" s="117">
        <f>IF($F387&gt;0,$H387/$F387,0)</f>
        <v/>
      </c>
      <c r="M387" s="112">
        <f>IF($B387="","",IF($C387="TANIMSIZ MÜŞTERİ","HATA",IF($G387="Pasif","PASİF",IF(AND(WEEKDAY($D387,2)=6,OR($E387="",WEEKDAY($E387,2)=6),$F387&gt;0),"UYGUN","HATA"))))</f>
        <v/>
      </c>
      <c r="N387" s="108" t="n"/>
      <c r="O387" s="6" t="n"/>
      <c r="P387" s="6" t="n"/>
    </row>
    <row r="388">
      <c r="A388" s="6" t="n"/>
      <c r="B388" s="107" t="n"/>
      <c r="C388" s="113">
        <f>IF($B388="","",IFERROR(INDEX(MUSTERILER!$C$7:$C$106,MATCH($B388,MUSTERILER!$B$7:$B$106,0)),"TANIMSIZ MÜŞTERİ"))</f>
        <v/>
      </c>
      <c r="D388" s="114" t="n"/>
      <c r="E388" s="114" t="n"/>
      <c r="F388" s="115" t="n"/>
      <c r="G388" s="107" t="n"/>
      <c r="H388" s="116">
        <f>IF(OR($B388="",$D388="",$F388=""),0,$F388*MAX(0,INT((MIN(IF($E388="",TODAY(),$E388),TODAY())-$D388)/7)+1))</f>
        <v/>
      </c>
      <c r="I388" s="116">
        <f>IF(OR($B388="",$D388="",$F388=""),0,$F388*MAX(0,INT((MIN(IF($E388="",TODAY()-8,$E388),TODAY()-8)-$D388)/7)+1))</f>
        <v/>
      </c>
      <c r="J388" s="116">
        <f>IF(OR($B388="",$D388="",$F388=""),0,$F388*MAX(0,INT((MIN(IF($E388="",TODAY()-15,$E388),TODAY()-15)-$D388)/7)+1))</f>
        <v/>
      </c>
      <c r="K388" s="116">
        <f>IF(OR($B388="",$D388="",$F388=""),0,$F388*MAX(0,INT((MIN(IF($E388="",TODAY()-29,$E388),TODAY()-29)-$D388)/7)+1))</f>
        <v/>
      </c>
      <c r="L388" s="117">
        <f>IF($F388&gt;0,$H388/$F388,0)</f>
        <v/>
      </c>
      <c r="M388" s="112">
        <f>IF($B388="","",IF($C388="TANIMSIZ MÜŞTERİ","HATA",IF($G388="Pasif","PASİF",IF(AND(WEEKDAY($D388,2)=6,OR($E388="",WEEKDAY($E388,2)=6),$F388&gt;0),"UYGUN","HATA"))))</f>
        <v/>
      </c>
      <c r="N388" s="108" t="n"/>
      <c r="O388" s="6" t="n"/>
      <c r="P388" s="6" t="n"/>
    </row>
    <row r="389">
      <c r="A389" s="6" t="n"/>
      <c r="B389" s="107" t="n"/>
      <c r="C389" s="113">
        <f>IF($B389="","",IFERROR(INDEX(MUSTERILER!$C$7:$C$106,MATCH($B389,MUSTERILER!$B$7:$B$106,0)),"TANIMSIZ MÜŞTERİ"))</f>
        <v/>
      </c>
      <c r="D389" s="114" t="n"/>
      <c r="E389" s="114" t="n"/>
      <c r="F389" s="115" t="n"/>
      <c r="G389" s="107" t="n"/>
      <c r="H389" s="116">
        <f>IF(OR($B389="",$D389="",$F389=""),0,$F389*MAX(0,INT((MIN(IF($E389="",TODAY(),$E389),TODAY())-$D389)/7)+1))</f>
        <v/>
      </c>
      <c r="I389" s="116">
        <f>IF(OR($B389="",$D389="",$F389=""),0,$F389*MAX(0,INT((MIN(IF($E389="",TODAY()-8,$E389),TODAY()-8)-$D389)/7)+1))</f>
        <v/>
      </c>
      <c r="J389" s="116">
        <f>IF(OR($B389="",$D389="",$F389=""),0,$F389*MAX(0,INT((MIN(IF($E389="",TODAY()-15,$E389),TODAY()-15)-$D389)/7)+1))</f>
        <v/>
      </c>
      <c r="K389" s="116">
        <f>IF(OR($B389="",$D389="",$F389=""),0,$F389*MAX(0,INT((MIN(IF($E389="",TODAY()-29,$E389),TODAY()-29)-$D389)/7)+1))</f>
        <v/>
      </c>
      <c r="L389" s="117">
        <f>IF($F389&gt;0,$H389/$F389,0)</f>
        <v/>
      </c>
      <c r="M389" s="112">
        <f>IF($B389="","",IF($C389="TANIMSIZ MÜŞTERİ","HATA",IF($G389="Pasif","PASİF",IF(AND(WEEKDAY($D389,2)=6,OR($E389="",WEEKDAY($E389,2)=6),$F389&gt;0),"UYGUN","HATA"))))</f>
        <v/>
      </c>
      <c r="N389" s="108" t="n"/>
      <c r="O389" s="6" t="n"/>
      <c r="P389" s="6" t="n"/>
    </row>
    <row r="390">
      <c r="A390" s="6" t="n"/>
      <c r="B390" s="107" t="n"/>
      <c r="C390" s="113">
        <f>IF($B390="","",IFERROR(INDEX(MUSTERILER!$C$7:$C$106,MATCH($B390,MUSTERILER!$B$7:$B$106,0)),"TANIMSIZ MÜŞTERİ"))</f>
        <v/>
      </c>
      <c r="D390" s="114" t="n"/>
      <c r="E390" s="114" t="n"/>
      <c r="F390" s="115" t="n"/>
      <c r="G390" s="107" t="n"/>
      <c r="H390" s="116">
        <f>IF(OR($B390="",$D390="",$F390=""),0,$F390*MAX(0,INT((MIN(IF($E390="",TODAY(),$E390),TODAY())-$D390)/7)+1))</f>
        <v/>
      </c>
      <c r="I390" s="116">
        <f>IF(OR($B390="",$D390="",$F390=""),0,$F390*MAX(0,INT((MIN(IF($E390="",TODAY()-8,$E390),TODAY()-8)-$D390)/7)+1))</f>
        <v/>
      </c>
      <c r="J390" s="116">
        <f>IF(OR($B390="",$D390="",$F390=""),0,$F390*MAX(0,INT((MIN(IF($E390="",TODAY()-15,$E390),TODAY()-15)-$D390)/7)+1))</f>
        <v/>
      </c>
      <c r="K390" s="116">
        <f>IF(OR($B390="",$D390="",$F390=""),0,$F390*MAX(0,INT((MIN(IF($E390="",TODAY()-29,$E390),TODAY()-29)-$D390)/7)+1))</f>
        <v/>
      </c>
      <c r="L390" s="117">
        <f>IF($F390&gt;0,$H390/$F390,0)</f>
        <v/>
      </c>
      <c r="M390" s="112">
        <f>IF($B390="","",IF($C390="TANIMSIZ MÜŞTERİ","HATA",IF($G390="Pasif","PASİF",IF(AND(WEEKDAY($D390,2)=6,OR($E390="",WEEKDAY($E390,2)=6),$F390&gt;0),"UYGUN","HATA"))))</f>
        <v/>
      </c>
      <c r="N390" s="108" t="n"/>
      <c r="O390" s="6" t="n"/>
      <c r="P390" s="6" t="n"/>
    </row>
    <row r="391">
      <c r="A391" s="6" t="n"/>
      <c r="B391" s="107" t="n"/>
      <c r="C391" s="113">
        <f>IF($B391="","",IFERROR(INDEX(MUSTERILER!$C$7:$C$106,MATCH($B391,MUSTERILER!$B$7:$B$106,0)),"TANIMSIZ MÜŞTERİ"))</f>
        <v/>
      </c>
      <c r="D391" s="114" t="n"/>
      <c r="E391" s="114" t="n"/>
      <c r="F391" s="115" t="n"/>
      <c r="G391" s="107" t="n"/>
      <c r="H391" s="116">
        <f>IF(OR($B391="",$D391="",$F391=""),0,$F391*MAX(0,INT((MIN(IF($E391="",TODAY(),$E391),TODAY())-$D391)/7)+1))</f>
        <v/>
      </c>
      <c r="I391" s="116">
        <f>IF(OR($B391="",$D391="",$F391=""),0,$F391*MAX(0,INT((MIN(IF($E391="",TODAY()-8,$E391),TODAY()-8)-$D391)/7)+1))</f>
        <v/>
      </c>
      <c r="J391" s="116">
        <f>IF(OR($B391="",$D391="",$F391=""),0,$F391*MAX(0,INT((MIN(IF($E391="",TODAY()-15,$E391),TODAY()-15)-$D391)/7)+1))</f>
        <v/>
      </c>
      <c r="K391" s="116">
        <f>IF(OR($B391="",$D391="",$F391=""),0,$F391*MAX(0,INT((MIN(IF($E391="",TODAY()-29,$E391),TODAY()-29)-$D391)/7)+1))</f>
        <v/>
      </c>
      <c r="L391" s="117">
        <f>IF($F391&gt;0,$H391/$F391,0)</f>
        <v/>
      </c>
      <c r="M391" s="112">
        <f>IF($B391="","",IF($C391="TANIMSIZ MÜŞTERİ","HATA",IF($G391="Pasif","PASİF",IF(AND(WEEKDAY($D391,2)=6,OR($E391="",WEEKDAY($E391,2)=6),$F391&gt;0),"UYGUN","HATA"))))</f>
        <v/>
      </c>
      <c r="N391" s="108" t="n"/>
      <c r="O391" s="6" t="n"/>
      <c r="P391" s="6" t="n"/>
    </row>
    <row r="392">
      <c r="A392" s="6" t="n"/>
      <c r="B392" s="107" t="n"/>
      <c r="C392" s="113">
        <f>IF($B392="","",IFERROR(INDEX(MUSTERILER!$C$7:$C$106,MATCH($B392,MUSTERILER!$B$7:$B$106,0)),"TANIMSIZ MÜŞTERİ"))</f>
        <v/>
      </c>
      <c r="D392" s="114" t="n"/>
      <c r="E392" s="114" t="n"/>
      <c r="F392" s="115" t="n"/>
      <c r="G392" s="107" t="n"/>
      <c r="H392" s="116">
        <f>IF(OR($B392="",$D392="",$F392=""),0,$F392*MAX(0,INT((MIN(IF($E392="",TODAY(),$E392),TODAY())-$D392)/7)+1))</f>
        <v/>
      </c>
      <c r="I392" s="116">
        <f>IF(OR($B392="",$D392="",$F392=""),0,$F392*MAX(0,INT((MIN(IF($E392="",TODAY()-8,$E392),TODAY()-8)-$D392)/7)+1))</f>
        <v/>
      </c>
      <c r="J392" s="116">
        <f>IF(OR($B392="",$D392="",$F392=""),0,$F392*MAX(0,INT((MIN(IF($E392="",TODAY()-15,$E392),TODAY()-15)-$D392)/7)+1))</f>
        <v/>
      </c>
      <c r="K392" s="116">
        <f>IF(OR($B392="",$D392="",$F392=""),0,$F392*MAX(0,INT((MIN(IF($E392="",TODAY()-29,$E392),TODAY()-29)-$D392)/7)+1))</f>
        <v/>
      </c>
      <c r="L392" s="117">
        <f>IF($F392&gt;0,$H392/$F392,0)</f>
        <v/>
      </c>
      <c r="M392" s="112">
        <f>IF($B392="","",IF($C392="TANIMSIZ MÜŞTERİ","HATA",IF($G392="Pasif","PASİF",IF(AND(WEEKDAY($D392,2)=6,OR($E392="",WEEKDAY($E392,2)=6),$F392&gt;0),"UYGUN","HATA"))))</f>
        <v/>
      </c>
      <c r="N392" s="108" t="n"/>
      <c r="O392" s="6" t="n"/>
      <c r="P392" s="6" t="n"/>
    </row>
    <row r="393">
      <c r="A393" s="6" t="n"/>
      <c r="B393" s="107" t="n"/>
      <c r="C393" s="113">
        <f>IF($B393="","",IFERROR(INDEX(MUSTERILER!$C$7:$C$106,MATCH($B393,MUSTERILER!$B$7:$B$106,0)),"TANIMSIZ MÜŞTERİ"))</f>
        <v/>
      </c>
      <c r="D393" s="114" t="n"/>
      <c r="E393" s="114" t="n"/>
      <c r="F393" s="115" t="n"/>
      <c r="G393" s="107" t="n"/>
      <c r="H393" s="116">
        <f>IF(OR($B393="",$D393="",$F393=""),0,$F393*MAX(0,INT((MIN(IF($E393="",TODAY(),$E393),TODAY())-$D393)/7)+1))</f>
        <v/>
      </c>
      <c r="I393" s="116">
        <f>IF(OR($B393="",$D393="",$F393=""),0,$F393*MAX(0,INT((MIN(IF($E393="",TODAY()-8,$E393),TODAY()-8)-$D393)/7)+1))</f>
        <v/>
      </c>
      <c r="J393" s="116">
        <f>IF(OR($B393="",$D393="",$F393=""),0,$F393*MAX(0,INT((MIN(IF($E393="",TODAY()-15,$E393),TODAY()-15)-$D393)/7)+1))</f>
        <v/>
      </c>
      <c r="K393" s="116">
        <f>IF(OR($B393="",$D393="",$F393=""),0,$F393*MAX(0,INT((MIN(IF($E393="",TODAY()-29,$E393),TODAY()-29)-$D393)/7)+1))</f>
        <v/>
      </c>
      <c r="L393" s="117">
        <f>IF($F393&gt;0,$H393/$F393,0)</f>
        <v/>
      </c>
      <c r="M393" s="112">
        <f>IF($B393="","",IF($C393="TANIMSIZ MÜŞTERİ","HATA",IF($G393="Pasif","PASİF",IF(AND(WEEKDAY($D393,2)=6,OR($E393="",WEEKDAY($E393,2)=6),$F393&gt;0),"UYGUN","HATA"))))</f>
        <v/>
      </c>
      <c r="N393" s="108" t="n"/>
      <c r="O393" s="6" t="n"/>
      <c r="P393" s="6" t="n"/>
    </row>
    <row r="394">
      <c r="A394" s="6" t="n"/>
      <c r="B394" s="107" t="n"/>
      <c r="C394" s="113">
        <f>IF($B394="","",IFERROR(INDEX(MUSTERILER!$C$7:$C$106,MATCH($B394,MUSTERILER!$B$7:$B$106,0)),"TANIMSIZ MÜŞTERİ"))</f>
        <v/>
      </c>
      <c r="D394" s="114" t="n"/>
      <c r="E394" s="114" t="n"/>
      <c r="F394" s="115" t="n"/>
      <c r="G394" s="107" t="n"/>
      <c r="H394" s="116">
        <f>IF(OR($B394="",$D394="",$F394=""),0,$F394*MAX(0,INT((MIN(IF($E394="",TODAY(),$E394),TODAY())-$D394)/7)+1))</f>
        <v/>
      </c>
      <c r="I394" s="116">
        <f>IF(OR($B394="",$D394="",$F394=""),0,$F394*MAX(0,INT((MIN(IF($E394="",TODAY()-8,$E394),TODAY()-8)-$D394)/7)+1))</f>
        <v/>
      </c>
      <c r="J394" s="116">
        <f>IF(OR($B394="",$D394="",$F394=""),0,$F394*MAX(0,INT((MIN(IF($E394="",TODAY()-15,$E394),TODAY()-15)-$D394)/7)+1))</f>
        <v/>
      </c>
      <c r="K394" s="116">
        <f>IF(OR($B394="",$D394="",$F394=""),0,$F394*MAX(0,INT((MIN(IF($E394="",TODAY()-29,$E394),TODAY()-29)-$D394)/7)+1))</f>
        <v/>
      </c>
      <c r="L394" s="117">
        <f>IF($F394&gt;0,$H394/$F394,0)</f>
        <v/>
      </c>
      <c r="M394" s="112">
        <f>IF($B394="","",IF($C394="TANIMSIZ MÜŞTERİ","HATA",IF($G394="Pasif","PASİF",IF(AND(WEEKDAY($D394,2)=6,OR($E394="",WEEKDAY($E394,2)=6),$F394&gt;0),"UYGUN","HATA"))))</f>
        <v/>
      </c>
      <c r="N394" s="108" t="n"/>
      <c r="O394" s="6" t="n"/>
      <c r="P394" s="6" t="n"/>
    </row>
    <row r="395">
      <c r="A395" s="6" t="n"/>
      <c r="B395" s="107" t="n"/>
      <c r="C395" s="113">
        <f>IF($B395="","",IFERROR(INDEX(MUSTERILER!$C$7:$C$106,MATCH($B395,MUSTERILER!$B$7:$B$106,0)),"TANIMSIZ MÜŞTERİ"))</f>
        <v/>
      </c>
      <c r="D395" s="114" t="n"/>
      <c r="E395" s="114" t="n"/>
      <c r="F395" s="115" t="n"/>
      <c r="G395" s="107" t="n"/>
      <c r="H395" s="116">
        <f>IF(OR($B395="",$D395="",$F395=""),0,$F395*MAX(0,INT((MIN(IF($E395="",TODAY(),$E395),TODAY())-$D395)/7)+1))</f>
        <v/>
      </c>
      <c r="I395" s="116">
        <f>IF(OR($B395="",$D395="",$F395=""),0,$F395*MAX(0,INT((MIN(IF($E395="",TODAY()-8,$E395),TODAY()-8)-$D395)/7)+1))</f>
        <v/>
      </c>
      <c r="J395" s="116">
        <f>IF(OR($B395="",$D395="",$F395=""),0,$F395*MAX(0,INT((MIN(IF($E395="",TODAY()-15,$E395),TODAY()-15)-$D395)/7)+1))</f>
        <v/>
      </c>
      <c r="K395" s="116">
        <f>IF(OR($B395="",$D395="",$F395=""),0,$F395*MAX(0,INT((MIN(IF($E395="",TODAY()-29,$E395),TODAY()-29)-$D395)/7)+1))</f>
        <v/>
      </c>
      <c r="L395" s="117">
        <f>IF($F395&gt;0,$H395/$F395,0)</f>
        <v/>
      </c>
      <c r="M395" s="112">
        <f>IF($B395="","",IF($C395="TANIMSIZ MÜŞTERİ","HATA",IF($G395="Pasif","PASİF",IF(AND(WEEKDAY($D395,2)=6,OR($E395="",WEEKDAY($E395,2)=6),$F395&gt;0),"UYGUN","HATA"))))</f>
        <v/>
      </c>
      <c r="N395" s="108" t="n"/>
      <c r="O395" s="6" t="n"/>
      <c r="P395" s="6" t="n"/>
    </row>
    <row r="396">
      <c r="A396" s="6" t="n"/>
      <c r="B396" s="107" t="n"/>
      <c r="C396" s="113">
        <f>IF($B396="","",IFERROR(INDEX(MUSTERILER!$C$7:$C$106,MATCH($B396,MUSTERILER!$B$7:$B$106,0)),"TANIMSIZ MÜŞTERİ"))</f>
        <v/>
      </c>
      <c r="D396" s="114" t="n"/>
      <c r="E396" s="114" t="n"/>
      <c r="F396" s="115" t="n"/>
      <c r="G396" s="107" t="n"/>
      <c r="H396" s="116">
        <f>IF(OR($B396="",$D396="",$F396=""),0,$F396*MAX(0,INT((MIN(IF($E396="",TODAY(),$E396),TODAY())-$D396)/7)+1))</f>
        <v/>
      </c>
      <c r="I396" s="116">
        <f>IF(OR($B396="",$D396="",$F396=""),0,$F396*MAX(0,INT((MIN(IF($E396="",TODAY()-8,$E396),TODAY()-8)-$D396)/7)+1))</f>
        <v/>
      </c>
      <c r="J396" s="116">
        <f>IF(OR($B396="",$D396="",$F396=""),0,$F396*MAX(0,INT((MIN(IF($E396="",TODAY()-15,$E396),TODAY()-15)-$D396)/7)+1))</f>
        <v/>
      </c>
      <c r="K396" s="116">
        <f>IF(OR($B396="",$D396="",$F396=""),0,$F396*MAX(0,INT((MIN(IF($E396="",TODAY()-29,$E396),TODAY()-29)-$D396)/7)+1))</f>
        <v/>
      </c>
      <c r="L396" s="117">
        <f>IF($F396&gt;0,$H396/$F396,0)</f>
        <v/>
      </c>
      <c r="M396" s="112">
        <f>IF($B396="","",IF($C396="TANIMSIZ MÜŞTERİ","HATA",IF($G396="Pasif","PASİF",IF(AND(WEEKDAY($D396,2)=6,OR($E396="",WEEKDAY($E396,2)=6),$F396&gt;0),"UYGUN","HATA"))))</f>
        <v/>
      </c>
      <c r="N396" s="108" t="n"/>
      <c r="O396" s="6" t="n"/>
      <c r="P396" s="6" t="n"/>
    </row>
    <row r="397">
      <c r="A397" s="6" t="n"/>
      <c r="B397" s="107" t="n"/>
      <c r="C397" s="113">
        <f>IF($B397="","",IFERROR(INDEX(MUSTERILER!$C$7:$C$106,MATCH($B397,MUSTERILER!$B$7:$B$106,0)),"TANIMSIZ MÜŞTERİ"))</f>
        <v/>
      </c>
      <c r="D397" s="114" t="n"/>
      <c r="E397" s="114" t="n"/>
      <c r="F397" s="115" t="n"/>
      <c r="G397" s="107" t="n"/>
      <c r="H397" s="116">
        <f>IF(OR($B397="",$D397="",$F397=""),0,$F397*MAX(0,INT((MIN(IF($E397="",TODAY(),$E397),TODAY())-$D397)/7)+1))</f>
        <v/>
      </c>
      <c r="I397" s="116">
        <f>IF(OR($B397="",$D397="",$F397=""),0,$F397*MAX(0,INT((MIN(IF($E397="",TODAY()-8,$E397),TODAY()-8)-$D397)/7)+1))</f>
        <v/>
      </c>
      <c r="J397" s="116">
        <f>IF(OR($B397="",$D397="",$F397=""),0,$F397*MAX(0,INT((MIN(IF($E397="",TODAY()-15,$E397),TODAY()-15)-$D397)/7)+1))</f>
        <v/>
      </c>
      <c r="K397" s="116">
        <f>IF(OR($B397="",$D397="",$F397=""),0,$F397*MAX(0,INT((MIN(IF($E397="",TODAY()-29,$E397),TODAY()-29)-$D397)/7)+1))</f>
        <v/>
      </c>
      <c r="L397" s="117">
        <f>IF($F397&gt;0,$H397/$F397,0)</f>
        <v/>
      </c>
      <c r="M397" s="112">
        <f>IF($B397="","",IF($C397="TANIMSIZ MÜŞTERİ","HATA",IF($G397="Pasif","PASİF",IF(AND(WEEKDAY($D397,2)=6,OR($E397="",WEEKDAY($E397,2)=6),$F397&gt;0),"UYGUN","HATA"))))</f>
        <v/>
      </c>
      <c r="N397" s="108" t="n"/>
      <c r="O397" s="6" t="n"/>
      <c r="P397" s="6" t="n"/>
    </row>
    <row r="398">
      <c r="A398" s="6" t="n"/>
      <c r="B398" s="107" t="n"/>
      <c r="C398" s="113">
        <f>IF($B398="","",IFERROR(INDEX(MUSTERILER!$C$7:$C$106,MATCH($B398,MUSTERILER!$B$7:$B$106,0)),"TANIMSIZ MÜŞTERİ"))</f>
        <v/>
      </c>
      <c r="D398" s="114" t="n"/>
      <c r="E398" s="114" t="n"/>
      <c r="F398" s="115" t="n"/>
      <c r="G398" s="107" t="n"/>
      <c r="H398" s="116">
        <f>IF(OR($B398="",$D398="",$F398=""),0,$F398*MAX(0,INT((MIN(IF($E398="",TODAY(),$E398),TODAY())-$D398)/7)+1))</f>
        <v/>
      </c>
      <c r="I398" s="116">
        <f>IF(OR($B398="",$D398="",$F398=""),0,$F398*MAX(0,INT((MIN(IF($E398="",TODAY()-8,$E398),TODAY()-8)-$D398)/7)+1))</f>
        <v/>
      </c>
      <c r="J398" s="116">
        <f>IF(OR($B398="",$D398="",$F398=""),0,$F398*MAX(0,INT((MIN(IF($E398="",TODAY()-15,$E398),TODAY()-15)-$D398)/7)+1))</f>
        <v/>
      </c>
      <c r="K398" s="116">
        <f>IF(OR($B398="",$D398="",$F398=""),0,$F398*MAX(0,INT((MIN(IF($E398="",TODAY()-29,$E398),TODAY()-29)-$D398)/7)+1))</f>
        <v/>
      </c>
      <c r="L398" s="117">
        <f>IF($F398&gt;0,$H398/$F398,0)</f>
        <v/>
      </c>
      <c r="M398" s="112">
        <f>IF($B398="","",IF($C398="TANIMSIZ MÜŞTERİ","HATA",IF($G398="Pasif","PASİF",IF(AND(WEEKDAY($D398,2)=6,OR($E398="",WEEKDAY($E398,2)=6),$F398&gt;0),"UYGUN","HATA"))))</f>
        <v/>
      </c>
      <c r="N398" s="108" t="n"/>
      <c r="O398" s="6" t="n"/>
      <c r="P398" s="6" t="n"/>
    </row>
    <row r="399">
      <c r="A399" s="6" t="n"/>
      <c r="B399" s="107" t="n"/>
      <c r="C399" s="113">
        <f>IF($B399="","",IFERROR(INDEX(MUSTERILER!$C$7:$C$106,MATCH($B399,MUSTERILER!$B$7:$B$106,0)),"TANIMSIZ MÜŞTERİ"))</f>
        <v/>
      </c>
      <c r="D399" s="114" t="n"/>
      <c r="E399" s="114" t="n"/>
      <c r="F399" s="115" t="n"/>
      <c r="G399" s="107" t="n"/>
      <c r="H399" s="116">
        <f>IF(OR($B399="",$D399="",$F399=""),0,$F399*MAX(0,INT((MIN(IF($E399="",TODAY(),$E399),TODAY())-$D399)/7)+1))</f>
        <v/>
      </c>
      <c r="I399" s="116">
        <f>IF(OR($B399="",$D399="",$F399=""),0,$F399*MAX(0,INT((MIN(IF($E399="",TODAY()-8,$E399),TODAY()-8)-$D399)/7)+1))</f>
        <v/>
      </c>
      <c r="J399" s="116">
        <f>IF(OR($B399="",$D399="",$F399=""),0,$F399*MAX(0,INT((MIN(IF($E399="",TODAY()-15,$E399),TODAY()-15)-$D399)/7)+1))</f>
        <v/>
      </c>
      <c r="K399" s="116">
        <f>IF(OR($B399="",$D399="",$F399=""),0,$F399*MAX(0,INT((MIN(IF($E399="",TODAY()-29,$E399),TODAY()-29)-$D399)/7)+1))</f>
        <v/>
      </c>
      <c r="L399" s="117">
        <f>IF($F399&gt;0,$H399/$F399,0)</f>
        <v/>
      </c>
      <c r="M399" s="112">
        <f>IF($B399="","",IF($C399="TANIMSIZ MÜŞTERİ","HATA",IF($G399="Pasif","PASİF",IF(AND(WEEKDAY($D399,2)=6,OR($E399="",WEEKDAY($E399,2)=6),$F399&gt;0),"UYGUN","HATA"))))</f>
        <v/>
      </c>
      <c r="N399" s="108" t="n"/>
      <c r="O399" s="6" t="n"/>
      <c r="P399" s="6" t="n"/>
    </row>
    <row r="400">
      <c r="A400" s="6" t="n"/>
      <c r="B400" s="107" t="n"/>
      <c r="C400" s="113">
        <f>IF($B400="","",IFERROR(INDEX(MUSTERILER!$C$7:$C$106,MATCH($B400,MUSTERILER!$B$7:$B$106,0)),"TANIMSIZ MÜŞTERİ"))</f>
        <v/>
      </c>
      <c r="D400" s="114" t="n"/>
      <c r="E400" s="114" t="n"/>
      <c r="F400" s="115" t="n"/>
      <c r="G400" s="107" t="n"/>
      <c r="H400" s="116">
        <f>IF(OR($B400="",$D400="",$F400=""),0,$F400*MAX(0,INT((MIN(IF($E400="",TODAY(),$E400),TODAY())-$D400)/7)+1))</f>
        <v/>
      </c>
      <c r="I400" s="116">
        <f>IF(OR($B400="",$D400="",$F400=""),0,$F400*MAX(0,INT((MIN(IF($E400="",TODAY()-8,$E400),TODAY()-8)-$D400)/7)+1))</f>
        <v/>
      </c>
      <c r="J400" s="116">
        <f>IF(OR($B400="",$D400="",$F400=""),0,$F400*MAX(0,INT((MIN(IF($E400="",TODAY()-15,$E400),TODAY()-15)-$D400)/7)+1))</f>
        <v/>
      </c>
      <c r="K400" s="116">
        <f>IF(OR($B400="",$D400="",$F400=""),0,$F400*MAX(0,INT((MIN(IF($E400="",TODAY()-29,$E400),TODAY()-29)-$D400)/7)+1))</f>
        <v/>
      </c>
      <c r="L400" s="117">
        <f>IF($F400&gt;0,$H400/$F400,0)</f>
        <v/>
      </c>
      <c r="M400" s="112">
        <f>IF($B400="","",IF($C400="TANIMSIZ MÜŞTERİ","HATA",IF($G400="Pasif","PASİF",IF(AND(WEEKDAY($D400,2)=6,OR($E400="",WEEKDAY($E400,2)=6),$F400&gt;0),"UYGUN","HATA"))))</f>
        <v/>
      </c>
      <c r="N400" s="108" t="n"/>
      <c r="O400" s="6" t="n"/>
      <c r="P400" s="6" t="n"/>
    </row>
    <row r="401">
      <c r="A401" s="6" t="n"/>
      <c r="B401" s="107" t="n"/>
      <c r="C401" s="113">
        <f>IF($B401="","",IFERROR(INDEX(MUSTERILER!$C$7:$C$106,MATCH($B401,MUSTERILER!$B$7:$B$106,0)),"TANIMSIZ MÜŞTERİ"))</f>
        <v/>
      </c>
      <c r="D401" s="114" t="n"/>
      <c r="E401" s="114" t="n"/>
      <c r="F401" s="115" t="n"/>
      <c r="G401" s="107" t="n"/>
      <c r="H401" s="116">
        <f>IF(OR($B401="",$D401="",$F401=""),0,$F401*MAX(0,INT((MIN(IF($E401="",TODAY(),$E401),TODAY())-$D401)/7)+1))</f>
        <v/>
      </c>
      <c r="I401" s="116">
        <f>IF(OR($B401="",$D401="",$F401=""),0,$F401*MAX(0,INT((MIN(IF($E401="",TODAY()-8,$E401),TODAY()-8)-$D401)/7)+1))</f>
        <v/>
      </c>
      <c r="J401" s="116">
        <f>IF(OR($B401="",$D401="",$F401=""),0,$F401*MAX(0,INT((MIN(IF($E401="",TODAY()-15,$E401),TODAY()-15)-$D401)/7)+1))</f>
        <v/>
      </c>
      <c r="K401" s="116">
        <f>IF(OR($B401="",$D401="",$F401=""),0,$F401*MAX(0,INT((MIN(IF($E401="",TODAY()-29,$E401),TODAY()-29)-$D401)/7)+1))</f>
        <v/>
      </c>
      <c r="L401" s="117">
        <f>IF($F401&gt;0,$H401/$F401,0)</f>
        <v/>
      </c>
      <c r="M401" s="112">
        <f>IF($B401="","",IF($C401="TANIMSIZ MÜŞTERİ","HATA",IF($G401="Pasif","PASİF",IF(AND(WEEKDAY($D401,2)=6,OR($E401="",WEEKDAY($E401,2)=6),$F401&gt;0),"UYGUN","HATA"))))</f>
        <v/>
      </c>
      <c r="N401" s="108" t="n"/>
      <c r="O401" s="6" t="n"/>
      <c r="P401" s="6" t="n"/>
    </row>
    <row r="402">
      <c r="A402" s="6" t="n"/>
      <c r="B402" s="107" t="n"/>
      <c r="C402" s="113">
        <f>IF($B402="","",IFERROR(INDEX(MUSTERILER!$C$7:$C$106,MATCH($B402,MUSTERILER!$B$7:$B$106,0)),"TANIMSIZ MÜŞTERİ"))</f>
        <v/>
      </c>
      <c r="D402" s="114" t="n"/>
      <c r="E402" s="114" t="n"/>
      <c r="F402" s="115" t="n"/>
      <c r="G402" s="107" t="n"/>
      <c r="H402" s="116">
        <f>IF(OR($B402="",$D402="",$F402=""),0,$F402*MAX(0,INT((MIN(IF($E402="",TODAY(),$E402),TODAY())-$D402)/7)+1))</f>
        <v/>
      </c>
      <c r="I402" s="116">
        <f>IF(OR($B402="",$D402="",$F402=""),0,$F402*MAX(0,INT((MIN(IF($E402="",TODAY()-8,$E402),TODAY()-8)-$D402)/7)+1))</f>
        <v/>
      </c>
      <c r="J402" s="116">
        <f>IF(OR($B402="",$D402="",$F402=""),0,$F402*MAX(0,INT((MIN(IF($E402="",TODAY()-15,$E402),TODAY()-15)-$D402)/7)+1))</f>
        <v/>
      </c>
      <c r="K402" s="116">
        <f>IF(OR($B402="",$D402="",$F402=""),0,$F402*MAX(0,INT((MIN(IF($E402="",TODAY()-29,$E402),TODAY()-29)-$D402)/7)+1))</f>
        <v/>
      </c>
      <c r="L402" s="117">
        <f>IF($F402&gt;0,$H402/$F402,0)</f>
        <v/>
      </c>
      <c r="M402" s="112">
        <f>IF($B402="","",IF($C402="TANIMSIZ MÜŞTERİ","HATA",IF($G402="Pasif","PASİF",IF(AND(WEEKDAY($D402,2)=6,OR($E402="",WEEKDAY($E402,2)=6),$F402&gt;0),"UYGUN","HATA"))))</f>
        <v/>
      </c>
      <c r="N402" s="108" t="n"/>
      <c r="O402" s="6" t="n"/>
      <c r="P402" s="6" t="n"/>
    </row>
    <row r="403">
      <c r="A403" s="6" t="n"/>
      <c r="B403" s="107" t="n"/>
      <c r="C403" s="113">
        <f>IF($B403="","",IFERROR(INDEX(MUSTERILER!$C$7:$C$106,MATCH($B403,MUSTERILER!$B$7:$B$106,0)),"TANIMSIZ MÜŞTERİ"))</f>
        <v/>
      </c>
      <c r="D403" s="114" t="n"/>
      <c r="E403" s="114" t="n"/>
      <c r="F403" s="115" t="n"/>
      <c r="G403" s="107" t="n"/>
      <c r="H403" s="116">
        <f>IF(OR($B403="",$D403="",$F403=""),0,$F403*MAX(0,INT((MIN(IF($E403="",TODAY(),$E403),TODAY())-$D403)/7)+1))</f>
        <v/>
      </c>
      <c r="I403" s="116">
        <f>IF(OR($B403="",$D403="",$F403=""),0,$F403*MAX(0,INT((MIN(IF($E403="",TODAY()-8,$E403),TODAY()-8)-$D403)/7)+1))</f>
        <v/>
      </c>
      <c r="J403" s="116">
        <f>IF(OR($B403="",$D403="",$F403=""),0,$F403*MAX(0,INT((MIN(IF($E403="",TODAY()-15,$E403),TODAY()-15)-$D403)/7)+1))</f>
        <v/>
      </c>
      <c r="K403" s="116">
        <f>IF(OR($B403="",$D403="",$F403=""),0,$F403*MAX(0,INT((MIN(IF($E403="",TODAY()-29,$E403),TODAY()-29)-$D403)/7)+1))</f>
        <v/>
      </c>
      <c r="L403" s="117">
        <f>IF($F403&gt;0,$H403/$F403,0)</f>
        <v/>
      </c>
      <c r="M403" s="112">
        <f>IF($B403="","",IF($C403="TANIMSIZ MÜŞTERİ","HATA",IF($G403="Pasif","PASİF",IF(AND(WEEKDAY($D403,2)=6,OR($E403="",WEEKDAY($E403,2)=6),$F403&gt;0),"UYGUN","HATA"))))</f>
        <v/>
      </c>
      <c r="N403" s="108" t="n"/>
      <c r="O403" s="6" t="n"/>
      <c r="P403" s="6" t="n"/>
    </row>
    <row r="404">
      <c r="A404" s="6" t="n"/>
      <c r="B404" s="107" t="n"/>
      <c r="C404" s="113">
        <f>IF($B404="","",IFERROR(INDEX(MUSTERILER!$C$7:$C$106,MATCH($B404,MUSTERILER!$B$7:$B$106,0)),"TANIMSIZ MÜŞTERİ"))</f>
        <v/>
      </c>
      <c r="D404" s="114" t="n"/>
      <c r="E404" s="114" t="n"/>
      <c r="F404" s="115" t="n"/>
      <c r="G404" s="107" t="n"/>
      <c r="H404" s="116">
        <f>IF(OR($B404="",$D404="",$F404=""),0,$F404*MAX(0,INT((MIN(IF($E404="",TODAY(),$E404),TODAY())-$D404)/7)+1))</f>
        <v/>
      </c>
      <c r="I404" s="116">
        <f>IF(OR($B404="",$D404="",$F404=""),0,$F404*MAX(0,INT((MIN(IF($E404="",TODAY()-8,$E404),TODAY()-8)-$D404)/7)+1))</f>
        <v/>
      </c>
      <c r="J404" s="116">
        <f>IF(OR($B404="",$D404="",$F404=""),0,$F404*MAX(0,INT((MIN(IF($E404="",TODAY()-15,$E404),TODAY()-15)-$D404)/7)+1))</f>
        <v/>
      </c>
      <c r="K404" s="116">
        <f>IF(OR($B404="",$D404="",$F404=""),0,$F404*MAX(0,INT((MIN(IF($E404="",TODAY()-29,$E404),TODAY()-29)-$D404)/7)+1))</f>
        <v/>
      </c>
      <c r="L404" s="117">
        <f>IF($F404&gt;0,$H404/$F404,0)</f>
        <v/>
      </c>
      <c r="M404" s="112">
        <f>IF($B404="","",IF($C404="TANIMSIZ MÜŞTERİ","HATA",IF($G404="Pasif","PASİF",IF(AND(WEEKDAY($D404,2)=6,OR($E404="",WEEKDAY($E404,2)=6),$F404&gt;0),"UYGUN","HATA"))))</f>
        <v/>
      </c>
      <c r="N404" s="108" t="n"/>
      <c r="O404" s="6" t="n"/>
      <c r="P404" s="6" t="n"/>
    </row>
    <row r="405">
      <c r="A405" s="6" t="n"/>
      <c r="B405" s="107" t="n"/>
      <c r="C405" s="113">
        <f>IF($B405="","",IFERROR(INDEX(MUSTERILER!$C$7:$C$106,MATCH($B405,MUSTERILER!$B$7:$B$106,0)),"TANIMSIZ MÜŞTERİ"))</f>
        <v/>
      </c>
      <c r="D405" s="114" t="n"/>
      <c r="E405" s="114" t="n"/>
      <c r="F405" s="115" t="n"/>
      <c r="G405" s="107" t="n"/>
      <c r="H405" s="116">
        <f>IF(OR($B405="",$D405="",$F405=""),0,$F405*MAX(0,INT((MIN(IF($E405="",TODAY(),$E405),TODAY())-$D405)/7)+1))</f>
        <v/>
      </c>
      <c r="I405" s="116">
        <f>IF(OR($B405="",$D405="",$F405=""),0,$F405*MAX(0,INT((MIN(IF($E405="",TODAY()-8,$E405),TODAY()-8)-$D405)/7)+1))</f>
        <v/>
      </c>
      <c r="J405" s="116">
        <f>IF(OR($B405="",$D405="",$F405=""),0,$F405*MAX(0,INT((MIN(IF($E405="",TODAY()-15,$E405),TODAY()-15)-$D405)/7)+1))</f>
        <v/>
      </c>
      <c r="K405" s="116">
        <f>IF(OR($B405="",$D405="",$F405=""),0,$F405*MAX(0,INT((MIN(IF($E405="",TODAY()-29,$E405),TODAY()-29)-$D405)/7)+1))</f>
        <v/>
      </c>
      <c r="L405" s="117">
        <f>IF($F405&gt;0,$H405/$F405,0)</f>
        <v/>
      </c>
      <c r="M405" s="112">
        <f>IF($B405="","",IF($C405="TANIMSIZ MÜŞTERİ","HATA",IF($G405="Pasif","PASİF",IF(AND(WEEKDAY($D405,2)=6,OR($E405="",WEEKDAY($E405,2)=6),$F405&gt;0),"UYGUN","HATA"))))</f>
        <v/>
      </c>
      <c r="N405" s="108" t="n"/>
      <c r="O405" s="6" t="n"/>
      <c r="P405" s="6" t="n"/>
    </row>
    <row r="406">
      <c r="A406" s="6" t="n"/>
      <c r="B406" s="107" t="n"/>
      <c r="C406" s="113">
        <f>IF($B406="","",IFERROR(INDEX(MUSTERILER!$C$7:$C$106,MATCH($B406,MUSTERILER!$B$7:$B$106,0)),"TANIMSIZ MÜŞTERİ"))</f>
        <v/>
      </c>
      <c r="D406" s="114" t="n"/>
      <c r="E406" s="114" t="n"/>
      <c r="F406" s="115" t="n"/>
      <c r="G406" s="107" t="n"/>
      <c r="H406" s="116">
        <f>IF(OR($B406="",$D406="",$F406=""),0,$F406*MAX(0,INT((MIN(IF($E406="",TODAY(),$E406),TODAY())-$D406)/7)+1))</f>
        <v/>
      </c>
      <c r="I406" s="116">
        <f>IF(OR($B406="",$D406="",$F406=""),0,$F406*MAX(0,INT((MIN(IF($E406="",TODAY()-8,$E406),TODAY()-8)-$D406)/7)+1))</f>
        <v/>
      </c>
      <c r="J406" s="116">
        <f>IF(OR($B406="",$D406="",$F406=""),0,$F406*MAX(0,INT((MIN(IF($E406="",TODAY()-15,$E406),TODAY()-15)-$D406)/7)+1))</f>
        <v/>
      </c>
      <c r="K406" s="116">
        <f>IF(OR($B406="",$D406="",$F406=""),0,$F406*MAX(0,INT((MIN(IF($E406="",TODAY()-29,$E406),TODAY()-29)-$D406)/7)+1))</f>
        <v/>
      </c>
      <c r="L406" s="117">
        <f>IF($F406&gt;0,$H406/$F406,0)</f>
        <v/>
      </c>
      <c r="M406" s="112">
        <f>IF($B406="","",IF($C406="TANIMSIZ MÜŞTERİ","HATA",IF($G406="Pasif","PASİF",IF(AND(WEEKDAY($D406,2)=6,OR($E406="",WEEKDAY($E406,2)=6),$F406&gt;0),"UYGUN","HATA"))))</f>
        <v/>
      </c>
      <c r="N406" s="108" t="n"/>
      <c r="O406" s="6" t="n"/>
      <c r="P406" s="6" t="n"/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6" t="n"/>
      <c r="P407" s="6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6" t="n"/>
      <c r="P4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N406"/>
  <mergeCells count="2">
    <mergeCell ref="A2:N2"/>
    <mergeCell ref="A1:N1"/>
  </mergeCells>
  <conditionalFormatting sqref="M7:M406">
    <cfRule type="expression" priority="1" dxfId="3" stopIfTrue="1">
      <formula>EXACT($M7,"UYGUN")</formula>
    </cfRule>
    <cfRule type="expression" priority="2" dxfId="4" stopIfTrue="1">
      <formula>EXACT($M7,"EKSİK")</formula>
    </cfRule>
    <cfRule type="expression" priority="3" dxfId="5" stopIfTrue="1">
      <formula>EXACT($M7,"HATA")</formula>
    </cfRule>
    <cfRule type="expression" priority="4" dxfId="5" stopIfTrue="1">
      <formula>EXACT($M7,"İLERİ TARİH")</formula>
    </cfRule>
    <cfRule type="expression" priority="5" dxfId="6" stopIfTrue="1">
      <formula>EXACT($M7,"PASİF")</formula>
    </cfRule>
  </conditionalFormatting>
  <dataValidations count="1">
    <dataValidation sqref="G7:G406" showDropDown="0" showInputMessage="0" showErrorMessage="1" allowBlank="1" errorTitle="Geçersiz dönem durumu" error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O1508"/>
  <sheetViews>
    <sheetView showGridLines="0" tabSelected="0" zoomScale="10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2" customWidth="1" min="3" max="3"/>
    <col width="30" customWidth="1" min="4" max="4"/>
    <col width="13" customWidth="1" min="5" max="5"/>
    <col width="16" customWidth="1" min="6" max="6"/>
    <col width="18" customWidth="1" min="7" max="7"/>
    <col width="15" customWidth="1" min="8" max="8"/>
    <col width="14" customWidth="1" min="9" max="9"/>
    <col width="30" customWidth="1" min="10" max="10"/>
    <col width="16" customWidth="1" min="11" max="11"/>
    <col width="14" customWidth="1" min="12" max="12"/>
    <col width="15" customWidth="1" min="13" max="13"/>
    <col width="2.4" customWidth="1" min="14" max="14"/>
    <col width="2.4" customWidth="1" min="15" max="15"/>
  </cols>
  <sheetData>
    <row r="1" ht="38" customHeight="1">
      <c r="A1" s="1" t="inlineStr">
        <is>
          <t>NECATİBEY OFİS YÖNETİM SİSTEMİ   │   MÜŞTERİ TAHSİLATI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45" t="n"/>
    </row>
    <row r="2" ht="22" customHeight="1">
      <c r="A2" s="4" t="inlineStr">
        <is>
          <t>Bir ödeme yalnız buraya girilir │ Cari, kasa, aylık kapanış ve nakit kâr otomatik güncellenir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20" customHeight="1">
      <c r="A4" s="6" t="n"/>
      <c r="B4" s="47">
        <f>HYPERLINK("#PANO!A1","←  PANO")</f>
        <v/>
      </c>
      <c r="C4" s="6" t="n"/>
      <c r="D4" s="98">
        <f>HYPERLINK("#MUSTERI_360!A1","Müşteri 360")</f>
        <v/>
      </c>
      <c r="E4" s="6" t="n"/>
      <c r="F4" s="98">
        <f>HYPERLINK("#HESAPLAR!A1","Hesaplar")</f>
        <v/>
      </c>
      <c r="G4" s="6" t="n"/>
      <c r="H4" s="99" t="inlineStr">
        <is>
          <t>Sarı hücreler veri girişidir. Beyaz hücreler sistem tarafından hesaplanır ve kilitlidir. Aynı ödemeyi başka bir ekrana tekrar girmeyin.</t>
        </is>
      </c>
      <c r="I4" s="6" t="n"/>
      <c r="J4" s="6" t="n"/>
      <c r="K4" s="6" t="n"/>
      <c r="L4" s="6" t="n"/>
      <c r="M4" s="6" t="n"/>
      <c r="N4" s="6" t="n"/>
      <c r="O4" s="6" t="n"/>
    </row>
    <row r="5" ht="26" customHeight="1">
      <c r="A5" s="6" t="n"/>
      <c r="B5" s="118">
        <f>COUNTIF($C$7:$C$1506,"&lt;&gt;")</f>
        <v/>
      </c>
      <c r="C5" s="101" t="inlineStr">
        <is>
          <t>TOPLAM  │  Kayıtlı tahsilat</t>
        </is>
      </c>
      <c r="D5" s="100" t="n"/>
      <c r="E5" s="100" t="n"/>
      <c r="F5" s="103">
        <f>SUM($F$7:$F$1506)</f>
        <v/>
      </c>
      <c r="G5" s="100" t="n"/>
      <c r="H5" s="100" t="n"/>
      <c r="I5" s="100" t="n"/>
      <c r="J5" s="100" t="n"/>
      <c r="K5" s="100" t="n"/>
      <c r="L5" s="100" t="n"/>
      <c r="M5" s="100" t="n"/>
      <c r="N5" s="6" t="n"/>
      <c r="O5" s="6" t="n"/>
    </row>
    <row r="6" ht="40" customHeight="1">
      <c r="A6" s="6" t="n"/>
      <c r="B6" s="104" t="inlineStr">
        <is>
          <t>Tahsilat No</t>
        </is>
      </c>
      <c r="C6" s="104" t="inlineStr">
        <is>
          <t>Müşteri No</t>
        </is>
      </c>
      <c r="D6" s="105" t="inlineStr">
        <is>
          <t>Müşteri</t>
        </is>
      </c>
      <c r="E6" s="104" t="inlineStr">
        <is>
          <t>Tarih</t>
        </is>
      </c>
      <c r="F6" s="106" t="inlineStr">
        <is>
          <t>Tutar</t>
        </is>
      </c>
      <c r="G6" s="104" t="inlineStr">
        <is>
          <t>Kasa / Banka</t>
        </is>
      </c>
      <c r="H6" s="104" t="inlineStr">
        <is>
          <t>Ödeme Türü</t>
        </is>
      </c>
      <c r="I6" s="105" t="inlineStr">
        <is>
          <t>Belge No</t>
        </is>
      </c>
      <c r="J6" s="105" t="inlineStr">
        <is>
          <t>Açıklama</t>
        </is>
      </c>
      <c r="K6" s="105" t="inlineStr">
        <is>
          <t>İşlemi Giren</t>
        </is>
      </c>
      <c r="L6" s="104" t="inlineStr">
        <is>
          <t>Ay</t>
        </is>
      </c>
      <c r="M6" s="104" t="inlineStr">
        <is>
          <t>Kayıt Kontrolü</t>
        </is>
      </c>
      <c r="N6" s="6" t="n"/>
      <c r="O6" s="6" t="n"/>
    </row>
    <row r="7">
      <c r="A7" s="6" t="n"/>
      <c r="B7" s="112">
        <f>IF($C7="","","T"&amp;TEXT(ROW()-6,"00000"))</f>
        <v/>
      </c>
      <c r="C7" s="107" t="n"/>
      <c r="D7" s="113">
        <f>IF($C7="","",IFERROR(INDEX(MUSTERILER!$C$7:$C$106,MATCH($C7,MUSTERILER!$B$7:$B$106,0)),"TANIMSIZ MÜŞTERİ"))</f>
        <v/>
      </c>
      <c r="E7" s="114" t="n"/>
      <c r="F7" s="115" t="n"/>
      <c r="G7" s="107" t="n"/>
      <c r="H7" s="107" t="n"/>
      <c r="I7" s="108" t="n"/>
      <c r="J7" s="108" t="n"/>
      <c r="K7" s="108" t="n"/>
      <c r="L7" s="119">
        <f>IF($E7="","",DATE(YEAR($E7),MONTH($E7),1))</f>
        <v/>
      </c>
      <c r="M7" s="112">
        <f>IF($C7="","",IF($D7="TANIMSIZ MÜŞTERİ","HATA",IF(OR($E7="",$F7&lt;=0,$G7=""),"EKSİK",IF($E7&gt;TODAY(),"İLERİ TARİH","UYGUN"))))</f>
        <v/>
      </c>
      <c r="N7" s="6" t="n"/>
      <c r="O7" s="6" t="n"/>
    </row>
    <row r="8">
      <c r="A8" s="6" t="n"/>
      <c r="B8" s="112">
        <f>IF($C8="","","T"&amp;TEXT(ROW()-6,"00000"))</f>
        <v/>
      </c>
      <c r="C8" s="107" t="n"/>
      <c r="D8" s="113">
        <f>IF($C8="","",IFERROR(INDEX(MUSTERILER!$C$7:$C$106,MATCH($C8,MUSTERILER!$B$7:$B$106,0)),"TANIMSIZ MÜŞTERİ"))</f>
        <v/>
      </c>
      <c r="E8" s="114" t="n"/>
      <c r="F8" s="115" t="n"/>
      <c r="G8" s="107" t="n"/>
      <c r="H8" s="107" t="n"/>
      <c r="I8" s="108" t="n"/>
      <c r="J8" s="108" t="n"/>
      <c r="K8" s="108" t="n"/>
      <c r="L8" s="119">
        <f>IF($E8="","",DATE(YEAR($E8),MONTH($E8),1))</f>
        <v/>
      </c>
      <c r="M8" s="112">
        <f>IF($C8="","",IF($D8="TANIMSIZ MÜŞTERİ","HATA",IF(OR($E8="",$F8&lt;=0,$G8=""),"EKSİK",IF($E8&gt;TODAY(),"İLERİ TARİH","UYGUN"))))</f>
        <v/>
      </c>
      <c r="N8" s="6" t="n"/>
      <c r="O8" s="6" t="n"/>
    </row>
    <row r="9">
      <c r="A9" s="6" t="n"/>
      <c r="B9" s="112">
        <f>IF($C9="","","T"&amp;TEXT(ROW()-6,"00000"))</f>
        <v/>
      </c>
      <c r="C9" s="107" t="n"/>
      <c r="D9" s="113">
        <f>IF($C9="","",IFERROR(INDEX(MUSTERILER!$C$7:$C$106,MATCH($C9,MUSTERILER!$B$7:$B$106,0)),"TANIMSIZ MÜŞTERİ"))</f>
        <v/>
      </c>
      <c r="E9" s="114" t="n"/>
      <c r="F9" s="115" t="n"/>
      <c r="G9" s="107" t="n"/>
      <c r="H9" s="107" t="n"/>
      <c r="I9" s="108" t="n"/>
      <c r="J9" s="108" t="n"/>
      <c r="K9" s="108" t="n"/>
      <c r="L9" s="119">
        <f>IF($E9="","",DATE(YEAR($E9),MONTH($E9),1))</f>
        <v/>
      </c>
      <c r="M9" s="112">
        <f>IF($C9="","",IF($D9="TANIMSIZ MÜŞTERİ","HATA",IF(OR($E9="",$F9&lt;=0,$G9=""),"EKSİK",IF($E9&gt;TODAY(),"İLERİ TARİH","UYGUN"))))</f>
        <v/>
      </c>
      <c r="N9" s="6" t="n"/>
      <c r="O9" s="6" t="n"/>
    </row>
    <row r="10">
      <c r="A10" s="6" t="n"/>
      <c r="B10" s="112">
        <f>IF($C10="","","T"&amp;TEXT(ROW()-6,"00000"))</f>
        <v/>
      </c>
      <c r="C10" s="107" t="n"/>
      <c r="D10" s="113">
        <f>IF($C10="","",IFERROR(INDEX(MUSTERILER!$C$7:$C$106,MATCH($C10,MUSTERILER!$B$7:$B$106,0)),"TANIMSIZ MÜŞTERİ"))</f>
        <v/>
      </c>
      <c r="E10" s="114" t="n"/>
      <c r="F10" s="115" t="n"/>
      <c r="G10" s="107" t="n"/>
      <c r="H10" s="107" t="n"/>
      <c r="I10" s="108" t="n"/>
      <c r="J10" s="108" t="n"/>
      <c r="K10" s="108" t="n"/>
      <c r="L10" s="119">
        <f>IF($E10="","",DATE(YEAR($E10),MONTH($E10),1))</f>
        <v/>
      </c>
      <c r="M10" s="112">
        <f>IF($C10="","",IF($D10="TANIMSIZ MÜŞTERİ","HATA",IF(OR($E10="",$F10&lt;=0,$G10=""),"EKSİK",IF($E10&gt;TODAY(),"İLERİ TARİH","UYGUN"))))</f>
        <v/>
      </c>
      <c r="N10" s="6" t="n"/>
      <c r="O10" s="6" t="n"/>
    </row>
    <row r="11">
      <c r="A11" s="6" t="n"/>
      <c r="B11" s="112">
        <f>IF($C11="","","T"&amp;TEXT(ROW()-6,"00000"))</f>
        <v/>
      </c>
      <c r="C11" s="107" t="n"/>
      <c r="D11" s="113">
        <f>IF($C11="","",IFERROR(INDEX(MUSTERILER!$C$7:$C$106,MATCH($C11,MUSTERILER!$B$7:$B$106,0)),"TANIMSIZ MÜŞTERİ"))</f>
        <v/>
      </c>
      <c r="E11" s="114" t="n"/>
      <c r="F11" s="115" t="n"/>
      <c r="G11" s="107" t="n"/>
      <c r="H11" s="107" t="n"/>
      <c r="I11" s="108" t="n"/>
      <c r="J11" s="108" t="n"/>
      <c r="K11" s="108" t="n"/>
      <c r="L11" s="119">
        <f>IF($E11="","",DATE(YEAR($E11),MONTH($E11),1))</f>
        <v/>
      </c>
      <c r="M11" s="112">
        <f>IF($C11="","",IF($D11="TANIMSIZ MÜŞTERİ","HATA",IF(OR($E11="",$F11&lt;=0,$G11=""),"EKSİK",IF($E11&gt;TODAY(),"İLERİ TARİH","UYGUN"))))</f>
        <v/>
      </c>
      <c r="N11" s="6" t="n"/>
      <c r="O11" s="6" t="n"/>
    </row>
    <row r="12">
      <c r="A12" s="6" t="n"/>
      <c r="B12" s="112">
        <f>IF($C12="","","T"&amp;TEXT(ROW()-6,"00000"))</f>
        <v/>
      </c>
      <c r="C12" s="107" t="n"/>
      <c r="D12" s="113">
        <f>IF($C12="","",IFERROR(INDEX(MUSTERILER!$C$7:$C$106,MATCH($C12,MUSTERILER!$B$7:$B$106,0)),"TANIMSIZ MÜŞTERİ"))</f>
        <v/>
      </c>
      <c r="E12" s="114" t="n"/>
      <c r="F12" s="115" t="n"/>
      <c r="G12" s="107" t="n"/>
      <c r="H12" s="107" t="n"/>
      <c r="I12" s="108" t="n"/>
      <c r="J12" s="108" t="n"/>
      <c r="K12" s="108" t="n"/>
      <c r="L12" s="119">
        <f>IF($E12="","",DATE(YEAR($E12),MONTH($E12),1))</f>
        <v/>
      </c>
      <c r="M12" s="112">
        <f>IF($C12="","",IF($D12="TANIMSIZ MÜŞTERİ","HATA",IF(OR($E12="",$F12&lt;=0,$G12=""),"EKSİK",IF($E12&gt;TODAY(),"İLERİ TARİH","UYGUN"))))</f>
        <v/>
      </c>
      <c r="N12" s="6" t="n"/>
      <c r="O12" s="6" t="n"/>
    </row>
    <row r="13">
      <c r="A13" s="6" t="n"/>
      <c r="B13" s="112">
        <f>IF($C13="","","T"&amp;TEXT(ROW()-6,"00000"))</f>
        <v/>
      </c>
      <c r="C13" s="107" t="n"/>
      <c r="D13" s="113">
        <f>IF($C13="","",IFERROR(INDEX(MUSTERILER!$C$7:$C$106,MATCH($C13,MUSTERILER!$B$7:$B$106,0)),"TANIMSIZ MÜŞTERİ"))</f>
        <v/>
      </c>
      <c r="E13" s="114" t="n"/>
      <c r="F13" s="115" t="n"/>
      <c r="G13" s="107" t="n"/>
      <c r="H13" s="107" t="n"/>
      <c r="I13" s="108" t="n"/>
      <c r="J13" s="108" t="n"/>
      <c r="K13" s="108" t="n"/>
      <c r="L13" s="119">
        <f>IF($E13="","",DATE(YEAR($E13),MONTH($E13),1))</f>
        <v/>
      </c>
      <c r="M13" s="112">
        <f>IF($C13="","",IF($D13="TANIMSIZ MÜŞTERİ","HATA",IF(OR($E13="",$F13&lt;=0,$G13=""),"EKSİK",IF($E13&gt;TODAY(),"İLERİ TARİH","UYGUN"))))</f>
        <v/>
      </c>
      <c r="N13" s="6" t="n"/>
      <c r="O13" s="6" t="n"/>
    </row>
    <row r="14">
      <c r="A14" s="6" t="n"/>
      <c r="B14" s="112">
        <f>IF($C14="","","T"&amp;TEXT(ROW()-6,"00000"))</f>
        <v/>
      </c>
      <c r="C14" s="107" t="n"/>
      <c r="D14" s="113">
        <f>IF($C14="","",IFERROR(INDEX(MUSTERILER!$C$7:$C$106,MATCH($C14,MUSTERILER!$B$7:$B$106,0)),"TANIMSIZ MÜŞTERİ"))</f>
        <v/>
      </c>
      <c r="E14" s="114" t="n"/>
      <c r="F14" s="115" t="n"/>
      <c r="G14" s="107" t="n"/>
      <c r="H14" s="107" t="n"/>
      <c r="I14" s="108" t="n"/>
      <c r="J14" s="108" t="n"/>
      <c r="K14" s="108" t="n"/>
      <c r="L14" s="119">
        <f>IF($E14="","",DATE(YEAR($E14),MONTH($E14),1))</f>
        <v/>
      </c>
      <c r="M14" s="112">
        <f>IF($C14="","",IF($D14="TANIMSIZ MÜŞTERİ","HATA",IF(OR($E14="",$F14&lt;=0,$G14=""),"EKSİK",IF($E14&gt;TODAY(),"İLERİ TARİH","UYGUN"))))</f>
        <v/>
      </c>
      <c r="N14" s="6" t="n"/>
      <c r="O14" s="6" t="n"/>
    </row>
    <row r="15">
      <c r="A15" s="6" t="n"/>
      <c r="B15" s="112">
        <f>IF($C15="","","T"&amp;TEXT(ROW()-6,"00000"))</f>
        <v/>
      </c>
      <c r="C15" s="107" t="n"/>
      <c r="D15" s="113">
        <f>IF($C15="","",IFERROR(INDEX(MUSTERILER!$C$7:$C$106,MATCH($C15,MUSTERILER!$B$7:$B$106,0)),"TANIMSIZ MÜŞTERİ"))</f>
        <v/>
      </c>
      <c r="E15" s="114" t="n"/>
      <c r="F15" s="115" t="n"/>
      <c r="G15" s="107" t="n"/>
      <c r="H15" s="107" t="n"/>
      <c r="I15" s="108" t="n"/>
      <c r="J15" s="108" t="n"/>
      <c r="K15" s="108" t="n"/>
      <c r="L15" s="119">
        <f>IF($E15="","",DATE(YEAR($E15),MONTH($E15),1))</f>
        <v/>
      </c>
      <c r="M15" s="112">
        <f>IF($C15="","",IF($D15="TANIMSIZ MÜŞTERİ","HATA",IF(OR($E15="",$F15&lt;=0,$G15=""),"EKSİK",IF($E15&gt;TODAY(),"İLERİ TARİH","UYGUN"))))</f>
        <v/>
      </c>
      <c r="N15" s="6" t="n"/>
      <c r="O15" s="6" t="n"/>
    </row>
    <row r="16">
      <c r="A16" s="6" t="n"/>
      <c r="B16" s="112">
        <f>IF($C16="","","T"&amp;TEXT(ROW()-6,"00000"))</f>
        <v/>
      </c>
      <c r="C16" s="107" t="n"/>
      <c r="D16" s="113">
        <f>IF($C16="","",IFERROR(INDEX(MUSTERILER!$C$7:$C$106,MATCH($C16,MUSTERILER!$B$7:$B$106,0)),"TANIMSIZ MÜŞTERİ"))</f>
        <v/>
      </c>
      <c r="E16" s="114" t="n"/>
      <c r="F16" s="115" t="n"/>
      <c r="G16" s="107" t="n"/>
      <c r="H16" s="107" t="n"/>
      <c r="I16" s="108" t="n"/>
      <c r="J16" s="108" t="n"/>
      <c r="K16" s="108" t="n"/>
      <c r="L16" s="119">
        <f>IF($E16="","",DATE(YEAR($E16),MONTH($E16),1))</f>
        <v/>
      </c>
      <c r="M16" s="112">
        <f>IF($C16="","",IF($D16="TANIMSIZ MÜŞTERİ","HATA",IF(OR($E16="",$F16&lt;=0,$G16=""),"EKSİK",IF($E16&gt;TODAY(),"İLERİ TARİH","UYGUN"))))</f>
        <v/>
      </c>
      <c r="N16" s="6" t="n"/>
      <c r="O16" s="6" t="n"/>
    </row>
    <row r="17">
      <c r="A17" s="6" t="n"/>
      <c r="B17" s="112">
        <f>IF($C17="","","T"&amp;TEXT(ROW()-6,"00000"))</f>
        <v/>
      </c>
      <c r="C17" s="107" t="n"/>
      <c r="D17" s="113">
        <f>IF($C17="","",IFERROR(INDEX(MUSTERILER!$C$7:$C$106,MATCH($C17,MUSTERILER!$B$7:$B$106,0)),"TANIMSIZ MÜŞTERİ"))</f>
        <v/>
      </c>
      <c r="E17" s="114" t="n"/>
      <c r="F17" s="115" t="n"/>
      <c r="G17" s="107" t="n"/>
      <c r="H17" s="107" t="n"/>
      <c r="I17" s="108" t="n"/>
      <c r="J17" s="108" t="n"/>
      <c r="K17" s="108" t="n"/>
      <c r="L17" s="119">
        <f>IF($E17="","",DATE(YEAR($E17),MONTH($E17),1))</f>
        <v/>
      </c>
      <c r="M17" s="112">
        <f>IF($C17="","",IF($D17="TANIMSIZ MÜŞTERİ","HATA",IF(OR($E17="",$F17&lt;=0,$G17=""),"EKSİK",IF($E17&gt;TODAY(),"İLERİ TARİH","UYGUN"))))</f>
        <v/>
      </c>
      <c r="N17" s="6" t="n"/>
      <c r="O17" s="6" t="n"/>
    </row>
    <row r="18">
      <c r="A18" s="6" t="n"/>
      <c r="B18" s="112">
        <f>IF($C18="","","T"&amp;TEXT(ROW()-6,"00000"))</f>
        <v/>
      </c>
      <c r="C18" s="107" t="n"/>
      <c r="D18" s="113">
        <f>IF($C18="","",IFERROR(INDEX(MUSTERILER!$C$7:$C$106,MATCH($C18,MUSTERILER!$B$7:$B$106,0)),"TANIMSIZ MÜŞTERİ"))</f>
        <v/>
      </c>
      <c r="E18" s="114" t="n"/>
      <c r="F18" s="115" t="n"/>
      <c r="G18" s="107" t="n"/>
      <c r="H18" s="107" t="n"/>
      <c r="I18" s="108" t="n"/>
      <c r="J18" s="108" t="n"/>
      <c r="K18" s="108" t="n"/>
      <c r="L18" s="119">
        <f>IF($E18="","",DATE(YEAR($E18),MONTH($E18),1))</f>
        <v/>
      </c>
      <c r="M18" s="112">
        <f>IF($C18="","",IF($D18="TANIMSIZ MÜŞTERİ","HATA",IF(OR($E18="",$F18&lt;=0,$G18=""),"EKSİK",IF($E18&gt;TODAY(),"İLERİ TARİH","UYGUN"))))</f>
        <v/>
      </c>
      <c r="N18" s="6" t="n"/>
      <c r="O18" s="6" t="n"/>
    </row>
    <row r="19">
      <c r="A19" s="6" t="n"/>
      <c r="B19" s="112">
        <f>IF($C19="","","T"&amp;TEXT(ROW()-6,"00000"))</f>
        <v/>
      </c>
      <c r="C19" s="107" t="n"/>
      <c r="D19" s="113">
        <f>IF($C19="","",IFERROR(INDEX(MUSTERILER!$C$7:$C$106,MATCH($C19,MUSTERILER!$B$7:$B$106,0)),"TANIMSIZ MÜŞTERİ"))</f>
        <v/>
      </c>
      <c r="E19" s="114" t="n"/>
      <c r="F19" s="115" t="n"/>
      <c r="G19" s="107" t="n"/>
      <c r="H19" s="107" t="n"/>
      <c r="I19" s="108" t="n"/>
      <c r="J19" s="108" t="n"/>
      <c r="K19" s="108" t="n"/>
      <c r="L19" s="119">
        <f>IF($E19="","",DATE(YEAR($E19),MONTH($E19),1))</f>
        <v/>
      </c>
      <c r="M19" s="112">
        <f>IF($C19="","",IF($D19="TANIMSIZ MÜŞTERİ","HATA",IF(OR($E19="",$F19&lt;=0,$G19=""),"EKSİK",IF($E19&gt;TODAY(),"İLERİ TARİH","UYGUN"))))</f>
        <v/>
      </c>
      <c r="N19" s="6" t="n"/>
      <c r="O19" s="6" t="n"/>
    </row>
    <row r="20">
      <c r="A20" s="6" t="n"/>
      <c r="B20" s="112">
        <f>IF($C20="","","T"&amp;TEXT(ROW()-6,"00000"))</f>
        <v/>
      </c>
      <c r="C20" s="107" t="n"/>
      <c r="D20" s="113">
        <f>IF($C20="","",IFERROR(INDEX(MUSTERILER!$C$7:$C$106,MATCH($C20,MUSTERILER!$B$7:$B$106,0)),"TANIMSIZ MÜŞTERİ"))</f>
        <v/>
      </c>
      <c r="E20" s="114" t="n"/>
      <c r="F20" s="115" t="n"/>
      <c r="G20" s="107" t="n"/>
      <c r="H20" s="107" t="n"/>
      <c r="I20" s="108" t="n"/>
      <c r="J20" s="108" t="n"/>
      <c r="K20" s="108" t="n"/>
      <c r="L20" s="119">
        <f>IF($E20="","",DATE(YEAR($E20),MONTH($E20),1))</f>
        <v/>
      </c>
      <c r="M20" s="112">
        <f>IF($C20="","",IF($D20="TANIMSIZ MÜŞTERİ","HATA",IF(OR($E20="",$F20&lt;=0,$G20=""),"EKSİK",IF($E20&gt;TODAY(),"İLERİ TARİH","UYGUN"))))</f>
        <v/>
      </c>
      <c r="N20" s="6" t="n"/>
      <c r="O20" s="6" t="n"/>
    </row>
    <row r="21">
      <c r="A21" s="6" t="n"/>
      <c r="B21" s="112">
        <f>IF($C21="","","T"&amp;TEXT(ROW()-6,"00000"))</f>
        <v/>
      </c>
      <c r="C21" s="107" t="n"/>
      <c r="D21" s="113">
        <f>IF($C21="","",IFERROR(INDEX(MUSTERILER!$C$7:$C$106,MATCH($C21,MUSTERILER!$B$7:$B$106,0)),"TANIMSIZ MÜŞTERİ"))</f>
        <v/>
      </c>
      <c r="E21" s="114" t="n"/>
      <c r="F21" s="115" t="n"/>
      <c r="G21" s="107" t="n"/>
      <c r="H21" s="107" t="n"/>
      <c r="I21" s="108" t="n"/>
      <c r="J21" s="108" t="n"/>
      <c r="K21" s="108" t="n"/>
      <c r="L21" s="119">
        <f>IF($E21="","",DATE(YEAR($E21),MONTH($E21),1))</f>
        <v/>
      </c>
      <c r="M21" s="112">
        <f>IF($C21="","",IF($D21="TANIMSIZ MÜŞTERİ","HATA",IF(OR($E21="",$F21&lt;=0,$G21=""),"EKSİK",IF($E21&gt;TODAY(),"İLERİ TARİH","UYGUN"))))</f>
        <v/>
      </c>
      <c r="N21" s="6" t="n"/>
      <c r="O21" s="6" t="n"/>
    </row>
    <row r="22">
      <c r="A22" s="6" t="n"/>
      <c r="B22" s="112">
        <f>IF($C22="","","T"&amp;TEXT(ROW()-6,"00000"))</f>
        <v/>
      </c>
      <c r="C22" s="107" t="n"/>
      <c r="D22" s="113">
        <f>IF($C22="","",IFERROR(INDEX(MUSTERILER!$C$7:$C$106,MATCH($C22,MUSTERILER!$B$7:$B$106,0)),"TANIMSIZ MÜŞTERİ"))</f>
        <v/>
      </c>
      <c r="E22" s="114" t="n"/>
      <c r="F22" s="115" t="n"/>
      <c r="G22" s="107" t="n"/>
      <c r="H22" s="107" t="n"/>
      <c r="I22" s="108" t="n"/>
      <c r="J22" s="108" t="n"/>
      <c r="K22" s="108" t="n"/>
      <c r="L22" s="119">
        <f>IF($E22="","",DATE(YEAR($E22),MONTH($E22),1))</f>
        <v/>
      </c>
      <c r="M22" s="112">
        <f>IF($C22="","",IF($D22="TANIMSIZ MÜŞTERİ","HATA",IF(OR($E22="",$F22&lt;=0,$G22=""),"EKSİK",IF($E22&gt;TODAY(),"İLERİ TARİH","UYGUN"))))</f>
        <v/>
      </c>
      <c r="N22" s="6" t="n"/>
      <c r="O22" s="6" t="n"/>
    </row>
    <row r="23">
      <c r="A23" s="6" t="n"/>
      <c r="B23" s="112">
        <f>IF($C23="","","T"&amp;TEXT(ROW()-6,"00000"))</f>
        <v/>
      </c>
      <c r="C23" s="107" t="n"/>
      <c r="D23" s="113">
        <f>IF($C23="","",IFERROR(INDEX(MUSTERILER!$C$7:$C$106,MATCH($C23,MUSTERILER!$B$7:$B$106,0)),"TANIMSIZ MÜŞTERİ"))</f>
        <v/>
      </c>
      <c r="E23" s="114" t="n"/>
      <c r="F23" s="115" t="n"/>
      <c r="G23" s="107" t="n"/>
      <c r="H23" s="107" t="n"/>
      <c r="I23" s="108" t="n"/>
      <c r="J23" s="108" t="n"/>
      <c r="K23" s="108" t="n"/>
      <c r="L23" s="119">
        <f>IF($E23="","",DATE(YEAR($E23),MONTH($E23),1))</f>
        <v/>
      </c>
      <c r="M23" s="112">
        <f>IF($C23="","",IF($D23="TANIMSIZ MÜŞTERİ","HATA",IF(OR($E23="",$F23&lt;=0,$G23=""),"EKSİK",IF($E23&gt;TODAY(),"İLERİ TARİH","UYGUN"))))</f>
        <v/>
      </c>
      <c r="N23" s="6" t="n"/>
      <c r="O23" s="6" t="n"/>
    </row>
    <row r="24">
      <c r="A24" s="6" t="n"/>
      <c r="B24" s="112">
        <f>IF($C24="","","T"&amp;TEXT(ROW()-6,"00000"))</f>
        <v/>
      </c>
      <c r="C24" s="107" t="n"/>
      <c r="D24" s="113">
        <f>IF($C24="","",IFERROR(INDEX(MUSTERILER!$C$7:$C$106,MATCH($C24,MUSTERILER!$B$7:$B$106,0)),"TANIMSIZ MÜŞTERİ"))</f>
        <v/>
      </c>
      <c r="E24" s="114" t="n"/>
      <c r="F24" s="115" t="n"/>
      <c r="G24" s="107" t="n"/>
      <c r="H24" s="107" t="n"/>
      <c r="I24" s="108" t="n"/>
      <c r="J24" s="108" t="n"/>
      <c r="K24" s="108" t="n"/>
      <c r="L24" s="119">
        <f>IF($E24="","",DATE(YEAR($E24),MONTH($E24),1))</f>
        <v/>
      </c>
      <c r="M24" s="112">
        <f>IF($C24="","",IF($D24="TANIMSIZ MÜŞTERİ","HATA",IF(OR($E24="",$F24&lt;=0,$G24=""),"EKSİK",IF($E24&gt;TODAY(),"İLERİ TARİH","UYGUN"))))</f>
        <v/>
      </c>
      <c r="N24" s="6" t="n"/>
      <c r="O24" s="6" t="n"/>
    </row>
    <row r="25">
      <c r="A25" s="6" t="n"/>
      <c r="B25" s="112">
        <f>IF($C25="","","T"&amp;TEXT(ROW()-6,"00000"))</f>
        <v/>
      </c>
      <c r="C25" s="107" t="n"/>
      <c r="D25" s="113">
        <f>IF($C25="","",IFERROR(INDEX(MUSTERILER!$C$7:$C$106,MATCH($C25,MUSTERILER!$B$7:$B$106,0)),"TANIMSIZ MÜŞTERİ"))</f>
        <v/>
      </c>
      <c r="E25" s="114" t="n"/>
      <c r="F25" s="115" t="n"/>
      <c r="G25" s="107" t="n"/>
      <c r="H25" s="107" t="n"/>
      <c r="I25" s="108" t="n"/>
      <c r="J25" s="108" t="n"/>
      <c r="K25" s="108" t="n"/>
      <c r="L25" s="119">
        <f>IF($E25="","",DATE(YEAR($E25),MONTH($E25),1))</f>
        <v/>
      </c>
      <c r="M25" s="112">
        <f>IF($C25="","",IF($D25="TANIMSIZ MÜŞTERİ","HATA",IF(OR($E25="",$F25&lt;=0,$G25=""),"EKSİK",IF($E25&gt;TODAY(),"İLERİ TARİH","UYGUN"))))</f>
        <v/>
      </c>
      <c r="N25" s="6" t="n"/>
      <c r="O25" s="6" t="n"/>
    </row>
    <row r="26">
      <c r="A26" s="6" t="n"/>
      <c r="B26" s="112">
        <f>IF($C26="","","T"&amp;TEXT(ROW()-6,"00000"))</f>
        <v/>
      </c>
      <c r="C26" s="107" t="n"/>
      <c r="D26" s="113">
        <f>IF($C26="","",IFERROR(INDEX(MUSTERILER!$C$7:$C$106,MATCH($C26,MUSTERILER!$B$7:$B$106,0)),"TANIMSIZ MÜŞTERİ"))</f>
        <v/>
      </c>
      <c r="E26" s="114" t="n"/>
      <c r="F26" s="115" t="n"/>
      <c r="G26" s="107" t="n"/>
      <c r="H26" s="107" t="n"/>
      <c r="I26" s="108" t="n"/>
      <c r="J26" s="108" t="n"/>
      <c r="K26" s="108" t="n"/>
      <c r="L26" s="119">
        <f>IF($E26="","",DATE(YEAR($E26),MONTH($E26),1))</f>
        <v/>
      </c>
      <c r="M26" s="112">
        <f>IF($C26="","",IF($D26="TANIMSIZ MÜŞTERİ","HATA",IF(OR($E26="",$F26&lt;=0,$G26=""),"EKSİK",IF($E26&gt;TODAY(),"İLERİ TARİH","UYGUN"))))</f>
        <v/>
      </c>
      <c r="N26" s="6" t="n"/>
      <c r="O26" s="6" t="n"/>
    </row>
    <row r="27">
      <c r="A27" s="6" t="n"/>
      <c r="B27" s="112">
        <f>IF($C27="","","T"&amp;TEXT(ROW()-6,"00000"))</f>
        <v/>
      </c>
      <c r="C27" s="107" t="n"/>
      <c r="D27" s="113">
        <f>IF($C27="","",IFERROR(INDEX(MUSTERILER!$C$7:$C$106,MATCH($C27,MUSTERILER!$B$7:$B$106,0)),"TANIMSIZ MÜŞTERİ"))</f>
        <v/>
      </c>
      <c r="E27" s="114" t="n"/>
      <c r="F27" s="115" t="n"/>
      <c r="G27" s="107" t="n"/>
      <c r="H27" s="107" t="n"/>
      <c r="I27" s="108" t="n"/>
      <c r="J27" s="108" t="n"/>
      <c r="K27" s="108" t="n"/>
      <c r="L27" s="119">
        <f>IF($E27="","",DATE(YEAR($E27),MONTH($E27),1))</f>
        <v/>
      </c>
      <c r="M27" s="112">
        <f>IF($C27="","",IF($D27="TANIMSIZ MÜŞTERİ","HATA",IF(OR($E27="",$F27&lt;=0,$G27=""),"EKSİK",IF($E27&gt;TODAY(),"İLERİ TARİH","UYGUN"))))</f>
        <v/>
      </c>
      <c r="N27" s="6" t="n"/>
      <c r="O27" s="6" t="n"/>
    </row>
    <row r="28">
      <c r="A28" s="6" t="n"/>
      <c r="B28" s="112">
        <f>IF($C28="","","T"&amp;TEXT(ROW()-6,"00000"))</f>
        <v/>
      </c>
      <c r="C28" s="107" t="n"/>
      <c r="D28" s="113">
        <f>IF($C28="","",IFERROR(INDEX(MUSTERILER!$C$7:$C$106,MATCH($C28,MUSTERILER!$B$7:$B$106,0)),"TANIMSIZ MÜŞTERİ"))</f>
        <v/>
      </c>
      <c r="E28" s="114" t="n"/>
      <c r="F28" s="115" t="n"/>
      <c r="G28" s="107" t="n"/>
      <c r="H28" s="107" t="n"/>
      <c r="I28" s="108" t="n"/>
      <c r="J28" s="108" t="n"/>
      <c r="K28" s="108" t="n"/>
      <c r="L28" s="119">
        <f>IF($E28="","",DATE(YEAR($E28),MONTH($E28),1))</f>
        <v/>
      </c>
      <c r="M28" s="112">
        <f>IF($C28="","",IF($D28="TANIMSIZ MÜŞTERİ","HATA",IF(OR($E28="",$F28&lt;=0,$G28=""),"EKSİK",IF($E28&gt;TODAY(),"İLERİ TARİH","UYGUN"))))</f>
        <v/>
      </c>
      <c r="N28" s="6" t="n"/>
      <c r="O28" s="6" t="n"/>
    </row>
    <row r="29">
      <c r="A29" s="6" t="n"/>
      <c r="B29" s="112">
        <f>IF($C29="","","T"&amp;TEXT(ROW()-6,"00000"))</f>
        <v/>
      </c>
      <c r="C29" s="107" t="n"/>
      <c r="D29" s="113">
        <f>IF($C29="","",IFERROR(INDEX(MUSTERILER!$C$7:$C$106,MATCH($C29,MUSTERILER!$B$7:$B$106,0)),"TANIMSIZ MÜŞTERİ"))</f>
        <v/>
      </c>
      <c r="E29" s="114" t="n"/>
      <c r="F29" s="115" t="n"/>
      <c r="G29" s="107" t="n"/>
      <c r="H29" s="107" t="n"/>
      <c r="I29" s="108" t="n"/>
      <c r="J29" s="108" t="n"/>
      <c r="K29" s="108" t="n"/>
      <c r="L29" s="119">
        <f>IF($E29="","",DATE(YEAR($E29),MONTH($E29),1))</f>
        <v/>
      </c>
      <c r="M29" s="112">
        <f>IF($C29="","",IF($D29="TANIMSIZ MÜŞTERİ","HATA",IF(OR($E29="",$F29&lt;=0,$G29=""),"EKSİK",IF($E29&gt;TODAY(),"İLERİ TARİH","UYGUN"))))</f>
        <v/>
      </c>
      <c r="N29" s="6" t="n"/>
      <c r="O29" s="6" t="n"/>
    </row>
    <row r="30">
      <c r="A30" s="6" t="n"/>
      <c r="B30" s="112">
        <f>IF($C30="","","T"&amp;TEXT(ROW()-6,"00000"))</f>
        <v/>
      </c>
      <c r="C30" s="107" t="n"/>
      <c r="D30" s="113">
        <f>IF($C30="","",IFERROR(INDEX(MUSTERILER!$C$7:$C$106,MATCH($C30,MUSTERILER!$B$7:$B$106,0)),"TANIMSIZ MÜŞTERİ"))</f>
        <v/>
      </c>
      <c r="E30" s="114" t="n"/>
      <c r="F30" s="115" t="n"/>
      <c r="G30" s="107" t="n"/>
      <c r="H30" s="107" t="n"/>
      <c r="I30" s="108" t="n"/>
      <c r="J30" s="108" t="n"/>
      <c r="K30" s="108" t="n"/>
      <c r="L30" s="119">
        <f>IF($E30="","",DATE(YEAR($E30),MONTH($E30),1))</f>
        <v/>
      </c>
      <c r="M30" s="112">
        <f>IF($C30="","",IF($D30="TANIMSIZ MÜŞTERİ","HATA",IF(OR($E30="",$F30&lt;=0,$G30=""),"EKSİK",IF($E30&gt;TODAY(),"İLERİ TARİH","UYGUN"))))</f>
        <v/>
      </c>
      <c r="N30" s="6" t="n"/>
      <c r="O30" s="6" t="n"/>
    </row>
    <row r="31">
      <c r="A31" s="6" t="n"/>
      <c r="B31" s="112">
        <f>IF($C31="","","T"&amp;TEXT(ROW()-6,"00000"))</f>
        <v/>
      </c>
      <c r="C31" s="107" t="n"/>
      <c r="D31" s="113">
        <f>IF($C31="","",IFERROR(INDEX(MUSTERILER!$C$7:$C$106,MATCH($C31,MUSTERILER!$B$7:$B$106,0)),"TANIMSIZ MÜŞTERİ"))</f>
        <v/>
      </c>
      <c r="E31" s="114" t="n"/>
      <c r="F31" s="115" t="n"/>
      <c r="G31" s="107" t="n"/>
      <c r="H31" s="107" t="n"/>
      <c r="I31" s="108" t="n"/>
      <c r="J31" s="108" t="n"/>
      <c r="K31" s="108" t="n"/>
      <c r="L31" s="119">
        <f>IF($E31="","",DATE(YEAR($E31),MONTH($E31),1))</f>
        <v/>
      </c>
      <c r="M31" s="112">
        <f>IF($C31="","",IF($D31="TANIMSIZ MÜŞTERİ","HATA",IF(OR($E31="",$F31&lt;=0,$G31=""),"EKSİK",IF($E31&gt;TODAY(),"İLERİ TARİH","UYGUN"))))</f>
        <v/>
      </c>
      <c r="N31" s="6" t="n"/>
      <c r="O31" s="6" t="n"/>
    </row>
    <row r="32">
      <c r="A32" s="6" t="n"/>
      <c r="B32" s="112">
        <f>IF($C32="","","T"&amp;TEXT(ROW()-6,"00000"))</f>
        <v/>
      </c>
      <c r="C32" s="107" t="n"/>
      <c r="D32" s="113">
        <f>IF($C32="","",IFERROR(INDEX(MUSTERILER!$C$7:$C$106,MATCH($C32,MUSTERILER!$B$7:$B$106,0)),"TANIMSIZ MÜŞTERİ"))</f>
        <v/>
      </c>
      <c r="E32" s="114" t="n"/>
      <c r="F32" s="115" t="n"/>
      <c r="G32" s="107" t="n"/>
      <c r="H32" s="107" t="n"/>
      <c r="I32" s="108" t="n"/>
      <c r="J32" s="108" t="n"/>
      <c r="K32" s="108" t="n"/>
      <c r="L32" s="119">
        <f>IF($E32="","",DATE(YEAR($E32),MONTH($E32),1))</f>
        <v/>
      </c>
      <c r="M32" s="112">
        <f>IF($C32="","",IF($D32="TANIMSIZ MÜŞTERİ","HATA",IF(OR($E32="",$F32&lt;=0,$G32=""),"EKSİK",IF($E32&gt;TODAY(),"İLERİ TARİH","UYGUN"))))</f>
        <v/>
      </c>
      <c r="N32" s="6" t="n"/>
      <c r="O32" s="6" t="n"/>
    </row>
    <row r="33">
      <c r="A33" s="6" t="n"/>
      <c r="B33" s="112">
        <f>IF($C33="","","T"&amp;TEXT(ROW()-6,"00000"))</f>
        <v/>
      </c>
      <c r="C33" s="107" t="n"/>
      <c r="D33" s="113">
        <f>IF($C33="","",IFERROR(INDEX(MUSTERILER!$C$7:$C$106,MATCH($C33,MUSTERILER!$B$7:$B$106,0)),"TANIMSIZ MÜŞTERİ"))</f>
        <v/>
      </c>
      <c r="E33" s="114" t="n"/>
      <c r="F33" s="115" t="n"/>
      <c r="G33" s="107" t="n"/>
      <c r="H33" s="107" t="n"/>
      <c r="I33" s="108" t="n"/>
      <c r="J33" s="108" t="n"/>
      <c r="K33" s="108" t="n"/>
      <c r="L33" s="119">
        <f>IF($E33="","",DATE(YEAR($E33),MONTH($E33),1))</f>
        <v/>
      </c>
      <c r="M33" s="112">
        <f>IF($C33="","",IF($D33="TANIMSIZ MÜŞTERİ","HATA",IF(OR($E33="",$F33&lt;=0,$G33=""),"EKSİK",IF($E33&gt;TODAY(),"İLERİ TARİH","UYGUN"))))</f>
        <v/>
      </c>
      <c r="N33" s="6" t="n"/>
      <c r="O33" s="6" t="n"/>
    </row>
    <row r="34">
      <c r="A34" s="6" t="n"/>
      <c r="B34" s="112">
        <f>IF($C34="","","T"&amp;TEXT(ROW()-6,"00000"))</f>
        <v/>
      </c>
      <c r="C34" s="107" t="n"/>
      <c r="D34" s="113">
        <f>IF($C34="","",IFERROR(INDEX(MUSTERILER!$C$7:$C$106,MATCH($C34,MUSTERILER!$B$7:$B$106,0)),"TANIMSIZ MÜŞTERİ"))</f>
        <v/>
      </c>
      <c r="E34" s="114" t="n"/>
      <c r="F34" s="115" t="n"/>
      <c r="G34" s="107" t="n"/>
      <c r="H34" s="107" t="n"/>
      <c r="I34" s="108" t="n"/>
      <c r="J34" s="108" t="n"/>
      <c r="K34" s="108" t="n"/>
      <c r="L34" s="119">
        <f>IF($E34="","",DATE(YEAR($E34),MONTH($E34),1))</f>
        <v/>
      </c>
      <c r="M34" s="112">
        <f>IF($C34="","",IF($D34="TANIMSIZ MÜŞTERİ","HATA",IF(OR($E34="",$F34&lt;=0,$G34=""),"EKSİK",IF($E34&gt;TODAY(),"İLERİ TARİH","UYGUN"))))</f>
        <v/>
      </c>
      <c r="N34" s="6" t="n"/>
      <c r="O34" s="6" t="n"/>
    </row>
    <row r="35">
      <c r="A35" s="6" t="n"/>
      <c r="B35" s="112">
        <f>IF($C35="","","T"&amp;TEXT(ROW()-6,"00000"))</f>
        <v/>
      </c>
      <c r="C35" s="107" t="n"/>
      <c r="D35" s="113">
        <f>IF($C35="","",IFERROR(INDEX(MUSTERILER!$C$7:$C$106,MATCH($C35,MUSTERILER!$B$7:$B$106,0)),"TANIMSIZ MÜŞTERİ"))</f>
        <v/>
      </c>
      <c r="E35" s="114" t="n"/>
      <c r="F35" s="115" t="n"/>
      <c r="G35" s="107" t="n"/>
      <c r="H35" s="107" t="n"/>
      <c r="I35" s="108" t="n"/>
      <c r="J35" s="108" t="n"/>
      <c r="K35" s="108" t="n"/>
      <c r="L35" s="119">
        <f>IF($E35="","",DATE(YEAR($E35),MONTH($E35),1))</f>
        <v/>
      </c>
      <c r="M35" s="112">
        <f>IF($C35="","",IF($D35="TANIMSIZ MÜŞTERİ","HATA",IF(OR($E35="",$F35&lt;=0,$G35=""),"EKSİK",IF($E35&gt;TODAY(),"İLERİ TARİH","UYGUN"))))</f>
        <v/>
      </c>
      <c r="N35" s="6" t="n"/>
      <c r="O35" s="6" t="n"/>
    </row>
    <row r="36">
      <c r="A36" s="6" t="n"/>
      <c r="B36" s="112">
        <f>IF($C36="","","T"&amp;TEXT(ROW()-6,"00000"))</f>
        <v/>
      </c>
      <c r="C36" s="107" t="n"/>
      <c r="D36" s="113">
        <f>IF($C36="","",IFERROR(INDEX(MUSTERILER!$C$7:$C$106,MATCH($C36,MUSTERILER!$B$7:$B$106,0)),"TANIMSIZ MÜŞTERİ"))</f>
        <v/>
      </c>
      <c r="E36" s="114" t="n"/>
      <c r="F36" s="115" t="n"/>
      <c r="G36" s="107" t="n"/>
      <c r="H36" s="107" t="n"/>
      <c r="I36" s="108" t="n"/>
      <c r="J36" s="108" t="n"/>
      <c r="K36" s="108" t="n"/>
      <c r="L36" s="119">
        <f>IF($E36="","",DATE(YEAR($E36),MONTH($E36),1))</f>
        <v/>
      </c>
      <c r="M36" s="112">
        <f>IF($C36="","",IF($D36="TANIMSIZ MÜŞTERİ","HATA",IF(OR($E36="",$F36&lt;=0,$G36=""),"EKSİK",IF($E36&gt;TODAY(),"İLERİ TARİH","UYGUN"))))</f>
        <v/>
      </c>
      <c r="N36" s="6" t="n"/>
      <c r="O36" s="6" t="n"/>
    </row>
    <row r="37">
      <c r="A37" s="6" t="n"/>
      <c r="B37" s="112">
        <f>IF($C37="","","T"&amp;TEXT(ROW()-6,"00000"))</f>
        <v/>
      </c>
      <c r="C37" s="107" t="n"/>
      <c r="D37" s="113">
        <f>IF($C37="","",IFERROR(INDEX(MUSTERILER!$C$7:$C$106,MATCH($C37,MUSTERILER!$B$7:$B$106,0)),"TANIMSIZ MÜŞTERİ"))</f>
        <v/>
      </c>
      <c r="E37" s="114" t="n"/>
      <c r="F37" s="115" t="n"/>
      <c r="G37" s="107" t="n"/>
      <c r="H37" s="107" t="n"/>
      <c r="I37" s="108" t="n"/>
      <c r="J37" s="108" t="n"/>
      <c r="K37" s="108" t="n"/>
      <c r="L37" s="119">
        <f>IF($E37="","",DATE(YEAR($E37),MONTH($E37),1))</f>
        <v/>
      </c>
      <c r="M37" s="112">
        <f>IF($C37="","",IF($D37="TANIMSIZ MÜŞTERİ","HATA",IF(OR($E37="",$F37&lt;=0,$G37=""),"EKSİK",IF($E37&gt;TODAY(),"İLERİ TARİH","UYGUN"))))</f>
        <v/>
      </c>
      <c r="N37" s="6" t="n"/>
      <c r="O37" s="6" t="n"/>
    </row>
    <row r="38">
      <c r="A38" s="6" t="n"/>
      <c r="B38" s="112">
        <f>IF($C38="","","T"&amp;TEXT(ROW()-6,"00000"))</f>
        <v/>
      </c>
      <c r="C38" s="107" t="n"/>
      <c r="D38" s="113">
        <f>IF($C38="","",IFERROR(INDEX(MUSTERILER!$C$7:$C$106,MATCH($C38,MUSTERILER!$B$7:$B$106,0)),"TANIMSIZ MÜŞTERİ"))</f>
        <v/>
      </c>
      <c r="E38" s="114" t="n"/>
      <c r="F38" s="115" t="n"/>
      <c r="G38" s="107" t="n"/>
      <c r="H38" s="107" t="n"/>
      <c r="I38" s="108" t="n"/>
      <c r="J38" s="108" t="n"/>
      <c r="K38" s="108" t="n"/>
      <c r="L38" s="119">
        <f>IF($E38="","",DATE(YEAR($E38),MONTH($E38),1))</f>
        <v/>
      </c>
      <c r="M38" s="112">
        <f>IF($C38="","",IF($D38="TANIMSIZ MÜŞTERİ","HATA",IF(OR($E38="",$F38&lt;=0,$G38=""),"EKSİK",IF($E38&gt;TODAY(),"İLERİ TARİH","UYGUN"))))</f>
        <v/>
      </c>
      <c r="N38" s="6" t="n"/>
      <c r="O38" s="6" t="n"/>
    </row>
    <row r="39">
      <c r="A39" s="6" t="n"/>
      <c r="B39" s="112">
        <f>IF($C39="","","T"&amp;TEXT(ROW()-6,"00000"))</f>
        <v/>
      </c>
      <c r="C39" s="107" t="n"/>
      <c r="D39" s="113">
        <f>IF($C39="","",IFERROR(INDEX(MUSTERILER!$C$7:$C$106,MATCH($C39,MUSTERILER!$B$7:$B$106,0)),"TANIMSIZ MÜŞTERİ"))</f>
        <v/>
      </c>
      <c r="E39" s="114" t="n"/>
      <c r="F39" s="115" t="n"/>
      <c r="G39" s="107" t="n"/>
      <c r="H39" s="107" t="n"/>
      <c r="I39" s="108" t="n"/>
      <c r="J39" s="108" t="n"/>
      <c r="K39" s="108" t="n"/>
      <c r="L39" s="119">
        <f>IF($E39="","",DATE(YEAR($E39),MONTH($E39),1))</f>
        <v/>
      </c>
      <c r="M39" s="112">
        <f>IF($C39="","",IF($D39="TANIMSIZ MÜŞTERİ","HATA",IF(OR($E39="",$F39&lt;=0,$G39=""),"EKSİK",IF($E39&gt;TODAY(),"İLERİ TARİH","UYGUN"))))</f>
        <v/>
      </c>
      <c r="N39" s="6" t="n"/>
      <c r="O39" s="6" t="n"/>
    </row>
    <row r="40">
      <c r="A40" s="6" t="n"/>
      <c r="B40" s="112">
        <f>IF($C40="","","T"&amp;TEXT(ROW()-6,"00000"))</f>
        <v/>
      </c>
      <c r="C40" s="107" t="n"/>
      <c r="D40" s="113">
        <f>IF($C40="","",IFERROR(INDEX(MUSTERILER!$C$7:$C$106,MATCH($C40,MUSTERILER!$B$7:$B$106,0)),"TANIMSIZ MÜŞTERİ"))</f>
        <v/>
      </c>
      <c r="E40" s="114" t="n"/>
      <c r="F40" s="115" t="n"/>
      <c r="G40" s="107" t="n"/>
      <c r="H40" s="107" t="n"/>
      <c r="I40" s="108" t="n"/>
      <c r="J40" s="108" t="n"/>
      <c r="K40" s="108" t="n"/>
      <c r="L40" s="119">
        <f>IF($E40="","",DATE(YEAR($E40),MONTH($E40),1))</f>
        <v/>
      </c>
      <c r="M40" s="112">
        <f>IF($C40="","",IF($D40="TANIMSIZ MÜŞTERİ","HATA",IF(OR($E40="",$F40&lt;=0,$G40=""),"EKSİK",IF($E40&gt;TODAY(),"İLERİ TARİH","UYGUN"))))</f>
        <v/>
      </c>
      <c r="N40" s="6" t="n"/>
      <c r="O40" s="6" t="n"/>
    </row>
    <row r="41">
      <c r="A41" s="6" t="n"/>
      <c r="B41" s="112">
        <f>IF($C41="","","T"&amp;TEXT(ROW()-6,"00000"))</f>
        <v/>
      </c>
      <c r="C41" s="107" t="n"/>
      <c r="D41" s="113">
        <f>IF($C41="","",IFERROR(INDEX(MUSTERILER!$C$7:$C$106,MATCH($C41,MUSTERILER!$B$7:$B$106,0)),"TANIMSIZ MÜŞTERİ"))</f>
        <v/>
      </c>
      <c r="E41" s="114" t="n"/>
      <c r="F41" s="115" t="n"/>
      <c r="G41" s="107" t="n"/>
      <c r="H41" s="107" t="n"/>
      <c r="I41" s="108" t="n"/>
      <c r="J41" s="108" t="n"/>
      <c r="K41" s="108" t="n"/>
      <c r="L41" s="119">
        <f>IF($E41="","",DATE(YEAR($E41),MONTH($E41),1))</f>
        <v/>
      </c>
      <c r="M41" s="112">
        <f>IF($C41="","",IF($D41="TANIMSIZ MÜŞTERİ","HATA",IF(OR($E41="",$F41&lt;=0,$G41=""),"EKSİK",IF($E41&gt;TODAY(),"İLERİ TARİH","UYGUN"))))</f>
        <v/>
      </c>
      <c r="N41" s="6" t="n"/>
      <c r="O41" s="6" t="n"/>
    </row>
    <row r="42">
      <c r="A42" s="6" t="n"/>
      <c r="B42" s="112">
        <f>IF($C42="","","T"&amp;TEXT(ROW()-6,"00000"))</f>
        <v/>
      </c>
      <c r="C42" s="107" t="n"/>
      <c r="D42" s="113">
        <f>IF($C42="","",IFERROR(INDEX(MUSTERILER!$C$7:$C$106,MATCH($C42,MUSTERILER!$B$7:$B$106,0)),"TANIMSIZ MÜŞTERİ"))</f>
        <v/>
      </c>
      <c r="E42" s="114" t="n"/>
      <c r="F42" s="115" t="n"/>
      <c r="G42" s="107" t="n"/>
      <c r="H42" s="107" t="n"/>
      <c r="I42" s="108" t="n"/>
      <c r="J42" s="108" t="n"/>
      <c r="K42" s="108" t="n"/>
      <c r="L42" s="119">
        <f>IF($E42="","",DATE(YEAR($E42),MONTH($E42),1))</f>
        <v/>
      </c>
      <c r="M42" s="112">
        <f>IF($C42="","",IF($D42="TANIMSIZ MÜŞTERİ","HATA",IF(OR($E42="",$F42&lt;=0,$G42=""),"EKSİK",IF($E42&gt;TODAY(),"İLERİ TARİH","UYGUN"))))</f>
        <v/>
      </c>
      <c r="N42" s="6" t="n"/>
      <c r="O42" s="6" t="n"/>
    </row>
    <row r="43">
      <c r="A43" s="6" t="n"/>
      <c r="B43" s="112">
        <f>IF($C43="","","T"&amp;TEXT(ROW()-6,"00000"))</f>
        <v/>
      </c>
      <c r="C43" s="107" t="n"/>
      <c r="D43" s="113">
        <f>IF($C43="","",IFERROR(INDEX(MUSTERILER!$C$7:$C$106,MATCH($C43,MUSTERILER!$B$7:$B$106,0)),"TANIMSIZ MÜŞTERİ"))</f>
        <v/>
      </c>
      <c r="E43" s="114" t="n"/>
      <c r="F43" s="115" t="n"/>
      <c r="G43" s="107" t="n"/>
      <c r="H43" s="107" t="n"/>
      <c r="I43" s="108" t="n"/>
      <c r="J43" s="108" t="n"/>
      <c r="K43" s="108" t="n"/>
      <c r="L43" s="119">
        <f>IF($E43="","",DATE(YEAR($E43),MONTH($E43),1))</f>
        <v/>
      </c>
      <c r="M43" s="112">
        <f>IF($C43="","",IF($D43="TANIMSIZ MÜŞTERİ","HATA",IF(OR($E43="",$F43&lt;=0,$G43=""),"EKSİK",IF($E43&gt;TODAY(),"İLERİ TARİH","UYGUN"))))</f>
        <v/>
      </c>
      <c r="N43" s="6" t="n"/>
      <c r="O43" s="6" t="n"/>
    </row>
    <row r="44">
      <c r="A44" s="6" t="n"/>
      <c r="B44" s="112">
        <f>IF($C44="","","T"&amp;TEXT(ROW()-6,"00000"))</f>
        <v/>
      </c>
      <c r="C44" s="107" t="n"/>
      <c r="D44" s="113">
        <f>IF($C44="","",IFERROR(INDEX(MUSTERILER!$C$7:$C$106,MATCH($C44,MUSTERILER!$B$7:$B$106,0)),"TANIMSIZ MÜŞTERİ"))</f>
        <v/>
      </c>
      <c r="E44" s="114" t="n"/>
      <c r="F44" s="115" t="n"/>
      <c r="G44" s="107" t="n"/>
      <c r="H44" s="107" t="n"/>
      <c r="I44" s="108" t="n"/>
      <c r="J44" s="108" t="n"/>
      <c r="K44" s="108" t="n"/>
      <c r="L44" s="119">
        <f>IF($E44="","",DATE(YEAR($E44),MONTH($E44),1))</f>
        <v/>
      </c>
      <c r="M44" s="112">
        <f>IF($C44="","",IF($D44="TANIMSIZ MÜŞTERİ","HATA",IF(OR($E44="",$F44&lt;=0,$G44=""),"EKSİK",IF($E44&gt;TODAY(),"İLERİ TARİH","UYGUN"))))</f>
        <v/>
      </c>
      <c r="N44" s="6" t="n"/>
      <c r="O44" s="6" t="n"/>
    </row>
    <row r="45">
      <c r="A45" s="6" t="n"/>
      <c r="B45" s="112">
        <f>IF($C45="","","T"&amp;TEXT(ROW()-6,"00000"))</f>
        <v/>
      </c>
      <c r="C45" s="107" t="n"/>
      <c r="D45" s="113">
        <f>IF($C45="","",IFERROR(INDEX(MUSTERILER!$C$7:$C$106,MATCH($C45,MUSTERILER!$B$7:$B$106,0)),"TANIMSIZ MÜŞTERİ"))</f>
        <v/>
      </c>
      <c r="E45" s="114" t="n"/>
      <c r="F45" s="115" t="n"/>
      <c r="G45" s="107" t="n"/>
      <c r="H45" s="107" t="n"/>
      <c r="I45" s="108" t="n"/>
      <c r="J45" s="108" t="n"/>
      <c r="K45" s="108" t="n"/>
      <c r="L45" s="119">
        <f>IF($E45="","",DATE(YEAR($E45),MONTH($E45),1))</f>
        <v/>
      </c>
      <c r="M45" s="112">
        <f>IF($C45="","",IF($D45="TANIMSIZ MÜŞTERİ","HATA",IF(OR($E45="",$F45&lt;=0,$G45=""),"EKSİK",IF($E45&gt;TODAY(),"İLERİ TARİH","UYGUN"))))</f>
        <v/>
      </c>
      <c r="N45" s="6" t="n"/>
      <c r="O45" s="6" t="n"/>
    </row>
    <row r="46">
      <c r="A46" s="6" t="n"/>
      <c r="B46" s="112">
        <f>IF($C46="","","T"&amp;TEXT(ROW()-6,"00000"))</f>
        <v/>
      </c>
      <c r="C46" s="107" t="n"/>
      <c r="D46" s="113">
        <f>IF($C46="","",IFERROR(INDEX(MUSTERILER!$C$7:$C$106,MATCH($C46,MUSTERILER!$B$7:$B$106,0)),"TANIMSIZ MÜŞTERİ"))</f>
        <v/>
      </c>
      <c r="E46" s="114" t="n"/>
      <c r="F46" s="115" t="n"/>
      <c r="G46" s="107" t="n"/>
      <c r="H46" s="107" t="n"/>
      <c r="I46" s="108" t="n"/>
      <c r="J46" s="108" t="n"/>
      <c r="K46" s="108" t="n"/>
      <c r="L46" s="119">
        <f>IF($E46="","",DATE(YEAR($E46),MONTH($E46),1))</f>
        <v/>
      </c>
      <c r="M46" s="112">
        <f>IF($C46="","",IF($D46="TANIMSIZ MÜŞTERİ","HATA",IF(OR($E46="",$F46&lt;=0,$G46=""),"EKSİK",IF($E46&gt;TODAY(),"İLERİ TARİH","UYGUN"))))</f>
        <v/>
      </c>
      <c r="N46" s="6" t="n"/>
      <c r="O46" s="6" t="n"/>
    </row>
    <row r="47">
      <c r="A47" s="6" t="n"/>
      <c r="B47" s="112">
        <f>IF($C47="","","T"&amp;TEXT(ROW()-6,"00000"))</f>
        <v/>
      </c>
      <c r="C47" s="107" t="n"/>
      <c r="D47" s="113">
        <f>IF($C47="","",IFERROR(INDEX(MUSTERILER!$C$7:$C$106,MATCH($C47,MUSTERILER!$B$7:$B$106,0)),"TANIMSIZ MÜŞTERİ"))</f>
        <v/>
      </c>
      <c r="E47" s="114" t="n"/>
      <c r="F47" s="115" t="n"/>
      <c r="G47" s="107" t="n"/>
      <c r="H47" s="107" t="n"/>
      <c r="I47" s="108" t="n"/>
      <c r="J47" s="108" t="n"/>
      <c r="K47" s="108" t="n"/>
      <c r="L47" s="119">
        <f>IF($E47="","",DATE(YEAR($E47),MONTH($E47),1))</f>
        <v/>
      </c>
      <c r="M47" s="112">
        <f>IF($C47="","",IF($D47="TANIMSIZ MÜŞTERİ","HATA",IF(OR($E47="",$F47&lt;=0,$G47=""),"EKSİK",IF($E47&gt;TODAY(),"İLERİ TARİH","UYGUN"))))</f>
        <v/>
      </c>
      <c r="N47" s="6" t="n"/>
      <c r="O47" s="6" t="n"/>
    </row>
    <row r="48">
      <c r="A48" s="6" t="n"/>
      <c r="B48" s="112">
        <f>IF($C48="","","T"&amp;TEXT(ROW()-6,"00000"))</f>
        <v/>
      </c>
      <c r="C48" s="107" t="n"/>
      <c r="D48" s="113">
        <f>IF($C48="","",IFERROR(INDEX(MUSTERILER!$C$7:$C$106,MATCH($C48,MUSTERILER!$B$7:$B$106,0)),"TANIMSIZ MÜŞTERİ"))</f>
        <v/>
      </c>
      <c r="E48" s="114" t="n"/>
      <c r="F48" s="115" t="n"/>
      <c r="G48" s="107" t="n"/>
      <c r="H48" s="107" t="n"/>
      <c r="I48" s="108" t="n"/>
      <c r="J48" s="108" t="n"/>
      <c r="K48" s="108" t="n"/>
      <c r="L48" s="119">
        <f>IF($E48="","",DATE(YEAR($E48),MONTH($E48),1))</f>
        <v/>
      </c>
      <c r="M48" s="112">
        <f>IF($C48="","",IF($D48="TANIMSIZ MÜŞTERİ","HATA",IF(OR($E48="",$F48&lt;=0,$G48=""),"EKSİK",IF($E48&gt;TODAY(),"İLERİ TARİH","UYGUN"))))</f>
        <v/>
      </c>
      <c r="N48" s="6" t="n"/>
      <c r="O48" s="6" t="n"/>
    </row>
    <row r="49">
      <c r="A49" s="6" t="n"/>
      <c r="B49" s="112">
        <f>IF($C49="","","T"&amp;TEXT(ROW()-6,"00000"))</f>
        <v/>
      </c>
      <c r="C49" s="107" t="n"/>
      <c r="D49" s="113">
        <f>IF($C49="","",IFERROR(INDEX(MUSTERILER!$C$7:$C$106,MATCH($C49,MUSTERILER!$B$7:$B$106,0)),"TANIMSIZ MÜŞTERİ"))</f>
        <v/>
      </c>
      <c r="E49" s="114" t="n"/>
      <c r="F49" s="115" t="n"/>
      <c r="G49" s="107" t="n"/>
      <c r="H49" s="107" t="n"/>
      <c r="I49" s="108" t="n"/>
      <c r="J49" s="108" t="n"/>
      <c r="K49" s="108" t="n"/>
      <c r="L49" s="119">
        <f>IF($E49="","",DATE(YEAR($E49),MONTH($E49),1))</f>
        <v/>
      </c>
      <c r="M49" s="112">
        <f>IF($C49="","",IF($D49="TANIMSIZ MÜŞTERİ","HATA",IF(OR($E49="",$F49&lt;=0,$G49=""),"EKSİK",IF($E49&gt;TODAY(),"İLERİ TARİH","UYGUN"))))</f>
        <v/>
      </c>
      <c r="N49" s="6" t="n"/>
      <c r="O49" s="6" t="n"/>
    </row>
    <row r="50">
      <c r="A50" s="6" t="n"/>
      <c r="B50" s="112">
        <f>IF($C50="","","T"&amp;TEXT(ROW()-6,"00000"))</f>
        <v/>
      </c>
      <c r="C50" s="107" t="n"/>
      <c r="D50" s="113">
        <f>IF($C50="","",IFERROR(INDEX(MUSTERILER!$C$7:$C$106,MATCH($C50,MUSTERILER!$B$7:$B$106,0)),"TANIMSIZ MÜŞTERİ"))</f>
        <v/>
      </c>
      <c r="E50" s="114" t="n"/>
      <c r="F50" s="115" t="n"/>
      <c r="G50" s="107" t="n"/>
      <c r="H50" s="107" t="n"/>
      <c r="I50" s="108" t="n"/>
      <c r="J50" s="108" t="n"/>
      <c r="K50" s="108" t="n"/>
      <c r="L50" s="119">
        <f>IF($E50="","",DATE(YEAR($E50),MONTH($E50),1))</f>
        <v/>
      </c>
      <c r="M50" s="112">
        <f>IF($C50="","",IF($D50="TANIMSIZ MÜŞTERİ","HATA",IF(OR($E50="",$F50&lt;=0,$G50=""),"EKSİK",IF($E50&gt;TODAY(),"İLERİ TARİH","UYGUN"))))</f>
        <v/>
      </c>
      <c r="N50" s="6" t="n"/>
      <c r="O50" s="6" t="n"/>
    </row>
    <row r="51">
      <c r="A51" s="6" t="n"/>
      <c r="B51" s="112">
        <f>IF($C51="","","T"&amp;TEXT(ROW()-6,"00000"))</f>
        <v/>
      </c>
      <c r="C51" s="107" t="n"/>
      <c r="D51" s="113">
        <f>IF($C51="","",IFERROR(INDEX(MUSTERILER!$C$7:$C$106,MATCH($C51,MUSTERILER!$B$7:$B$106,0)),"TANIMSIZ MÜŞTERİ"))</f>
        <v/>
      </c>
      <c r="E51" s="114" t="n"/>
      <c r="F51" s="115" t="n"/>
      <c r="G51" s="107" t="n"/>
      <c r="H51" s="107" t="n"/>
      <c r="I51" s="108" t="n"/>
      <c r="J51" s="108" t="n"/>
      <c r="K51" s="108" t="n"/>
      <c r="L51" s="119">
        <f>IF($E51="","",DATE(YEAR($E51),MONTH($E51),1))</f>
        <v/>
      </c>
      <c r="M51" s="112">
        <f>IF($C51="","",IF($D51="TANIMSIZ MÜŞTERİ","HATA",IF(OR($E51="",$F51&lt;=0,$G51=""),"EKSİK",IF($E51&gt;TODAY(),"İLERİ TARİH","UYGUN"))))</f>
        <v/>
      </c>
      <c r="N51" s="6" t="n"/>
      <c r="O51" s="6" t="n"/>
    </row>
    <row r="52">
      <c r="A52" s="6" t="n"/>
      <c r="B52" s="112">
        <f>IF($C52="","","T"&amp;TEXT(ROW()-6,"00000"))</f>
        <v/>
      </c>
      <c r="C52" s="107" t="n"/>
      <c r="D52" s="113">
        <f>IF($C52="","",IFERROR(INDEX(MUSTERILER!$C$7:$C$106,MATCH($C52,MUSTERILER!$B$7:$B$106,0)),"TANIMSIZ MÜŞTERİ"))</f>
        <v/>
      </c>
      <c r="E52" s="114" t="n"/>
      <c r="F52" s="115" t="n"/>
      <c r="G52" s="107" t="n"/>
      <c r="H52" s="107" t="n"/>
      <c r="I52" s="108" t="n"/>
      <c r="J52" s="108" t="n"/>
      <c r="K52" s="108" t="n"/>
      <c r="L52" s="119">
        <f>IF($E52="","",DATE(YEAR($E52),MONTH($E52),1))</f>
        <v/>
      </c>
      <c r="M52" s="112">
        <f>IF($C52="","",IF($D52="TANIMSIZ MÜŞTERİ","HATA",IF(OR($E52="",$F52&lt;=0,$G52=""),"EKSİK",IF($E52&gt;TODAY(),"İLERİ TARİH","UYGUN"))))</f>
        <v/>
      </c>
      <c r="N52" s="6" t="n"/>
      <c r="O52" s="6" t="n"/>
    </row>
    <row r="53">
      <c r="A53" s="6" t="n"/>
      <c r="B53" s="112">
        <f>IF($C53="","","T"&amp;TEXT(ROW()-6,"00000"))</f>
        <v/>
      </c>
      <c r="C53" s="107" t="n"/>
      <c r="D53" s="113">
        <f>IF($C53="","",IFERROR(INDEX(MUSTERILER!$C$7:$C$106,MATCH($C53,MUSTERILER!$B$7:$B$106,0)),"TANIMSIZ MÜŞTERİ"))</f>
        <v/>
      </c>
      <c r="E53" s="114" t="n"/>
      <c r="F53" s="115" t="n"/>
      <c r="G53" s="107" t="n"/>
      <c r="H53" s="107" t="n"/>
      <c r="I53" s="108" t="n"/>
      <c r="J53" s="108" t="n"/>
      <c r="K53" s="108" t="n"/>
      <c r="L53" s="119">
        <f>IF($E53="","",DATE(YEAR($E53),MONTH($E53),1))</f>
        <v/>
      </c>
      <c r="M53" s="112">
        <f>IF($C53="","",IF($D53="TANIMSIZ MÜŞTERİ","HATA",IF(OR($E53="",$F53&lt;=0,$G53=""),"EKSİK",IF($E53&gt;TODAY(),"İLERİ TARİH","UYGUN"))))</f>
        <v/>
      </c>
      <c r="N53" s="6" t="n"/>
      <c r="O53" s="6" t="n"/>
    </row>
    <row r="54">
      <c r="A54" s="6" t="n"/>
      <c r="B54" s="112">
        <f>IF($C54="","","T"&amp;TEXT(ROW()-6,"00000"))</f>
        <v/>
      </c>
      <c r="C54" s="107" t="n"/>
      <c r="D54" s="113">
        <f>IF($C54="","",IFERROR(INDEX(MUSTERILER!$C$7:$C$106,MATCH($C54,MUSTERILER!$B$7:$B$106,0)),"TANIMSIZ MÜŞTERİ"))</f>
        <v/>
      </c>
      <c r="E54" s="114" t="n"/>
      <c r="F54" s="115" t="n"/>
      <c r="G54" s="107" t="n"/>
      <c r="H54" s="107" t="n"/>
      <c r="I54" s="108" t="n"/>
      <c r="J54" s="108" t="n"/>
      <c r="K54" s="108" t="n"/>
      <c r="L54" s="119">
        <f>IF($E54="","",DATE(YEAR($E54),MONTH($E54),1))</f>
        <v/>
      </c>
      <c r="M54" s="112">
        <f>IF($C54="","",IF($D54="TANIMSIZ MÜŞTERİ","HATA",IF(OR($E54="",$F54&lt;=0,$G54=""),"EKSİK",IF($E54&gt;TODAY(),"İLERİ TARİH","UYGUN"))))</f>
        <v/>
      </c>
      <c r="N54" s="6" t="n"/>
      <c r="O54" s="6" t="n"/>
    </row>
    <row r="55">
      <c r="A55" s="6" t="n"/>
      <c r="B55" s="112">
        <f>IF($C55="","","T"&amp;TEXT(ROW()-6,"00000"))</f>
        <v/>
      </c>
      <c r="C55" s="107" t="n"/>
      <c r="D55" s="113">
        <f>IF($C55="","",IFERROR(INDEX(MUSTERILER!$C$7:$C$106,MATCH($C55,MUSTERILER!$B$7:$B$106,0)),"TANIMSIZ MÜŞTERİ"))</f>
        <v/>
      </c>
      <c r="E55" s="114" t="n"/>
      <c r="F55" s="115" t="n"/>
      <c r="G55" s="107" t="n"/>
      <c r="H55" s="107" t="n"/>
      <c r="I55" s="108" t="n"/>
      <c r="J55" s="108" t="n"/>
      <c r="K55" s="108" t="n"/>
      <c r="L55" s="119">
        <f>IF($E55="","",DATE(YEAR($E55),MONTH($E55),1))</f>
        <v/>
      </c>
      <c r="M55" s="112">
        <f>IF($C55="","",IF($D55="TANIMSIZ MÜŞTERİ","HATA",IF(OR($E55="",$F55&lt;=0,$G55=""),"EKSİK",IF($E55&gt;TODAY(),"İLERİ TARİH","UYGUN"))))</f>
        <v/>
      </c>
      <c r="N55" s="6" t="n"/>
      <c r="O55" s="6" t="n"/>
    </row>
    <row r="56">
      <c r="A56" s="6" t="n"/>
      <c r="B56" s="112">
        <f>IF($C56="","","T"&amp;TEXT(ROW()-6,"00000"))</f>
        <v/>
      </c>
      <c r="C56" s="107" t="n"/>
      <c r="D56" s="113">
        <f>IF($C56="","",IFERROR(INDEX(MUSTERILER!$C$7:$C$106,MATCH($C56,MUSTERILER!$B$7:$B$106,0)),"TANIMSIZ MÜŞTERİ"))</f>
        <v/>
      </c>
      <c r="E56" s="114" t="n"/>
      <c r="F56" s="115" t="n"/>
      <c r="G56" s="107" t="n"/>
      <c r="H56" s="107" t="n"/>
      <c r="I56" s="108" t="n"/>
      <c r="J56" s="108" t="n"/>
      <c r="K56" s="108" t="n"/>
      <c r="L56" s="119">
        <f>IF($E56="","",DATE(YEAR($E56),MONTH($E56),1))</f>
        <v/>
      </c>
      <c r="M56" s="112">
        <f>IF($C56="","",IF($D56="TANIMSIZ MÜŞTERİ","HATA",IF(OR($E56="",$F56&lt;=0,$G56=""),"EKSİK",IF($E56&gt;TODAY(),"İLERİ TARİH","UYGUN"))))</f>
        <v/>
      </c>
      <c r="N56" s="6" t="n"/>
      <c r="O56" s="6" t="n"/>
    </row>
    <row r="57">
      <c r="A57" s="6" t="n"/>
      <c r="B57" s="112">
        <f>IF($C57="","","T"&amp;TEXT(ROW()-6,"00000"))</f>
        <v/>
      </c>
      <c r="C57" s="107" t="n"/>
      <c r="D57" s="113">
        <f>IF($C57="","",IFERROR(INDEX(MUSTERILER!$C$7:$C$106,MATCH($C57,MUSTERILER!$B$7:$B$106,0)),"TANIMSIZ MÜŞTERİ"))</f>
        <v/>
      </c>
      <c r="E57" s="114" t="n"/>
      <c r="F57" s="115" t="n"/>
      <c r="G57" s="107" t="n"/>
      <c r="H57" s="107" t="n"/>
      <c r="I57" s="108" t="n"/>
      <c r="J57" s="108" t="n"/>
      <c r="K57" s="108" t="n"/>
      <c r="L57" s="119">
        <f>IF($E57="","",DATE(YEAR($E57),MONTH($E57),1))</f>
        <v/>
      </c>
      <c r="M57" s="112">
        <f>IF($C57="","",IF($D57="TANIMSIZ MÜŞTERİ","HATA",IF(OR($E57="",$F57&lt;=0,$G57=""),"EKSİK",IF($E57&gt;TODAY(),"İLERİ TARİH","UYGUN"))))</f>
        <v/>
      </c>
      <c r="N57" s="6" t="n"/>
      <c r="O57" s="6" t="n"/>
    </row>
    <row r="58">
      <c r="A58" s="6" t="n"/>
      <c r="B58" s="112">
        <f>IF($C58="","","T"&amp;TEXT(ROW()-6,"00000"))</f>
        <v/>
      </c>
      <c r="C58" s="107" t="n"/>
      <c r="D58" s="113">
        <f>IF($C58="","",IFERROR(INDEX(MUSTERILER!$C$7:$C$106,MATCH($C58,MUSTERILER!$B$7:$B$106,0)),"TANIMSIZ MÜŞTERİ"))</f>
        <v/>
      </c>
      <c r="E58" s="114" t="n"/>
      <c r="F58" s="115" t="n"/>
      <c r="G58" s="107" t="n"/>
      <c r="H58" s="107" t="n"/>
      <c r="I58" s="108" t="n"/>
      <c r="J58" s="108" t="n"/>
      <c r="K58" s="108" t="n"/>
      <c r="L58" s="119">
        <f>IF($E58="","",DATE(YEAR($E58),MONTH($E58),1))</f>
        <v/>
      </c>
      <c r="M58" s="112">
        <f>IF($C58="","",IF($D58="TANIMSIZ MÜŞTERİ","HATA",IF(OR($E58="",$F58&lt;=0,$G58=""),"EKSİK",IF($E58&gt;TODAY(),"İLERİ TARİH","UYGUN"))))</f>
        <v/>
      </c>
      <c r="N58" s="6" t="n"/>
      <c r="O58" s="6" t="n"/>
    </row>
    <row r="59">
      <c r="A59" s="6" t="n"/>
      <c r="B59" s="112">
        <f>IF($C59="","","T"&amp;TEXT(ROW()-6,"00000"))</f>
        <v/>
      </c>
      <c r="C59" s="107" t="n"/>
      <c r="D59" s="113">
        <f>IF($C59="","",IFERROR(INDEX(MUSTERILER!$C$7:$C$106,MATCH($C59,MUSTERILER!$B$7:$B$106,0)),"TANIMSIZ MÜŞTERİ"))</f>
        <v/>
      </c>
      <c r="E59" s="114" t="n"/>
      <c r="F59" s="115" t="n"/>
      <c r="G59" s="107" t="n"/>
      <c r="H59" s="107" t="n"/>
      <c r="I59" s="108" t="n"/>
      <c r="J59" s="108" t="n"/>
      <c r="K59" s="108" t="n"/>
      <c r="L59" s="119">
        <f>IF($E59="","",DATE(YEAR($E59),MONTH($E59),1))</f>
        <v/>
      </c>
      <c r="M59" s="112">
        <f>IF($C59="","",IF($D59="TANIMSIZ MÜŞTERİ","HATA",IF(OR($E59="",$F59&lt;=0,$G59=""),"EKSİK",IF($E59&gt;TODAY(),"İLERİ TARİH","UYGUN"))))</f>
        <v/>
      </c>
      <c r="N59" s="6" t="n"/>
      <c r="O59" s="6" t="n"/>
    </row>
    <row r="60">
      <c r="A60" s="6" t="n"/>
      <c r="B60" s="112">
        <f>IF($C60="","","T"&amp;TEXT(ROW()-6,"00000"))</f>
        <v/>
      </c>
      <c r="C60" s="107" t="n"/>
      <c r="D60" s="113">
        <f>IF($C60="","",IFERROR(INDEX(MUSTERILER!$C$7:$C$106,MATCH($C60,MUSTERILER!$B$7:$B$106,0)),"TANIMSIZ MÜŞTERİ"))</f>
        <v/>
      </c>
      <c r="E60" s="114" t="n"/>
      <c r="F60" s="115" t="n"/>
      <c r="G60" s="107" t="n"/>
      <c r="H60" s="107" t="n"/>
      <c r="I60" s="108" t="n"/>
      <c r="J60" s="108" t="n"/>
      <c r="K60" s="108" t="n"/>
      <c r="L60" s="119">
        <f>IF($E60="","",DATE(YEAR($E60),MONTH($E60),1))</f>
        <v/>
      </c>
      <c r="M60" s="112">
        <f>IF($C60="","",IF($D60="TANIMSIZ MÜŞTERİ","HATA",IF(OR($E60="",$F60&lt;=0,$G60=""),"EKSİK",IF($E60&gt;TODAY(),"İLERİ TARİH","UYGUN"))))</f>
        <v/>
      </c>
      <c r="N60" s="6" t="n"/>
      <c r="O60" s="6" t="n"/>
    </row>
    <row r="61">
      <c r="A61" s="6" t="n"/>
      <c r="B61" s="112">
        <f>IF($C61="","","T"&amp;TEXT(ROW()-6,"00000"))</f>
        <v/>
      </c>
      <c r="C61" s="107" t="n"/>
      <c r="D61" s="113">
        <f>IF($C61="","",IFERROR(INDEX(MUSTERILER!$C$7:$C$106,MATCH($C61,MUSTERILER!$B$7:$B$106,0)),"TANIMSIZ MÜŞTERİ"))</f>
        <v/>
      </c>
      <c r="E61" s="114" t="n"/>
      <c r="F61" s="115" t="n"/>
      <c r="G61" s="107" t="n"/>
      <c r="H61" s="107" t="n"/>
      <c r="I61" s="108" t="n"/>
      <c r="J61" s="108" t="n"/>
      <c r="K61" s="108" t="n"/>
      <c r="L61" s="119">
        <f>IF($E61="","",DATE(YEAR($E61),MONTH($E61),1))</f>
        <v/>
      </c>
      <c r="M61" s="112">
        <f>IF($C61="","",IF($D61="TANIMSIZ MÜŞTERİ","HATA",IF(OR($E61="",$F61&lt;=0,$G61=""),"EKSİK",IF($E61&gt;TODAY(),"İLERİ TARİH","UYGUN"))))</f>
        <v/>
      </c>
      <c r="N61" s="6" t="n"/>
      <c r="O61" s="6" t="n"/>
    </row>
    <row r="62">
      <c r="A62" s="6" t="n"/>
      <c r="B62" s="112">
        <f>IF($C62="","","T"&amp;TEXT(ROW()-6,"00000"))</f>
        <v/>
      </c>
      <c r="C62" s="107" t="n"/>
      <c r="D62" s="113">
        <f>IF($C62="","",IFERROR(INDEX(MUSTERILER!$C$7:$C$106,MATCH($C62,MUSTERILER!$B$7:$B$106,0)),"TANIMSIZ MÜŞTERİ"))</f>
        <v/>
      </c>
      <c r="E62" s="114" t="n"/>
      <c r="F62" s="115" t="n"/>
      <c r="G62" s="107" t="n"/>
      <c r="H62" s="107" t="n"/>
      <c r="I62" s="108" t="n"/>
      <c r="J62" s="108" t="n"/>
      <c r="K62" s="108" t="n"/>
      <c r="L62" s="119">
        <f>IF($E62="","",DATE(YEAR($E62),MONTH($E62),1))</f>
        <v/>
      </c>
      <c r="M62" s="112">
        <f>IF($C62="","",IF($D62="TANIMSIZ MÜŞTERİ","HATA",IF(OR($E62="",$F62&lt;=0,$G62=""),"EKSİK",IF($E62&gt;TODAY(),"İLERİ TARİH","UYGUN"))))</f>
        <v/>
      </c>
      <c r="N62" s="6" t="n"/>
      <c r="O62" s="6" t="n"/>
    </row>
    <row r="63">
      <c r="A63" s="6" t="n"/>
      <c r="B63" s="112">
        <f>IF($C63="","","T"&amp;TEXT(ROW()-6,"00000"))</f>
        <v/>
      </c>
      <c r="C63" s="107" t="n"/>
      <c r="D63" s="113">
        <f>IF($C63="","",IFERROR(INDEX(MUSTERILER!$C$7:$C$106,MATCH($C63,MUSTERILER!$B$7:$B$106,0)),"TANIMSIZ MÜŞTERİ"))</f>
        <v/>
      </c>
      <c r="E63" s="114" t="n"/>
      <c r="F63" s="115" t="n"/>
      <c r="G63" s="107" t="n"/>
      <c r="H63" s="107" t="n"/>
      <c r="I63" s="108" t="n"/>
      <c r="J63" s="108" t="n"/>
      <c r="K63" s="108" t="n"/>
      <c r="L63" s="119">
        <f>IF($E63="","",DATE(YEAR($E63),MONTH($E63),1))</f>
        <v/>
      </c>
      <c r="M63" s="112">
        <f>IF($C63="","",IF($D63="TANIMSIZ MÜŞTERİ","HATA",IF(OR($E63="",$F63&lt;=0,$G63=""),"EKSİK",IF($E63&gt;TODAY(),"İLERİ TARİH","UYGUN"))))</f>
        <v/>
      </c>
      <c r="N63" s="6" t="n"/>
      <c r="O63" s="6" t="n"/>
    </row>
    <row r="64">
      <c r="A64" s="6" t="n"/>
      <c r="B64" s="112">
        <f>IF($C64="","","T"&amp;TEXT(ROW()-6,"00000"))</f>
        <v/>
      </c>
      <c r="C64" s="107" t="n"/>
      <c r="D64" s="113">
        <f>IF($C64="","",IFERROR(INDEX(MUSTERILER!$C$7:$C$106,MATCH($C64,MUSTERILER!$B$7:$B$106,0)),"TANIMSIZ MÜŞTERİ"))</f>
        <v/>
      </c>
      <c r="E64" s="114" t="n"/>
      <c r="F64" s="115" t="n"/>
      <c r="G64" s="107" t="n"/>
      <c r="H64" s="107" t="n"/>
      <c r="I64" s="108" t="n"/>
      <c r="J64" s="108" t="n"/>
      <c r="K64" s="108" t="n"/>
      <c r="L64" s="119">
        <f>IF($E64="","",DATE(YEAR($E64),MONTH($E64),1))</f>
        <v/>
      </c>
      <c r="M64" s="112">
        <f>IF($C64="","",IF($D64="TANIMSIZ MÜŞTERİ","HATA",IF(OR($E64="",$F64&lt;=0,$G64=""),"EKSİK",IF($E64&gt;TODAY(),"İLERİ TARİH","UYGUN"))))</f>
        <v/>
      </c>
      <c r="N64" s="6" t="n"/>
      <c r="O64" s="6" t="n"/>
    </row>
    <row r="65">
      <c r="A65" s="6" t="n"/>
      <c r="B65" s="112">
        <f>IF($C65="","","T"&amp;TEXT(ROW()-6,"00000"))</f>
        <v/>
      </c>
      <c r="C65" s="107" t="n"/>
      <c r="D65" s="113">
        <f>IF($C65="","",IFERROR(INDEX(MUSTERILER!$C$7:$C$106,MATCH($C65,MUSTERILER!$B$7:$B$106,0)),"TANIMSIZ MÜŞTERİ"))</f>
        <v/>
      </c>
      <c r="E65" s="114" t="n"/>
      <c r="F65" s="115" t="n"/>
      <c r="G65" s="107" t="n"/>
      <c r="H65" s="107" t="n"/>
      <c r="I65" s="108" t="n"/>
      <c r="J65" s="108" t="n"/>
      <c r="K65" s="108" t="n"/>
      <c r="L65" s="119">
        <f>IF($E65="","",DATE(YEAR($E65),MONTH($E65),1))</f>
        <v/>
      </c>
      <c r="M65" s="112">
        <f>IF($C65="","",IF($D65="TANIMSIZ MÜŞTERİ","HATA",IF(OR($E65="",$F65&lt;=0,$G65=""),"EKSİK",IF($E65&gt;TODAY(),"İLERİ TARİH","UYGUN"))))</f>
        <v/>
      </c>
      <c r="N65" s="6" t="n"/>
      <c r="O65" s="6" t="n"/>
    </row>
    <row r="66">
      <c r="A66" s="6" t="n"/>
      <c r="B66" s="112">
        <f>IF($C66="","","T"&amp;TEXT(ROW()-6,"00000"))</f>
        <v/>
      </c>
      <c r="C66" s="107" t="n"/>
      <c r="D66" s="113">
        <f>IF($C66="","",IFERROR(INDEX(MUSTERILER!$C$7:$C$106,MATCH($C66,MUSTERILER!$B$7:$B$106,0)),"TANIMSIZ MÜŞTERİ"))</f>
        <v/>
      </c>
      <c r="E66" s="114" t="n"/>
      <c r="F66" s="115" t="n"/>
      <c r="G66" s="107" t="n"/>
      <c r="H66" s="107" t="n"/>
      <c r="I66" s="108" t="n"/>
      <c r="J66" s="108" t="n"/>
      <c r="K66" s="108" t="n"/>
      <c r="L66" s="119">
        <f>IF($E66="","",DATE(YEAR($E66),MONTH($E66),1))</f>
        <v/>
      </c>
      <c r="M66" s="112">
        <f>IF($C66="","",IF($D66="TANIMSIZ MÜŞTERİ","HATA",IF(OR($E66="",$F66&lt;=0,$G66=""),"EKSİK",IF($E66&gt;TODAY(),"İLERİ TARİH","UYGUN"))))</f>
        <v/>
      </c>
      <c r="N66" s="6" t="n"/>
      <c r="O66" s="6" t="n"/>
    </row>
    <row r="67">
      <c r="A67" s="6" t="n"/>
      <c r="B67" s="112">
        <f>IF($C67="","","T"&amp;TEXT(ROW()-6,"00000"))</f>
        <v/>
      </c>
      <c r="C67" s="107" t="n"/>
      <c r="D67" s="113">
        <f>IF($C67="","",IFERROR(INDEX(MUSTERILER!$C$7:$C$106,MATCH($C67,MUSTERILER!$B$7:$B$106,0)),"TANIMSIZ MÜŞTERİ"))</f>
        <v/>
      </c>
      <c r="E67" s="114" t="n"/>
      <c r="F67" s="115" t="n"/>
      <c r="G67" s="107" t="n"/>
      <c r="H67" s="107" t="n"/>
      <c r="I67" s="108" t="n"/>
      <c r="J67" s="108" t="n"/>
      <c r="K67" s="108" t="n"/>
      <c r="L67" s="119">
        <f>IF($E67="","",DATE(YEAR($E67),MONTH($E67),1))</f>
        <v/>
      </c>
      <c r="M67" s="112">
        <f>IF($C67="","",IF($D67="TANIMSIZ MÜŞTERİ","HATA",IF(OR($E67="",$F67&lt;=0,$G67=""),"EKSİK",IF($E67&gt;TODAY(),"İLERİ TARİH","UYGUN"))))</f>
        <v/>
      </c>
      <c r="N67" s="6" t="n"/>
      <c r="O67" s="6" t="n"/>
    </row>
    <row r="68">
      <c r="A68" s="6" t="n"/>
      <c r="B68" s="112">
        <f>IF($C68="","","T"&amp;TEXT(ROW()-6,"00000"))</f>
        <v/>
      </c>
      <c r="C68" s="107" t="n"/>
      <c r="D68" s="113">
        <f>IF($C68="","",IFERROR(INDEX(MUSTERILER!$C$7:$C$106,MATCH($C68,MUSTERILER!$B$7:$B$106,0)),"TANIMSIZ MÜŞTERİ"))</f>
        <v/>
      </c>
      <c r="E68" s="114" t="n"/>
      <c r="F68" s="115" t="n"/>
      <c r="G68" s="107" t="n"/>
      <c r="H68" s="107" t="n"/>
      <c r="I68" s="108" t="n"/>
      <c r="J68" s="108" t="n"/>
      <c r="K68" s="108" t="n"/>
      <c r="L68" s="119">
        <f>IF($E68="","",DATE(YEAR($E68),MONTH($E68),1))</f>
        <v/>
      </c>
      <c r="M68" s="112">
        <f>IF($C68="","",IF($D68="TANIMSIZ MÜŞTERİ","HATA",IF(OR($E68="",$F68&lt;=0,$G68=""),"EKSİK",IF($E68&gt;TODAY(),"İLERİ TARİH","UYGUN"))))</f>
        <v/>
      </c>
      <c r="N68" s="6" t="n"/>
      <c r="O68" s="6" t="n"/>
    </row>
    <row r="69">
      <c r="A69" s="6" t="n"/>
      <c r="B69" s="112">
        <f>IF($C69="","","T"&amp;TEXT(ROW()-6,"00000"))</f>
        <v/>
      </c>
      <c r="C69" s="107" t="n"/>
      <c r="D69" s="113">
        <f>IF($C69="","",IFERROR(INDEX(MUSTERILER!$C$7:$C$106,MATCH($C69,MUSTERILER!$B$7:$B$106,0)),"TANIMSIZ MÜŞTERİ"))</f>
        <v/>
      </c>
      <c r="E69" s="114" t="n"/>
      <c r="F69" s="115" t="n"/>
      <c r="G69" s="107" t="n"/>
      <c r="H69" s="107" t="n"/>
      <c r="I69" s="108" t="n"/>
      <c r="J69" s="108" t="n"/>
      <c r="K69" s="108" t="n"/>
      <c r="L69" s="119">
        <f>IF($E69="","",DATE(YEAR($E69),MONTH($E69),1))</f>
        <v/>
      </c>
      <c r="M69" s="112">
        <f>IF($C69="","",IF($D69="TANIMSIZ MÜŞTERİ","HATA",IF(OR($E69="",$F69&lt;=0,$G69=""),"EKSİK",IF($E69&gt;TODAY(),"İLERİ TARİH","UYGUN"))))</f>
        <v/>
      </c>
      <c r="N69" s="6" t="n"/>
      <c r="O69" s="6" t="n"/>
    </row>
    <row r="70">
      <c r="A70" s="6" t="n"/>
      <c r="B70" s="112">
        <f>IF($C70="","","T"&amp;TEXT(ROW()-6,"00000"))</f>
        <v/>
      </c>
      <c r="C70" s="107" t="n"/>
      <c r="D70" s="113">
        <f>IF($C70="","",IFERROR(INDEX(MUSTERILER!$C$7:$C$106,MATCH($C70,MUSTERILER!$B$7:$B$106,0)),"TANIMSIZ MÜŞTERİ"))</f>
        <v/>
      </c>
      <c r="E70" s="114" t="n"/>
      <c r="F70" s="115" t="n"/>
      <c r="G70" s="107" t="n"/>
      <c r="H70" s="107" t="n"/>
      <c r="I70" s="108" t="n"/>
      <c r="J70" s="108" t="n"/>
      <c r="K70" s="108" t="n"/>
      <c r="L70" s="119">
        <f>IF($E70="","",DATE(YEAR($E70),MONTH($E70),1))</f>
        <v/>
      </c>
      <c r="M70" s="112">
        <f>IF($C70="","",IF($D70="TANIMSIZ MÜŞTERİ","HATA",IF(OR($E70="",$F70&lt;=0,$G70=""),"EKSİK",IF($E70&gt;TODAY(),"İLERİ TARİH","UYGUN"))))</f>
        <v/>
      </c>
      <c r="N70" s="6" t="n"/>
      <c r="O70" s="6" t="n"/>
    </row>
    <row r="71">
      <c r="A71" s="6" t="n"/>
      <c r="B71" s="112">
        <f>IF($C71="","","T"&amp;TEXT(ROW()-6,"00000"))</f>
        <v/>
      </c>
      <c r="C71" s="107" t="n"/>
      <c r="D71" s="113">
        <f>IF($C71="","",IFERROR(INDEX(MUSTERILER!$C$7:$C$106,MATCH($C71,MUSTERILER!$B$7:$B$106,0)),"TANIMSIZ MÜŞTERİ"))</f>
        <v/>
      </c>
      <c r="E71" s="114" t="n"/>
      <c r="F71" s="115" t="n"/>
      <c r="G71" s="107" t="n"/>
      <c r="H71" s="107" t="n"/>
      <c r="I71" s="108" t="n"/>
      <c r="J71" s="108" t="n"/>
      <c r="K71" s="108" t="n"/>
      <c r="L71" s="119">
        <f>IF($E71="","",DATE(YEAR($E71),MONTH($E71),1))</f>
        <v/>
      </c>
      <c r="M71" s="112">
        <f>IF($C71="","",IF($D71="TANIMSIZ MÜŞTERİ","HATA",IF(OR($E71="",$F71&lt;=0,$G71=""),"EKSİK",IF($E71&gt;TODAY(),"İLERİ TARİH","UYGUN"))))</f>
        <v/>
      </c>
      <c r="N71" s="6" t="n"/>
      <c r="O71" s="6" t="n"/>
    </row>
    <row r="72">
      <c r="A72" s="6" t="n"/>
      <c r="B72" s="112">
        <f>IF($C72="","","T"&amp;TEXT(ROW()-6,"00000"))</f>
        <v/>
      </c>
      <c r="C72" s="107" t="n"/>
      <c r="D72" s="113">
        <f>IF($C72="","",IFERROR(INDEX(MUSTERILER!$C$7:$C$106,MATCH($C72,MUSTERILER!$B$7:$B$106,0)),"TANIMSIZ MÜŞTERİ"))</f>
        <v/>
      </c>
      <c r="E72" s="114" t="n"/>
      <c r="F72" s="115" t="n"/>
      <c r="G72" s="107" t="n"/>
      <c r="H72" s="107" t="n"/>
      <c r="I72" s="108" t="n"/>
      <c r="J72" s="108" t="n"/>
      <c r="K72" s="108" t="n"/>
      <c r="L72" s="119">
        <f>IF($E72="","",DATE(YEAR($E72),MONTH($E72),1))</f>
        <v/>
      </c>
      <c r="M72" s="112">
        <f>IF($C72="","",IF($D72="TANIMSIZ MÜŞTERİ","HATA",IF(OR($E72="",$F72&lt;=0,$G72=""),"EKSİK",IF($E72&gt;TODAY(),"İLERİ TARİH","UYGUN"))))</f>
        <v/>
      </c>
      <c r="N72" s="6" t="n"/>
      <c r="O72" s="6" t="n"/>
    </row>
    <row r="73">
      <c r="A73" s="6" t="n"/>
      <c r="B73" s="112">
        <f>IF($C73="","","T"&amp;TEXT(ROW()-6,"00000"))</f>
        <v/>
      </c>
      <c r="C73" s="107" t="n"/>
      <c r="D73" s="113">
        <f>IF($C73="","",IFERROR(INDEX(MUSTERILER!$C$7:$C$106,MATCH($C73,MUSTERILER!$B$7:$B$106,0)),"TANIMSIZ MÜŞTERİ"))</f>
        <v/>
      </c>
      <c r="E73" s="114" t="n"/>
      <c r="F73" s="115" t="n"/>
      <c r="G73" s="107" t="n"/>
      <c r="H73" s="107" t="n"/>
      <c r="I73" s="108" t="n"/>
      <c r="J73" s="108" t="n"/>
      <c r="K73" s="108" t="n"/>
      <c r="L73" s="119">
        <f>IF($E73="","",DATE(YEAR($E73),MONTH($E73),1))</f>
        <v/>
      </c>
      <c r="M73" s="112">
        <f>IF($C73="","",IF($D73="TANIMSIZ MÜŞTERİ","HATA",IF(OR($E73="",$F73&lt;=0,$G73=""),"EKSİK",IF($E73&gt;TODAY(),"İLERİ TARİH","UYGUN"))))</f>
        <v/>
      </c>
      <c r="N73" s="6" t="n"/>
      <c r="O73" s="6" t="n"/>
    </row>
    <row r="74">
      <c r="A74" s="6" t="n"/>
      <c r="B74" s="112">
        <f>IF($C74="","","T"&amp;TEXT(ROW()-6,"00000"))</f>
        <v/>
      </c>
      <c r="C74" s="107" t="n"/>
      <c r="D74" s="113">
        <f>IF($C74="","",IFERROR(INDEX(MUSTERILER!$C$7:$C$106,MATCH($C74,MUSTERILER!$B$7:$B$106,0)),"TANIMSIZ MÜŞTERİ"))</f>
        <v/>
      </c>
      <c r="E74" s="114" t="n"/>
      <c r="F74" s="115" t="n"/>
      <c r="G74" s="107" t="n"/>
      <c r="H74" s="107" t="n"/>
      <c r="I74" s="108" t="n"/>
      <c r="J74" s="108" t="n"/>
      <c r="K74" s="108" t="n"/>
      <c r="L74" s="119">
        <f>IF($E74="","",DATE(YEAR($E74),MONTH($E74),1))</f>
        <v/>
      </c>
      <c r="M74" s="112">
        <f>IF($C74="","",IF($D74="TANIMSIZ MÜŞTERİ","HATA",IF(OR($E74="",$F74&lt;=0,$G74=""),"EKSİK",IF($E74&gt;TODAY(),"İLERİ TARİH","UYGUN"))))</f>
        <v/>
      </c>
      <c r="N74" s="6" t="n"/>
      <c r="O74" s="6" t="n"/>
    </row>
    <row r="75">
      <c r="A75" s="6" t="n"/>
      <c r="B75" s="112">
        <f>IF($C75="","","T"&amp;TEXT(ROW()-6,"00000"))</f>
        <v/>
      </c>
      <c r="C75" s="107" t="n"/>
      <c r="D75" s="113">
        <f>IF($C75="","",IFERROR(INDEX(MUSTERILER!$C$7:$C$106,MATCH($C75,MUSTERILER!$B$7:$B$106,0)),"TANIMSIZ MÜŞTERİ"))</f>
        <v/>
      </c>
      <c r="E75" s="114" t="n"/>
      <c r="F75" s="115" t="n"/>
      <c r="G75" s="107" t="n"/>
      <c r="H75" s="107" t="n"/>
      <c r="I75" s="108" t="n"/>
      <c r="J75" s="108" t="n"/>
      <c r="K75" s="108" t="n"/>
      <c r="L75" s="119">
        <f>IF($E75="","",DATE(YEAR($E75),MONTH($E75),1))</f>
        <v/>
      </c>
      <c r="M75" s="112">
        <f>IF($C75="","",IF($D75="TANIMSIZ MÜŞTERİ","HATA",IF(OR($E75="",$F75&lt;=0,$G75=""),"EKSİK",IF($E75&gt;TODAY(),"İLERİ TARİH","UYGUN"))))</f>
        <v/>
      </c>
      <c r="N75" s="6" t="n"/>
      <c r="O75" s="6" t="n"/>
    </row>
    <row r="76">
      <c r="A76" s="6" t="n"/>
      <c r="B76" s="112">
        <f>IF($C76="","","T"&amp;TEXT(ROW()-6,"00000"))</f>
        <v/>
      </c>
      <c r="C76" s="107" t="n"/>
      <c r="D76" s="113">
        <f>IF($C76="","",IFERROR(INDEX(MUSTERILER!$C$7:$C$106,MATCH($C76,MUSTERILER!$B$7:$B$106,0)),"TANIMSIZ MÜŞTERİ"))</f>
        <v/>
      </c>
      <c r="E76" s="114" t="n"/>
      <c r="F76" s="115" t="n"/>
      <c r="G76" s="107" t="n"/>
      <c r="H76" s="107" t="n"/>
      <c r="I76" s="108" t="n"/>
      <c r="J76" s="108" t="n"/>
      <c r="K76" s="108" t="n"/>
      <c r="L76" s="119">
        <f>IF($E76="","",DATE(YEAR($E76),MONTH($E76),1))</f>
        <v/>
      </c>
      <c r="M76" s="112">
        <f>IF($C76="","",IF($D76="TANIMSIZ MÜŞTERİ","HATA",IF(OR($E76="",$F76&lt;=0,$G76=""),"EKSİK",IF($E76&gt;TODAY(),"İLERİ TARİH","UYGUN"))))</f>
        <v/>
      </c>
      <c r="N76" s="6" t="n"/>
      <c r="O76" s="6" t="n"/>
    </row>
    <row r="77">
      <c r="A77" s="6" t="n"/>
      <c r="B77" s="112">
        <f>IF($C77="","","T"&amp;TEXT(ROW()-6,"00000"))</f>
        <v/>
      </c>
      <c r="C77" s="107" t="n"/>
      <c r="D77" s="113">
        <f>IF($C77="","",IFERROR(INDEX(MUSTERILER!$C$7:$C$106,MATCH($C77,MUSTERILER!$B$7:$B$106,0)),"TANIMSIZ MÜŞTERİ"))</f>
        <v/>
      </c>
      <c r="E77" s="114" t="n"/>
      <c r="F77" s="115" t="n"/>
      <c r="G77" s="107" t="n"/>
      <c r="H77" s="107" t="n"/>
      <c r="I77" s="108" t="n"/>
      <c r="J77" s="108" t="n"/>
      <c r="K77" s="108" t="n"/>
      <c r="L77" s="119">
        <f>IF($E77="","",DATE(YEAR($E77),MONTH($E77),1))</f>
        <v/>
      </c>
      <c r="M77" s="112">
        <f>IF($C77="","",IF($D77="TANIMSIZ MÜŞTERİ","HATA",IF(OR($E77="",$F77&lt;=0,$G77=""),"EKSİK",IF($E77&gt;TODAY(),"İLERİ TARİH","UYGUN"))))</f>
        <v/>
      </c>
      <c r="N77" s="6" t="n"/>
      <c r="O77" s="6" t="n"/>
    </row>
    <row r="78">
      <c r="A78" s="6" t="n"/>
      <c r="B78" s="112">
        <f>IF($C78="","","T"&amp;TEXT(ROW()-6,"00000"))</f>
        <v/>
      </c>
      <c r="C78" s="107" t="n"/>
      <c r="D78" s="113">
        <f>IF($C78="","",IFERROR(INDEX(MUSTERILER!$C$7:$C$106,MATCH($C78,MUSTERILER!$B$7:$B$106,0)),"TANIMSIZ MÜŞTERİ"))</f>
        <v/>
      </c>
      <c r="E78" s="114" t="n"/>
      <c r="F78" s="115" t="n"/>
      <c r="G78" s="107" t="n"/>
      <c r="H78" s="107" t="n"/>
      <c r="I78" s="108" t="n"/>
      <c r="J78" s="108" t="n"/>
      <c r="K78" s="108" t="n"/>
      <c r="L78" s="119">
        <f>IF($E78="","",DATE(YEAR($E78),MONTH($E78),1))</f>
        <v/>
      </c>
      <c r="M78" s="112">
        <f>IF($C78="","",IF($D78="TANIMSIZ MÜŞTERİ","HATA",IF(OR($E78="",$F78&lt;=0,$G78=""),"EKSİK",IF($E78&gt;TODAY(),"İLERİ TARİH","UYGUN"))))</f>
        <v/>
      </c>
      <c r="N78" s="6" t="n"/>
      <c r="O78" s="6" t="n"/>
    </row>
    <row r="79">
      <c r="A79" s="6" t="n"/>
      <c r="B79" s="112">
        <f>IF($C79="","","T"&amp;TEXT(ROW()-6,"00000"))</f>
        <v/>
      </c>
      <c r="C79" s="107" t="n"/>
      <c r="D79" s="113">
        <f>IF($C79="","",IFERROR(INDEX(MUSTERILER!$C$7:$C$106,MATCH($C79,MUSTERILER!$B$7:$B$106,0)),"TANIMSIZ MÜŞTERİ"))</f>
        <v/>
      </c>
      <c r="E79" s="114" t="n"/>
      <c r="F79" s="115" t="n"/>
      <c r="G79" s="107" t="n"/>
      <c r="H79" s="107" t="n"/>
      <c r="I79" s="108" t="n"/>
      <c r="J79" s="108" t="n"/>
      <c r="K79" s="108" t="n"/>
      <c r="L79" s="119">
        <f>IF($E79="","",DATE(YEAR($E79),MONTH($E79),1))</f>
        <v/>
      </c>
      <c r="M79" s="112">
        <f>IF($C79="","",IF($D79="TANIMSIZ MÜŞTERİ","HATA",IF(OR($E79="",$F79&lt;=0,$G79=""),"EKSİK",IF($E79&gt;TODAY(),"İLERİ TARİH","UYGUN"))))</f>
        <v/>
      </c>
      <c r="N79" s="6" t="n"/>
      <c r="O79" s="6" t="n"/>
    </row>
    <row r="80">
      <c r="A80" s="6" t="n"/>
      <c r="B80" s="112">
        <f>IF($C80="","","T"&amp;TEXT(ROW()-6,"00000"))</f>
        <v/>
      </c>
      <c r="C80" s="107" t="n"/>
      <c r="D80" s="113">
        <f>IF($C80="","",IFERROR(INDEX(MUSTERILER!$C$7:$C$106,MATCH($C80,MUSTERILER!$B$7:$B$106,0)),"TANIMSIZ MÜŞTERİ"))</f>
        <v/>
      </c>
      <c r="E80" s="114" t="n"/>
      <c r="F80" s="115" t="n"/>
      <c r="G80" s="107" t="n"/>
      <c r="H80" s="107" t="n"/>
      <c r="I80" s="108" t="n"/>
      <c r="J80" s="108" t="n"/>
      <c r="K80" s="108" t="n"/>
      <c r="L80" s="119">
        <f>IF($E80="","",DATE(YEAR($E80),MONTH($E80),1))</f>
        <v/>
      </c>
      <c r="M80" s="112">
        <f>IF($C80="","",IF($D80="TANIMSIZ MÜŞTERİ","HATA",IF(OR($E80="",$F80&lt;=0,$G80=""),"EKSİK",IF($E80&gt;TODAY(),"İLERİ TARİH","UYGUN"))))</f>
        <v/>
      </c>
      <c r="N80" s="6" t="n"/>
      <c r="O80" s="6" t="n"/>
    </row>
    <row r="81">
      <c r="A81" s="6" t="n"/>
      <c r="B81" s="112">
        <f>IF($C81="","","T"&amp;TEXT(ROW()-6,"00000"))</f>
        <v/>
      </c>
      <c r="C81" s="107" t="n"/>
      <c r="D81" s="113">
        <f>IF($C81="","",IFERROR(INDEX(MUSTERILER!$C$7:$C$106,MATCH($C81,MUSTERILER!$B$7:$B$106,0)),"TANIMSIZ MÜŞTERİ"))</f>
        <v/>
      </c>
      <c r="E81" s="114" t="n"/>
      <c r="F81" s="115" t="n"/>
      <c r="G81" s="107" t="n"/>
      <c r="H81" s="107" t="n"/>
      <c r="I81" s="108" t="n"/>
      <c r="J81" s="108" t="n"/>
      <c r="K81" s="108" t="n"/>
      <c r="L81" s="119">
        <f>IF($E81="","",DATE(YEAR($E81),MONTH($E81),1))</f>
        <v/>
      </c>
      <c r="M81" s="112">
        <f>IF($C81="","",IF($D81="TANIMSIZ MÜŞTERİ","HATA",IF(OR($E81="",$F81&lt;=0,$G81=""),"EKSİK",IF($E81&gt;TODAY(),"İLERİ TARİH","UYGUN"))))</f>
        <v/>
      </c>
      <c r="N81" s="6" t="n"/>
      <c r="O81" s="6" t="n"/>
    </row>
    <row r="82">
      <c r="A82" s="6" t="n"/>
      <c r="B82" s="112">
        <f>IF($C82="","","T"&amp;TEXT(ROW()-6,"00000"))</f>
        <v/>
      </c>
      <c r="C82" s="107" t="n"/>
      <c r="D82" s="113">
        <f>IF($C82="","",IFERROR(INDEX(MUSTERILER!$C$7:$C$106,MATCH($C82,MUSTERILER!$B$7:$B$106,0)),"TANIMSIZ MÜŞTERİ"))</f>
        <v/>
      </c>
      <c r="E82" s="114" t="n"/>
      <c r="F82" s="115" t="n"/>
      <c r="G82" s="107" t="n"/>
      <c r="H82" s="107" t="n"/>
      <c r="I82" s="108" t="n"/>
      <c r="J82" s="108" t="n"/>
      <c r="K82" s="108" t="n"/>
      <c r="L82" s="119">
        <f>IF($E82="","",DATE(YEAR($E82),MONTH($E82),1))</f>
        <v/>
      </c>
      <c r="M82" s="112">
        <f>IF($C82="","",IF($D82="TANIMSIZ MÜŞTERİ","HATA",IF(OR($E82="",$F82&lt;=0,$G82=""),"EKSİK",IF($E82&gt;TODAY(),"İLERİ TARİH","UYGUN"))))</f>
        <v/>
      </c>
      <c r="N82" s="6" t="n"/>
      <c r="O82" s="6" t="n"/>
    </row>
    <row r="83">
      <c r="A83" s="6" t="n"/>
      <c r="B83" s="112">
        <f>IF($C83="","","T"&amp;TEXT(ROW()-6,"00000"))</f>
        <v/>
      </c>
      <c r="C83" s="107" t="n"/>
      <c r="D83" s="113">
        <f>IF($C83="","",IFERROR(INDEX(MUSTERILER!$C$7:$C$106,MATCH($C83,MUSTERILER!$B$7:$B$106,0)),"TANIMSIZ MÜŞTERİ"))</f>
        <v/>
      </c>
      <c r="E83" s="114" t="n"/>
      <c r="F83" s="115" t="n"/>
      <c r="G83" s="107" t="n"/>
      <c r="H83" s="107" t="n"/>
      <c r="I83" s="108" t="n"/>
      <c r="J83" s="108" t="n"/>
      <c r="K83" s="108" t="n"/>
      <c r="L83" s="119">
        <f>IF($E83="","",DATE(YEAR($E83),MONTH($E83),1))</f>
        <v/>
      </c>
      <c r="M83" s="112">
        <f>IF($C83="","",IF($D83="TANIMSIZ MÜŞTERİ","HATA",IF(OR($E83="",$F83&lt;=0,$G83=""),"EKSİK",IF($E83&gt;TODAY(),"İLERİ TARİH","UYGUN"))))</f>
        <v/>
      </c>
      <c r="N83" s="6" t="n"/>
      <c r="O83" s="6" t="n"/>
    </row>
    <row r="84">
      <c r="A84" s="6" t="n"/>
      <c r="B84" s="112">
        <f>IF($C84="","","T"&amp;TEXT(ROW()-6,"00000"))</f>
        <v/>
      </c>
      <c r="C84" s="107" t="n"/>
      <c r="D84" s="113">
        <f>IF($C84="","",IFERROR(INDEX(MUSTERILER!$C$7:$C$106,MATCH($C84,MUSTERILER!$B$7:$B$106,0)),"TANIMSIZ MÜŞTERİ"))</f>
        <v/>
      </c>
      <c r="E84" s="114" t="n"/>
      <c r="F84" s="115" t="n"/>
      <c r="G84" s="107" t="n"/>
      <c r="H84" s="107" t="n"/>
      <c r="I84" s="108" t="n"/>
      <c r="J84" s="108" t="n"/>
      <c r="K84" s="108" t="n"/>
      <c r="L84" s="119">
        <f>IF($E84="","",DATE(YEAR($E84),MONTH($E84),1))</f>
        <v/>
      </c>
      <c r="M84" s="112">
        <f>IF($C84="","",IF($D84="TANIMSIZ MÜŞTERİ","HATA",IF(OR($E84="",$F84&lt;=0,$G84=""),"EKSİK",IF($E84&gt;TODAY(),"İLERİ TARİH","UYGUN"))))</f>
        <v/>
      </c>
      <c r="N84" s="6" t="n"/>
      <c r="O84" s="6" t="n"/>
    </row>
    <row r="85">
      <c r="A85" s="6" t="n"/>
      <c r="B85" s="112">
        <f>IF($C85="","","T"&amp;TEXT(ROW()-6,"00000"))</f>
        <v/>
      </c>
      <c r="C85" s="107" t="n"/>
      <c r="D85" s="113">
        <f>IF($C85="","",IFERROR(INDEX(MUSTERILER!$C$7:$C$106,MATCH($C85,MUSTERILER!$B$7:$B$106,0)),"TANIMSIZ MÜŞTERİ"))</f>
        <v/>
      </c>
      <c r="E85" s="114" t="n"/>
      <c r="F85" s="115" t="n"/>
      <c r="G85" s="107" t="n"/>
      <c r="H85" s="107" t="n"/>
      <c r="I85" s="108" t="n"/>
      <c r="J85" s="108" t="n"/>
      <c r="K85" s="108" t="n"/>
      <c r="L85" s="119">
        <f>IF($E85="","",DATE(YEAR($E85),MONTH($E85),1))</f>
        <v/>
      </c>
      <c r="M85" s="112">
        <f>IF($C85="","",IF($D85="TANIMSIZ MÜŞTERİ","HATA",IF(OR($E85="",$F85&lt;=0,$G85=""),"EKSİK",IF($E85&gt;TODAY(),"İLERİ TARİH","UYGUN"))))</f>
        <v/>
      </c>
      <c r="N85" s="6" t="n"/>
      <c r="O85" s="6" t="n"/>
    </row>
    <row r="86">
      <c r="A86" s="6" t="n"/>
      <c r="B86" s="112">
        <f>IF($C86="","","T"&amp;TEXT(ROW()-6,"00000"))</f>
        <v/>
      </c>
      <c r="C86" s="107" t="n"/>
      <c r="D86" s="113">
        <f>IF($C86="","",IFERROR(INDEX(MUSTERILER!$C$7:$C$106,MATCH($C86,MUSTERILER!$B$7:$B$106,0)),"TANIMSIZ MÜŞTERİ"))</f>
        <v/>
      </c>
      <c r="E86" s="114" t="n"/>
      <c r="F86" s="115" t="n"/>
      <c r="G86" s="107" t="n"/>
      <c r="H86" s="107" t="n"/>
      <c r="I86" s="108" t="n"/>
      <c r="J86" s="108" t="n"/>
      <c r="K86" s="108" t="n"/>
      <c r="L86" s="119">
        <f>IF($E86="","",DATE(YEAR($E86),MONTH($E86),1))</f>
        <v/>
      </c>
      <c r="M86" s="112">
        <f>IF($C86="","",IF($D86="TANIMSIZ MÜŞTERİ","HATA",IF(OR($E86="",$F86&lt;=0,$G86=""),"EKSİK",IF($E86&gt;TODAY(),"İLERİ TARİH","UYGUN"))))</f>
        <v/>
      </c>
      <c r="N86" s="6" t="n"/>
      <c r="O86" s="6" t="n"/>
    </row>
    <row r="87">
      <c r="A87" s="6" t="n"/>
      <c r="B87" s="112">
        <f>IF($C87="","","T"&amp;TEXT(ROW()-6,"00000"))</f>
        <v/>
      </c>
      <c r="C87" s="107" t="n"/>
      <c r="D87" s="113">
        <f>IF($C87="","",IFERROR(INDEX(MUSTERILER!$C$7:$C$106,MATCH($C87,MUSTERILER!$B$7:$B$106,0)),"TANIMSIZ MÜŞTERİ"))</f>
        <v/>
      </c>
      <c r="E87" s="114" t="n"/>
      <c r="F87" s="115" t="n"/>
      <c r="G87" s="107" t="n"/>
      <c r="H87" s="107" t="n"/>
      <c r="I87" s="108" t="n"/>
      <c r="J87" s="108" t="n"/>
      <c r="K87" s="108" t="n"/>
      <c r="L87" s="119">
        <f>IF($E87="","",DATE(YEAR($E87),MONTH($E87),1))</f>
        <v/>
      </c>
      <c r="M87" s="112">
        <f>IF($C87="","",IF($D87="TANIMSIZ MÜŞTERİ","HATA",IF(OR($E87="",$F87&lt;=0,$G87=""),"EKSİK",IF($E87&gt;TODAY(),"İLERİ TARİH","UYGUN"))))</f>
        <v/>
      </c>
      <c r="N87" s="6" t="n"/>
      <c r="O87" s="6" t="n"/>
    </row>
    <row r="88">
      <c r="A88" s="6" t="n"/>
      <c r="B88" s="112">
        <f>IF($C88="","","T"&amp;TEXT(ROW()-6,"00000"))</f>
        <v/>
      </c>
      <c r="C88" s="107" t="n"/>
      <c r="D88" s="113">
        <f>IF($C88="","",IFERROR(INDEX(MUSTERILER!$C$7:$C$106,MATCH($C88,MUSTERILER!$B$7:$B$106,0)),"TANIMSIZ MÜŞTERİ"))</f>
        <v/>
      </c>
      <c r="E88" s="114" t="n"/>
      <c r="F88" s="115" t="n"/>
      <c r="G88" s="107" t="n"/>
      <c r="H88" s="107" t="n"/>
      <c r="I88" s="108" t="n"/>
      <c r="J88" s="108" t="n"/>
      <c r="K88" s="108" t="n"/>
      <c r="L88" s="119">
        <f>IF($E88="","",DATE(YEAR($E88),MONTH($E88),1))</f>
        <v/>
      </c>
      <c r="M88" s="112">
        <f>IF($C88="","",IF($D88="TANIMSIZ MÜŞTERİ","HATA",IF(OR($E88="",$F88&lt;=0,$G88=""),"EKSİK",IF($E88&gt;TODAY(),"İLERİ TARİH","UYGUN"))))</f>
        <v/>
      </c>
      <c r="N88" s="6" t="n"/>
      <c r="O88" s="6" t="n"/>
    </row>
    <row r="89">
      <c r="A89" s="6" t="n"/>
      <c r="B89" s="112">
        <f>IF($C89="","","T"&amp;TEXT(ROW()-6,"00000"))</f>
        <v/>
      </c>
      <c r="C89" s="107" t="n"/>
      <c r="D89" s="113">
        <f>IF($C89="","",IFERROR(INDEX(MUSTERILER!$C$7:$C$106,MATCH($C89,MUSTERILER!$B$7:$B$106,0)),"TANIMSIZ MÜŞTERİ"))</f>
        <v/>
      </c>
      <c r="E89" s="114" t="n"/>
      <c r="F89" s="115" t="n"/>
      <c r="G89" s="107" t="n"/>
      <c r="H89" s="107" t="n"/>
      <c r="I89" s="108" t="n"/>
      <c r="J89" s="108" t="n"/>
      <c r="K89" s="108" t="n"/>
      <c r="L89" s="119">
        <f>IF($E89="","",DATE(YEAR($E89),MONTH($E89),1))</f>
        <v/>
      </c>
      <c r="M89" s="112">
        <f>IF($C89="","",IF($D89="TANIMSIZ MÜŞTERİ","HATA",IF(OR($E89="",$F89&lt;=0,$G89=""),"EKSİK",IF($E89&gt;TODAY(),"İLERİ TARİH","UYGUN"))))</f>
        <v/>
      </c>
      <c r="N89" s="6" t="n"/>
      <c r="O89" s="6" t="n"/>
    </row>
    <row r="90">
      <c r="A90" s="6" t="n"/>
      <c r="B90" s="112">
        <f>IF($C90="","","T"&amp;TEXT(ROW()-6,"00000"))</f>
        <v/>
      </c>
      <c r="C90" s="107" t="n"/>
      <c r="D90" s="113">
        <f>IF($C90="","",IFERROR(INDEX(MUSTERILER!$C$7:$C$106,MATCH($C90,MUSTERILER!$B$7:$B$106,0)),"TANIMSIZ MÜŞTERİ"))</f>
        <v/>
      </c>
      <c r="E90" s="114" t="n"/>
      <c r="F90" s="115" t="n"/>
      <c r="G90" s="107" t="n"/>
      <c r="H90" s="107" t="n"/>
      <c r="I90" s="108" t="n"/>
      <c r="J90" s="108" t="n"/>
      <c r="K90" s="108" t="n"/>
      <c r="L90" s="119">
        <f>IF($E90="","",DATE(YEAR($E90),MONTH($E90),1))</f>
        <v/>
      </c>
      <c r="M90" s="112">
        <f>IF($C90="","",IF($D90="TANIMSIZ MÜŞTERİ","HATA",IF(OR($E90="",$F90&lt;=0,$G90=""),"EKSİK",IF($E90&gt;TODAY(),"İLERİ TARİH","UYGUN"))))</f>
        <v/>
      </c>
      <c r="N90" s="6" t="n"/>
      <c r="O90" s="6" t="n"/>
    </row>
    <row r="91">
      <c r="A91" s="6" t="n"/>
      <c r="B91" s="112">
        <f>IF($C91="","","T"&amp;TEXT(ROW()-6,"00000"))</f>
        <v/>
      </c>
      <c r="C91" s="107" t="n"/>
      <c r="D91" s="113">
        <f>IF($C91="","",IFERROR(INDEX(MUSTERILER!$C$7:$C$106,MATCH($C91,MUSTERILER!$B$7:$B$106,0)),"TANIMSIZ MÜŞTERİ"))</f>
        <v/>
      </c>
      <c r="E91" s="114" t="n"/>
      <c r="F91" s="115" t="n"/>
      <c r="G91" s="107" t="n"/>
      <c r="H91" s="107" t="n"/>
      <c r="I91" s="108" t="n"/>
      <c r="J91" s="108" t="n"/>
      <c r="K91" s="108" t="n"/>
      <c r="L91" s="119">
        <f>IF($E91="","",DATE(YEAR($E91),MONTH($E91),1))</f>
        <v/>
      </c>
      <c r="M91" s="112">
        <f>IF($C91="","",IF($D91="TANIMSIZ MÜŞTERİ","HATA",IF(OR($E91="",$F91&lt;=0,$G91=""),"EKSİK",IF($E91&gt;TODAY(),"İLERİ TARİH","UYGUN"))))</f>
        <v/>
      </c>
      <c r="N91" s="6" t="n"/>
      <c r="O91" s="6" t="n"/>
    </row>
    <row r="92">
      <c r="A92" s="6" t="n"/>
      <c r="B92" s="112">
        <f>IF($C92="","","T"&amp;TEXT(ROW()-6,"00000"))</f>
        <v/>
      </c>
      <c r="C92" s="107" t="n"/>
      <c r="D92" s="113">
        <f>IF($C92="","",IFERROR(INDEX(MUSTERILER!$C$7:$C$106,MATCH($C92,MUSTERILER!$B$7:$B$106,0)),"TANIMSIZ MÜŞTERİ"))</f>
        <v/>
      </c>
      <c r="E92" s="114" t="n"/>
      <c r="F92" s="115" t="n"/>
      <c r="G92" s="107" t="n"/>
      <c r="H92" s="107" t="n"/>
      <c r="I92" s="108" t="n"/>
      <c r="J92" s="108" t="n"/>
      <c r="K92" s="108" t="n"/>
      <c r="L92" s="119">
        <f>IF($E92="","",DATE(YEAR($E92),MONTH($E92),1))</f>
        <v/>
      </c>
      <c r="M92" s="112">
        <f>IF($C92="","",IF($D92="TANIMSIZ MÜŞTERİ","HATA",IF(OR($E92="",$F92&lt;=0,$G92=""),"EKSİK",IF($E92&gt;TODAY(),"İLERİ TARİH","UYGUN"))))</f>
        <v/>
      </c>
      <c r="N92" s="6" t="n"/>
      <c r="O92" s="6" t="n"/>
    </row>
    <row r="93">
      <c r="A93" s="6" t="n"/>
      <c r="B93" s="112">
        <f>IF($C93="","","T"&amp;TEXT(ROW()-6,"00000"))</f>
        <v/>
      </c>
      <c r="C93" s="107" t="n"/>
      <c r="D93" s="113">
        <f>IF($C93="","",IFERROR(INDEX(MUSTERILER!$C$7:$C$106,MATCH($C93,MUSTERILER!$B$7:$B$106,0)),"TANIMSIZ MÜŞTERİ"))</f>
        <v/>
      </c>
      <c r="E93" s="114" t="n"/>
      <c r="F93" s="115" t="n"/>
      <c r="G93" s="107" t="n"/>
      <c r="H93" s="107" t="n"/>
      <c r="I93" s="108" t="n"/>
      <c r="J93" s="108" t="n"/>
      <c r="K93" s="108" t="n"/>
      <c r="L93" s="119">
        <f>IF($E93="","",DATE(YEAR($E93),MONTH($E93),1))</f>
        <v/>
      </c>
      <c r="M93" s="112">
        <f>IF($C93="","",IF($D93="TANIMSIZ MÜŞTERİ","HATA",IF(OR($E93="",$F93&lt;=0,$G93=""),"EKSİK",IF($E93&gt;TODAY(),"İLERİ TARİH","UYGUN"))))</f>
        <v/>
      </c>
      <c r="N93" s="6" t="n"/>
      <c r="O93" s="6" t="n"/>
    </row>
    <row r="94">
      <c r="A94" s="6" t="n"/>
      <c r="B94" s="112">
        <f>IF($C94="","","T"&amp;TEXT(ROW()-6,"00000"))</f>
        <v/>
      </c>
      <c r="C94" s="107" t="n"/>
      <c r="D94" s="113">
        <f>IF($C94="","",IFERROR(INDEX(MUSTERILER!$C$7:$C$106,MATCH($C94,MUSTERILER!$B$7:$B$106,0)),"TANIMSIZ MÜŞTERİ"))</f>
        <v/>
      </c>
      <c r="E94" s="114" t="n"/>
      <c r="F94" s="115" t="n"/>
      <c r="G94" s="107" t="n"/>
      <c r="H94" s="107" t="n"/>
      <c r="I94" s="108" t="n"/>
      <c r="J94" s="108" t="n"/>
      <c r="K94" s="108" t="n"/>
      <c r="L94" s="119">
        <f>IF($E94="","",DATE(YEAR($E94),MONTH($E94),1))</f>
        <v/>
      </c>
      <c r="M94" s="112">
        <f>IF($C94="","",IF($D94="TANIMSIZ MÜŞTERİ","HATA",IF(OR($E94="",$F94&lt;=0,$G94=""),"EKSİK",IF($E94&gt;TODAY(),"İLERİ TARİH","UYGUN"))))</f>
        <v/>
      </c>
      <c r="N94" s="6" t="n"/>
      <c r="O94" s="6" t="n"/>
    </row>
    <row r="95">
      <c r="A95" s="6" t="n"/>
      <c r="B95" s="112">
        <f>IF($C95="","","T"&amp;TEXT(ROW()-6,"00000"))</f>
        <v/>
      </c>
      <c r="C95" s="107" t="n"/>
      <c r="D95" s="113">
        <f>IF($C95="","",IFERROR(INDEX(MUSTERILER!$C$7:$C$106,MATCH($C95,MUSTERILER!$B$7:$B$106,0)),"TANIMSIZ MÜŞTERİ"))</f>
        <v/>
      </c>
      <c r="E95" s="114" t="n"/>
      <c r="F95" s="115" t="n"/>
      <c r="G95" s="107" t="n"/>
      <c r="H95" s="107" t="n"/>
      <c r="I95" s="108" t="n"/>
      <c r="J95" s="108" t="n"/>
      <c r="K95" s="108" t="n"/>
      <c r="L95" s="119">
        <f>IF($E95="","",DATE(YEAR($E95),MONTH($E95),1))</f>
        <v/>
      </c>
      <c r="M95" s="112">
        <f>IF($C95="","",IF($D95="TANIMSIZ MÜŞTERİ","HATA",IF(OR($E95="",$F95&lt;=0,$G95=""),"EKSİK",IF($E95&gt;TODAY(),"İLERİ TARİH","UYGUN"))))</f>
        <v/>
      </c>
      <c r="N95" s="6" t="n"/>
      <c r="O95" s="6" t="n"/>
    </row>
    <row r="96">
      <c r="A96" s="6" t="n"/>
      <c r="B96" s="112">
        <f>IF($C96="","","T"&amp;TEXT(ROW()-6,"00000"))</f>
        <v/>
      </c>
      <c r="C96" s="107" t="n"/>
      <c r="D96" s="113">
        <f>IF($C96="","",IFERROR(INDEX(MUSTERILER!$C$7:$C$106,MATCH($C96,MUSTERILER!$B$7:$B$106,0)),"TANIMSIZ MÜŞTERİ"))</f>
        <v/>
      </c>
      <c r="E96" s="114" t="n"/>
      <c r="F96" s="115" t="n"/>
      <c r="G96" s="107" t="n"/>
      <c r="H96" s="107" t="n"/>
      <c r="I96" s="108" t="n"/>
      <c r="J96" s="108" t="n"/>
      <c r="K96" s="108" t="n"/>
      <c r="L96" s="119">
        <f>IF($E96="","",DATE(YEAR($E96),MONTH($E96),1))</f>
        <v/>
      </c>
      <c r="M96" s="112">
        <f>IF($C96="","",IF($D96="TANIMSIZ MÜŞTERİ","HATA",IF(OR($E96="",$F96&lt;=0,$G96=""),"EKSİK",IF($E96&gt;TODAY(),"İLERİ TARİH","UYGUN"))))</f>
        <v/>
      </c>
      <c r="N96" s="6" t="n"/>
      <c r="O96" s="6" t="n"/>
    </row>
    <row r="97">
      <c r="A97" s="6" t="n"/>
      <c r="B97" s="112">
        <f>IF($C97="","","T"&amp;TEXT(ROW()-6,"00000"))</f>
        <v/>
      </c>
      <c r="C97" s="107" t="n"/>
      <c r="D97" s="113">
        <f>IF($C97="","",IFERROR(INDEX(MUSTERILER!$C$7:$C$106,MATCH($C97,MUSTERILER!$B$7:$B$106,0)),"TANIMSIZ MÜŞTERİ"))</f>
        <v/>
      </c>
      <c r="E97" s="114" t="n"/>
      <c r="F97" s="115" t="n"/>
      <c r="G97" s="107" t="n"/>
      <c r="H97" s="107" t="n"/>
      <c r="I97" s="108" t="n"/>
      <c r="J97" s="108" t="n"/>
      <c r="K97" s="108" t="n"/>
      <c r="L97" s="119">
        <f>IF($E97="","",DATE(YEAR($E97),MONTH($E97),1))</f>
        <v/>
      </c>
      <c r="M97" s="112">
        <f>IF($C97="","",IF($D97="TANIMSIZ MÜŞTERİ","HATA",IF(OR($E97="",$F97&lt;=0,$G97=""),"EKSİK",IF($E97&gt;TODAY(),"İLERİ TARİH","UYGUN"))))</f>
        <v/>
      </c>
      <c r="N97" s="6" t="n"/>
      <c r="O97" s="6" t="n"/>
    </row>
    <row r="98">
      <c r="A98" s="6" t="n"/>
      <c r="B98" s="112">
        <f>IF($C98="","","T"&amp;TEXT(ROW()-6,"00000"))</f>
        <v/>
      </c>
      <c r="C98" s="107" t="n"/>
      <c r="D98" s="113">
        <f>IF($C98="","",IFERROR(INDEX(MUSTERILER!$C$7:$C$106,MATCH($C98,MUSTERILER!$B$7:$B$106,0)),"TANIMSIZ MÜŞTERİ"))</f>
        <v/>
      </c>
      <c r="E98" s="114" t="n"/>
      <c r="F98" s="115" t="n"/>
      <c r="G98" s="107" t="n"/>
      <c r="H98" s="107" t="n"/>
      <c r="I98" s="108" t="n"/>
      <c r="J98" s="108" t="n"/>
      <c r="K98" s="108" t="n"/>
      <c r="L98" s="119">
        <f>IF($E98="","",DATE(YEAR($E98),MONTH($E98),1))</f>
        <v/>
      </c>
      <c r="M98" s="112">
        <f>IF($C98="","",IF($D98="TANIMSIZ MÜŞTERİ","HATA",IF(OR($E98="",$F98&lt;=0,$G98=""),"EKSİK",IF($E98&gt;TODAY(),"İLERİ TARİH","UYGUN"))))</f>
        <v/>
      </c>
      <c r="N98" s="6" t="n"/>
      <c r="O98" s="6" t="n"/>
    </row>
    <row r="99">
      <c r="A99" s="6" t="n"/>
      <c r="B99" s="112">
        <f>IF($C99="","","T"&amp;TEXT(ROW()-6,"00000"))</f>
        <v/>
      </c>
      <c r="C99" s="107" t="n"/>
      <c r="D99" s="113">
        <f>IF($C99="","",IFERROR(INDEX(MUSTERILER!$C$7:$C$106,MATCH($C99,MUSTERILER!$B$7:$B$106,0)),"TANIMSIZ MÜŞTERİ"))</f>
        <v/>
      </c>
      <c r="E99" s="114" t="n"/>
      <c r="F99" s="115" t="n"/>
      <c r="G99" s="107" t="n"/>
      <c r="H99" s="107" t="n"/>
      <c r="I99" s="108" t="n"/>
      <c r="J99" s="108" t="n"/>
      <c r="K99" s="108" t="n"/>
      <c r="L99" s="119">
        <f>IF($E99="","",DATE(YEAR($E99),MONTH($E99),1))</f>
        <v/>
      </c>
      <c r="M99" s="112">
        <f>IF($C99="","",IF($D99="TANIMSIZ MÜŞTERİ","HATA",IF(OR($E99="",$F99&lt;=0,$G99=""),"EKSİK",IF($E99&gt;TODAY(),"İLERİ TARİH","UYGUN"))))</f>
        <v/>
      </c>
      <c r="N99" s="6" t="n"/>
      <c r="O99" s="6" t="n"/>
    </row>
    <row r="100">
      <c r="A100" s="6" t="n"/>
      <c r="B100" s="112">
        <f>IF($C100="","","T"&amp;TEXT(ROW()-6,"00000"))</f>
        <v/>
      </c>
      <c r="C100" s="107" t="n"/>
      <c r="D100" s="113">
        <f>IF($C100="","",IFERROR(INDEX(MUSTERILER!$C$7:$C$106,MATCH($C100,MUSTERILER!$B$7:$B$106,0)),"TANIMSIZ MÜŞTERİ"))</f>
        <v/>
      </c>
      <c r="E100" s="114" t="n"/>
      <c r="F100" s="115" t="n"/>
      <c r="G100" s="107" t="n"/>
      <c r="H100" s="107" t="n"/>
      <c r="I100" s="108" t="n"/>
      <c r="J100" s="108" t="n"/>
      <c r="K100" s="108" t="n"/>
      <c r="L100" s="119">
        <f>IF($E100="","",DATE(YEAR($E100),MONTH($E100),1))</f>
        <v/>
      </c>
      <c r="M100" s="112">
        <f>IF($C100="","",IF($D100="TANIMSIZ MÜŞTERİ","HATA",IF(OR($E100="",$F100&lt;=0,$G100=""),"EKSİK",IF($E100&gt;TODAY(),"İLERİ TARİH","UYGUN"))))</f>
        <v/>
      </c>
      <c r="N100" s="6" t="n"/>
      <c r="O100" s="6" t="n"/>
    </row>
    <row r="101">
      <c r="A101" s="6" t="n"/>
      <c r="B101" s="112">
        <f>IF($C101="","","T"&amp;TEXT(ROW()-6,"00000"))</f>
        <v/>
      </c>
      <c r="C101" s="107" t="n"/>
      <c r="D101" s="113">
        <f>IF($C101="","",IFERROR(INDEX(MUSTERILER!$C$7:$C$106,MATCH($C101,MUSTERILER!$B$7:$B$106,0)),"TANIMSIZ MÜŞTERİ"))</f>
        <v/>
      </c>
      <c r="E101" s="114" t="n"/>
      <c r="F101" s="115" t="n"/>
      <c r="G101" s="107" t="n"/>
      <c r="H101" s="107" t="n"/>
      <c r="I101" s="108" t="n"/>
      <c r="J101" s="108" t="n"/>
      <c r="K101" s="108" t="n"/>
      <c r="L101" s="119">
        <f>IF($E101="","",DATE(YEAR($E101),MONTH($E101),1))</f>
        <v/>
      </c>
      <c r="M101" s="112">
        <f>IF($C101="","",IF($D101="TANIMSIZ MÜŞTERİ","HATA",IF(OR($E101="",$F101&lt;=0,$G101=""),"EKSİK",IF($E101&gt;TODAY(),"İLERİ TARİH","UYGUN"))))</f>
        <v/>
      </c>
      <c r="N101" s="6" t="n"/>
      <c r="O101" s="6" t="n"/>
    </row>
    <row r="102">
      <c r="A102" s="6" t="n"/>
      <c r="B102" s="112">
        <f>IF($C102="","","T"&amp;TEXT(ROW()-6,"00000"))</f>
        <v/>
      </c>
      <c r="C102" s="107" t="n"/>
      <c r="D102" s="113">
        <f>IF($C102="","",IFERROR(INDEX(MUSTERILER!$C$7:$C$106,MATCH($C102,MUSTERILER!$B$7:$B$106,0)),"TANIMSIZ MÜŞTERİ"))</f>
        <v/>
      </c>
      <c r="E102" s="114" t="n"/>
      <c r="F102" s="115" t="n"/>
      <c r="G102" s="107" t="n"/>
      <c r="H102" s="107" t="n"/>
      <c r="I102" s="108" t="n"/>
      <c r="J102" s="108" t="n"/>
      <c r="K102" s="108" t="n"/>
      <c r="L102" s="119">
        <f>IF($E102="","",DATE(YEAR($E102),MONTH($E102),1))</f>
        <v/>
      </c>
      <c r="M102" s="112">
        <f>IF($C102="","",IF($D102="TANIMSIZ MÜŞTERİ","HATA",IF(OR($E102="",$F102&lt;=0,$G102=""),"EKSİK",IF($E102&gt;TODAY(),"İLERİ TARİH","UYGUN"))))</f>
        <v/>
      </c>
      <c r="N102" s="6" t="n"/>
      <c r="O102" s="6" t="n"/>
    </row>
    <row r="103">
      <c r="A103" s="6" t="n"/>
      <c r="B103" s="112">
        <f>IF($C103="","","T"&amp;TEXT(ROW()-6,"00000"))</f>
        <v/>
      </c>
      <c r="C103" s="107" t="n"/>
      <c r="D103" s="113">
        <f>IF($C103="","",IFERROR(INDEX(MUSTERILER!$C$7:$C$106,MATCH($C103,MUSTERILER!$B$7:$B$106,0)),"TANIMSIZ MÜŞTERİ"))</f>
        <v/>
      </c>
      <c r="E103" s="114" t="n"/>
      <c r="F103" s="115" t="n"/>
      <c r="G103" s="107" t="n"/>
      <c r="H103" s="107" t="n"/>
      <c r="I103" s="108" t="n"/>
      <c r="J103" s="108" t="n"/>
      <c r="K103" s="108" t="n"/>
      <c r="L103" s="119">
        <f>IF($E103="","",DATE(YEAR($E103),MONTH($E103),1))</f>
        <v/>
      </c>
      <c r="M103" s="112">
        <f>IF($C103="","",IF($D103="TANIMSIZ MÜŞTERİ","HATA",IF(OR($E103="",$F103&lt;=0,$G103=""),"EKSİK",IF($E103&gt;TODAY(),"İLERİ TARİH","UYGUN"))))</f>
        <v/>
      </c>
      <c r="N103" s="6" t="n"/>
      <c r="O103" s="6" t="n"/>
    </row>
    <row r="104">
      <c r="A104" s="6" t="n"/>
      <c r="B104" s="112">
        <f>IF($C104="","","T"&amp;TEXT(ROW()-6,"00000"))</f>
        <v/>
      </c>
      <c r="C104" s="107" t="n"/>
      <c r="D104" s="113">
        <f>IF($C104="","",IFERROR(INDEX(MUSTERILER!$C$7:$C$106,MATCH($C104,MUSTERILER!$B$7:$B$106,0)),"TANIMSIZ MÜŞTERİ"))</f>
        <v/>
      </c>
      <c r="E104" s="114" t="n"/>
      <c r="F104" s="115" t="n"/>
      <c r="G104" s="107" t="n"/>
      <c r="H104" s="107" t="n"/>
      <c r="I104" s="108" t="n"/>
      <c r="J104" s="108" t="n"/>
      <c r="K104" s="108" t="n"/>
      <c r="L104" s="119">
        <f>IF($E104="","",DATE(YEAR($E104),MONTH($E104),1))</f>
        <v/>
      </c>
      <c r="M104" s="112">
        <f>IF($C104="","",IF($D104="TANIMSIZ MÜŞTERİ","HATA",IF(OR($E104="",$F104&lt;=0,$G104=""),"EKSİK",IF($E104&gt;TODAY(),"İLERİ TARİH","UYGUN"))))</f>
        <v/>
      </c>
      <c r="N104" s="6" t="n"/>
      <c r="O104" s="6" t="n"/>
    </row>
    <row r="105">
      <c r="A105" s="6" t="n"/>
      <c r="B105" s="112">
        <f>IF($C105="","","T"&amp;TEXT(ROW()-6,"00000"))</f>
        <v/>
      </c>
      <c r="C105" s="107" t="n"/>
      <c r="D105" s="113">
        <f>IF($C105="","",IFERROR(INDEX(MUSTERILER!$C$7:$C$106,MATCH($C105,MUSTERILER!$B$7:$B$106,0)),"TANIMSIZ MÜŞTERİ"))</f>
        <v/>
      </c>
      <c r="E105" s="114" t="n"/>
      <c r="F105" s="115" t="n"/>
      <c r="G105" s="107" t="n"/>
      <c r="H105" s="107" t="n"/>
      <c r="I105" s="108" t="n"/>
      <c r="J105" s="108" t="n"/>
      <c r="K105" s="108" t="n"/>
      <c r="L105" s="119">
        <f>IF($E105="","",DATE(YEAR($E105),MONTH($E105),1))</f>
        <v/>
      </c>
      <c r="M105" s="112">
        <f>IF($C105="","",IF($D105="TANIMSIZ MÜŞTERİ","HATA",IF(OR($E105="",$F105&lt;=0,$G105=""),"EKSİK",IF($E105&gt;TODAY(),"İLERİ TARİH","UYGUN"))))</f>
        <v/>
      </c>
      <c r="N105" s="6" t="n"/>
      <c r="O105" s="6" t="n"/>
    </row>
    <row r="106">
      <c r="A106" s="6" t="n"/>
      <c r="B106" s="112">
        <f>IF($C106="","","T"&amp;TEXT(ROW()-6,"00000"))</f>
        <v/>
      </c>
      <c r="C106" s="107" t="n"/>
      <c r="D106" s="113">
        <f>IF($C106="","",IFERROR(INDEX(MUSTERILER!$C$7:$C$106,MATCH($C106,MUSTERILER!$B$7:$B$106,0)),"TANIMSIZ MÜŞTERİ"))</f>
        <v/>
      </c>
      <c r="E106" s="114" t="n"/>
      <c r="F106" s="115" t="n"/>
      <c r="G106" s="107" t="n"/>
      <c r="H106" s="107" t="n"/>
      <c r="I106" s="108" t="n"/>
      <c r="J106" s="108" t="n"/>
      <c r="K106" s="108" t="n"/>
      <c r="L106" s="119">
        <f>IF($E106="","",DATE(YEAR($E106),MONTH($E106),1))</f>
        <v/>
      </c>
      <c r="M106" s="112">
        <f>IF($C106="","",IF($D106="TANIMSIZ MÜŞTERİ","HATA",IF(OR($E106="",$F106&lt;=0,$G106=""),"EKSİK",IF($E106&gt;TODAY(),"İLERİ TARİH","UYGUN"))))</f>
        <v/>
      </c>
      <c r="N106" s="6" t="n"/>
      <c r="O106" s="6" t="n"/>
    </row>
    <row r="107">
      <c r="A107" s="6" t="n"/>
      <c r="B107" s="112">
        <f>IF($C107="","","T"&amp;TEXT(ROW()-6,"00000"))</f>
        <v/>
      </c>
      <c r="C107" s="107" t="n"/>
      <c r="D107" s="113">
        <f>IF($C107="","",IFERROR(INDEX(MUSTERILER!$C$7:$C$106,MATCH($C107,MUSTERILER!$B$7:$B$106,0)),"TANIMSIZ MÜŞTERİ"))</f>
        <v/>
      </c>
      <c r="E107" s="114" t="n"/>
      <c r="F107" s="115" t="n"/>
      <c r="G107" s="107" t="n"/>
      <c r="H107" s="107" t="n"/>
      <c r="I107" s="108" t="n"/>
      <c r="J107" s="108" t="n"/>
      <c r="K107" s="108" t="n"/>
      <c r="L107" s="119">
        <f>IF($E107="","",DATE(YEAR($E107),MONTH($E107),1))</f>
        <v/>
      </c>
      <c r="M107" s="112">
        <f>IF($C107="","",IF($D107="TANIMSIZ MÜŞTERİ","HATA",IF(OR($E107="",$F107&lt;=0,$G107=""),"EKSİK",IF($E107&gt;TODAY(),"İLERİ TARİH","UYGUN"))))</f>
        <v/>
      </c>
      <c r="N107" s="6" t="n"/>
      <c r="O107" s="6" t="n"/>
    </row>
    <row r="108">
      <c r="A108" s="6" t="n"/>
      <c r="B108" s="112">
        <f>IF($C108="","","T"&amp;TEXT(ROW()-6,"00000"))</f>
        <v/>
      </c>
      <c r="C108" s="107" t="n"/>
      <c r="D108" s="113">
        <f>IF($C108="","",IFERROR(INDEX(MUSTERILER!$C$7:$C$106,MATCH($C108,MUSTERILER!$B$7:$B$106,0)),"TANIMSIZ MÜŞTERİ"))</f>
        <v/>
      </c>
      <c r="E108" s="114" t="n"/>
      <c r="F108" s="115" t="n"/>
      <c r="G108" s="107" t="n"/>
      <c r="H108" s="107" t="n"/>
      <c r="I108" s="108" t="n"/>
      <c r="J108" s="108" t="n"/>
      <c r="K108" s="108" t="n"/>
      <c r="L108" s="119">
        <f>IF($E108="","",DATE(YEAR($E108),MONTH($E108),1))</f>
        <v/>
      </c>
      <c r="M108" s="112">
        <f>IF($C108="","",IF($D108="TANIMSIZ MÜŞTERİ","HATA",IF(OR($E108="",$F108&lt;=0,$G108=""),"EKSİK",IF($E108&gt;TODAY(),"İLERİ TARİH","UYGUN"))))</f>
        <v/>
      </c>
      <c r="N108" s="6" t="n"/>
      <c r="O108" s="6" t="n"/>
    </row>
    <row r="109">
      <c r="A109" s="6" t="n"/>
      <c r="B109" s="112">
        <f>IF($C109="","","T"&amp;TEXT(ROW()-6,"00000"))</f>
        <v/>
      </c>
      <c r="C109" s="107" t="n"/>
      <c r="D109" s="113">
        <f>IF($C109="","",IFERROR(INDEX(MUSTERILER!$C$7:$C$106,MATCH($C109,MUSTERILER!$B$7:$B$106,0)),"TANIMSIZ MÜŞTERİ"))</f>
        <v/>
      </c>
      <c r="E109" s="114" t="n"/>
      <c r="F109" s="115" t="n"/>
      <c r="G109" s="107" t="n"/>
      <c r="H109" s="107" t="n"/>
      <c r="I109" s="108" t="n"/>
      <c r="J109" s="108" t="n"/>
      <c r="K109" s="108" t="n"/>
      <c r="L109" s="119">
        <f>IF($E109="","",DATE(YEAR($E109),MONTH($E109),1))</f>
        <v/>
      </c>
      <c r="M109" s="112">
        <f>IF($C109="","",IF($D109="TANIMSIZ MÜŞTERİ","HATA",IF(OR($E109="",$F109&lt;=0,$G109=""),"EKSİK",IF($E109&gt;TODAY(),"İLERİ TARİH","UYGUN"))))</f>
        <v/>
      </c>
      <c r="N109" s="6" t="n"/>
      <c r="O109" s="6" t="n"/>
    </row>
    <row r="110">
      <c r="A110" s="6" t="n"/>
      <c r="B110" s="112">
        <f>IF($C110="","","T"&amp;TEXT(ROW()-6,"00000"))</f>
        <v/>
      </c>
      <c r="C110" s="107" t="n"/>
      <c r="D110" s="113">
        <f>IF($C110="","",IFERROR(INDEX(MUSTERILER!$C$7:$C$106,MATCH($C110,MUSTERILER!$B$7:$B$106,0)),"TANIMSIZ MÜŞTERİ"))</f>
        <v/>
      </c>
      <c r="E110" s="114" t="n"/>
      <c r="F110" s="115" t="n"/>
      <c r="G110" s="107" t="n"/>
      <c r="H110" s="107" t="n"/>
      <c r="I110" s="108" t="n"/>
      <c r="J110" s="108" t="n"/>
      <c r="K110" s="108" t="n"/>
      <c r="L110" s="119">
        <f>IF($E110="","",DATE(YEAR($E110),MONTH($E110),1))</f>
        <v/>
      </c>
      <c r="M110" s="112">
        <f>IF($C110="","",IF($D110="TANIMSIZ MÜŞTERİ","HATA",IF(OR($E110="",$F110&lt;=0,$G110=""),"EKSİK",IF($E110&gt;TODAY(),"İLERİ TARİH","UYGUN"))))</f>
        <v/>
      </c>
      <c r="N110" s="6" t="n"/>
      <c r="O110" s="6" t="n"/>
    </row>
    <row r="111">
      <c r="A111" s="6" t="n"/>
      <c r="B111" s="112">
        <f>IF($C111="","","T"&amp;TEXT(ROW()-6,"00000"))</f>
        <v/>
      </c>
      <c r="C111" s="107" t="n"/>
      <c r="D111" s="113">
        <f>IF($C111="","",IFERROR(INDEX(MUSTERILER!$C$7:$C$106,MATCH($C111,MUSTERILER!$B$7:$B$106,0)),"TANIMSIZ MÜŞTERİ"))</f>
        <v/>
      </c>
      <c r="E111" s="114" t="n"/>
      <c r="F111" s="115" t="n"/>
      <c r="G111" s="107" t="n"/>
      <c r="H111" s="107" t="n"/>
      <c r="I111" s="108" t="n"/>
      <c r="J111" s="108" t="n"/>
      <c r="K111" s="108" t="n"/>
      <c r="L111" s="119">
        <f>IF($E111="","",DATE(YEAR($E111),MONTH($E111),1))</f>
        <v/>
      </c>
      <c r="M111" s="112">
        <f>IF($C111="","",IF($D111="TANIMSIZ MÜŞTERİ","HATA",IF(OR($E111="",$F111&lt;=0,$G111=""),"EKSİK",IF($E111&gt;TODAY(),"İLERİ TARİH","UYGUN"))))</f>
        <v/>
      </c>
      <c r="N111" s="6" t="n"/>
      <c r="O111" s="6" t="n"/>
    </row>
    <row r="112">
      <c r="A112" s="6" t="n"/>
      <c r="B112" s="112">
        <f>IF($C112="","","T"&amp;TEXT(ROW()-6,"00000"))</f>
        <v/>
      </c>
      <c r="C112" s="107" t="n"/>
      <c r="D112" s="113">
        <f>IF($C112="","",IFERROR(INDEX(MUSTERILER!$C$7:$C$106,MATCH($C112,MUSTERILER!$B$7:$B$106,0)),"TANIMSIZ MÜŞTERİ"))</f>
        <v/>
      </c>
      <c r="E112" s="114" t="n"/>
      <c r="F112" s="115" t="n"/>
      <c r="G112" s="107" t="n"/>
      <c r="H112" s="107" t="n"/>
      <c r="I112" s="108" t="n"/>
      <c r="J112" s="108" t="n"/>
      <c r="K112" s="108" t="n"/>
      <c r="L112" s="119">
        <f>IF($E112="","",DATE(YEAR($E112),MONTH($E112),1))</f>
        <v/>
      </c>
      <c r="M112" s="112">
        <f>IF($C112="","",IF($D112="TANIMSIZ MÜŞTERİ","HATA",IF(OR($E112="",$F112&lt;=0,$G112=""),"EKSİK",IF($E112&gt;TODAY(),"İLERİ TARİH","UYGUN"))))</f>
        <v/>
      </c>
      <c r="N112" s="6" t="n"/>
      <c r="O112" s="6" t="n"/>
    </row>
    <row r="113">
      <c r="A113" s="6" t="n"/>
      <c r="B113" s="112">
        <f>IF($C113="","","T"&amp;TEXT(ROW()-6,"00000"))</f>
        <v/>
      </c>
      <c r="C113" s="107" t="n"/>
      <c r="D113" s="113">
        <f>IF($C113="","",IFERROR(INDEX(MUSTERILER!$C$7:$C$106,MATCH($C113,MUSTERILER!$B$7:$B$106,0)),"TANIMSIZ MÜŞTERİ"))</f>
        <v/>
      </c>
      <c r="E113" s="114" t="n"/>
      <c r="F113" s="115" t="n"/>
      <c r="G113" s="107" t="n"/>
      <c r="H113" s="107" t="n"/>
      <c r="I113" s="108" t="n"/>
      <c r="J113" s="108" t="n"/>
      <c r="K113" s="108" t="n"/>
      <c r="L113" s="119">
        <f>IF($E113="","",DATE(YEAR($E113),MONTH($E113),1))</f>
        <v/>
      </c>
      <c r="M113" s="112">
        <f>IF($C113="","",IF($D113="TANIMSIZ MÜŞTERİ","HATA",IF(OR($E113="",$F113&lt;=0,$G113=""),"EKSİK",IF($E113&gt;TODAY(),"İLERİ TARİH","UYGUN"))))</f>
        <v/>
      </c>
      <c r="N113" s="6" t="n"/>
      <c r="O113" s="6" t="n"/>
    </row>
    <row r="114">
      <c r="A114" s="6" t="n"/>
      <c r="B114" s="112">
        <f>IF($C114="","","T"&amp;TEXT(ROW()-6,"00000"))</f>
        <v/>
      </c>
      <c r="C114" s="107" t="n"/>
      <c r="D114" s="113">
        <f>IF($C114="","",IFERROR(INDEX(MUSTERILER!$C$7:$C$106,MATCH($C114,MUSTERILER!$B$7:$B$106,0)),"TANIMSIZ MÜŞTERİ"))</f>
        <v/>
      </c>
      <c r="E114" s="114" t="n"/>
      <c r="F114" s="115" t="n"/>
      <c r="G114" s="107" t="n"/>
      <c r="H114" s="107" t="n"/>
      <c r="I114" s="108" t="n"/>
      <c r="J114" s="108" t="n"/>
      <c r="K114" s="108" t="n"/>
      <c r="L114" s="119">
        <f>IF($E114="","",DATE(YEAR($E114),MONTH($E114),1))</f>
        <v/>
      </c>
      <c r="M114" s="112">
        <f>IF($C114="","",IF($D114="TANIMSIZ MÜŞTERİ","HATA",IF(OR($E114="",$F114&lt;=0,$G114=""),"EKSİK",IF($E114&gt;TODAY(),"İLERİ TARİH","UYGUN"))))</f>
        <v/>
      </c>
      <c r="N114" s="6" t="n"/>
      <c r="O114" s="6" t="n"/>
    </row>
    <row r="115">
      <c r="A115" s="6" t="n"/>
      <c r="B115" s="112">
        <f>IF($C115="","","T"&amp;TEXT(ROW()-6,"00000"))</f>
        <v/>
      </c>
      <c r="C115" s="107" t="n"/>
      <c r="D115" s="113">
        <f>IF($C115="","",IFERROR(INDEX(MUSTERILER!$C$7:$C$106,MATCH($C115,MUSTERILER!$B$7:$B$106,0)),"TANIMSIZ MÜŞTERİ"))</f>
        <v/>
      </c>
      <c r="E115" s="114" t="n"/>
      <c r="F115" s="115" t="n"/>
      <c r="G115" s="107" t="n"/>
      <c r="H115" s="107" t="n"/>
      <c r="I115" s="108" t="n"/>
      <c r="J115" s="108" t="n"/>
      <c r="K115" s="108" t="n"/>
      <c r="L115" s="119">
        <f>IF($E115="","",DATE(YEAR($E115),MONTH($E115),1))</f>
        <v/>
      </c>
      <c r="M115" s="112">
        <f>IF($C115="","",IF($D115="TANIMSIZ MÜŞTERİ","HATA",IF(OR($E115="",$F115&lt;=0,$G115=""),"EKSİK",IF($E115&gt;TODAY(),"İLERİ TARİH","UYGUN"))))</f>
        <v/>
      </c>
      <c r="N115" s="6" t="n"/>
      <c r="O115" s="6" t="n"/>
    </row>
    <row r="116">
      <c r="A116" s="6" t="n"/>
      <c r="B116" s="112">
        <f>IF($C116="","","T"&amp;TEXT(ROW()-6,"00000"))</f>
        <v/>
      </c>
      <c r="C116" s="107" t="n"/>
      <c r="D116" s="113">
        <f>IF($C116="","",IFERROR(INDEX(MUSTERILER!$C$7:$C$106,MATCH($C116,MUSTERILER!$B$7:$B$106,0)),"TANIMSIZ MÜŞTERİ"))</f>
        <v/>
      </c>
      <c r="E116" s="114" t="n"/>
      <c r="F116" s="115" t="n"/>
      <c r="G116" s="107" t="n"/>
      <c r="H116" s="107" t="n"/>
      <c r="I116" s="108" t="n"/>
      <c r="J116" s="108" t="n"/>
      <c r="K116" s="108" t="n"/>
      <c r="L116" s="119">
        <f>IF($E116="","",DATE(YEAR($E116),MONTH($E116),1))</f>
        <v/>
      </c>
      <c r="M116" s="112">
        <f>IF($C116="","",IF($D116="TANIMSIZ MÜŞTERİ","HATA",IF(OR($E116="",$F116&lt;=0,$G116=""),"EKSİK",IF($E116&gt;TODAY(),"İLERİ TARİH","UYGUN"))))</f>
        <v/>
      </c>
      <c r="N116" s="6" t="n"/>
      <c r="O116" s="6" t="n"/>
    </row>
    <row r="117">
      <c r="A117" s="6" t="n"/>
      <c r="B117" s="112">
        <f>IF($C117="","","T"&amp;TEXT(ROW()-6,"00000"))</f>
        <v/>
      </c>
      <c r="C117" s="107" t="n"/>
      <c r="D117" s="113">
        <f>IF($C117="","",IFERROR(INDEX(MUSTERILER!$C$7:$C$106,MATCH($C117,MUSTERILER!$B$7:$B$106,0)),"TANIMSIZ MÜŞTERİ"))</f>
        <v/>
      </c>
      <c r="E117" s="114" t="n"/>
      <c r="F117" s="115" t="n"/>
      <c r="G117" s="107" t="n"/>
      <c r="H117" s="107" t="n"/>
      <c r="I117" s="108" t="n"/>
      <c r="J117" s="108" t="n"/>
      <c r="K117" s="108" t="n"/>
      <c r="L117" s="119">
        <f>IF($E117="","",DATE(YEAR($E117),MONTH($E117),1))</f>
        <v/>
      </c>
      <c r="M117" s="112">
        <f>IF($C117="","",IF($D117="TANIMSIZ MÜŞTERİ","HATA",IF(OR($E117="",$F117&lt;=0,$G117=""),"EKSİK",IF($E117&gt;TODAY(),"İLERİ TARİH","UYGUN"))))</f>
        <v/>
      </c>
      <c r="N117" s="6" t="n"/>
      <c r="O117" s="6" t="n"/>
    </row>
    <row r="118">
      <c r="A118" s="6" t="n"/>
      <c r="B118" s="112">
        <f>IF($C118="","","T"&amp;TEXT(ROW()-6,"00000"))</f>
        <v/>
      </c>
      <c r="C118" s="107" t="n"/>
      <c r="D118" s="113">
        <f>IF($C118="","",IFERROR(INDEX(MUSTERILER!$C$7:$C$106,MATCH($C118,MUSTERILER!$B$7:$B$106,0)),"TANIMSIZ MÜŞTERİ"))</f>
        <v/>
      </c>
      <c r="E118" s="114" t="n"/>
      <c r="F118" s="115" t="n"/>
      <c r="G118" s="107" t="n"/>
      <c r="H118" s="107" t="n"/>
      <c r="I118" s="108" t="n"/>
      <c r="J118" s="108" t="n"/>
      <c r="K118" s="108" t="n"/>
      <c r="L118" s="119">
        <f>IF($E118="","",DATE(YEAR($E118),MONTH($E118),1))</f>
        <v/>
      </c>
      <c r="M118" s="112">
        <f>IF($C118="","",IF($D118="TANIMSIZ MÜŞTERİ","HATA",IF(OR($E118="",$F118&lt;=0,$G118=""),"EKSİK",IF($E118&gt;TODAY(),"İLERİ TARİH","UYGUN"))))</f>
        <v/>
      </c>
      <c r="N118" s="6" t="n"/>
      <c r="O118" s="6" t="n"/>
    </row>
    <row r="119">
      <c r="A119" s="6" t="n"/>
      <c r="B119" s="112">
        <f>IF($C119="","","T"&amp;TEXT(ROW()-6,"00000"))</f>
        <v/>
      </c>
      <c r="C119" s="107" t="n"/>
      <c r="D119" s="113">
        <f>IF($C119="","",IFERROR(INDEX(MUSTERILER!$C$7:$C$106,MATCH($C119,MUSTERILER!$B$7:$B$106,0)),"TANIMSIZ MÜŞTERİ"))</f>
        <v/>
      </c>
      <c r="E119" s="114" t="n"/>
      <c r="F119" s="115" t="n"/>
      <c r="G119" s="107" t="n"/>
      <c r="H119" s="107" t="n"/>
      <c r="I119" s="108" t="n"/>
      <c r="J119" s="108" t="n"/>
      <c r="K119" s="108" t="n"/>
      <c r="L119" s="119">
        <f>IF($E119="","",DATE(YEAR($E119),MONTH($E119),1))</f>
        <v/>
      </c>
      <c r="M119" s="112">
        <f>IF($C119="","",IF($D119="TANIMSIZ MÜŞTERİ","HATA",IF(OR($E119="",$F119&lt;=0,$G119=""),"EKSİK",IF($E119&gt;TODAY(),"İLERİ TARİH","UYGUN"))))</f>
        <v/>
      </c>
      <c r="N119" s="6" t="n"/>
      <c r="O119" s="6" t="n"/>
    </row>
    <row r="120">
      <c r="A120" s="6" t="n"/>
      <c r="B120" s="112">
        <f>IF($C120="","","T"&amp;TEXT(ROW()-6,"00000"))</f>
        <v/>
      </c>
      <c r="C120" s="107" t="n"/>
      <c r="D120" s="113">
        <f>IF($C120="","",IFERROR(INDEX(MUSTERILER!$C$7:$C$106,MATCH($C120,MUSTERILER!$B$7:$B$106,0)),"TANIMSIZ MÜŞTERİ"))</f>
        <v/>
      </c>
      <c r="E120" s="114" t="n"/>
      <c r="F120" s="115" t="n"/>
      <c r="G120" s="107" t="n"/>
      <c r="H120" s="107" t="n"/>
      <c r="I120" s="108" t="n"/>
      <c r="J120" s="108" t="n"/>
      <c r="K120" s="108" t="n"/>
      <c r="L120" s="119">
        <f>IF($E120="","",DATE(YEAR($E120),MONTH($E120),1))</f>
        <v/>
      </c>
      <c r="M120" s="112">
        <f>IF($C120="","",IF($D120="TANIMSIZ MÜŞTERİ","HATA",IF(OR($E120="",$F120&lt;=0,$G120=""),"EKSİK",IF($E120&gt;TODAY(),"İLERİ TARİH","UYGUN"))))</f>
        <v/>
      </c>
      <c r="N120" s="6" t="n"/>
      <c r="O120" s="6" t="n"/>
    </row>
    <row r="121">
      <c r="A121" s="6" t="n"/>
      <c r="B121" s="112">
        <f>IF($C121="","","T"&amp;TEXT(ROW()-6,"00000"))</f>
        <v/>
      </c>
      <c r="C121" s="107" t="n"/>
      <c r="D121" s="113">
        <f>IF($C121="","",IFERROR(INDEX(MUSTERILER!$C$7:$C$106,MATCH($C121,MUSTERILER!$B$7:$B$106,0)),"TANIMSIZ MÜŞTERİ"))</f>
        <v/>
      </c>
      <c r="E121" s="114" t="n"/>
      <c r="F121" s="115" t="n"/>
      <c r="G121" s="107" t="n"/>
      <c r="H121" s="107" t="n"/>
      <c r="I121" s="108" t="n"/>
      <c r="J121" s="108" t="n"/>
      <c r="K121" s="108" t="n"/>
      <c r="L121" s="119">
        <f>IF($E121="","",DATE(YEAR($E121),MONTH($E121),1))</f>
        <v/>
      </c>
      <c r="M121" s="112">
        <f>IF($C121="","",IF($D121="TANIMSIZ MÜŞTERİ","HATA",IF(OR($E121="",$F121&lt;=0,$G121=""),"EKSİK",IF($E121&gt;TODAY(),"İLERİ TARİH","UYGUN"))))</f>
        <v/>
      </c>
      <c r="N121" s="6" t="n"/>
      <c r="O121" s="6" t="n"/>
    </row>
    <row r="122">
      <c r="A122" s="6" t="n"/>
      <c r="B122" s="112">
        <f>IF($C122="","","T"&amp;TEXT(ROW()-6,"00000"))</f>
        <v/>
      </c>
      <c r="C122" s="107" t="n"/>
      <c r="D122" s="113">
        <f>IF($C122="","",IFERROR(INDEX(MUSTERILER!$C$7:$C$106,MATCH($C122,MUSTERILER!$B$7:$B$106,0)),"TANIMSIZ MÜŞTERİ"))</f>
        <v/>
      </c>
      <c r="E122" s="114" t="n"/>
      <c r="F122" s="115" t="n"/>
      <c r="G122" s="107" t="n"/>
      <c r="H122" s="107" t="n"/>
      <c r="I122" s="108" t="n"/>
      <c r="J122" s="108" t="n"/>
      <c r="K122" s="108" t="n"/>
      <c r="L122" s="119">
        <f>IF($E122="","",DATE(YEAR($E122),MONTH($E122),1))</f>
        <v/>
      </c>
      <c r="M122" s="112">
        <f>IF($C122="","",IF($D122="TANIMSIZ MÜŞTERİ","HATA",IF(OR($E122="",$F122&lt;=0,$G122=""),"EKSİK",IF($E122&gt;TODAY(),"İLERİ TARİH","UYGUN"))))</f>
        <v/>
      </c>
      <c r="N122" s="6" t="n"/>
      <c r="O122" s="6" t="n"/>
    </row>
    <row r="123">
      <c r="A123" s="6" t="n"/>
      <c r="B123" s="112">
        <f>IF($C123="","","T"&amp;TEXT(ROW()-6,"00000"))</f>
        <v/>
      </c>
      <c r="C123" s="107" t="n"/>
      <c r="D123" s="113">
        <f>IF($C123="","",IFERROR(INDEX(MUSTERILER!$C$7:$C$106,MATCH($C123,MUSTERILER!$B$7:$B$106,0)),"TANIMSIZ MÜŞTERİ"))</f>
        <v/>
      </c>
      <c r="E123" s="114" t="n"/>
      <c r="F123" s="115" t="n"/>
      <c r="G123" s="107" t="n"/>
      <c r="H123" s="107" t="n"/>
      <c r="I123" s="108" t="n"/>
      <c r="J123" s="108" t="n"/>
      <c r="K123" s="108" t="n"/>
      <c r="L123" s="119">
        <f>IF($E123="","",DATE(YEAR($E123),MONTH($E123),1))</f>
        <v/>
      </c>
      <c r="M123" s="112">
        <f>IF($C123="","",IF($D123="TANIMSIZ MÜŞTERİ","HATA",IF(OR($E123="",$F123&lt;=0,$G123=""),"EKSİK",IF($E123&gt;TODAY(),"İLERİ TARİH","UYGUN"))))</f>
        <v/>
      </c>
      <c r="N123" s="6" t="n"/>
      <c r="O123" s="6" t="n"/>
    </row>
    <row r="124">
      <c r="A124" s="6" t="n"/>
      <c r="B124" s="112">
        <f>IF($C124="","","T"&amp;TEXT(ROW()-6,"00000"))</f>
        <v/>
      </c>
      <c r="C124" s="107" t="n"/>
      <c r="D124" s="113">
        <f>IF($C124="","",IFERROR(INDEX(MUSTERILER!$C$7:$C$106,MATCH($C124,MUSTERILER!$B$7:$B$106,0)),"TANIMSIZ MÜŞTERİ"))</f>
        <v/>
      </c>
      <c r="E124" s="114" t="n"/>
      <c r="F124" s="115" t="n"/>
      <c r="G124" s="107" t="n"/>
      <c r="H124" s="107" t="n"/>
      <c r="I124" s="108" t="n"/>
      <c r="J124" s="108" t="n"/>
      <c r="K124" s="108" t="n"/>
      <c r="L124" s="119">
        <f>IF($E124="","",DATE(YEAR($E124),MONTH($E124),1))</f>
        <v/>
      </c>
      <c r="M124" s="112">
        <f>IF($C124="","",IF($D124="TANIMSIZ MÜŞTERİ","HATA",IF(OR($E124="",$F124&lt;=0,$G124=""),"EKSİK",IF($E124&gt;TODAY(),"İLERİ TARİH","UYGUN"))))</f>
        <v/>
      </c>
      <c r="N124" s="6" t="n"/>
      <c r="O124" s="6" t="n"/>
    </row>
    <row r="125">
      <c r="A125" s="6" t="n"/>
      <c r="B125" s="112">
        <f>IF($C125="","","T"&amp;TEXT(ROW()-6,"00000"))</f>
        <v/>
      </c>
      <c r="C125" s="107" t="n"/>
      <c r="D125" s="113">
        <f>IF($C125="","",IFERROR(INDEX(MUSTERILER!$C$7:$C$106,MATCH($C125,MUSTERILER!$B$7:$B$106,0)),"TANIMSIZ MÜŞTERİ"))</f>
        <v/>
      </c>
      <c r="E125" s="114" t="n"/>
      <c r="F125" s="115" t="n"/>
      <c r="G125" s="107" t="n"/>
      <c r="H125" s="107" t="n"/>
      <c r="I125" s="108" t="n"/>
      <c r="J125" s="108" t="n"/>
      <c r="K125" s="108" t="n"/>
      <c r="L125" s="119">
        <f>IF($E125="","",DATE(YEAR($E125),MONTH($E125),1))</f>
        <v/>
      </c>
      <c r="M125" s="112">
        <f>IF($C125="","",IF($D125="TANIMSIZ MÜŞTERİ","HATA",IF(OR($E125="",$F125&lt;=0,$G125=""),"EKSİK",IF($E125&gt;TODAY(),"İLERİ TARİH","UYGUN"))))</f>
        <v/>
      </c>
      <c r="N125" s="6" t="n"/>
      <c r="O125" s="6" t="n"/>
    </row>
    <row r="126">
      <c r="A126" s="6" t="n"/>
      <c r="B126" s="112">
        <f>IF($C126="","","T"&amp;TEXT(ROW()-6,"00000"))</f>
        <v/>
      </c>
      <c r="C126" s="107" t="n"/>
      <c r="D126" s="113">
        <f>IF($C126="","",IFERROR(INDEX(MUSTERILER!$C$7:$C$106,MATCH($C126,MUSTERILER!$B$7:$B$106,0)),"TANIMSIZ MÜŞTERİ"))</f>
        <v/>
      </c>
      <c r="E126" s="114" t="n"/>
      <c r="F126" s="115" t="n"/>
      <c r="G126" s="107" t="n"/>
      <c r="H126" s="107" t="n"/>
      <c r="I126" s="108" t="n"/>
      <c r="J126" s="108" t="n"/>
      <c r="K126" s="108" t="n"/>
      <c r="L126" s="119">
        <f>IF($E126="","",DATE(YEAR($E126),MONTH($E126),1))</f>
        <v/>
      </c>
      <c r="M126" s="112">
        <f>IF($C126="","",IF($D126="TANIMSIZ MÜŞTERİ","HATA",IF(OR($E126="",$F126&lt;=0,$G126=""),"EKSİK",IF($E126&gt;TODAY(),"İLERİ TARİH","UYGUN"))))</f>
        <v/>
      </c>
      <c r="N126" s="6" t="n"/>
      <c r="O126" s="6" t="n"/>
    </row>
    <row r="127">
      <c r="A127" s="6" t="n"/>
      <c r="B127" s="112">
        <f>IF($C127="","","T"&amp;TEXT(ROW()-6,"00000"))</f>
        <v/>
      </c>
      <c r="C127" s="107" t="n"/>
      <c r="D127" s="113">
        <f>IF($C127="","",IFERROR(INDEX(MUSTERILER!$C$7:$C$106,MATCH($C127,MUSTERILER!$B$7:$B$106,0)),"TANIMSIZ MÜŞTERİ"))</f>
        <v/>
      </c>
      <c r="E127" s="114" t="n"/>
      <c r="F127" s="115" t="n"/>
      <c r="G127" s="107" t="n"/>
      <c r="H127" s="107" t="n"/>
      <c r="I127" s="108" t="n"/>
      <c r="J127" s="108" t="n"/>
      <c r="K127" s="108" t="n"/>
      <c r="L127" s="119">
        <f>IF($E127="","",DATE(YEAR($E127),MONTH($E127),1))</f>
        <v/>
      </c>
      <c r="M127" s="112">
        <f>IF($C127="","",IF($D127="TANIMSIZ MÜŞTERİ","HATA",IF(OR($E127="",$F127&lt;=0,$G127=""),"EKSİK",IF($E127&gt;TODAY(),"İLERİ TARİH","UYGUN"))))</f>
        <v/>
      </c>
      <c r="N127" s="6" t="n"/>
      <c r="O127" s="6" t="n"/>
    </row>
    <row r="128">
      <c r="A128" s="6" t="n"/>
      <c r="B128" s="112">
        <f>IF($C128="","","T"&amp;TEXT(ROW()-6,"00000"))</f>
        <v/>
      </c>
      <c r="C128" s="107" t="n"/>
      <c r="D128" s="113">
        <f>IF($C128="","",IFERROR(INDEX(MUSTERILER!$C$7:$C$106,MATCH($C128,MUSTERILER!$B$7:$B$106,0)),"TANIMSIZ MÜŞTERİ"))</f>
        <v/>
      </c>
      <c r="E128" s="114" t="n"/>
      <c r="F128" s="115" t="n"/>
      <c r="G128" s="107" t="n"/>
      <c r="H128" s="107" t="n"/>
      <c r="I128" s="108" t="n"/>
      <c r="J128" s="108" t="n"/>
      <c r="K128" s="108" t="n"/>
      <c r="L128" s="119">
        <f>IF($E128="","",DATE(YEAR($E128),MONTH($E128),1))</f>
        <v/>
      </c>
      <c r="M128" s="112">
        <f>IF($C128="","",IF($D128="TANIMSIZ MÜŞTERİ","HATA",IF(OR($E128="",$F128&lt;=0,$G128=""),"EKSİK",IF($E128&gt;TODAY(),"İLERİ TARİH","UYGUN"))))</f>
        <v/>
      </c>
      <c r="N128" s="6" t="n"/>
      <c r="O128" s="6" t="n"/>
    </row>
    <row r="129">
      <c r="A129" s="6" t="n"/>
      <c r="B129" s="112">
        <f>IF($C129="","","T"&amp;TEXT(ROW()-6,"00000"))</f>
        <v/>
      </c>
      <c r="C129" s="107" t="n"/>
      <c r="D129" s="113">
        <f>IF($C129="","",IFERROR(INDEX(MUSTERILER!$C$7:$C$106,MATCH($C129,MUSTERILER!$B$7:$B$106,0)),"TANIMSIZ MÜŞTERİ"))</f>
        <v/>
      </c>
      <c r="E129" s="114" t="n"/>
      <c r="F129" s="115" t="n"/>
      <c r="G129" s="107" t="n"/>
      <c r="H129" s="107" t="n"/>
      <c r="I129" s="108" t="n"/>
      <c r="J129" s="108" t="n"/>
      <c r="K129" s="108" t="n"/>
      <c r="L129" s="119">
        <f>IF($E129="","",DATE(YEAR($E129),MONTH($E129),1))</f>
        <v/>
      </c>
      <c r="M129" s="112">
        <f>IF($C129="","",IF($D129="TANIMSIZ MÜŞTERİ","HATA",IF(OR($E129="",$F129&lt;=0,$G129=""),"EKSİK",IF($E129&gt;TODAY(),"İLERİ TARİH","UYGUN"))))</f>
        <v/>
      </c>
      <c r="N129" s="6" t="n"/>
      <c r="O129" s="6" t="n"/>
    </row>
    <row r="130">
      <c r="A130" s="6" t="n"/>
      <c r="B130" s="112">
        <f>IF($C130="","","T"&amp;TEXT(ROW()-6,"00000"))</f>
        <v/>
      </c>
      <c r="C130" s="107" t="n"/>
      <c r="D130" s="113">
        <f>IF($C130="","",IFERROR(INDEX(MUSTERILER!$C$7:$C$106,MATCH($C130,MUSTERILER!$B$7:$B$106,0)),"TANIMSIZ MÜŞTERİ"))</f>
        <v/>
      </c>
      <c r="E130" s="114" t="n"/>
      <c r="F130" s="115" t="n"/>
      <c r="G130" s="107" t="n"/>
      <c r="H130" s="107" t="n"/>
      <c r="I130" s="108" t="n"/>
      <c r="J130" s="108" t="n"/>
      <c r="K130" s="108" t="n"/>
      <c r="L130" s="119">
        <f>IF($E130="","",DATE(YEAR($E130),MONTH($E130),1))</f>
        <v/>
      </c>
      <c r="M130" s="112">
        <f>IF($C130="","",IF($D130="TANIMSIZ MÜŞTERİ","HATA",IF(OR($E130="",$F130&lt;=0,$G130=""),"EKSİK",IF($E130&gt;TODAY(),"İLERİ TARİH","UYGUN"))))</f>
        <v/>
      </c>
      <c r="N130" s="6" t="n"/>
      <c r="O130" s="6" t="n"/>
    </row>
    <row r="131">
      <c r="A131" s="6" t="n"/>
      <c r="B131" s="112">
        <f>IF($C131="","","T"&amp;TEXT(ROW()-6,"00000"))</f>
        <v/>
      </c>
      <c r="C131" s="107" t="n"/>
      <c r="D131" s="113">
        <f>IF($C131="","",IFERROR(INDEX(MUSTERILER!$C$7:$C$106,MATCH($C131,MUSTERILER!$B$7:$B$106,0)),"TANIMSIZ MÜŞTERİ"))</f>
        <v/>
      </c>
      <c r="E131" s="114" t="n"/>
      <c r="F131" s="115" t="n"/>
      <c r="G131" s="107" t="n"/>
      <c r="H131" s="107" t="n"/>
      <c r="I131" s="108" t="n"/>
      <c r="J131" s="108" t="n"/>
      <c r="K131" s="108" t="n"/>
      <c r="L131" s="119">
        <f>IF($E131="","",DATE(YEAR($E131),MONTH($E131),1))</f>
        <v/>
      </c>
      <c r="M131" s="112">
        <f>IF($C131="","",IF($D131="TANIMSIZ MÜŞTERİ","HATA",IF(OR($E131="",$F131&lt;=0,$G131=""),"EKSİK",IF($E131&gt;TODAY(),"İLERİ TARİH","UYGUN"))))</f>
        <v/>
      </c>
      <c r="N131" s="6" t="n"/>
      <c r="O131" s="6" t="n"/>
    </row>
    <row r="132">
      <c r="A132" s="6" t="n"/>
      <c r="B132" s="112">
        <f>IF($C132="","","T"&amp;TEXT(ROW()-6,"00000"))</f>
        <v/>
      </c>
      <c r="C132" s="107" t="n"/>
      <c r="D132" s="113">
        <f>IF($C132="","",IFERROR(INDEX(MUSTERILER!$C$7:$C$106,MATCH($C132,MUSTERILER!$B$7:$B$106,0)),"TANIMSIZ MÜŞTERİ"))</f>
        <v/>
      </c>
      <c r="E132" s="114" t="n"/>
      <c r="F132" s="115" t="n"/>
      <c r="G132" s="107" t="n"/>
      <c r="H132" s="107" t="n"/>
      <c r="I132" s="108" t="n"/>
      <c r="J132" s="108" t="n"/>
      <c r="K132" s="108" t="n"/>
      <c r="L132" s="119">
        <f>IF($E132="","",DATE(YEAR($E132),MONTH($E132),1))</f>
        <v/>
      </c>
      <c r="M132" s="112">
        <f>IF($C132="","",IF($D132="TANIMSIZ MÜŞTERİ","HATA",IF(OR($E132="",$F132&lt;=0,$G132=""),"EKSİK",IF($E132&gt;TODAY(),"İLERİ TARİH","UYGUN"))))</f>
        <v/>
      </c>
      <c r="N132" s="6" t="n"/>
      <c r="O132" s="6" t="n"/>
    </row>
    <row r="133">
      <c r="A133" s="6" t="n"/>
      <c r="B133" s="112">
        <f>IF($C133="","","T"&amp;TEXT(ROW()-6,"00000"))</f>
        <v/>
      </c>
      <c r="C133" s="107" t="n"/>
      <c r="D133" s="113">
        <f>IF($C133="","",IFERROR(INDEX(MUSTERILER!$C$7:$C$106,MATCH($C133,MUSTERILER!$B$7:$B$106,0)),"TANIMSIZ MÜŞTERİ"))</f>
        <v/>
      </c>
      <c r="E133" s="114" t="n"/>
      <c r="F133" s="115" t="n"/>
      <c r="G133" s="107" t="n"/>
      <c r="H133" s="107" t="n"/>
      <c r="I133" s="108" t="n"/>
      <c r="J133" s="108" t="n"/>
      <c r="K133" s="108" t="n"/>
      <c r="L133" s="119">
        <f>IF($E133="","",DATE(YEAR($E133),MONTH($E133),1))</f>
        <v/>
      </c>
      <c r="M133" s="112">
        <f>IF($C133="","",IF($D133="TANIMSIZ MÜŞTERİ","HATA",IF(OR($E133="",$F133&lt;=0,$G133=""),"EKSİK",IF($E133&gt;TODAY(),"İLERİ TARİH","UYGUN"))))</f>
        <v/>
      </c>
      <c r="N133" s="6" t="n"/>
      <c r="O133" s="6" t="n"/>
    </row>
    <row r="134">
      <c r="A134" s="6" t="n"/>
      <c r="B134" s="112">
        <f>IF($C134="","","T"&amp;TEXT(ROW()-6,"00000"))</f>
        <v/>
      </c>
      <c r="C134" s="107" t="n"/>
      <c r="D134" s="113">
        <f>IF($C134="","",IFERROR(INDEX(MUSTERILER!$C$7:$C$106,MATCH($C134,MUSTERILER!$B$7:$B$106,0)),"TANIMSIZ MÜŞTERİ"))</f>
        <v/>
      </c>
      <c r="E134" s="114" t="n"/>
      <c r="F134" s="115" t="n"/>
      <c r="G134" s="107" t="n"/>
      <c r="H134" s="107" t="n"/>
      <c r="I134" s="108" t="n"/>
      <c r="J134" s="108" t="n"/>
      <c r="K134" s="108" t="n"/>
      <c r="L134" s="119">
        <f>IF($E134="","",DATE(YEAR($E134),MONTH($E134),1))</f>
        <v/>
      </c>
      <c r="M134" s="112">
        <f>IF($C134="","",IF($D134="TANIMSIZ MÜŞTERİ","HATA",IF(OR($E134="",$F134&lt;=0,$G134=""),"EKSİK",IF($E134&gt;TODAY(),"İLERİ TARİH","UYGUN"))))</f>
        <v/>
      </c>
      <c r="N134" s="6" t="n"/>
      <c r="O134" s="6" t="n"/>
    </row>
    <row r="135">
      <c r="A135" s="6" t="n"/>
      <c r="B135" s="112">
        <f>IF($C135="","","T"&amp;TEXT(ROW()-6,"00000"))</f>
        <v/>
      </c>
      <c r="C135" s="107" t="n"/>
      <c r="D135" s="113">
        <f>IF($C135="","",IFERROR(INDEX(MUSTERILER!$C$7:$C$106,MATCH($C135,MUSTERILER!$B$7:$B$106,0)),"TANIMSIZ MÜŞTERİ"))</f>
        <v/>
      </c>
      <c r="E135" s="114" t="n"/>
      <c r="F135" s="115" t="n"/>
      <c r="G135" s="107" t="n"/>
      <c r="H135" s="107" t="n"/>
      <c r="I135" s="108" t="n"/>
      <c r="J135" s="108" t="n"/>
      <c r="K135" s="108" t="n"/>
      <c r="L135" s="119">
        <f>IF($E135="","",DATE(YEAR($E135),MONTH($E135),1))</f>
        <v/>
      </c>
      <c r="M135" s="112">
        <f>IF($C135="","",IF($D135="TANIMSIZ MÜŞTERİ","HATA",IF(OR($E135="",$F135&lt;=0,$G135=""),"EKSİK",IF($E135&gt;TODAY(),"İLERİ TARİH","UYGUN"))))</f>
        <v/>
      </c>
      <c r="N135" s="6" t="n"/>
      <c r="O135" s="6" t="n"/>
    </row>
    <row r="136">
      <c r="A136" s="6" t="n"/>
      <c r="B136" s="112">
        <f>IF($C136="","","T"&amp;TEXT(ROW()-6,"00000"))</f>
        <v/>
      </c>
      <c r="C136" s="107" t="n"/>
      <c r="D136" s="113">
        <f>IF($C136="","",IFERROR(INDEX(MUSTERILER!$C$7:$C$106,MATCH($C136,MUSTERILER!$B$7:$B$106,0)),"TANIMSIZ MÜŞTERİ"))</f>
        <v/>
      </c>
      <c r="E136" s="114" t="n"/>
      <c r="F136" s="115" t="n"/>
      <c r="G136" s="107" t="n"/>
      <c r="H136" s="107" t="n"/>
      <c r="I136" s="108" t="n"/>
      <c r="J136" s="108" t="n"/>
      <c r="K136" s="108" t="n"/>
      <c r="L136" s="119">
        <f>IF($E136="","",DATE(YEAR($E136),MONTH($E136),1))</f>
        <v/>
      </c>
      <c r="M136" s="112">
        <f>IF($C136="","",IF($D136="TANIMSIZ MÜŞTERİ","HATA",IF(OR($E136="",$F136&lt;=0,$G136=""),"EKSİK",IF($E136&gt;TODAY(),"İLERİ TARİH","UYGUN"))))</f>
        <v/>
      </c>
      <c r="N136" s="6" t="n"/>
      <c r="O136" s="6" t="n"/>
    </row>
    <row r="137">
      <c r="A137" s="6" t="n"/>
      <c r="B137" s="112">
        <f>IF($C137="","","T"&amp;TEXT(ROW()-6,"00000"))</f>
        <v/>
      </c>
      <c r="C137" s="107" t="n"/>
      <c r="D137" s="113">
        <f>IF($C137="","",IFERROR(INDEX(MUSTERILER!$C$7:$C$106,MATCH($C137,MUSTERILER!$B$7:$B$106,0)),"TANIMSIZ MÜŞTERİ"))</f>
        <v/>
      </c>
      <c r="E137" s="114" t="n"/>
      <c r="F137" s="115" t="n"/>
      <c r="G137" s="107" t="n"/>
      <c r="H137" s="107" t="n"/>
      <c r="I137" s="108" t="n"/>
      <c r="J137" s="108" t="n"/>
      <c r="K137" s="108" t="n"/>
      <c r="L137" s="119">
        <f>IF($E137="","",DATE(YEAR($E137),MONTH($E137),1))</f>
        <v/>
      </c>
      <c r="M137" s="112">
        <f>IF($C137="","",IF($D137="TANIMSIZ MÜŞTERİ","HATA",IF(OR($E137="",$F137&lt;=0,$G137=""),"EKSİK",IF($E137&gt;TODAY(),"İLERİ TARİH","UYGUN"))))</f>
        <v/>
      </c>
      <c r="N137" s="6" t="n"/>
      <c r="O137" s="6" t="n"/>
    </row>
    <row r="138">
      <c r="A138" s="6" t="n"/>
      <c r="B138" s="112">
        <f>IF($C138="","","T"&amp;TEXT(ROW()-6,"00000"))</f>
        <v/>
      </c>
      <c r="C138" s="107" t="n"/>
      <c r="D138" s="113">
        <f>IF($C138="","",IFERROR(INDEX(MUSTERILER!$C$7:$C$106,MATCH($C138,MUSTERILER!$B$7:$B$106,0)),"TANIMSIZ MÜŞTERİ"))</f>
        <v/>
      </c>
      <c r="E138" s="114" t="n"/>
      <c r="F138" s="115" t="n"/>
      <c r="G138" s="107" t="n"/>
      <c r="H138" s="107" t="n"/>
      <c r="I138" s="108" t="n"/>
      <c r="J138" s="108" t="n"/>
      <c r="K138" s="108" t="n"/>
      <c r="L138" s="119">
        <f>IF($E138="","",DATE(YEAR($E138),MONTH($E138),1))</f>
        <v/>
      </c>
      <c r="M138" s="112">
        <f>IF($C138="","",IF($D138="TANIMSIZ MÜŞTERİ","HATA",IF(OR($E138="",$F138&lt;=0,$G138=""),"EKSİK",IF($E138&gt;TODAY(),"İLERİ TARİH","UYGUN"))))</f>
        <v/>
      </c>
      <c r="N138" s="6" t="n"/>
      <c r="O138" s="6" t="n"/>
    </row>
    <row r="139">
      <c r="A139" s="6" t="n"/>
      <c r="B139" s="112">
        <f>IF($C139="","","T"&amp;TEXT(ROW()-6,"00000"))</f>
        <v/>
      </c>
      <c r="C139" s="107" t="n"/>
      <c r="D139" s="113">
        <f>IF($C139="","",IFERROR(INDEX(MUSTERILER!$C$7:$C$106,MATCH($C139,MUSTERILER!$B$7:$B$106,0)),"TANIMSIZ MÜŞTERİ"))</f>
        <v/>
      </c>
      <c r="E139" s="114" t="n"/>
      <c r="F139" s="115" t="n"/>
      <c r="G139" s="107" t="n"/>
      <c r="H139" s="107" t="n"/>
      <c r="I139" s="108" t="n"/>
      <c r="J139" s="108" t="n"/>
      <c r="K139" s="108" t="n"/>
      <c r="L139" s="119">
        <f>IF($E139="","",DATE(YEAR($E139),MONTH($E139),1))</f>
        <v/>
      </c>
      <c r="M139" s="112">
        <f>IF($C139="","",IF($D139="TANIMSIZ MÜŞTERİ","HATA",IF(OR($E139="",$F139&lt;=0,$G139=""),"EKSİK",IF($E139&gt;TODAY(),"İLERİ TARİH","UYGUN"))))</f>
        <v/>
      </c>
      <c r="N139" s="6" t="n"/>
      <c r="O139" s="6" t="n"/>
    </row>
    <row r="140">
      <c r="A140" s="6" t="n"/>
      <c r="B140" s="112">
        <f>IF($C140="","","T"&amp;TEXT(ROW()-6,"00000"))</f>
        <v/>
      </c>
      <c r="C140" s="107" t="n"/>
      <c r="D140" s="113">
        <f>IF($C140="","",IFERROR(INDEX(MUSTERILER!$C$7:$C$106,MATCH($C140,MUSTERILER!$B$7:$B$106,0)),"TANIMSIZ MÜŞTERİ"))</f>
        <v/>
      </c>
      <c r="E140" s="114" t="n"/>
      <c r="F140" s="115" t="n"/>
      <c r="G140" s="107" t="n"/>
      <c r="H140" s="107" t="n"/>
      <c r="I140" s="108" t="n"/>
      <c r="J140" s="108" t="n"/>
      <c r="K140" s="108" t="n"/>
      <c r="L140" s="119">
        <f>IF($E140="","",DATE(YEAR($E140),MONTH($E140),1))</f>
        <v/>
      </c>
      <c r="M140" s="112">
        <f>IF($C140="","",IF($D140="TANIMSIZ MÜŞTERİ","HATA",IF(OR($E140="",$F140&lt;=0,$G140=""),"EKSİK",IF($E140&gt;TODAY(),"İLERİ TARİH","UYGUN"))))</f>
        <v/>
      </c>
      <c r="N140" s="6" t="n"/>
      <c r="O140" s="6" t="n"/>
    </row>
    <row r="141">
      <c r="A141" s="6" t="n"/>
      <c r="B141" s="112">
        <f>IF($C141="","","T"&amp;TEXT(ROW()-6,"00000"))</f>
        <v/>
      </c>
      <c r="C141" s="107" t="n"/>
      <c r="D141" s="113">
        <f>IF($C141="","",IFERROR(INDEX(MUSTERILER!$C$7:$C$106,MATCH($C141,MUSTERILER!$B$7:$B$106,0)),"TANIMSIZ MÜŞTERİ"))</f>
        <v/>
      </c>
      <c r="E141" s="114" t="n"/>
      <c r="F141" s="115" t="n"/>
      <c r="G141" s="107" t="n"/>
      <c r="H141" s="107" t="n"/>
      <c r="I141" s="108" t="n"/>
      <c r="J141" s="108" t="n"/>
      <c r="K141" s="108" t="n"/>
      <c r="L141" s="119">
        <f>IF($E141="","",DATE(YEAR($E141),MONTH($E141),1))</f>
        <v/>
      </c>
      <c r="M141" s="112">
        <f>IF($C141="","",IF($D141="TANIMSIZ MÜŞTERİ","HATA",IF(OR($E141="",$F141&lt;=0,$G141=""),"EKSİK",IF($E141&gt;TODAY(),"İLERİ TARİH","UYGUN"))))</f>
        <v/>
      </c>
      <c r="N141" s="6" t="n"/>
      <c r="O141" s="6" t="n"/>
    </row>
    <row r="142">
      <c r="A142" s="6" t="n"/>
      <c r="B142" s="112">
        <f>IF($C142="","","T"&amp;TEXT(ROW()-6,"00000"))</f>
        <v/>
      </c>
      <c r="C142" s="107" t="n"/>
      <c r="D142" s="113">
        <f>IF($C142="","",IFERROR(INDEX(MUSTERILER!$C$7:$C$106,MATCH($C142,MUSTERILER!$B$7:$B$106,0)),"TANIMSIZ MÜŞTERİ"))</f>
        <v/>
      </c>
      <c r="E142" s="114" t="n"/>
      <c r="F142" s="115" t="n"/>
      <c r="G142" s="107" t="n"/>
      <c r="H142" s="107" t="n"/>
      <c r="I142" s="108" t="n"/>
      <c r="J142" s="108" t="n"/>
      <c r="K142" s="108" t="n"/>
      <c r="L142" s="119">
        <f>IF($E142="","",DATE(YEAR($E142),MONTH($E142),1))</f>
        <v/>
      </c>
      <c r="M142" s="112">
        <f>IF($C142="","",IF($D142="TANIMSIZ MÜŞTERİ","HATA",IF(OR($E142="",$F142&lt;=0,$G142=""),"EKSİK",IF($E142&gt;TODAY(),"İLERİ TARİH","UYGUN"))))</f>
        <v/>
      </c>
      <c r="N142" s="6" t="n"/>
      <c r="O142" s="6" t="n"/>
    </row>
    <row r="143">
      <c r="A143" s="6" t="n"/>
      <c r="B143" s="112">
        <f>IF($C143="","","T"&amp;TEXT(ROW()-6,"00000"))</f>
        <v/>
      </c>
      <c r="C143" s="107" t="n"/>
      <c r="D143" s="113">
        <f>IF($C143="","",IFERROR(INDEX(MUSTERILER!$C$7:$C$106,MATCH($C143,MUSTERILER!$B$7:$B$106,0)),"TANIMSIZ MÜŞTERİ"))</f>
        <v/>
      </c>
      <c r="E143" s="114" t="n"/>
      <c r="F143" s="115" t="n"/>
      <c r="G143" s="107" t="n"/>
      <c r="H143" s="107" t="n"/>
      <c r="I143" s="108" t="n"/>
      <c r="J143" s="108" t="n"/>
      <c r="K143" s="108" t="n"/>
      <c r="L143" s="119">
        <f>IF($E143="","",DATE(YEAR($E143),MONTH($E143),1))</f>
        <v/>
      </c>
      <c r="M143" s="112">
        <f>IF($C143="","",IF($D143="TANIMSIZ MÜŞTERİ","HATA",IF(OR($E143="",$F143&lt;=0,$G143=""),"EKSİK",IF($E143&gt;TODAY(),"İLERİ TARİH","UYGUN"))))</f>
        <v/>
      </c>
      <c r="N143" s="6" t="n"/>
      <c r="O143" s="6" t="n"/>
    </row>
    <row r="144">
      <c r="A144" s="6" t="n"/>
      <c r="B144" s="112">
        <f>IF($C144="","","T"&amp;TEXT(ROW()-6,"00000"))</f>
        <v/>
      </c>
      <c r="C144" s="107" t="n"/>
      <c r="D144" s="113">
        <f>IF($C144="","",IFERROR(INDEX(MUSTERILER!$C$7:$C$106,MATCH($C144,MUSTERILER!$B$7:$B$106,0)),"TANIMSIZ MÜŞTERİ"))</f>
        <v/>
      </c>
      <c r="E144" s="114" t="n"/>
      <c r="F144" s="115" t="n"/>
      <c r="G144" s="107" t="n"/>
      <c r="H144" s="107" t="n"/>
      <c r="I144" s="108" t="n"/>
      <c r="J144" s="108" t="n"/>
      <c r="K144" s="108" t="n"/>
      <c r="L144" s="119">
        <f>IF($E144="","",DATE(YEAR($E144),MONTH($E144),1))</f>
        <v/>
      </c>
      <c r="M144" s="112">
        <f>IF($C144="","",IF($D144="TANIMSIZ MÜŞTERİ","HATA",IF(OR($E144="",$F144&lt;=0,$G144=""),"EKSİK",IF($E144&gt;TODAY(),"İLERİ TARİH","UYGUN"))))</f>
        <v/>
      </c>
      <c r="N144" s="6" t="n"/>
      <c r="O144" s="6" t="n"/>
    </row>
    <row r="145">
      <c r="A145" s="6" t="n"/>
      <c r="B145" s="112">
        <f>IF($C145="","","T"&amp;TEXT(ROW()-6,"00000"))</f>
        <v/>
      </c>
      <c r="C145" s="107" t="n"/>
      <c r="D145" s="113">
        <f>IF($C145="","",IFERROR(INDEX(MUSTERILER!$C$7:$C$106,MATCH($C145,MUSTERILER!$B$7:$B$106,0)),"TANIMSIZ MÜŞTERİ"))</f>
        <v/>
      </c>
      <c r="E145" s="114" t="n"/>
      <c r="F145" s="115" t="n"/>
      <c r="G145" s="107" t="n"/>
      <c r="H145" s="107" t="n"/>
      <c r="I145" s="108" t="n"/>
      <c r="J145" s="108" t="n"/>
      <c r="K145" s="108" t="n"/>
      <c r="L145" s="119">
        <f>IF($E145="","",DATE(YEAR($E145),MONTH($E145),1))</f>
        <v/>
      </c>
      <c r="M145" s="112">
        <f>IF($C145="","",IF($D145="TANIMSIZ MÜŞTERİ","HATA",IF(OR($E145="",$F145&lt;=0,$G145=""),"EKSİK",IF($E145&gt;TODAY(),"İLERİ TARİH","UYGUN"))))</f>
        <v/>
      </c>
      <c r="N145" s="6" t="n"/>
      <c r="O145" s="6" t="n"/>
    </row>
    <row r="146">
      <c r="A146" s="6" t="n"/>
      <c r="B146" s="112">
        <f>IF($C146="","","T"&amp;TEXT(ROW()-6,"00000"))</f>
        <v/>
      </c>
      <c r="C146" s="107" t="n"/>
      <c r="D146" s="113">
        <f>IF($C146="","",IFERROR(INDEX(MUSTERILER!$C$7:$C$106,MATCH($C146,MUSTERILER!$B$7:$B$106,0)),"TANIMSIZ MÜŞTERİ"))</f>
        <v/>
      </c>
      <c r="E146" s="114" t="n"/>
      <c r="F146" s="115" t="n"/>
      <c r="G146" s="107" t="n"/>
      <c r="H146" s="107" t="n"/>
      <c r="I146" s="108" t="n"/>
      <c r="J146" s="108" t="n"/>
      <c r="K146" s="108" t="n"/>
      <c r="L146" s="119">
        <f>IF($E146="","",DATE(YEAR($E146),MONTH($E146),1))</f>
        <v/>
      </c>
      <c r="M146" s="112">
        <f>IF($C146="","",IF($D146="TANIMSIZ MÜŞTERİ","HATA",IF(OR($E146="",$F146&lt;=0,$G146=""),"EKSİK",IF($E146&gt;TODAY(),"İLERİ TARİH","UYGUN"))))</f>
        <v/>
      </c>
      <c r="N146" s="6" t="n"/>
      <c r="O146" s="6" t="n"/>
    </row>
    <row r="147">
      <c r="A147" s="6" t="n"/>
      <c r="B147" s="112">
        <f>IF($C147="","","T"&amp;TEXT(ROW()-6,"00000"))</f>
        <v/>
      </c>
      <c r="C147" s="107" t="n"/>
      <c r="D147" s="113">
        <f>IF($C147="","",IFERROR(INDEX(MUSTERILER!$C$7:$C$106,MATCH($C147,MUSTERILER!$B$7:$B$106,0)),"TANIMSIZ MÜŞTERİ"))</f>
        <v/>
      </c>
      <c r="E147" s="114" t="n"/>
      <c r="F147" s="115" t="n"/>
      <c r="G147" s="107" t="n"/>
      <c r="H147" s="107" t="n"/>
      <c r="I147" s="108" t="n"/>
      <c r="J147" s="108" t="n"/>
      <c r="K147" s="108" t="n"/>
      <c r="L147" s="119">
        <f>IF($E147="","",DATE(YEAR($E147),MONTH($E147),1))</f>
        <v/>
      </c>
      <c r="M147" s="112">
        <f>IF($C147="","",IF($D147="TANIMSIZ MÜŞTERİ","HATA",IF(OR($E147="",$F147&lt;=0,$G147=""),"EKSİK",IF($E147&gt;TODAY(),"İLERİ TARİH","UYGUN"))))</f>
        <v/>
      </c>
      <c r="N147" s="6" t="n"/>
      <c r="O147" s="6" t="n"/>
    </row>
    <row r="148">
      <c r="A148" s="6" t="n"/>
      <c r="B148" s="112">
        <f>IF($C148="","","T"&amp;TEXT(ROW()-6,"00000"))</f>
        <v/>
      </c>
      <c r="C148" s="107" t="n"/>
      <c r="D148" s="113">
        <f>IF($C148="","",IFERROR(INDEX(MUSTERILER!$C$7:$C$106,MATCH($C148,MUSTERILER!$B$7:$B$106,0)),"TANIMSIZ MÜŞTERİ"))</f>
        <v/>
      </c>
      <c r="E148" s="114" t="n"/>
      <c r="F148" s="115" t="n"/>
      <c r="G148" s="107" t="n"/>
      <c r="H148" s="107" t="n"/>
      <c r="I148" s="108" t="n"/>
      <c r="J148" s="108" t="n"/>
      <c r="K148" s="108" t="n"/>
      <c r="L148" s="119">
        <f>IF($E148="","",DATE(YEAR($E148),MONTH($E148),1))</f>
        <v/>
      </c>
      <c r="M148" s="112">
        <f>IF($C148="","",IF($D148="TANIMSIZ MÜŞTERİ","HATA",IF(OR($E148="",$F148&lt;=0,$G148=""),"EKSİK",IF($E148&gt;TODAY(),"İLERİ TARİH","UYGUN"))))</f>
        <v/>
      </c>
      <c r="N148" s="6" t="n"/>
      <c r="O148" s="6" t="n"/>
    </row>
    <row r="149">
      <c r="A149" s="6" t="n"/>
      <c r="B149" s="112">
        <f>IF($C149="","","T"&amp;TEXT(ROW()-6,"00000"))</f>
        <v/>
      </c>
      <c r="C149" s="107" t="n"/>
      <c r="D149" s="113">
        <f>IF($C149="","",IFERROR(INDEX(MUSTERILER!$C$7:$C$106,MATCH($C149,MUSTERILER!$B$7:$B$106,0)),"TANIMSIZ MÜŞTERİ"))</f>
        <v/>
      </c>
      <c r="E149" s="114" t="n"/>
      <c r="F149" s="115" t="n"/>
      <c r="G149" s="107" t="n"/>
      <c r="H149" s="107" t="n"/>
      <c r="I149" s="108" t="n"/>
      <c r="J149" s="108" t="n"/>
      <c r="K149" s="108" t="n"/>
      <c r="L149" s="119">
        <f>IF($E149="","",DATE(YEAR($E149),MONTH($E149),1))</f>
        <v/>
      </c>
      <c r="M149" s="112">
        <f>IF($C149="","",IF($D149="TANIMSIZ MÜŞTERİ","HATA",IF(OR($E149="",$F149&lt;=0,$G149=""),"EKSİK",IF($E149&gt;TODAY(),"İLERİ TARİH","UYGUN"))))</f>
        <v/>
      </c>
      <c r="N149" s="6" t="n"/>
      <c r="O149" s="6" t="n"/>
    </row>
    <row r="150">
      <c r="A150" s="6" t="n"/>
      <c r="B150" s="112">
        <f>IF($C150="","","T"&amp;TEXT(ROW()-6,"00000"))</f>
        <v/>
      </c>
      <c r="C150" s="107" t="n"/>
      <c r="D150" s="113">
        <f>IF($C150="","",IFERROR(INDEX(MUSTERILER!$C$7:$C$106,MATCH($C150,MUSTERILER!$B$7:$B$106,0)),"TANIMSIZ MÜŞTERİ"))</f>
        <v/>
      </c>
      <c r="E150" s="114" t="n"/>
      <c r="F150" s="115" t="n"/>
      <c r="G150" s="107" t="n"/>
      <c r="H150" s="107" t="n"/>
      <c r="I150" s="108" t="n"/>
      <c r="J150" s="108" t="n"/>
      <c r="K150" s="108" t="n"/>
      <c r="L150" s="119">
        <f>IF($E150="","",DATE(YEAR($E150),MONTH($E150),1))</f>
        <v/>
      </c>
      <c r="M150" s="112">
        <f>IF($C150="","",IF($D150="TANIMSIZ MÜŞTERİ","HATA",IF(OR($E150="",$F150&lt;=0,$G150=""),"EKSİK",IF($E150&gt;TODAY(),"İLERİ TARİH","UYGUN"))))</f>
        <v/>
      </c>
      <c r="N150" s="6" t="n"/>
      <c r="O150" s="6" t="n"/>
    </row>
    <row r="151">
      <c r="A151" s="6" t="n"/>
      <c r="B151" s="112">
        <f>IF($C151="","","T"&amp;TEXT(ROW()-6,"00000"))</f>
        <v/>
      </c>
      <c r="C151" s="107" t="n"/>
      <c r="D151" s="113">
        <f>IF($C151="","",IFERROR(INDEX(MUSTERILER!$C$7:$C$106,MATCH($C151,MUSTERILER!$B$7:$B$106,0)),"TANIMSIZ MÜŞTERİ"))</f>
        <v/>
      </c>
      <c r="E151" s="114" t="n"/>
      <c r="F151" s="115" t="n"/>
      <c r="G151" s="107" t="n"/>
      <c r="H151" s="107" t="n"/>
      <c r="I151" s="108" t="n"/>
      <c r="J151" s="108" t="n"/>
      <c r="K151" s="108" t="n"/>
      <c r="L151" s="119">
        <f>IF($E151="","",DATE(YEAR($E151),MONTH($E151),1))</f>
        <v/>
      </c>
      <c r="M151" s="112">
        <f>IF($C151="","",IF($D151="TANIMSIZ MÜŞTERİ","HATA",IF(OR($E151="",$F151&lt;=0,$G151=""),"EKSİK",IF($E151&gt;TODAY(),"İLERİ TARİH","UYGUN"))))</f>
        <v/>
      </c>
      <c r="N151" s="6" t="n"/>
      <c r="O151" s="6" t="n"/>
    </row>
    <row r="152">
      <c r="A152" s="6" t="n"/>
      <c r="B152" s="112">
        <f>IF($C152="","","T"&amp;TEXT(ROW()-6,"00000"))</f>
        <v/>
      </c>
      <c r="C152" s="107" t="n"/>
      <c r="D152" s="113">
        <f>IF($C152="","",IFERROR(INDEX(MUSTERILER!$C$7:$C$106,MATCH($C152,MUSTERILER!$B$7:$B$106,0)),"TANIMSIZ MÜŞTERİ"))</f>
        <v/>
      </c>
      <c r="E152" s="114" t="n"/>
      <c r="F152" s="115" t="n"/>
      <c r="G152" s="107" t="n"/>
      <c r="H152" s="107" t="n"/>
      <c r="I152" s="108" t="n"/>
      <c r="J152" s="108" t="n"/>
      <c r="K152" s="108" t="n"/>
      <c r="L152" s="119">
        <f>IF($E152="","",DATE(YEAR($E152),MONTH($E152),1))</f>
        <v/>
      </c>
      <c r="M152" s="112">
        <f>IF($C152="","",IF($D152="TANIMSIZ MÜŞTERİ","HATA",IF(OR($E152="",$F152&lt;=0,$G152=""),"EKSİK",IF($E152&gt;TODAY(),"İLERİ TARİH","UYGUN"))))</f>
        <v/>
      </c>
      <c r="N152" s="6" t="n"/>
      <c r="O152" s="6" t="n"/>
    </row>
    <row r="153">
      <c r="A153" s="6" t="n"/>
      <c r="B153" s="112">
        <f>IF($C153="","","T"&amp;TEXT(ROW()-6,"00000"))</f>
        <v/>
      </c>
      <c r="C153" s="107" t="n"/>
      <c r="D153" s="113">
        <f>IF($C153="","",IFERROR(INDEX(MUSTERILER!$C$7:$C$106,MATCH($C153,MUSTERILER!$B$7:$B$106,0)),"TANIMSIZ MÜŞTERİ"))</f>
        <v/>
      </c>
      <c r="E153" s="114" t="n"/>
      <c r="F153" s="115" t="n"/>
      <c r="G153" s="107" t="n"/>
      <c r="H153" s="107" t="n"/>
      <c r="I153" s="108" t="n"/>
      <c r="J153" s="108" t="n"/>
      <c r="K153" s="108" t="n"/>
      <c r="L153" s="119">
        <f>IF($E153="","",DATE(YEAR($E153),MONTH($E153),1))</f>
        <v/>
      </c>
      <c r="M153" s="112">
        <f>IF($C153="","",IF($D153="TANIMSIZ MÜŞTERİ","HATA",IF(OR($E153="",$F153&lt;=0,$G153=""),"EKSİK",IF($E153&gt;TODAY(),"İLERİ TARİH","UYGUN"))))</f>
        <v/>
      </c>
      <c r="N153" s="6" t="n"/>
      <c r="O153" s="6" t="n"/>
    </row>
    <row r="154">
      <c r="A154" s="6" t="n"/>
      <c r="B154" s="112">
        <f>IF($C154="","","T"&amp;TEXT(ROW()-6,"00000"))</f>
        <v/>
      </c>
      <c r="C154" s="107" t="n"/>
      <c r="D154" s="113">
        <f>IF($C154="","",IFERROR(INDEX(MUSTERILER!$C$7:$C$106,MATCH($C154,MUSTERILER!$B$7:$B$106,0)),"TANIMSIZ MÜŞTERİ"))</f>
        <v/>
      </c>
      <c r="E154" s="114" t="n"/>
      <c r="F154" s="115" t="n"/>
      <c r="G154" s="107" t="n"/>
      <c r="H154" s="107" t="n"/>
      <c r="I154" s="108" t="n"/>
      <c r="J154" s="108" t="n"/>
      <c r="K154" s="108" t="n"/>
      <c r="L154" s="119">
        <f>IF($E154="","",DATE(YEAR($E154),MONTH($E154),1))</f>
        <v/>
      </c>
      <c r="M154" s="112">
        <f>IF($C154="","",IF($D154="TANIMSIZ MÜŞTERİ","HATA",IF(OR($E154="",$F154&lt;=0,$G154=""),"EKSİK",IF($E154&gt;TODAY(),"İLERİ TARİH","UYGUN"))))</f>
        <v/>
      </c>
      <c r="N154" s="6" t="n"/>
      <c r="O154" s="6" t="n"/>
    </row>
    <row r="155">
      <c r="A155" s="6" t="n"/>
      <c r="B155" s="112">
        <f>IF($C155="","","T"&amp;TEXT(ROW()-6,"00000"))</f>
        <v/>
      </c>
      <c r="C155" s="107" t="n"/>
      <c r="D155" s="113">
        <f>IF($C155="","",IFERROR(INDEX(MUSTERILER!$C$7:$C$106,MATCH($C155,MUSTERILER!$B$7:$B$106,0)),"TANIMSIZ MÜŞTERİ"))</f>
        <v/>
      </c>
      <c r="E155" s="114" t="n"/>
      <c r="F155" s="115" t="n"/>
      <c r="G155" s="107" t="n"/>
      <c r="H155" s="107" t="n"/>
      <c r="I155" s="108" t="n"/>
      <c r="J155" s="108" t="n"/>
      <c r="K155" s="108" t="n"/>
      <c r="L155" s="119">
        <f>IF($E155="","",DATE(YEAR($E155),MONTH($E155),1))</f>
        <v/>
      </c>
      <c r="M155" s="112">
        <f>IF($C155="","",IF($D155="TANIMSIZ MÜŞTERİ","HATA",IF(OR($E155="",$F155&lt;=0,$G155=""),"EKSİK",IF($E155&gt;TODAY(),"İLERİ TARİH","UYGUN"))))</f>
        <v/>
      </c>
      <c r="N155" s="6" t="n"/>
      <c r="O155" s="6" t="n"/>
    </row>
    <row r="156">
      <c r="A156" s="6" t="n"/>
      <c r="B156" s="112">
        <f>IF($C156="","","T"&amp;TEXT(ROW()-6,"00000"))</f>
        <v/>
      </c>
      <c r="C156" s="107" t="n"/>
      <c r="D156" s="113">
        <f>IF($C156="","",IFERROR(INDEX(MUSTERILER!$C$7:$C$106,MATCH($C156,MUSTERILER!$B$7:$B$106,0)),"TANIMSIZ MÜŞTERİ"))</f>
        <v/>
      </c>
      <c r="E156" s="114" t="n"/>
      <c r="F156" s="115" t="n"/>
      <c r="G156" s="107" t="n"/>
      <c r="H156" s="107" t="n"/>
      <c r="I156" s="108" t="n"/>
      <c r="J156" s="108" t="n"/>
      <c r="K156" s="108" t="n"/>
      <c r="L156" s="119">
        <f>IF($E156="","",DATE(YEAR($E156),MONTH($E156),1))</f>
        <v/>
      </c>
      <c r="M156" s="112">
        <f>IF($C156="","",IF($D156="TANIMSIZ MÜŞTERİ","HATA",IF(OR($E156="",$F156&lt;=0,$G156=""),"EKSİK",IF($E156&gt;TODAY(),"İLERİ TARİH","UYGUN"))))</f>
        <v/>
      </c>
      <c r="N156" s="6" t="n"/>
      <c r="O156" s="6" t="n"/>
    </row>
    <row r="157">
      <c r="A157" s="6" t="n"/>
      <c r="B157" s="112">
        <f>IF($C157="","","T"&amp;TEXT(ROW()-6,"00000"))</f>
        <v/>
      </c>
      <c r="C157" s="107" t="n"/>
      <c r="D157" s="113">
        <f>IF($C157="","",IFERROR(INDEX(MUSTERILER!$C$7:$C$106,MATCH($C157,MUSTERILER!$B$7:$B$106,0)),"TANIMSIZ MÜŞTERİ"))</f>
        <v/>
      </c>
      <c r="E157" s="114" t="n"/>
      <c r="F157" s="115" t="n"/>
      <c r="G157" s="107" t="n"/>
      <c r="H157" s="107" t="n"/>
      <c r="I157" s="108" t="n"/>
      <c r="J157" s="108" t="n"/>
      <c r="K157" s="108" t="n"/>
      <c r="L157" s="119">
        <f>IF($E157="","",DATE(YEAR($E157),MONTH($E157),1))</f>
        <v/>
      </c>
      <c r="M157" s="112">
        <f>IF($C157="","",IF($D157="TANIMSIZ MÜŞTERİ","HATA",IF(OR($E157="",$F157&lt;=0,$G157=""),"EKSİK",IF($E157&gt;TODAY(),"İLERİ TARİH","UYGUN"))))</f>
        <v/>
      </c>
      <c r="N157" s="6" t="n"/>
      <c r="O157" s="6" t="n"/>
    </row>
    <row r="158">
      <c r="A158" s="6" t="n"/>
      <c r="B158" s="112">
        <f>IF($C158="","","T"&amp;TEXT(ROW()-6,"00000"))</f>
        <v/>
      </c>
      <c r="C158" s="107" t="n"/>
      <c r="D158" s="113">
        <f>IF($C158="","",IFERROR(INDEX(MUSTERILER!$C$7:$C$106,MATCH($C158,MUSTERILER!$B$7:$B$106,0)),"TANIMSIZ MÜŞTERİ"))</f>
        <v/>
      </c>
      <c r="E158" s="114" t="n"/>
      <c r="F158" s="115" t="n"/>
      <c r="G158" s="107" t="n"/>
      <c r="H158" s="107" t="n"/>
      <c r="I158" s="108" t="n"/>
      <c r="J158" s="108" t="n"/>
      <c r="K158" s="108" t="n"/>
      <c r="L158" s="119">
        <f>IF($E158="","",DATE(YEAR($E158),MONTH($E158),1))</f>
        <v/>
      </c>
      <c r="M158" s="112">
        <f>IF($C158="","",IF($D158="TANIMSIZ MÜŞTERİ","HATA",IF(OR($E158="",$F158&lt;=0,$G158=""),"EKSİK",IF($E158&gt;TODAY(),"İLERİ TARİH","UYGUN"))))</f>
        <v/>
      </c>
      <c r="N158" s="6" t="n"/>
      <c r="O158" s="6" t="n"/>
    </row>
    <row r="159">
      <c r="A159" s="6" t="n"/>
      <c r="B159" s="112">
        <f>IF($C159="","","T"&amp;TEXT(ROW()-6,"00000"))</f>
        <v/>
      </c>
      <c r="C159" s="107" t="n"/>
      <c r="D159" s="113">
        <f>IF($C159="","",IFERROR(INDEX(MUSTERILER!$C$7:$C$106,MATCH($C159,MUSTERILER!$B$7:$B$106,0)),"TANIMSIZ MÜŞTERİ"))</f>
        <v/>
      </c>
      <c r="E159" s="114" t="n"/>
      <c r="F159" s="115" t="n"/>
      <c r="G159" s="107" t="n"/>
      <c r="H159" s="107" t="n"/>
      <c r="I159" s="108" t="n"/>
      <c r="J159" s="108" t="n"/>
      <c r="K159" s="108" t="n"/>
      <c r="L159" s="119">
        <f>IF($E159="","",DATE(YEAR($E159),MONTH($E159),1))</f>
        <v/>
      </c>
      <c r="M159" s="112">
        <f>IF($C159="","",IF($D159="TANIMSIZ MÜŞTERİ","HATA",IF(OR($E159="",$F159&lt;=0,$G159=""),"EKSİK",IF($E159&gt;TODAY(),"İLERİ TARİH","UYGUN"))))</f>
        <v/>
      </c>
      <c r="N159" s="6" t="n"/>
      <c r="O159" s="6" t="n"/>
    </row>
    <row r="160">
      <c r="A160" s="6" t="n"/>
      <c r="B160" s="112">
        <f>IF($C160="","","T"&amp;TEXT(ROW()-6,"00000"))</f>
        <v/>
      </c>
      <c r="C160" s="107" t="n"/>
      <c r="D160" s="113">
        <f>IF($C160="","",IFERROR(INDEX(MUSTERILER!$C$7:$C$106,MATCH($C160,MUSTERILER!$B$7:$B$106,0)),"TANIMSIZ MÜŞTERİ"))</f>
        <v/>
      </c>
      <c r="E160" s="114" t="n"/>
      <c r="F160" s="115" t="n"/>
      <c r="G160" s="107" t="n"/>
      <c r="H160" s="107" t="n"/>
      <c r="I160" s="108" t="n"/>
      <c r="J160" s="108" t="n"/>
      <c r="K160" s="108" t="n"/>
      <c r="L160" s="119">
        <f>IF($E160="","",DATE(YEAR($E160),MONTH($E160),1))</f>
        <v/>
      </c>
      <c r="M160" s="112">
        <f>IF($C160="","",IF($D160="TANIMSIZ MÜŞTERİ","HATA",IF(OR($E160="",$F160&lt;=0,$G160=""),"EKSİK",IF($E160&gt;TODAY(),"İLERİ TARİH","UYGUN"))))</f>
        <v/>
      </c>
      <c r="N160" s="6" t="n"/>
      <c r="O160" s="6" t="n"/>
    </row>
    <row r="161">
      <c r="A161" s="6" t="n"/>
      <c r="B161" s="112">
        <f>IF($C161="","","T"&amp;TEXT(ROW()-6,"00000"))</f>
        <v/>
      </c>
      <c r="C161" s="107" t="n"/>
      <c r="D161" s="113">
        <f>IF($C161="","",IFERROR(INDEX(MUSTERILER!$C$7:$C$106,MATCH($C161,MUSTERILER!$B$7:$B$106,0)),"TANIMSIZ MÜŞTERİ"))</f>
        <v/>
      </c>
      <c r="E161" s="114" t="n"/>
      <c r="F161" s="115" t="n"/>
      <c r="G161" s="107" t="n"/>
      <c r="H161" s="107" t="n"/>
      <c r="I161" s="108" t="n"/>
      <c r="J161" s="108" t="n"/>
      <c r="K161" s="108" t="n"/>
      <c r="L161" s="119">
        <f>IF($E161="","",DATE(YEAR($E161),MONTH($E161),1))</f>
        <v/>
      </c>
      <c r="M161" s="112">
        <f>IF($C161="","",IF($D161="TANIMSIZ MÜŞTERİ","HATA",IF(OR($E161="",$F161&lt;=0,$G161=""),"EKSİK",IF($E161&gt;TODAY(),"İLERİ TARİH","UYGUN"))))</f>
        <v/>
      </c>
      <c r="N161" s="6" t="n"/>
      <c r="O161" s="6" t="n"/>
    </row>
    <row r="162">
      <c r="A162" s="6" t="n"/>
      <c r="B162" s="112">
        <f>IF($C162="","","T"&amp;TEXT(ROW()-6,"00000"))</f>
        <v/>
      </c>
      <c r="C162" s="107" t="n"/>
      <c r="D162" s="113">
        <f>IF($C162="","",IFERROR(INDEX(MUSTERILER!$C$7:$C$106,MATCH($C162,MUSTERILER!$B$7:$B$106,0)),"TANIMSIZ MÜŞTERİ"))</f>
        <v/>
      </c>
      <c r="E162" s="114" t="n"/>
      <c r="F162" s="115" t="n"/>
      <c r="G162" s="107" t="n"/>
      <c r="H162" s="107" t="n"/>
      <c r="I162" s="108" t="n"/>
      <c r="J162" s="108" t="n"/>
      <c r="K162" s="108" t="n"/>
      <c r="L162" s="119">
        <f>IF($E162="","",DATE(YEAR($E162),MONTH($E162),1))</f>
        <v/>
      </c>
      <c r="M162" s="112">
        <f>IF($C162="","",IF($D162="TANIMSIZ MÜŞTERİ","HATA",IF(OR($E162="",$F162&lt;=0,$G162=""),"EKSİK",IF($E162&gt;TODAY(),"İLERİ TARİH","UYGUN"))))</f>
        <v/>
      </c>
      <c r="N162" s="6" t="n"/>
      <c r="O162" s="6" t="n"/>
    </row>
    <row r="163">
      <c r="A163" s="6" t="n"/>
      <c r="B163" s="112">
        <f>IF($C163="","","T"&amp;TEXT(ROW()-6,"00000"))</f>
        <v/>
      </c>
      <c r="C163" s="107" t="n"/>
      <c r="D163" s="113">
        <f>IF($C163="","",IFERROR(INDEX(MUSTERILER!$C$7:$C$106,MATCH($C163,MUSTERILER!$B$7:$B$106,0)),"TANIMSIZ MÜŞTERİ"))</f>
        <v/>
      </c>
      <c r="E163" s="114" t="n"/>
      <c r="F163" s="115" t="n"/>
      <c r="G163" s="107" t="n"/>
      <c r="H163" s="107" t="n"/>
      <c r="I163" s="108" t="n"/>
      <c r="J163" s="108" t="n"/>
      <c r="K163" s="108" t="n"/>
      <c r="L163" s="119">
        <f>IF($E163="","",DATE(YEAR($E163),MONTH($E163),1))</f>
        <v/>
      </c>
      <c r="M163" s="112">
        <f>IF($C163="","",IF($D163="TANIMSIZ MÜŞTERİ","HATA",IF(OR($E163="",$F163&lt;=0,$G163=""),"EKSİK",IF($E163&gt;TODAY(),"İLERİ TARİH","UYGUN"))))</f>
        <v/>
      </c>
      <c r="N163" s="6" t="n"/>
      <c r="O163" s="6" t="n"/>
    </row>
    <row r="164">
      <c r="A164" s="6" t="n"/>
      <c r="B164" s="112">
        <f>IF($C164="","","T"&amp;TEXT(ROW()-6,"00000"))</f>
        <v/>
      </c>
      <c r="C164" s="107" t="n"/>
      <c r="D164" s="113">
        <f>IF($C164="","",IFERROR(INDEX(MUSTERILER!$C$7:$C$106,MATCH($C164,MUSTERILER!$B$7:$B$106,0)),"TANIMSIZ MÜŞTERİ"))</f>
        <v/>
      </c>
      <c r="E164" s="114" t="n"/>
      <c r="F164" s="115" t="n"/>
      <c r="G164" s="107" t="n"/>
      <c r="H164" s="107" t="n"/>
      <c r="I164" s="108" t="n"/>
      <c r="J164" s="108" t="n"/>
      <c r="K164" s="108" t="n"/>
      <c r="L164" s="119">
        <f>IF($E164="","",DATE(YEAR($E164),MONTH($E164),1))</f>
        <v/>
      </c>
      <c r="M164" s="112">
        <f>IF($C164="","",IF($D164="TANIMSIZ MÜŞTERİ","HATA",IF(OR($E164="",$F164&lt;=0,$G164=""),"EKSİK",IF($E164&gt;TODAY(),"İLERİ TARİH","UYGUN"))))</f>
        <v/>
      </c>
      <c r="N164" s="6" t="n"/>
      <c r="O164" s="6" t="n"/>
    </row>
    <row r="165">
      <c r="A165" s="6" t="n"/>
      <c r="B165" s="112">
        <f>IF($C165="","","T"&amp;TEXT(ROW()-6,"00000"))</f>
        <v/>
      </c>
      <c r="C165" s="107" t="n"/>
      <c r="D165" s="113">
        <f>IF($C165="","",IFERROR(INDEX(MUSTERILER!$C$7:$C$106,MATCH($C165,MUSTERILER!$B$7:$B$106,0)),"TANIMSIZ MÜŞTERİ"))</f>
        <v/>
      </c>
      <c r="E165" s="114" t="n"/>
      <c r="F165" s="115" t="n"/>
      <c r="G165" s="107" t="n"/>
      <c r="H165" s="107" t="n"/>
      <c r="I165" s="108" t="n"/>
      <c r="J165" s="108" t="n"/>
      <c r="K165" s="108" t="n"/>
      <c r="L165" s="119">
        <f>IF($E165="","",DATE(YEAR($E165),MONTH($E165),1))</f>
        <v/>
      </c>
      <c r="M165" s="112">
        <f>IF($C165="","",IF($D165="TANIMSIZ MÜŞTERİ","HATA",IF(OR($E165="",$F165&lt;=0,$G165=""),"EKSİK",IF($E165&gt;TODAY(),"İLERİ TARİH","UYGUN"))))</f>
        <v/>
      </c>
      <c r="N165" s="6" t="n"/>
      <c r="O165" s="6" t="n"/>
    </row>
    <row r="166">
      <c r="A166" s="6" t="n"/>
      <c r="B166" s="112">
        <f>IF($C166="","","T"&amp;TEXT(ROW()-6,"00000"))</f>
        <v/>
      </c>
      <c r="C166" s="107" t="n"/>
      <c r="D166" s="113">
        <f>IF($C166="","",IFERROR(INDEX(MUSTERILER!$C$7:$C$106,MATCH($C166,MUSTERILER!$B$7:$B$106,0)),"TANIMSIZ MÜŞTERİ"))</f>
        <v/>
      </c>
      <c r="E166" s="114" t="n"/>
      <c r="F166" s="115" t="n"/>
      <c r="G166" s="107" t="n"/>
      <c r="H166" s="107" t="n"/>
      <c r="I166" s="108" t="n"/>
      <c r="J166" s="108" t="n"/>
      <c r="K166" s="108" t="n"/>
      <c r="L166" s="119">
        <f>IF($E166="","",DATE(YEAR($E166),MONTH($E166),1))</f>
        <v/>
      </c>
      <c r="M166" s="112">
        <f>IF($C166="","",IF($D166="TANIMSIZ MÜŞTERİ","HATA",IF(OR($E166="",$F166&lt;=0,$G166=""),"EKSİK",IF($E166&gt;TODAY(),"İLERİ TARİH","UYGUN"))))</f>
        <v/>
      </c>
      <c r="N166" s="6" t="n"/>
      <c r="O166" s="6" t="n"/>
    </row>
    <row r="167">
      <c r="A167" s="6" t="n"/>
      <c r="B167" s="112">
        <f>IF($C167="","","T"&amp;TEXT(ROW()-6,"00000"))</f>
        <v/>
      </c>
      <c r="C167" s="107" t="n"/>
      <c r="D167" s="113">
        <f>IF($C167="","",IFERROR(INDEX(MUSTERILER!$C$7:$C$106,MATCH($C167,MUSTERILER!$B$7:$B$106,0)),"TANIMSIZ MÜŞTERİ"))</f>
        <v/>
      </c>
      <c r="E167" s="114" t="n"/>
      <c r="F167" s="115" t="n"/>
      <c r="G167" s="107" t="n"/>
      <c r="H167" s="107" t="n"/>
      <c r="I167" s="108" t="n"/>
      <c r="J167" s="108" t="n"/>
      <c r="K167" s="108" t="n"/>
      <c r="L167" s="119">
        <f>IF($E167="","",DATE(YEAR($E167),MONTH($E167),1))</f>
        <v/>
      </c>
      <c r="M167" s="112">
        <f>IF($C167="","",IF($D167="TANIMSIZ MÜŞTERİ","HATA",IF(OR($E167="",$F167&lt;=0,$G167=""),"EKSİK",IF($E167&gt;TODAY(),"İLERİ TARİH","UYGUN"))))</f>
        <v/>
      </c>
      <c r="N167" s="6" t="n"/>
      <c r="O167" s="6" t="n"/>
    </row>
    <row r="168">
      <c r="A168" s="6" t="n"/>
      <c r="B168" s="112">
        <f>IF($C168="","","T"&amp;TEXT(ROW()-6,"00000"))</f>
        <v/>
      </c>
      <c r="C168" s="107" t="n"/>
      <c r="D168" s="113">
        <f>IF($C168="","",IFERROR(INDEX(MUSTERILER!$C$7:$C$106,MATCH($C168,MUSTERILER!$B$7:$B$106,0)),"TANIMSIZ MÜŞTERİ"))</f>
        <v/>
      </c>
      <c r="E168" s="114" t="n"/>
      <c r="F168" s="115" t="n"/>
      <c r="G168" s="107" t="n"/>
      <c r="H168" s="107" t="n"/>
      <c r="I168" s="108" t="n"/>
      <c r="J168" s="108" t="n"/>
      <c r="K168" s="108" t="n"/>
      <c r="L168" s="119">
        <f>IF($E168="","",DATE(YEAR($E168),MONTH($E168),1))</f>
        <v/>
      </c>
      <c r="M168" s="112">
        <f>IF($C168="","",IF($D168="TANIMSIZ MÜŞTERİ","HATA",IF(OR($E168="",$F168&lt;=0,$G168=""),"EKSİK",IF($E168&gt;TODAY(),"İLERİ TARİH","UYGUN"))))</f>
        <v/>
      </c>
      <c r="N168" s="6" t="n"/>
      <c r="O168" s="6" t="n"/>
    </row>
    <row r="169">
      <c r="A169" s="6" t="n"/>
      <c r="B169" s="112">
        <f>IF($C169="","","T"&amp;TEXT(ROW()-6,"00000"))</f>
        <v/>
      </c>
      <c r="C169" s="107" t="n"/>
      <c r="D169" s="113">
        <f>IF($C169="","",IFERROR(INDEX(MUSTERILER!$C$7:$C$106,MATCH($C169,MUSTERILER!$B$7:$B$106,0)),"TANIMSIZ MÜŞTERİ"))</f>
        <v/>
      </c>
      <c r="E169" s="114" t="n"/>
      <c r="F169" s="115" t="n"/>
      <c r="G169" s="107" t="n"/>
      <c r="H169" s="107" t="n"/>
      <c r="I169" s="108" t="n"/>
      <c r="J169" s="108" t="n"/>
      <c r="K169" s="108" t="n"/>
      <c r="L169" s="119">
        <f>IF($E169="","",DATE(YEAR($E169),MONTH($E169),1))</f>
        <v/>
      </c>
      <c r="M169" s="112">
        <f>IF($C169="","",IF($D169="TANIMSIZ MÜŞTERİ","HATA",IF(OR($E169="",$F169&lt;=0,$G169=""),"EKSİK",IF($E169&gt;TODAY(),"İLERİ TARİH","UYGUN"))))</f>
        <v/>
      </c>
      <c r="N169" s="6" t="n"/>
      <c r="O169" s="6" t="n"/>
    </row>
    <row r="170">
      <c r="A170" s="6" t="n"/>
      <c r="B170" s="112">
        <f>IF($C170="","","T"&amp;TEXT(ROW()-6,"00000"))</f>
        <v/>
      </c>
      <c r="C170" s="107" t="n"/>
      <c r="D170" s="113">
        <f>IF($C170="","",IFERROR(INDEX(MUSTERILER!$C$7:$C$106,MATCH($C170,MUSTERILER!$B$7:$B$106,0)),"TANIMSIZ MÜŞTERİ"))</f>
        <v/>
      </c>
      <c r="E170" s="114" t="n"/>
      <c r="F170" s="115" t="n"/>
      <c r="G170" s="107" t="n"/>
      <c r="H170" s="107" t="n"/>
      <c r="I170" s="108" t="n"/>
      <c r="J170" s="108" t="n"/>
      <c r="K170" s="108" t="n"/>
      <c r="L170" s="119">
        <f>IF($E170="","",DATE(YEAR($E170),MONTH($E170),1))</f>
        <v/>
      </c>
      <c r="M170" s="112">
        <f>IF($C170="","",IF($D170="TANIMSIZ MÜŞTERİ","HATA",IF(OR($E170="",$F170&lt;=0,$G170=""),"EKSİK",IF($E170&gt;TODAY(),"İLERİ TARİH","UYGUN"))))</f>
        <v/>
      </c>
      <c r="N170" s="6" t="n"/>
      <c r="O170" s="6" t="n"/>
    </row>
    <row r="171">
      <c r="A171" s="6" t="n"/>
      <c r="B171" s="112">
        <f>IF($C171="","","T"&amp;TEXT(ROW()-6,"00000"))</f>
        <v/>
      </c>
      <c r="C171" s="107" t="n"/>
      <c r="D171" s="113">
        <f>IF($C171="","",IFERROR(INDEX(MUSTERILER!$C$7:$C$106,MATCH($C171,MUSTERILER!$B$7:$B$106,0)),"TANIMSIZ MÜŞTERİ"))</f>
        <v/>
      </c>
      <c r="E171" s="114" t="n"/>
      <c r="F171" s="115" t="n"/>
      <c r="G171" s="107" t="n"/>
      <c r="H171" s="107" t="n"/>
      <c r="I171" s="108" t="n"/>
      <c r="J171" s="108" t="n"/>
      <c r="K171" s="108" t="n"/>
      <c r="L171" s="119">
        <f>IF($E171="","",DATE(YEAR($E171),MONTH($E171),1))</f>
        <v/>
      </c>
      <c r="M171" s="112">
        <f>IF($C171="","",IF($D171="TANIMSIZ MÜŞTERİ","HATA",IF(OR($E171="",$F171&lt;=0,$G171=""),"EKSİK",IF($E171&gt;TODAY(),"İLERİ TARİH","UYGUN"))))</f>
        <v/>
      </c>
      <c r="N171" s="6" t="n"/>
      <c r="O171" s="6" t="n"/>
    </row>
    <row r="172">
      <c r="A172" s="6" t="n"/>
      <c r="B172" s="112">
        <f>IF($C172="","","T"&amp;TEXT(ROW()-6,"00000"))</f>
        <v/>
      </c>
      <c r="C172" s="107" t="n"/>
      <c r="D172" s="113">
        <f>IF($C172="","",IFERROR(INDEX(MUSTERILER!$C$7:$C$106,MATCH($C172,MUSTERILER!$B$7:$B$106,0)),"TANIMSIZ MÜŞTERİ"))</f>
        <v/>
      </c>
      <c r="E172" s="114" t="n"/>
      <c r="F172" s="115" t="n"/>
      <c r="G172" s="107" t="n"/>
      <c r="H172" s="107" t="n"/>
      <c r="I172" s="108" t="n"/>
      <c r="J172" s="108" t="n"/>
      <c r="K172" s="108" t="n"/>
      <c r="L172" s="119">
        <f>IF($E172="","",DATE(YEAR($E172),MONTH($E172),1))</f>
        <v/>
      </c>
      <c r="M172" s="112">
        <f>IF($C172="","",IF($D172="TANIMSIZ MÜŞTERİ","HATA",IF(OR($E172="",$F172&lt;=0,$G172=""),"EKSİK",IF($E172&gt;TODAY(),"İLERİ TARİH","UYGUN"))))</f>
        <v/>
      </c>
      <c r="N172" s="6" t="n"/>
      <c r="O172" s="6" t="n"/>
    </row>
    <row r="173">
      <c r="A173" s="6" t="n"/>
      <c r="B173" s="112">
        <f>IF($C173="","","T"&amp;TEXT(ROW()-6,"00000"))</f>
        <v/>
      </c>
      <c r="C173" s="107" t="n"/>
      <c r="D173" s="113">
        <f>IF($C173="","",IFERROR(INDEX(MUSTERILER!$C$7:$C$106,MATCH($C173,MUSTERILER!$B$7:$B$106,0)),"TANIMSIZ MÜŞTERİ"))</f>
        <v/>
      </c>
      <c r="E173" s="114" t="n"/>
      <c r="F173" s="115" t="n"/>
      <c r="G173" s="107" t="n"/>
      <c r="H173" s="107" t="n"/>
      <c r="I173" s="108" t="n"/>
      <c r="J173" s="108" t="n"/>
      <c r="K173" s="108" t="n"/>
      <c r="L173" s="119">
        <f>IF($E173="","",DATE(YEAR($E173),MONTH($E173),1))</f>
        <v/>
      </c>
      <c r="M173" s="112">
        <f>IF($C173="","",IF($D173="TANIMSIZ MÜŞTERİ","HATA",IF(OR($E173="",$F173&lt;=0,$G173=""),"EKSİK",IF($E173&gt;TODAY(),"İLERİ TARİH","UYGUN"))))</f>
        <v/>
      </c>
      <c r="N173" s="6" t="n"/>
      <c r="O173" s="6" t="n"/>
    </row>
    <row r="174">
      <c r="A174" s="6" t="n"/>
      <c r="B174" s="112">
        <f>IF($C174="","","T"&amp;TEXT(ROW()-6,"00000"))</f>
        <v/>
      </c>
      <c r="C174" s="107" t="n"/>
      <c r="D174" s="113">
        <f>IF($C174="","",IFERROR(INDEX(MUSTERILER!$C$7:$C$106,MATCH($C174,MUSTERILER!$B$7:$B$106,0)),"TANIMSIZ MÜŞTERİ"))</f>
        <v/>
      </c>
      <c r="E174" s="114" t="n"/>
      <c r="F174" s="115" t="n"/>
      <c r="G174" s="107" t="n"/>
      <c r="H174" s="107" t="n"/>
      <c r="I174" s="108" t="n"/>
      <c r="J174" s="108" t="n"/>
      <c r="K174" s="108" t="n"/>
      <c r="L174" s="119">
        <f>IF($E174="","",DATE(YEAR($E174),MONTH($E174),1))</f>
        <v/>
      </c>
      <c r="M174" s="112">
        <f>IF($C174="","",IF($D174="TANIMSIZ MÜŞTERİ","HATA",IF(OR($E174="",$F174&lt;=0,$G174=""),"EKSİK",IF($E174&gt;TODAY(),"İLERİ TARİH","UYGUN"))))</f>
        <v/>
      </c>
      <c r="N174" s="6" t="n"/>
      <c r="O174" s="6" t="n"/>
    </row>
    <row r="175">
      <c r="A175" s="6" t="n"/>
      <c r="B175" s="112">
        <f>IF($C175="","","T"&amp;TEXT(ROW()-6,"00000"))</f>
        <v/>
      </c>
      <c r="C175" s="107" t="n"/>
      <c r="D175" s="113">
        <f>IF($C175="","",IFERROR(INDEX(MUSTERILER!$C$7:$C$106,MATCH($C175,MUSTERILER!$B$7:$B$106,0)),"TANIMSIZ MÜŞTERİ"))</f>
        <v/>
      </c>
      <c r="E175" s="114" t="n"/>
      <c r="F175" s="115" t="n"/>
      <c r="G175" s="107" t="n"/>
      <c r="H175" s="107" t="n"/>
      <c r="I175" s="108" t="n"/>
      <c r="J175" s="108" t="n"/>
      <c r="K175" s="108" t="n"/>
      <c r="L175" s="119">
        <f>IF($E175="","",DATE(YEAR($E175),MONTH($E175),1))</f>
        <v/>
      </c>
      <c r="M175" s="112">
        <f>IF($C175="","",IF($D175="TANIMSIZ MÜŞTERİ","HATA",IF(OR($E175="",$F175&lt;=0,$G175=""),"EKSİK",IF($E175&gt;TODAY(),"İLERİ TARİH","UYGUN"))))</f>
        <v/>
      </c>
      <c r="N175" s="6" t="n"/>
      <c r="O175" s="6" t="n"/>
    </row>
    <row r="176">
      <c r="A176" s="6" t="n"/>
      <c r="B176" s="112">
        <f>IF($C176="","","T"&amp;TEXT(ROW()-6,"00000"))</f>
        <v/>
      </c>
      <c r="C176" s="107" t="n"/>
      <c r="D176" s="113">
        <f>IF($C176="","",IFERROR(INDEX(MUSTERILER!$C$7:$C$106,MATCH($C176,MUSTERILER!$B$7:$B$106,0)),"TANIMSIZ MÜŞTERİ"))</f>
        <v/>
      </c>
      <c r="E176" s="114" t="n"/>
      <c r="F176" s="115" t="n"/>
      <c r="G176" s="107" t="n"/>
      <c r="H176" s="107" t="n"/>
      <c r="I176" s="108" t="n"/>
      <c r="J176" s="108" t="n"/>
      <c r="K176" s="108" t="n"/>
      <c r="L176" s="119">
        <f>IF($E176="","",DATE(YEAR($E176),MONTH($E176),1))</f>
        <v/>
      </c>
      <c r="M176" s="112">
        <f>IF($C176="","",IF($D176="TANIMSIZ MÜŞTERİ","HATA",IF(OR($E176="",$F176&lt;=0,$G176=""),"EKSİK",IF($E176&gt;TODAY(),"İLERİ TARİH","UYGUN"))))</f>
        <v/>
      </c>
      <c r="N176" s="6" t="n"/>
      <c r="O176" s="6" t="n"/>
    </row>
    <row r="177">
      <c r="A177" s="6" t="n"/>
      <c r="B177" s="112">
        <f>IF($C177="","","T"&amp;TEXT(ROW()-6,"00000"))</f>
        <v/>
      </c>
      <c r="C177" s="107" t="n"/>
      <c r="D177" s="113">
        <f>IF($C177="","",IFERROR(INDEX(MUSTERILER!$C$7:$C$106,MATCH($C177,MUSTERILER!$B$7:$B$106,0)),"TANIMSIZ MÜŞTERİ"))</f>
        <v/>
      </c>
      <c r="E177" s="114" t="n"/>
      <c r="F177" s="115" t="n"/>
      <c r="G177" s="107" t="n"/>
      <c r="H177" s="107" t="n"/>
      <c r="I177" s="108" t="n"/>
      <c r="J177" s="108" t="n"/>
      <c r="K177" s="108" t="n"/>
      <c r="L177" s="119">
        <f>IF($E177="","",DATE(YEAR($E177),MONTH($E177),1))</f>
        <v/>
      </c>
      <c r="M177" s="112">
        <f>IF($C177="","",IF($D177="TANIMSIZ MÜŞTERİ","HATA",IF(OR($E177="",$F177&lt;=0,$G177=""),"EKSİK",IF($E177&gt;TODAY(),"İLERİ TARİH","UYGUN"))))</f>
        <v/>
      </c>
      <c r="N177" s="6" t="n"/>
      <c r="O177" s="6" t="n"/>
    </row>
    <row r="178">
      <c r="A178" s="6" t="n"/>
      <c r="B178" s="112">
        <f>IF($C178="","","T"&amp;TEXT(ROW()-6,"00000"))</f>
        <v/>
      </c>
      <c r="C178" s="107" t="n"/>
      <c r="D178" s="113">
        <f>IF($C178="","",IFERROR(INDEX(MUSTERILER!$C$7:$C$106,MATCH($C178,MUSTERILER!$B$7:$B$106,0)),"TANIMSIZ MÜŞTERİ"))</f>
        <v/>
      </c>
      <c r="E178" s="114" t="n"/>
      <c r="F178" s="115" t="n"/>
      <c r="G178" s="107" t="n"/>
      <c r="H178" s="107" t="n"/>
      <c r="I178" s="108" t="n"/>
      <c r="J178" s="108" t="n"/>
      <c r="K178" s="108" t="n"/>
      <c r="L178" s="119">
        <f>IF($E178="","",DATE(YEAR($E178),MONTH($E178),1))</f>
        <v/>
      </c>
      <c r="M178" s="112">
        <f>IF($C178="","",IF($D178="TANIMSIZ MÜŞTERİ","HATA",IF(OR($E178="",$F178&lt;=0,$G178=""),"EKSİK",IF($E178&gt;TODAY(),"İLERİ TARİH","UYGUN"))))</f>
        <v/>
      </c>
      <c r="N178" s="6" t="n"/>
      <c r="O178" s="6" t="n"/>
    </row>
    <row r="179">
      <c r="A179" s="6" t="n"/>
      <c r="B179" s="112">
        <f>IF($C179="","","T"&amp;TEXT(ROW()-6,"00000"))</f>
        <v/>
      </c>
      <c r="C179" s="107" t="n"/>
      <c r="D179" s="113">
        <f>IF($C179="","",IFERROR(INDEX(MUSTERILER!$C$7:$C$106,MATCH($C179,MUSTERILER!$B$7:$B$106,0)),"TANIMSIZ MÜŞTERİ"))</f>
        <v/>
      </c>
      <c r="E179" s="114" t="n"/>
      <c r="F179" s="115" t="n"/>
      <c r="G179" s="107" t="n"/>
      <c r="H179" s="107" t="n"/>
      <c r="I179" s="108" t="n"/>
      <c r="J179" s="108" t="n"/>
      <c r="K179" s="108" t="n"/>
      <c r="L179" s="119">
        <f>IF($E179="","",DATE(YEAR($E179),MONTH($E179),1))</f>
        <v/>
      </c>
      <c r="M179" s="112">
        <f>IF($C179="","",IF($D179="TANIMSIZ MÜŞTERİ","HATA",IF(OR($E179="",$F179&lt;=0,$G179=""),"EKSİK",IF($E179&gt;TODAY(),"İLERİ TARİH","UYGUN"))))</f>
        <v/>
      </c>
      <c r="N179" s="6" t="n"/>
      <c r="O179" s="6" t="n"/>
    </row>
    <row r="180">
      <c r="A180" s="6" t="n"/>
      <c r="B180" s="112">
        <f>IF($C180="","","T"&amp;TEXT(ROW()-6,"00000"))</f>
        <v/>
      </c>
      <c r="C180" s="107" t="n"/>
      <c r="D180" s="113">
        <f>IF($C180="","",IFERROR(INDEX(MUSTERILER!$C$7:$C$106,MATCH($C180,MUSTERILER!$B$7:$B$106,0)),"TANIMSIZ MÜŞTERİ"))</f>
        <v/>
      </c>
      <c r="E180" s="114" t="n"/>
      <c r="F180" s="115" t="n"/>
      <c r="G180" s="107" t="n"/>
      <c r="H180" s="107" t="n"/>
      <c r="I180" s="108" t="n"/>
      <c r="J180" s="108" t="n"/>
      <c r="K180" s="108" t="n"/>
      <c r="L180" s="119">
        <f>IF($E180="","",DATE(YEAR($E180),MONTH($E180),1))</f>
        <v/>
      </c>
      <c r="M180" s="112">
        <f>IF($C180="","",IF($D180="TANIMSIZ MÜŞTERİ","HATA",IF(OR($E180="",$F180&lt;=0,$G180=""),"EKSİK",IF($E180&gt;TODAY(),"İLERİ TARİH","UYGUN"))))</f>
        <v/>
      </c>
      <c r="N180" s="6" t="n"/>
      <c r="O180" s="6" t="n"/>
    </row>
    <row r="181">
      <c r="A181" s="6" t="n"/>
      <c r="B181" s="112">
        <f>IF($C181="","","T"&amp;TEXT(ROW()-6,"00000"))</f>
        <v/>
      </c>
      <c r="C181" s="107" t="n"/>
      <c r="D181" s="113">
        <f>IF($C181="","",IFERROR(INDEX(MUSTERILER!$C$7:$C$106,MATCH($C181,MUSTERILER!$B$7:$B$106,0)),"TANIMSIZ MÜŞTERİ"))</f>
        <v/>
      </c>
      <c r="E181" s="114" t="n"/>
      <c r="F181" s="115" t="n"/>
      <c r="G181" s="107" t="n"/>
      <c r="H181" s="107" t="n"/>
      <c r="I181" s="108" t="n"/>
      <c r="J181" s="108" t="n"/>
      <c r="K181" s="108" t="n"/>
      <c r="L181" s="119">
        <f>IF($E181="","",DATE(YEAR($E181),MONTH($E181),1))</f>
        <v/>
      </c>
      <c r="M181" s="112">
        <f>IF($C181="","",IF($D181="TANIMSIZ MÜŞTERİ","HATA",IF(OR($E181="",$F181&lt;=0,$G181=""),"EKSİK",IF($E181&gt;TODAY(),"İLERİ TARİH","UYGUN"))))</f>
        <v/>
      </c>
      <c r="N181" s="6" t="n"/>
      <c r="O181" s="6" t="n"/>
    </row>
    <row r="182">
      <c r="A182" s="6" t="n"/>
      <c r="B182" s="112">
        <f>IF($C182="","","T"&amp;TEXT(ROW()-6,"00000"))</f>
        <v/>
      </c>
      <c r="C182" s="107" t="n"/>
      <c r="D182" s="113">
        <f>IF($C182="","",IFERROR(INDEX(MUSTERILER!$C$7:$C$106,MATCH($C182,MUSTERILER!$B$7:$B$106,0)),"TANIMSIZ MÜŞTERİ"))</f>
        <v/>
      </c>
      <c r="E182" s="114" t="n"/>
      <c r="F182" s="115" t="n"/>
      <c r="G182" s="107" t="n"/>
      <c r="H182" s="107" t="n"/>
      <c r="I182" s="108" t="n"/>
      <c r="J182" s="108" t="n"/>
      <c r="K182" s="108" t="n"/>
      <c r="L182" s="119">
        <f>IF($E182="","",DATE(YEAR($E182),MONTH($E182),1))</f>
        <v/>
      </c>
      <c r="M182" s="112">
        <f>IF($C182="","",IF($D182="TANIMSIZ MÜŞTERİ","HATA",IF(OR($E182="",$F182&lt;=0,$G182=""),"EKSİK",IF($E182&gt;TODAY(),"İLERİ TARİH","UYGUN"))))</f>
        <v/>
      </c>
      <c r="N182" s="6" t="n"/>
      <c r="O182" s="6" t="n"/>
    </row>
    <row r="183">
      <c r="A183" s="6" t="n"/>
      <c r="B183" s="112">
        <f>IF($C183="","","T"&amp;TEXT(ROW()-6,"00000"))</f>
        <v/>
      </c>
      <c r="C183" s="107" t="n"/>
      <c r="D183" s="113">
        <f>IF($C183="","",IFERROR(INDEX(MUSTERILER!$C$7:$C$106,MATCH($C183,MUSTERILER!$B$7:$B$106,0)),"TANIMSIZ MÜŞTERİ"))</f>
        <v/>
      </c>
      <c r="E183" s="114" t="n"/>
      <c r="F183" s="115" t="n"/>
      <c r="G183" s="107" t="n"/>
      <c r="H183" s="107" t="n"/>
      <c r="I183" s="108" t="n"/>
      <c r="J183" s="108" t="n"/>
      <c r="K183" s="108" t="n"/>
      <c r="L183" s="119">
        <f>IF($E183="","",DATE(YEAR($E183),MONTH($E183),1))</f>
        <v/>
      </c>
      <c r="M183" s="112">
        <f>IF($C183="","",IF($D183="TANIMSIZ MÜŞTERİ","HATA",IF(OR($E183="",$F183&lt;=0,$G183=""),"EKSİK",IF($E183&gt;TODAY(),"İLERİ TARİH","UYGUN"))))</f>
        <v/>
      </c>
      <c r="N183" s="6" t="n"/>
      <c r="O183" s="6" t="n"/>
    </row>
    <row r="184">
      <c r="A184" s="6" t="n"/>
      <c r="B184" s="112">
        <f>IF($C184="","","T"&amp;TEXT(ROW()-6,"00000"))</f>
        <v/>
      </c>
      <c r="C184" s="107" t="n"/>
      <c r="D184" s="113">
        <f>IF($C184="","",IFERROR(INDEX(MUSTERILER!$C$7:$C$106,MATCH($C184,MUSTERILER!$B$7:$B$106,0)),"TANIMSIZ MÜŞTERİ"))</f>
        <v/>
      </c>
      <c r="E184" s="114" t="n"/>
      <c r="F184" s="115" t="n"/>
      <c r="G184" s="107" t="n"/>
      <c r="H184" s="107" t="n"/>
      <c r="I184" s="108" t="n"/>
      <c r="J184" s="108" t="n"/>
      <c r="K184" s="108" t="n"/>
      <c r="L184" s="119">
        <f>IF($E184="","",DATE(YEAR($E184),MONTH($E184),1))</f>
        <v/>
      </c>
      <c r="M184" s="112">
        <f>IF($C184="","",IF($D184="TANIMSIZ MÜŞTERİ","HATA",IF(OR($E184="",$F184&lt;=0,$G184=""),"EKSİK",IF($E184&gt;TODAY(),"İLERİ TARİH","UYGUN"))))</f>
        <v/>
      </c>
      <c r="N184" s="6" t="n"/>
      <c r="O184" s="6" t="n"/>
    </row>
    <row r="185">
      <c r="A185" s="6" t="n"/>
      <c r="B185" s="112">
        <f>IF($C185="","","T"&amp;TEXT(ROW()-6,"00000"))</f>
        <v/>
      </c>
      <c r="C185" s="107" t="n"/>
      <c r="D185" s="113">
        <f>IF($C185="","",IFERROR(INDEX(MUSTERILER!$C$7:$C$106,MATCH($C185,MUSTERILER!$B$7:$B$106,0)),"TANIMSIZ MÜŞTERİ"))</f>
        <v/>
      </c>
      <c r="E185" s="114" t="n"/>
      <c r="F185" s="115" t="n"/>
      <c r="G185" s="107" t="n"/>
      <c r="H185" s="107" t="n"/>
      <c r="I185" s="108" t="n"/>
      <c r="J185" s="108" t="n"/>
      <c r="K185" s="108" t="n"/>
      <c r="L185" s="119">
        <f>IF($E185="","",DATE(YEAR($E185),MONTH($E185),1))</f>
        <v/>
      </c>
      <c r="M185" s="112">
        <f>IF($C185="","",IF($D185="TANIMSIZ MÜŞTERİ","HATA",IF(OR($E185="",$F185&lt;=0,$G185=""),"EKSİK",IF($E185&gt;TODAY(),"İLERİ TARİH","UYGUN"))))</f>
        <v/>
      </c>
      <c r="N185" s="6" t="n"/>
      <c r="O185" s="6" t="n"/>
    </row>
    <row r="186">
      <c r="A186" s="6" t="n"/>
      <c r="B186" s="112">
        <f>IF($C186="","","T"&amp;TEXT(ROW()-6,"00000"))</f>
        <v/>
      </c>
      <c r="C186" s="107" t="n"/>
      <c r="D186" s="113">
        <f>IF($C186="","",IFERROR(INDEX(MUSTERILER!$C$7:$C$106,MATCH($C186,MUSTERILER!$B$7:$B$106,0)),"TANIMSIZ MÜŞTERİ"))</f>
        <v/>
      </c>
      <c r="E186" s="114" t="n"/>
      <c r="F186" s="115" t="n"/>
      <c r="G186" s="107" t="n"/>
      <c r="H186" s="107" t="n"/>
      <c r="I186" s="108" t="n"/>
      <c r="J186" s="108" t="n"/>
      <c r="K186" s="108" t="n"/>
      <c r="L186" s="119">
        <f>IF($E186="","",DATE(YEAR($E186),MONTH($E186),1))</f>
        <v/>
      </c>
      <c r="M186" s="112">
        <f>IF($C186="","",IF($D186="TANIMSIZ MÜŞTERİ","HATA",IF(OR($E186="",$F186&lt;=0,$G186=""),"EKSİK",IF($E186&gt;TODAY(),"İLERİ TARİH","UYGUN"))))</f>
        <v/>
      </c>
      <c r="N186" s="6" t="n"/>
      <c r="O186" s="6" t="n"/>
    </row>
    <row r="187">
      <c r="A187" s="6" t="n"/>
      <c r="B187" s="112">
        <f>IF($C187="","","T"&amp;TEXT(ROW()-6,"00000"))</f>
        <v/>
      </c>
      <c r="C187" s="107" t="n"/>
      <c r="D187" s="113">
        <f>IF($C187="","",IFERROR(INDEX(MUSTERILER!$C$7:$C$106,MATCH($C187,MUSTERILER!$B$7:$B$106,0)),"TANIMSIZ MÜŞTERİ"))</f>
        <v/>
      </c>
      <c r="E187" s="114" t="n"/>
      <c r="F187" s="115" t="n"/>
      <c r="G187" s="107" t="n"/>
      <c r="H187" s="107" t="n"/>
      <c r="I187" s="108" t="n"/>
      <c r="J187" s="108" t="n"/>
      <c r="K187" s="108" t="n"/>
      <c r="L187" s="119">
        <f>IF($E187="","",DATE(YEAR($E187),MONTH($E187),1))</f>
        <v/>
      </c>
      <c r="M187" s="112">
        <f>IF($C187="","",IF($D187="TANIMSIZ MÜŞTERİ","HATA",IF(OR($E187="",$F187&lt;=0,$G187=""),"EKSİK",IF($E187&gt;TODAY(),"İLERİ TARİH","UYGUN"))))</f>
        <v/>
      </c>
      <c r="N187" s="6" t="n"/>
      <c r="O187" s="6" t="n"/>
    </row>
    <row r="188">
      <c r="A188" s="6" t="n"/>
      <c r="B188" s="112">
        <f>IF($C188="","","T"&amp;TEXT(ROW()-6,"00000"))</f>
        <v/>
      </c>
      <c r="C188" s="107" t="n"/>
      <c r="D188" s="113">
        <f>IF($C188="","",IFERROR(INDEX(MUSTERILER!$C$7:$C$106,MATCH($C188,MUSTERILER!$B$7:$B$106,0)),"TANIMSIZ MÜŞTERİ"))</f>
        <v/>
      </c>
      <c r="E188" s="114" t="n"/>
      <c r="F188" s="115" t="n"/>
      <c r="G188" s="107" t="n"/>
      <c r="H188" s="107" t="n"/>
      <c r="I188" s="108" t="n"/>
      <c r="J188" s="108" t="n"/>
      <c r="K188" s="108" t="n"/>
      <c r="L188" s="119">
        <f>IF($E188="","",DATE(YEAR($E188),MONTH($E188),1))</f>
        <v/>
      </c>
      <c r="M188" s="112">
        <f>IF($C188="","",IF($D188="TANIMSIZ MÜŞTERİ","HATA",IF(OR($E188="",$F188&lt;=0,$G188=""),"EKSİK",IF($E188&gt;TODAY(),"İLERİ TARİH","UYGUN"))))</f>
        <v/>
      </c>
      <c r="N188" s="6" t="n"/>
      <c r="O188" s="6" t="n"/>
    </row>
    <row r="189">
      <c r="A189" s="6" t="n"/>
      <c r="B189" s="112">
        <f>IF($C189="","","T"&amp;TEXT(ROW()-6,"00000"))</f>
        <v/>
      </c>
      <c r="C189" s="107" t="n"/>
      <c r="D189" s="113">
        <f>IF($C189="","",IFERROR(INDEX(MUSTERILER!$C$7:$C$106,MATCH($C189,MUSTERILER!$B$7:$B$106,0)),"TANIMSIZ MÜŞTERİ"))</f>
        <v/>
      </c>
      <c r="E189" s="114" t="n"/>
      <c r="F189" s="115" t="n"/>
      <c r="G189" s="107" t="n"/>
      <c r="H189" s="107" t="n"/>
      <c r="I189" s="108" t="n"/>
      <c r="J189" s="108" t="n"/>
      <c r="K189" s="108" t="n"/>
      <c r="L189" s="119">
        <f>IF($E189="","",DATE(YEAR($E189),MONTH($E189),1))</f>
        <v/>
      </c>
      <c r="M189" s="112">
        <f>IF($C189="","",IF($D189="TANIMSIZ MÜŞTERİ","HATA",IF(OR($E189="",$F189&lt;=0,$G189=""),"EKSİK",IF($E189&gt;TODAY(),"İLERİ TARİH","UYGUN"))))</f>
        <v/>
      </c>
      <c r="N189" s="6" t="n"/>
      <c r="O189" s="6" t="n"/>
    </row>
    <row r="190">
      <c r="A190" s="6" t="n"/>
      <c r="B190" s="112">
        <f>IF($C190="","","T"&amp;TEXT(ROW()-6,"00000"))</f>
        <v/>
      </c>
      <c r="C190" s="107" t="n"/>
      <c r="D190" s="113">
        <f>IF($C190="","",IFERROR(INDEX(MUSTERILER!$C$7:$C$106,MATCH($C190,MUSTERILER!$B$7:$B$106,0)),"TANIMSIZ MÜŞTERİ"))</f>
        <v/>
      </c>
      <c r="E190" s="114" t="n"/>
      <c r="F190" s="115" t="n"/>
      <c r="G190" s="107" t="n"/>
      <c r="H190" s="107" t="n"/>
      <c r="I190" s="108" t="n"/>
      <c r="J190" s="108" t="n"/>
      <c r="K190" s="108" t="n"/>
      <c r="L190" s="119">
        <f>IF($E190="","",DATE(YEAR($E190),MONTH($E190),1))</f>
        <v/>
      </c>
      <c r="M190" s="112">
        <f>IF($C190="","",IF($D190="TANIMSIZ MÜŞTERİ","HATA",IF(OR($E190="",$F190&lt;=0,$G190=""),"EKSİK",IF($E190&gt;TODAY(),"İLERİ TARİH","UYGUN"))))</f>
        <v/>
      </c>
      <c r="N190" s="6" t="n"/>
      <c r="O190" s="6" t="n"/>
    </row>
    <row r="191">
      <c r="A191" s="6" t="n"/>
      <c r="B191" s="112">
        <f>IF($C191="","","T"&amp;TEXT(ROW()-6,"00000"))</f>
        <v/>
      </c>
      <c r="C191" s="107" t="n"/>
      <c r="D191" s="113">
        <f>IF($C191="","",IFERROR(INDEX(MUSTERILER!$C$7:$C$106,MATCH($C191,MUSTERILER!$B$7:$B$106,0)),"TANIMSIZ MÜŞTERİ"))</f>
        <v/>
      </c>
      <c r="E191" s="114" t="n"/>
      <c r="F191" s="115" t="n"/>
      <c r="G191" s="107" t="n"/>
      <c r="H191" s="107" t="n"/>
      <c r="I191" s="108" t="n"/>
      <c r="J191" s="108" t="n"/>
      <c r="K191" s="108" t="n"/>
      <c r="L191" s="119">
        <f>IF($E191="","",DATE(YEAR($E191),MONTH($E191),1))</f>
        <v/>
      </c>
      <c r="M191" s="112">
        <f>IF($C191="","",IF($D191="TANIMSIZ MÜŞTERİ","HATA",IF(OR($E191="",$F191&lt;=0,$G191=""),"EKSİK",IF($E191&gt;TODAY(),"İLERİ TARİH","UYGUN"))))</f>
        <v/>
      </c>
      <c r="N191" s="6" t="n"/>
      <c r="O191" s="6" t="n"/>
    </row>
    <row r="192">
      <c r="A192" s="6" t="n"/>
      <c r="B192" s="112">
        <f>IF($C192="","","T"&amp;TEXT(ROW()-6,"00000"))</f>
        <v/>
      </c>
      <c r="C192" s="107" t="n"/>
      <c r="D192" s="113">
        <f>IF($C192="","",IFERROR(INDEX(MUSTERILER!$C$7:$C$106,MATCH($C192,MUSTERILER!$B$7:$B$106,0)),"TANIMSIZ MÜŞTERİ"))</f>
        <v/>
      </c>
      <c r="E192" s="114" t="n"/>
      <c r="F192" s="115" t="n"/>
      <c r="G192" s="107" t="n"/>
      <c r="H192" s="107" t="n"/>
      <c r="I192" s="108" t="n"/>
      <c r="J192" s="108" t="n"/>
      <c r="K192" s="108" t="n"/>
      <c r="L192" s="119">
        <f>IF($E192="","",DATE(YEAR($E192),MONTH($E192),1))</f>
        <v/>
      </c>
      <c r="M192" s="112">
        <f>IF($C192="","",IF($D192="TANIMSIZ MÜŞTERİ","HATA",IF(OR($E192="",$F192&lt;=0,$G192=""),"EKSİK",IF($E192&gt;TODAY(),"İLERİ TARİH","UYGUN"))))</f>
        <v/>
      </c>
      <c r="N192" s="6" t="n"/>
      <c r="O192" s="6" t="n"/>
    </row>
    <row r="193">
      <c r="A193" s="6" t="n"/>
      <c r="B193" s="112">
        <f>IF($C193="","","T"&amp;TEXT(ROW()-6,"00000"))</f>
        <v/>
      </c>
      <c r="C193" s="107" t="n"/>
      <c r="D193" s="113">
        <f>IF($C193="","",IFERROR(INDEX(MUSTERILER!$C$7:$C$106,MATCH($C193,MUSTERILER!$B$7:$B$106,0)),"TANIMSIZ MÜŞTERİ"))</f>
        <v/>
      </c>
      <c r="E193" s="114" t="n"/>
      <c r="F193" s="115" t="n"/>
      <c r="G193" s="107" t="n"/>
      <c r="H193" s="107" t="n"/>
      <c r="I193" s="108" t="n"/>
      <c r="J193" s="108" t="n"/>
      <c r="K193" s="108" t="n"/>
      <c r="L193" s="119">
        <f>IF($E193="","",DATE(YEAR($E193),MONTH($E193),1))</f>
        <v/>
      </c>
      <c r="M193" s="112">
        <f>IF($C193="","",IF($D193="TANIMSIZ MÜŞTERİ","HATA",IF(OR($E193="",$F193&lt;=0,$G193=""),"EKSİK",IF($E193&gt;TODAY(),"İLERİ TARİH","UYGUN"))))</f>
        <v/>
      </c>
      <c r="N193" s="6" t="n"/>
      <c r="O193" s="6" t="n"/>
    </row>
    <row r="194">
      <c r="A194" s="6" t="n"/>
      <c r="B194" s="112">
        <f>IF($C194="","","T"&amp;TEXT(ROW()-6,"00000"))</f>
        <v/>
      </c>
      <c r="C194" s="107" t="n"/>
      <c r="D194" s="113">
        <f>IF($C194="","",IFERROR(INDEX(MUSTERILER!$C$7:$C$106,MATCH($C194,MUSTERILER!$B$7:$B$106,0)),"TANIMSIZ MÜŞTERİ"))</f>
        <v/>
      </c>
      <c r="E194" s="114" t="n"/>
      <c r="F194" s="115" t="n"/>
      <c r="G194" s="107" t="n"/>
      <c r="H194" s="107" t="n"/>
      <c r="I194" s="108" t="n"/>
      <c r="J194" s="108" t="n"/>
      <c r="K194" s="108" t="n"/>
      <c r="L194" s="119">
        <f>IF($E194="","",DATE(YEAR($E194),MONTH($E194),1))</f>
        <v/>
      </c>
      <c r="M194" s="112">
        <f>IF($C194="","",IF($D194="TANIMSIZ MÜŞTERİ","HATA",IF(OR($E194="",$F194&lt;=0,$G194=""),"EKSİK",IF($E194&gt;TODAY(),"İLERİ TARİH","UYGUN"))))</f>
        <v/>
      </c>
      <c r="N194" s="6" t="n"/>
      <c r="O194" s="6" t="n"/>
    </row>
    <row r="195">
      <c r="A195" s="6" t="n"/>
      <c r="B195" s="112">
        <f>IF($C195="","","T"&amp;TEXT(ROW()-6,"00000"))</f>
        <v/>
      </c>
      <c r="C195" s="107" t="n"/>
      <c r="D195" s="113">
        <f>IF($C195="","",IFERROR(INDEX(MUSTERILER!$C$7:$C$106,MATCH($C195,MUSTERILER!$B$7:$B$106,0)),"TANIMSIZ MÜŞTERİ"))</f>
        <v/>
      </c>
      <c r="E195" s="114" t="n"/>
      <c r="F195" s="115" t="n"/>
      <c r="G195" s="107" t="n"/>
      <c r="H195" s="107" t="n"/>
      <c r="I195" s="108" t="n"/>
      <c r="J195" s="108" t="n"/>
      <c r="K195" s="108" t="n"/>
      <c r="L195" s="119">
        <f>IF($E195="","",DATE(YEAR($E195),MONTH($E195),1))</f>
        <v/>
      </c>
      <c r="M195" s="112">
        <f>IF($C195="","",IF($D195="TANIMSIZ MÜŞTERİ","HATA",IF(OR($E195="",$F195&lt;=0,$G195=""),"EKSİK",IF($E195&gt;TODAY(),"İLERİ TARİH","UYGUN"))))</f>
        <v/>
      </c>
      <c r="N195" s="6" t="n"/>
      <c r="O195" s="6" t="n"/>
    </row>
    <row r="196">
      <c r="A196" s="6" t="n"/>
      <c r="B196" s="112">
        <f>IF($C196="","","T"&amp;TEXT(ROW()-6,"00000"))</f>
        <v/>
      </c>
      <c r="C196" s="107" t="n"/>
      <c r="D196" s="113">
        <f>IF($C196="","",IFERROR(INDEX(MUSTERILER!$C$7:$C$106,MATCH($C196,MUSTERILER!$B$7:$B$106,0)),"TANIMSIZ MÜŞTERİ"))</f>
        <v/>
      </c>
      <c r="E196" s="114" t="n"/>
      <c r="F196" s="115" t="n"/>
      <c r="G196" s="107" t="n"/>
      <c r="H196" s="107" t="n"/>
      <c r="I196" s="108" t="n"/>
      <c r="J196" s="108" t="n"/>
      <c r="K196" s="108" t="n"/>
      <c r="L196" s="119">
        <f>IF($E196="","",DATE(YEAR($E196),MONTH($E196),1))</f>
        <v/>
      </c>
      <c r="M196" s="112">
        <f>IF($C196="","",IF($D196="TANIMSIZ MÜŞTERİ","HATA",IF(OR($E196="",$F196&lt;=0,$G196=""),"EKSİK",IF($E196&gt;TODAY(),"İLERİ TARİH","UYGUN"))))</f>
        <v/>
      </c>
      <c r="N196" s="6" t="n"/>
      <c r="O196" s="6" t="n"/>
    </row>
    <row r="197">
      <c r="A197" s="6" t="n"/>
      <c r="B197" s="112">
        <f>IF($C197="","","T"&amp;TEXT(ROW()-6,"00000"))</f>
        <v/>
      </c>
      <c r="C197" s="107" t="n"/>
      <c r="D197" s="113">
        <f>IF($C197="","",IFERROR(INDEX(MUSTERILER!$C$7:$C$106,MATCH($C197,MUSTERILER!$B$7:$B$106,0)),"TANIMSIZ MÜŞTERİ"))</f>
        <v/>
      </c>
      <c r="E197" s="114" t="n"/>
      <c r="F197" s="115" t="n"/>
      <c r="G197" s="107" t="n"/>
      <c r="H197" s="107" t="n"/>
      <c r="I197" s="108" t="n"/>
      <c r="J197" s="108" t="n"/>
      <c r="K197" s="108" t="n"/>
      <c r="L197" s="119">
        <f>IF($E197="","",DATE(YEAR($E197),MONTH($E197),1))</f>
        <v/>
      </c>
      <c r="M197" s="112">
        <f>IF($C197="","",IF($D197="TANIMSIZ MÜŞTERİ","HATA",IF(OR($E197="",$F197&lt;=0,$G197=""),"EKSİK",IF($E197&gt;TODAY(),"İLERİ TARİH","UYGUN"))))</f>
        <v/>
      </c>
      <c r="N197" s="6" t="n"/>
      <c r="O197" s="6" t="n"/>
    </row>
    <row r="198">
      <c r="A198" s="6" t="n"/>
      <c r="B198" s="112">
        <f>IF($C198="","","T"&amp;TEXT(ROW()-6,"00000"))</f>
        <v/>
      </c>
      <c r="C198" s="107" t="n"/>
      <c r="D198" s="113">
        <f>IF($C198="","",IFERROR(INDEX(MUSTERILER!$C$7:$C$106,MATCH($C198,MUSTERILER!$B$7:$B$106,0)),"TANIMSIZ MÜŞTERİ"))</f>
        <v/>
      </c>
      <c r="E198" s="114" t="n"/>
      <c r="F198" s="115" t="n"/>
      <c r="G198" s="107" t="n"/>
      <c r="H198" s="107" t="n"/>
      <c r="I198" s="108" t="n"/>
      <c r="J198" s="108" t="n"/>
      <c r="K198" s="108" t="n"/>
      <c r="L198" s="119">
        <f>IF($E198="","",DATE(YEAR($E198),MONTH($E198),1))</f>
        <v/>
      </c>
      <c r="M198" s="112">
        <f>IF($C198="","",IF($D198="TANIMSIZ MÜŞTERİ","HATA",IF(OR($E198="",$F198&lt;=0,$G198=""),"EKSİK",IF($E198&gt;TODAY(),"İLERİ TARİH","UYGUN"))))</f>
        <v/>
      </c>
      <c r="N198" s="6" t="n"/>
      <c r="O198" s="6" t="n"/>
    </row>
    <row r="199">
      <c r="A199" s="6" t="n"/>
      <c r="B199" s="112">
        <f>IF($C199="","","T"&amp;TEXT(ROW()-6,"00000"))</f>
        <v/>
      </c>
      <c r="C199" s="107" t="n"/>
      <c r="D199" s="113">
        <f>IF($C199="","",IFERROR(INDEX(MUSTERILER!$C$7:$C$106,MATCH($C199,MUSTERILER!$B$7:$B$106,0)),"TANIMSIZ MÜŞTERİ"))</f>
        <v/>
      </c>
      <c r="E199" s="114" t="n"/>
      <c r="F199" s="115" t="n"/>
      <c r="G199" s="107" t="n"/>
      <c r="H199" s="107" t="n"/>
      <c r="I199" s="108" t="n"/>
      <c r="J199" s="108" t="n"/>
      <c r="K199" s="108" t="n"/>
      <c r="L199" s="119">
        <f>IF($E199="","",DATE(YEAR($E199),MONTH($E199),1))</f>
        <v/>
      </c>
      <c r="M199" s="112">
        <f>IF($C199="","",IF($D199="TANIMSIZ MÜŞTERİ","HATA",IF(OR($E199="",$F199&lt;=0,$G199=""),"EKSİK",IF($E199&gt;TODAY(),"İLERİ TARİH","UYGUN"))))</f>
        <v/>
      </c>
      <c r="N199" s="6" t="n"/>
      <c r="O199" s="6" t="n"/>
    </row>
    <row r="200">
      <c r="A200" s="6" t="n"/>
      <c r="B200" s="112">
        <f>IF($C200="","","T"&amp;TEXT(ROW()-6,"00000"))</f>
        <v/>
      </c>
      <c r="C200" s="107" t="n"/>
      <c r="D200" s="113">
        <f>IF($C200="","",IFERROR(INDEX(MUSTERILER!$C$7:$C$106,MATCH($C200,MUSTERILER!$B$7:$B$106,0)),"TANIMSIZ MÜŞTERİ"))</f>
        <v/>
      </c>
      <c r="E200" s="114" t="n"/>
      <c r="F200" s="115" t="n"/>
      <c r="G200" s="107" t="n"/>
      <c r="H200" s="107" t="n"/>
      <c r="I200" s="108" t="n"/>
      <c r="J200" s="108" t="n"/>
      <c r="K200" s="108" t="n"/>
      <c r="L200" s="119">
        <f>IF($E200="","",DATE(YEAR($E200),MONTH($E200),1))</f>
        <v/>
      </c>
      <c r="M200" s="112">
        <f>IF($C200="","",IF($D200="TANIMSIZ MÜŞTERİ","HATA",IF(OR($E200="",$F200&lt;=0,$G200=""),"EKSİK",IF($E200&gt;TODAY(),"İLERİ TARİH","UYGUN"))))</f>
        <v/>
      </c>
      <c r="N200" s="6" t="n"/>
      <c r="O200" s="6" t="n"/>
    </row>
    <row r="201">
      <c r="A201" s="6" t="n"/>
      <c r="B201" s="112">
        <f>IF($C201="","","T"&amp;TEXT(ROW()-6,"00000"))</f>
        <v/>
      </c>
      <c r="C201" s="107" t="n"/>
      <c r="D201" s="113">
        <f>IF($C201="","",IFERROR(INDEX(MUSTERILER!$C$7:$C$106,MATCH($C201,MUSTERILER!$B$7:$B$106,0)),"TANIMSIZ MÜŞTERİ"))</f>
        <v/>
      </c>
      <c r="E201" s="114" t="n"/>
      <c r="F201" s="115" t="n"/>
      <c r="G201" s="107" t="n"/>
      <c r="H201" s="107" t="n"/>
      <c r="I201" s="108" t="n"/>
      <c r="J201" s="108" t="n"/>
      <c r="K201" s="108" t="n"/>
      <c r="L201" s="119">
        <f>IF($E201="","",DATE(YEAR($E201),MONTH($E201),1))</f>
        <v/>
      </c>
      <c r="M201" s="112">
        <f>IF($C201="","",IF($D201="TANIMSIZ MÜŞTERİ","HATA",IF(OR($E201="",$F201&lt;=0,$G201=""),"EKSİK",IF($E201&gt;TODAY(),"İLERİ TARİH","UYGUN"))))</f>
        <v/>
      </c>
      <c r="N201" s="6" t="n"/>
      <c r="O201" s="6" t="n"/>
    </row>
    <row r="202">
      <c r="A202" s="6" t="n"/>
      <c r="B202" s="112">
        <f>IF($C202="","","T"&amp;TEXT(ROW()-6,"00000"))</f>
        <v/>
      </c>
      <c r="C202" s="107" t="n"/>
      <c r="D202" s="113">
        <f>IF($C202="","",IFERROR(INDEX(MUSTERILER!$C$7:$C$106,MATCH($C202,MUSTERILER!$B$7:$B$106,0)),"TANIMSIZ MÜŞTERİ"))</f>
        <v/>
      </c>
      <c r="E202" s="114" t="n"/>
      <c r="F202" s="115" t="n"/>
      <c r="G202" s="107" t="n"/>
      <c r="H202" s="107" t="n"/>
      <c r="I202" s="108" t="n"/>
      <c r="J202" s="108" t="n"/>
      <c r="K202" s="108" t="n"/>
      <c r="L202" s="119">
        <f>IF($E202="","",DATE(YEAR($E202),MONTH($E202),1))</f>
        <v/>
      </c>
      <c r="M202" s="112">
        <f>IF($C202="","",IF($D202="TANIMSIZ MÜŞTERİ","HATA",IF(OR($E202="",$F202&lt;=0,$G202=""),"EKSİK",IF($E202&gt;TODAY(),"İLERİ TARİH","UYGUN"))))</f>
        <v/>
      </c>
      <c r="N202" s="6" t="n"/>
      <c r="O202" s="6" t="n"/>
    </row>
    <row r="203">
      <c r="A203" s="6" t="n"/>
      <c r="B203" s="112">
        <f>IF($C203="","","T"&amp;TEXT(ROW()-6,"00000"))</f>
        <v/>
      </c>
      <c r="C203" s="107" t="n"/>
      <c r="D203" s="113">
        <f>IF($C203="","",IFERROR(INDEX(MUSTERILER!$C$7:$C$106,MATCH($C203,MUSTERILER!$B$7:$B$106,0)),"TANIMSIZ MÜŞTERİ"))</f>
        <v/>
      </c>
      <c r="E203" s="114" t="n"/>
      <c r="F203" s="115" t="n"/>
      <c r="G203" s="107" t="n"/>
      <c r="H203" s="107" t="n"/>
      <c r="I203" s="108" t="n"/>
      <c r="J203" s="108" t="n"/>
      <c r="K203" s="108" t="n"/>
      <c r="L203" s="119">
        <f>IF($E203="","",DATE(YEAR($E203),MONTH($E203),1))</f>
        <v/>
      </c>
      <c r="M203" s="112">
        <f>IF($C203="","",IF($D203="TANIMSIZ MÜŞTERİ","HATA",IF(OR($E203="",$F203&lt;=0,$G203=""),"EKSİK",IF($E203&gt;TODAY(),"İLERİ TARİH","UYGUN"))))</f>
        <v/>
      </c>
      <c r="N203" s="6" t="n"/>
      <c r="O203" s="6" t="n"/>
    </row>
    <row r="204">
      <c r="A204" s="6" t="n"/>
      <c r="B204" s="112">
        <f>IF($C204="","","T"&amp;TEXT(ROW()-6,"00000"))</f>
        <v/>
      </c>
      <c r="C204" s="107" t="n"/>
      <c r="D204" s="113">
        <f>IF($C204="","",IFERROR(INDEX(MUSTERILER!$C$7:$C$106,MATCH($C204,MUSTERILER!$B$7:$B$106,0)),"TANIMSIZ MÜŞTERİ"))</f>
        <v/>
      </c>
      <c r="E204" s="114" t="n"/>
      <c r="F204" s="115" t="n"/>
      <c r="G204" s="107" t="n"/>
      <c r="H204" s="107" t="n"/>
      <c r="I204" s="108" t="n"/>
      <c r="J204" s="108" t="n"/>
      <c r="K204" s="108" t="n"/>
      <c r="L204" s="119">
        <f>IF($E204="","",DATE(YEAR($E204),MONTH($E204),1))</f>
        <v/>
      </c>
      <c r="M204" s="112">
        <f>IF($C204="","",IF($D204="TANIMSIZ MÜŞTERİ","HATA",IF(OR($E204="",$F204&lt;=0,$G204=""),"EKSİK",IF($E204&gt;TODAY(),"İLERİ TARİH","UYGUN"))))</f>
        <v/>
      </c>
      <c r="N204" s="6" t="n"/>
      <c r="O204" s="6" t="n"/>
    </row>
    <row r="205">
      <c r="A205" s="6" t="n"/>
      <c r="B205" s="112">
        <f>IF($C205="","","T"&amp;TEXT(ROW()-6,"00000"))</f>
        <v/>
      </c>
      <c r="C205" s="107" t="n"/>
      <c r="D205" s="113">
        <f>IF($C205="","",IFERROR(INDEX(MUSTERILER!$C$7:$C$106,MATCH($C205,MUSTERILER!$B$7:$B$106,0)),"TANIMSIZ MÜŞTERİ"))</f>
        <v/>
      </c>
      <c r="E205" s="114" t="n"/>
      <c r="F205" s="115" t="n"/>
      <c r="G205" s="107" t="n"/>
      <c r="H205" s="107" t="n"/>
      <c r="I205" s="108" t="n"/>
      <c r="J205" s="108" t="n"/>
      <c r="K205" s="108" t="n"/>
      <c r="L205" s="119">
        <f>IF($E205="","",DATE(YEAR($E205),MONTH($E205),1))</f>
        <v/>
      </c>
      <c r="M205" s="112">
        <f>IF($C205="","",IF($D205="TANIMSIZ MÜŞTERİ","HATA",IF(OR($E205="",$F205&lt;=0,$G205=""),"EKSİK",IF($E205&gt;TODAY(),"İLERİ TARİH","UYGUN"))))</f>
        <v/>
      </c>
      <c r="N205" s="6" t="n"/>
      <c r="O205" s="6" t="n"/>
    </row>
    <row r="206">
      <c r="A206" s="6" t="n"/>
      <c r="B206" s="112">
        <f>IF($C206="","","T"&amp;TEXT(ROW()-6,"00000"))</f>
        <v/>
      </c>
      <c r="C206" s="107" t="n"/>
      <c r="D206" s="113">
        <f>IF($C206="","",IFERROR(INDEX(MUSTERILER!$C$7:$C$106,MATCH($C206,MUSTERILER!$B$7:$B$106,0)),"TANIMSIZ MÜŞTERİ"))</f>
        <v/>
      </c>
      <c r="E206" s="114" t="n"/>
      <c r="F206" s="115" t="n"/>
      <c r="G206" s="107" t="n"/>
      <c r="H206" s="107" t="n"/>
      <c r="I206" s="108" t="n"/>
      <c r="J206" s="108" t="n"/>
      <c r="K206" s="108" t="n"/>
      <c r="L206" s="119">
        <f>IF($E206="","",DATE(YEAR($E206),MONTH($E206),1))</f>
        <v/>
      </c>
      <c r="M206" s="112">
        <f>IF($C206="","",IF($D206="TANIMSIZ MÜŞTERİ","HATA",IF(OR($E206="",$F206&lt;=0,$G206=""),"EKSİK",IF($E206&gt;TODAY(),"İLERİ TARİH","UYGUN"))))</f>
        <v/>
      </c>
      <c r="N206" s="6" t="n"/>
      <c r="O206" s="6" t="n"/>
    </row>
    <row r="207">
      <c r="A207" s="6" t="n"/>
      <c r="B207" s="112">
        <f>IF($C207="","","T"&amp;TEXT(ROW()-6,"00000"))</f>
        <v/>
      </c>
      <c r="C207" s="107" t="n"/>
      <c r="D207" s="113">
        <f>IF($C207="","",IFERROR(INDEX(MUSTERILER!$C$7:$C$106,MATCH($C207,MUSTERILER!$B$7:$B$106,0)),"TANIMSIZ MÜŞTERİ"))</f>
        <v/>
      </c>
      <c r="E207" s="114" t="n"/>
      <c r="F207" s="115" t="n"/>
      <c r="G207" s="107" t="n"/>
      <c r="H207" s="107" t="n"/>
      <c r="I207" s="108" t="n"/>
      <c r="J207" s="108" t="n"/>
      <c r="K207" s="108" t="n"/>
      <c r="L207" s="119">
        <f>IF($E207="","",DATE(YEAR($E207),MONTH($E207),1))</f>
        <v/>
      </c>
      <c r="M207" s="112">
        <f>IF($C207="","",IF($D207="TANIMSIZ MÜŞTERİ","HATA",IF(OR($E207="",$F207&lt;=0,$G207=""),"EKSİK",IF($E207&gt;TODAY(),"İLERİ TARİH","UYGUN"))))</f>
        <v/>
      </c>
      <c r="N207" s="6" t="n"/>
      <c r="O207" s="6" t="n"/>
    </row>
    <row r="208">
      <c r="A208" s="6" t="n"/>
      <c r="B208" s="112">
        <f>IF($C208="","","T"&amp;TEXT(ROW()-6,"00000"))</f>
        <v/>
      </c>
      <c r="C208" s="107" t="n"/>
      <c r="D208" s="113">
        <f>IF($C208="","",IFERROR(INDEX(MUSTERILER!$C$7:$C$106,MATCH($C208,MUSTERILER!$B$7:$B$106,0)),"TANIMSIZ MÜŞTERİ"))</f>
        <v/>
      </c>
      <c r="E208" s="114" t="n"/>
      <c r="F208" s="115" t="n"/>
      <c r="G208" s="107" t="n"/>
      <c r="H208" s="107" t="n"/>
      <c r="I208" s="108" t="n"/>
      <c r="J208" s="108" t="n"/>
      <c r="K208" s="108" t="n"/>
      <c r="L208" s="119">
        <f>IF($E208="","",DATE(YEAR($E208),MONTH($E208),1))</f>
        <v/>
      </c>
      <c r="M208" s="112">
        <f>IF($C208="","",IF($D208="TANIMSIZ MÜŞTERİ","HATA",IF(OR($E208="",$F208&lt;=0,$G208=""),"EKSİK",IF($E208&gt;TODAY(),"İLERİ TARİH","UYGUN"))))</f>
        <v/>
      </c>
      <c r="N208" s="6" t="n"/>
      <c r="O208" s="6" t="n"/>
    </row>
    <row r="209">
      <c r="A209" s="6" t="n"/>
      <c r="B209" s="112">
        <f>IF($C209="","","T"&amp;TEXT(ROW()-6,"00000"))</f>
        <v/>
      </c>
      <c r="C209" s="107" t="n"/>
      <c r="D209" s="113">
        <f>IF($C209="","",IFERROR(INDEX(MUSTERILER!$C$7:$C$106,MATCH($C209,MUSTERILER!$B$7:$B$106,0)),"TANIMSIZ MÜŞTERİ"))</f>
        <v/>
      </c>
      <c r="E209" s="114" t="n"/>
      <c r="F209" s="115" t="n"/>
      <c r="G209" s="107" t="n"/>
      <c r="H209" s="107" t="n"/>
      <c r="I209" s="108" t="n"/>
      <c r="J209" s="108" t="n"/>
      <c r="K209" s="108" t="n"/>
      <c r="L209" s="119">
        <f>IF($E209="","",DATE(YEAR($E209),MONTH($E209),1))</f>
        <v/>
      </c>
      <c r="M209" s="112">
        <f>IF($C209="","",IF($D209="TANIMSIZ MÜŞTERİ","HATA",IF(OR($E209="",$F209&lt;=0,$G209=""),"EKSİK",IF($E209&gt;TODAY(),"İLERİ TARİH","UYGUN"))))</f>
        <v/>
      </c>
      <c r="N209" s="6" t="n"/>
      <c r="O209" s="6" t="n"/>
    </row>
    <row r="210">
      <c r="A210" s="6" t="n"/>
      <c r="B210" s="112">
        <f>IF($C210="","","T"&amp;TEXT(ROW()-6,"00000"))</f>
        <v/>
      </c>
      <c r="C210" s="107" t="n"/>
      <c r="D210" s="113">
        <f>IF($C210="","",IFERROR(INDEX(MUSTERILER!$C$7:$C$106,MATCH($C210,MUSTERILER!$B$7:$B$106,0)),"TANIMSIZ MÜŞTERİ"))</f>
        <v/>
      </c>
      <c r="E210" s="114" t="n"/>
      <c r="F210" s="115" t="n"/>
      <c r="G210" s="107" t="n"/>
      <c r="H210" s="107" t="n"/>
      <c r="I210" s="108" t="n"/>
      <c r="J210" s="108" t="n"/>
      <c r="K210" s="108" t="n"/>
      <c r="L210" s="119">
        <f>IF($E210="","",DATE(YEAR($E210),MONTH($E210),1))</f>
        <v/>
      </c>
      <c r="M210" s="112">
        <f>IF($C210="","",IF($D210="TANIMSIZ MÜŞTERİ","HATA",IF(OR($E210="",$F210&lt;=0,$G210=""),"EKSİK",IF($E210&gt;TODAY(),"İLERİ TARİH","UYGUN"))))</f>
        <v/>
      </c>
      <c r="N210" s="6" t="n"/>
      <c r="O210" s="6" t="n"/>
    </row>
    <row r="211">
      <c r="A211" s="6" t="n"/>
      <c r="B211" s="112">
        <f>IF($C211="","","T"&amp;TEXT(ROW()-6,"00000"))</f>
        <v/>
      </c>
      <c r="C211" s="107" t="n"/>
      <c r="D211" s="113">
        <f>IF($C211="","",IFERROR(INDEX(MUSTERILER!$C$7:$C$106,MATCH($C211,MUSTERILER!$B$7:$B$106,0)),"TANIMSIZ MÜŞTERİ"))</f>
        <v/>
      </c>
      <c r="E211" s="114" t="n"/>
      <c r="F211" s="115" t="n"/>
      <c r="G211" s="107" t="n"/>
      <c r="H211" s="107" t="n"/>
      <c r="I211" s="108" t="n"/>
      <c r="J211" s="108" t="n"/>
      <c r="K211" s="108" t="n"/>
      <c r="L211" s="119">
        <f>IF($E211="","",DATE(YEAR($E211),MONTH($E211),1))</f>
        <v/>
      </c>
      <c r="M211" s="112">
        <f>IF($C211="","",IF($D211="TANIMSIZ MÜŞTERİ","HATA",IF(OR($E211="",$F211&lt;=0,$G211=""),"EKSİK",IF($E211&gt;TODAY(),"İLERİ TARİH","UYGUN"))))</f>
        <v/>
      </c>
      <c r="N211" s="6" t="n"/>
      <c r="O211" s="6" t="n"/>
    </row>
    <row r="212">
      <c r="A212" s="6" t="n"/>
      <c r="B212" s="112">
        <f>IF($C212="","","T"&amp;TEXT(ROW()-6,"00000"))</f>
        <v/>
      </c>
      <c r="C212" s="107" t="n"/>
      <c r="D212" s="113">
        <f>IF($C212="","",IFERROR(INDEX(MUSTERILER!$C$7:$C$106,MATCH($C212,MUSTERILER!$B$7:$B$106,0)),"TANIMSIZ MÜŞTERİ"))</f>
        <v/>
      </c>
      <c r="E212" s="114" t="n"/>
      <c r="F212" s="115" t="n"/>
      <c r="G212" s="107" t="n"/>
      <c r="H212" s="107" t="n"/>
      <c r="I212" s="108" t="n"/>
      <c r="J212" s="108" t="n"/>
      <c r="K212" s="108" t="n"/>
      <c r="L212" s="119">
        <f>IF($E212="","",DATE(YEAR($E212),MONTH($E212),1))</f>
        <v/>
      </c>
      <c r="M212" s="112">
        <f>IF($C212="","",IF($D212="TANIMSIZ MÜŞTERİ","HATA",IF(OR($E212="",$F212&lt;=0,$G212=""),"EKSİK",IF($E212&gt;TODAY(),"İLERİ TARİH","UYGUN"))))</f>
        <v/>
      </c>
      <c r="N212" s="6" t="n"/>
      <c r="O212" s="6" t="n"/>
    </row>
    <row r="213">
      <c r="A213" s="6" t="n"/>
      <c r="B213" s="112">
        <f>IF($C213="","","T"&amp;TEXT(ROW()-6,"00000"))</f>
        <v/>
      </c>
      <c r="C213" s="107" t="n"/>
      <c r="D213" s="113">
        <f>IF($C213="","",IFERROR(INDEX(MUSTERILER!$C$7:$C$106,MATCH($C213,MUSTERILER!$B$7:$B$106,0)),"TANIMSIZ MÜŞTERİ"))</f>
        <v/>
      </c>
      <c r="E213" s="114" t="n"/>
      <c r="F213" s="115" t="n"/>
      <c r="G213" s="107" t="n"/>
      <c r="H213" s="107" t="n"/>
      <c r="I213" s="108" t="n"/>
      <c r="J213" s="108" t="n"/>
      <c r="K213" s="108" t="n"/>
      <c r="L213" s="119">
        <f>IF($E213="","",DATE(YEAR($E213),MONTH($E213),1))</f>
        <v/>
      </c>
      <c r="M213" s="112">
        <f>IF($C213="","",IF($D213="TANIMSIZ MÜŞTERİ","HATA",IF(OR($E213="",$F213&lt;=0,$G213=""),"EKSİK",IF($E213&gt;TODAY(),"İLERİ TARİH","UYGUN"))))</f>
        <v/>
      </c>
      <c r="N213" s="6" t="n"/>
      <c r="O213" s="6" t="n"/>
    </row>
    <row r="214">
      <c r="A214" s="6" t="n"/>
      <c r="B214" s="112">
        <f>IF($C214="","","T"&amp;TEXT(ROW()-6,"00000"))</f>
        <v/>
      </c>
      <c r="C214" s="107" t="n"/>
      <c r="D214" s="113">
        <f>IF($C214="","",IFERROR(INDEX(MUSTERILER!$C$7:$C$106,MATCH($C214,MUSTERILER!$B$7:$B$106,0)),"TANIMSIZ MÜŞTERİ"))</f>
        <v/>
      </c>
      <c r="E214" s="114" t="n"/>
      <c r="F214" s="115" t="n"/>
      <c r="G214" s="107" t="n"/>
      <c r="H214" s="107" t="n"/>
      <c r="I214" s="108" t="n"/>
      <c r="J214" s="108" t="n"/>
      <c r="K214" s="108" t="n"/>
      <c r="L214" s="119">
        <f>IF($E214="","",DATE(YEAR($E214),MONTH($E214),1))</f>
        <v/>
      </c>
      <c r="M214" s="112">
        <f>IF($C214="","",IF($D214="TANIMSIZ MÜŞTERİ","HATA",IF(OR($E214="",$F214&lt;=0,$G214=""),"EKSİK",IF($E214&gt;TODAY(),"İLERİ TARİH","UYGUN"))))</f>
        <v/>
      </c>
      <c r="N214" s="6" t="n"/>
      <c r="O214" s="6" t="n"/>
    </row>
    <row r="215">
      <c r="A215" s="6" t="n"/>
      <c r="B215" s="112">
        <f>IF($C215="","","T"&amp;TEXT(ROW()-6,"00000"))</f>
        <v/>
      </c>
      <c r="C215" s="107" t="n"/>
      <c r="D215" s="113">
        <f>IF($C215="","",IFERROR(INDEX(MUSTERILER!$C$7:$C$106,MATCH($C215,MUSTERILER!$B$7:$B$106,0)),"TANIMSIZ MÜŞTERİ"))</f>
        <v/>
      </c>
      <c r="E215" s="114" t="n"/>
      <c r="F215" s="115" t="n"/>
      <c r="G215" s="107" t="n"/>
      <c r="H215" s="107" t="n"/>
      <c r="I215" s="108" t="n"/>
      <c r="J215" s="108" t="n"/>
      <c r="K215" s="108" t="n"/>
      <c r="L215" s="119">
        <f>IF($E215="","",DATE(YEAR($E215),MONTH($E215),1))</f>
        <v/>
      </c>
      <c r="M215" s="112">
        <f>IF($C215="","",IF($D215="TANIMSIZ MÜŞTERİ","HATA",IF(OR($E215="",$F215&lt;=0,$G215=""),"EKSİK",IF($E215&gt;TODAY(),"İLERİ TARİH","UYGUN"))))</f>
        <v/>
      </c>
      <c r="N215" s="6" t="n"/>
      <c r="O215" s="6" t="n"/>
    </row>
    <row r="216">
      <c r="A216" s="6" t="n"/>
      <c r="B216" s="112">
        <f>IF($C216="","","T"&amp;TEXT(ROW()-6,"00000"))</f>
        <v/>
      </c>
      <c r="C216" s="107" t="n"/>
      <c r="D216" s="113">
        <f>IF($C216="","",IFERROR(INDEX(MUSTERILER!$C$7:$C$106,MATCH($C216,MUSTERILER!$B$7:$B$106,0)),"TANIMSIZ MÜŞTERİ"))</f>
        <v/>
      </c>
      <c r="E216" s="114" t="n"/>
      <c r="F216" s="115" t="n"/>
      <c r="G216" s="107" t="n"/>
      <c r="H216" s="107" t="n"/>
      <c r="I216" s="108" t="n"/>
      <c r="J216" s="108" t="n"/>
      <c r="K216" s="108" t="n"/>
      <c r="L216" s="119">
        <f>IF($E216="","",DATE(YEAR($E216),MONTH($E216),1))</f>
        <v/>
      </c>
      <c r="M216" s="112">
        <f>IF($C216="","",IF($D216="TANIMSIZ MÜŞTERİ","HATA",IF(OR($E216="",$F216&lt;=0,$G216=""),"EKSİK",IF($E216&gt;TODAY(),"İLERİ TARİH","UYGUN"))))</f>
        <v/>
      </c>
      <c r="N216" s="6" t="n"/>
      <c r="O216" s="6" t="n"/>
    </row>
    <row r="217">
      <c r="A217" s="6" t="n"/>
      <c r="B217" s="112">
        <f>IF($C217="","","T"&amp;TEXT(ROW()-6,"00000"))</f>
        <v/>
      </c>
      <c r="C217" s="107" t="n"/>
      <c r="D217" s="113">
        <f>IF($C217="","",IFERROR(INDEX(MUSTERILER!$C$7:$C$106,MATCH($C217,MUSTERILER!$B$7:$B$106,0)),"TANIMSIZ MÜŞTERİ"))</f>
        <v/>
      </c>
      <c r="E217" s="114" t="n"/>
      <c r="F217" s="115" t="n"/>
      <c r="G217" s="107" t="n"/>
      <c r="H217" s="107" t="n"/>
      <c r="I217" s="108" t="n"/>
      <c r="J217" s="108" t="n"/>
      <c r="K217" s="108" t="n"/>
      <c r="L217" s="119">
        <f>IF($E217="","",DATE(YEAR($E217),MONTH($E217),1))</f>
        <v/>
      </c>
      <c r="M217" s="112">
        <f>IF($C217="","",IF($D217="TANIMSIZ MÜŞTERİ","HATA",IF(OR($E217="",$F217&lt;=0,$G217=""),"EKSİK",IF($E217&gt;TODAY(),"İLERİ TARİH","UYGUN"))))</f>
        <v/>
      </c>
      <c r="N217" s="6" t="n"/>
      <c r="O217" s="6" t="n"/>
    </row>
    <row r="218">
      <c r="A218" s="6" t="n"/>
      <c r="B218" s="112">
        <f>IF($C218="","","T"&amp;TEXT(ROW()-6,"00000"))</f>
        <v/>
      </c>
      <c r="C218" s="107" t="n"/>
      <c r="D218" s="113">
        <f>IF($C218="","",IFERROR(INDEX(MUSTERILER!$C$7:$C$106,MATCH($C218,MUSTERILER!$B$7:$B$106,0)),"TANIMSIZ MÜŞTERİ"))</f>
        <v/>
      </c>
      <c r="E218" s="114" t="n"/>
      <c r="F218" s="115" t="n"/>
      <c r="G218" s="107" t="n"/>
      <c r="H218" s="107" t="n"/>
      <c r="I218" s="108" t="n"/>
      <c r="J218" s="108" t="n"/>
      <c r="K218" s="108" t="n"/>
      <c r="L218" s="119">
        <f>IF($E218="","",DATE(YEAR($E218),MONTH($E218),1))</f>
        <v/>
      </c>
      <c r="M218" s="112">
        <f>IF($C218="","",IF($D218="TANIMSIZ MÜŞTERİ","HATA",IF(OR($E218="",$F218&lt;=0,$G218=""),"EKSİK",IF($E218&gt;TODAY(),"İLERİ TARİH","UYGUN"))))</f>
        <v/>
      </c>
      <c r="N218" s="6" t="n"/>
      <c r="O218" s="6" t="n"/>
    </row>
    <row r="219">
      <c r="A219" s="6" t="n"/>
      <c r="B219" s="112">
        <f>IF($C219="","","T"&amp;TEXT(ROW()-6,"00000"))</f>
        <v/>
      </c>
      <c r="C219" s="107" t="n"/>
      <c r="D219" s="113">
        <f>IF($C219="","",IFERROR(INDEX(MUSTERILER!$C$7:$C$106,MATCH($C219,MUSTERILER!$B$7:$B$106,0)),"TANIMSIZ MÜŞTERİ"))</f>
        <v/>
      </c>
      <c r="E219" s="114" t="n"/>
      <c r="F219" s="115" t="n"/>
      <c r="G219" s="107" t="n"/>
      <c r="H219" s="107" t="n"/>
      <c r="I219" s="108" t="n"/>
      <c r="J219" s="108" t="n"/>
      <c r="K219" s="108" t="n"/>
      <c r="L219" s="119">
        <f>IF($E219="","",DATE(YEAR($E219),MONTH($E219),1))</f>
        <v/>
      </c>
      <c r="M219" s="112">
        <f>IF($C219="","",IF($D219="TANIMSIZ MÜŞTERİ","HATA",IF(OR($E219="",$F219&lt;=0,$G219=""),"EKSİK",IF($E219&gt;TODAY(),"İLERİ TARİH","UYGUN"))))</f>
        <v/>
      </c>
      <c r="N219" s="6" t="n"/>
      <c r="O219" s="6" t="n"/>
    </row>
    <row r="220">
      <c r="A220" s="6" t="n"/>
      <c r="B220" s="112">
        <f>IF($C220="","","T"&amp;TEXT(ROW()-6,"00000"))</f>
        <v/>
      </c>
      <c r="C220" s="107" t="n"/>
      <c r="D220" s="113">
        <f>IF($C220="","",IFERROR(INDEX(MUSTERILER!$C$7:$C$106,MATCH($C220,MUSTERILER!$B$7:$B$106,0)),"TANIMSIZ MÜŞTERİ"))</f>
        <v/>
      </c>
      <c r="E220" s="114" t="n"/>
      <c r="F220" s="115" t="n"/>
      <c r="G220" s="107" t="n"/>
      <c r="H220" s="107" t="n"/>
      <c r="I220" s="108" t="n"/>
      <c r="J220" s="108" t="n"/>
      <c r="K220" s="108" t="n"/>
      <c r="L220" s="119">
        <f>IF($E220="","",DATE(YEAR($E220),MONTH($E220),1))</f>
        <v/>
      </c>
      <c r="M220" s="112">
        <f>IF($C220="","",IF($D220="TANIMSIZ MÜŞTERİ","HATA",IF(OR($E220="",$F220&lt;=0,$G220=""),"EKSİK",IF($E220&gt;TODAY(),"İLERİ TARİH","UYGUN"))))</f>
        <v/>
      </c>
      <c r="N220" s="6" t="n"/>
      <c r="O220" s="6" t="n"/>
    </row>
    <row r="221">
      <c r="A221" s="6" t="n"/>
      <c r="B221" s="112">
        <f>IF($C221="","","T"&amp;TEXT(ROW()-6,"00000"))</f>
        <v/>
      </c>
      <c r="C221" s="107" t="n"/>
      <c r="D221" s="113">
        <f>IF($C221="","",IFERROR(INDEX(MUSTERILER!$C$7:$C$106,MATCH($C221,MUSTERILER!$B$7:$B$106,0)),"TANIMSIZ MÜŞTERİ"))</f>
        <v/>
      </c>
      <c r="E221" s="114" t="n"/>
      <c r="F221" s="115" t="n"/>
      <c r="G221" s="107" t="n"/>
      <c r="H221" s="107" t="n"/>
      <c r="I221" s="108" t="n"/>
      <c r="J221" s="108" t="n"/>
      <c r="K221" s="108" t="n"/>
      <c r="L221" s="119">
        <f>IF($E221="","",DATE(YEAR($E221),MONTH($E221),1))</f>
        <v/>
      </c>
      <c r="M221" s="112">
        <f>IF($C221="","",IF($D221="TANIMSIZ MÜŞTERİ","HATA",IF(OR($E221="",$F221&lt;=0,$G221=""),"EKSİK",IF($E221&gt;TODAY(),"İLERİ TARİH","UYGUN"))))</f>
        <v/>
      </c>
      <c r="N221" s="6" t="n"/>
      <c r="O221" s="6" t="n"/>
    </row>
    <row r="222">
      <c r="A222" s="6" t="n"/>
      <c r="B222" s="112">
        <f>IF($C222="","","T"&amp;TEXT(ROW()-6,"00000"))</f>
        <v/>
      </c>
      <c r="C222" s="107" t="n"/>
      <c r="D222" s="113">
        <f>IF($C222="","",IFERROR(INDEX(MUSTERILER!$C$7:$C$106,MATCH($C222,MUSTERILER!$B$7:$B$106,0)),"TANIMSIZ MÜŞTERİ"))</f>
        <v/>
      </c>
      <c r="E222" s="114" t="n"/>
      <c r="F222" s="115" t="n"/>
      <c r="G222" s="107" t="n"/>
      <c r="H222" s="107" t="n"/>
      <c r="I222" s="108" t="n"/>
      <c r="J222" s="108" t="n"/>
      <c r="K222" s="108" t="n"/>
      <c r="L222" s="119">
        <f>IF($E222="","",DATE(YEAR($E222),MONTH($E222),1))</f>
        <v/>
      </c>
      <c r="M222" s="112">
        <f>IF($C222="","",IF($D222="TANIMSIZ MÜŞTERİ","HATA",IF(OR($E222="",$F222&lt;=0,$G222=""),"EKSİK",IF($E222&gt;TODAY(),"İLERİ TARİH","UYGUN"))))</f>
        <v/>
      </c>
      <c r="N222" s="6" t="n"/>
      <c r="O222" s="6" t="n"/>
    </row>
    <row r="223">
      <c r="A223" s="6" t="n"/>
      <c r="B223" s="112">
        <f>IF($C223="","","T"&amp;TEXT(ROW()-6,"00000"))</f>
        <v/>
      </c>
      <c r="C223" s="107" t="n"/>
      <c r="D223" s="113">
        <f>IF($C223="","",IFERROR(INDEX(MUSTERILER!$C$7:$C$106,MATCH($C223,MUSTERILER!$B$7:$B$106,0)),"TANIMSIZ MÜŞTERİ"))</f>
        <v/>
      </c>
      <c r="E223" s="114" t="n"/>
      <c r="F223" s="115" t="n"/>
      <c r="G223" s="107" t="n"/>
      <c r="H223" s="107" t="n"/>
      <c r="I223" s="108" t="n"/>
      <c r="J223" s="108" t="n"/>
      <c r="K223" s="108" t="n"/>
      <c r="L223" s="119">
        <f>IF($E223="","",DATE(YEAR($E223),MONTH($E223),1))</f>
        <v/>
      </c>
      <c r="M223" s="112">
        <f>IF($C223="","",IF($D223="TANIMSIZ MÜŞTERİ","HATA",IF(OR($E223="",$F223&lt;=0,$G223=""),"EKSİK",IF($E223&gt;TODAY(),"İLERİ TARİH","UYGUN"))))</f>
        <v/>
      </c>
      <c r="N223" s="6" t="n"/>
      <c r="O223" s="6" t="n"/>
    </row>
    <row r="224">
      <c r="A224" s="6" t="n"/>
      <c r="B224" s="112">
        <f>IF($C224="","","T"&amp;TEXT(ROW()-6,"00000"))</f>
        <v/>
      </c>
      <c r="C224" s="107" t="n"/>
      <c r="D224" s="113">
        <f>IF($C224="","",IFERROR(INDEX(MUSTERILER!$C$7:$C$106,MATCH($C224,MUSTERILER!$B$7:$B$106,0)),"TANIMSIZ MÜŞTERİ"))</f>
        <v/>
      </c>
      <c r="E224" s="114" t="n"/>
      <c r="F224" s="115" t="n"/>
      <c r="G224" s="107" t="n"/>
      <c r="H224" s="107" t="n"/>
      <c r="I224" s="108" t="n"/>
      <c r="J224" s="108" t="n"/>
      <c r="K224" s="108" t="n"/>
      <c r="L224" s="119">
        <f>IF($E224="","",DATE(YEAR($E224),MONTH($E224),1))</f>
        <v/>
      </c>
      <c r="M224" s="112">
        <f>IF($C224="","",IF($D224="TANIMSIZ MÜŞTERİ","HATA",IF(OR($E224="",$F224&lt;=0,$G224=""),"EKSİK",IF($E224&gt;TODAY(),"İLERİ TARİH","UYGUN"))))</f>
        <v/>
      </c>
      <c r="N224" s="6" t="n"/>
      <c r="O224" s="6" t="n"/>
    </row>
    <row r="225">
      <c r="A225" s="6" t="n"/>
      <c r="B225" s="112">
        <f>IF($C225="","","T"&amp;TEXT(ROW()-6,"00000"))</f>
        <v/>
      </c>
      <c r="C225" s="107" t="n"/>
      <c r="D225" s="113">
        <f>IF($C225="","",IFERROR(INDEX(MUSTERILER!$C$7:$C$106,MATCH($C225,MUSTERILER!$B$7:$B$106,0)),"TANIMSIZ MÜŞTERİ"))</f>
        <v/>
      </c>
      <c r="E225" s="114" t="n"/>
      <c r="F225" s="115" t="n"/>
      <c r="G225" s="107" t="n"/>
      <c r="H225" s="107" t="n"/>
      <c r="I225" s="108" t="n"/>
      <c r="J225" s="108" t="n"/>
      <c r="K225" s="108" t="n"/>
      <c r="L225" s="119">
        <f>IF($E225="","",DATE(YEAR($E225),MONTH($E225),1))</f>
        <v/>
      </c>
      <c r="M225" s="112">
        <f>IF($C225="","",IF($D225="TANIMSIZ MÜŞTERİ","HATA",IF(OR($E225="",$F225&lt;=0,$G225=""),"EKSİK",IF($E225&gt;TODAY(),"İLERİ TARİH","UYGUN"))))</f>
        <v/>
      </c>
      <c r="N225" s="6" t="n"/>
      <c r="O225" s="6" t="n"/>
    </row>
    <row r="226">
      <c r="A226" s="6" t="n"/>
      <c r="B226" s="112">
        <f>IF($C226="","","T"&amp;TEXT(ROW()-6,"00000"))</f>
        <v/>
      </c>
      <c r="C226" s="107" t="n"/>
      <c r="D226" s="113">
        <f>IF($C226="","",IFERROR(INDEX(MUSTERILER!$C$7:$C$106,MATCH($C226,MUSTERILER!$B$7:$B$106,0)),"TANIMSIZ MÜŞTERİ"))</f>
        <v/>
      </c>
      <c r="E226" s="114" t="n"/>
      <c r="F226" s="115" t="n"/>
      <c r="G226" s="107" t="n"/>
      <c r="H226" s="107" t="n"/>
      <c r="I226" s="108" t="n"/>
      <c r="J226" s="108" t="n"/>
      <c r="K226" s="108" t="n"/>
      <c r="L226" s="119">
        <f>IF($E226="","",DATE(YEAR($E226),MONTH($E226),1))</f>
        <v/>
      </c>
      <c r="M226" s="112">
        <f>IF($C226="","",IF($D226="TANIMSIZ MÜŞTERİ","HATA",IF(OR($E226="",$F226&lt;=0,$G226=""),"EKSİK",IF($E226&gt;TODAY(),"İLERİ TARİH","UYGUN"))))</f>
        <v/>
      </c>
      <c r="N226" s="6" t="n"/>
      <c r="O226" s="6" t="n"/>
    </row>
    <row r="227">
      <c r="A227" s="6" t="n"/>
      <c r="B227" s="112">
        <f>IF($C227="","","T"&amp;TEXT(ROW()-6,"00000"))</f>
        <v/>
      </c>
      <c r="C227" s="107" t="n"/>
      <c r="D227" s="113">
        <f>IF($C227="","",IFERROR(INDEX(MUSTERILER!$C$7:$C$106,MATCH($C227,MUSTERILER!$B$7:$B$106,0)),"TANIMSIZ MÜŞTERİ"))</f>
        <v/>
      </c>
      <c r="E227" s="114" t="n"/>
      <c r="F227" s="115" t="n"/>
      <c r="G227" s="107" t="n"/>
      <c r="H227" s="107" t="n"/>
      <c r="I227" s="108" t="n"/>
      <c r="J227" s="108" t="n"/>
      <c r="K227" s="108" t="n"/>
      <c r="L227" s="119">
        <f>IF($E227="","",DATE(YEAR($E227),MONTH($E227),1))</f>
        <v/>
      </c>
      <c r="M227" s="112">
        <f>IF($C227="","",IF($D227="TANIMSIZ MÜŞTERİ","HATA",IF(OR($E227="",$F227&lt;=0,$G227=""),"EKSİK",IF($E227&gt;TODAY(),"İLERİ TARİH","UYGUN"))))</f>
        <v/>
      </c>
      <c r="N227" s="6" t="n"/>
      <c r="O227" s="6" t="n"/>
    </row>
    <row r="228">
      <c r="A228" s="6" t="n"/>
      <c r="B228" s="112">
        <f>IF($C228="","","T"&amp;TEXT(ROW()-6,"00000"))</f>
        <v/>
      </c>
      <c r="C228" s="107" t="n"/>
      <c r="D228" s="113">
        <f>IF($C228="","",IFERROR(INDEX(MUSTERILER!$C$7:$C$106,MATCH($C228,MUSTERILER!$B$7:$B$106,0)),"TANIMSIZ MÜŞTERİ"))</f>
        <v/>
      </c>
      <c r="E228" s="114" t="n"/>
      <c r="F228" s="115" t="n"/>
      <c r="G228" s="107" t="n"/>
      <c r="H228" s="107" t="n"/>
      <c r="I228" s="108" t="n"/>
      <c r="J228" s="108" t="n"/>
      <c r="K228" s="108" t="n"/>
      <c r="L228" s="119">
        <f>IF($E228="","",DATE(YEAR($E228),MONTH($E228),1))</f>
        <v/>
      </c>
      <c r="M228" s="112">
        <f>IF($C228="","",IF($D228="TANIMSIZ MÜŞTERİ","HATA",IF(OR($E228="",$F228&lt;=0,$G228=""),"EKSİK",IF($E228&gt;TODAY(),"İLERİ TARİH","UYGUN"))))</f>
        <v/>
      </c>
      <c r="N228" s="6" t="n"/>
      <c r="O228" s="6" t="n"/>
    </row>
    <row r="229">
      <c r="A229" s="6" t="n"/>
      <c r="B229" s="112">
        <f>IF($C229="","","T"&amp;TEXT(ROW()-6,"00000"))</f>
        <v/>
      </c>
      <c r="C229" s="107" t="n"/>
      <c r="D229" s="113">
        <f>IF($C229="","",IFERROR(INDEX(MUSTERILER!$C$7:$C$106,MATCH($C229,MUSTERILER!$B$7:$B$106,0)),"TANIMSIZ MÜŞTERİ"))</f>
        <v/>
      </c>
      <c r="E229" s="114" t="n"/>
      <c r="F229" s="115" t="n"/>
      <c r="G229" s="107" t="n"/>
      <c r="H229" s="107" t="n"/>
      <c r="I229" s="108" t="n"/>
      <c r="J229" s="108" t="n"/>
      <c r="K229" s="108" t="n"/>
      <c r="L229" s="119">
        <f>IF($E229="","",DATE(YEAR($E229),MONTH($E229),1))</f>
        <v/>
      </c>
      <c r="M229" s="112">
        <f>IF($C229="","",IF($D229="TANIMSIZ MÜŞTERİ","HATA",IF(OR($E229="",$F229&lt;=0,$G229=""),"EKSİK",IF($E229&gt;TODAY(),"İLERİ TARİH","UYGUN"))))</f>
        <v/>
      </c>
      <c r="N229" s="6" t="n"/>
      <c r="O229" s="6" t="n"/>
    </row>
    <row r="230">
      <c r="A230" s="6" t="n"/>
      <c r="B230" s="112">
        <f>IF($C230="","","T"&amp;TEXT(ROW()-6,"00000"))</f>
        <v/>
      </c>
      <c r="C230" s="107" t="n"/>
      <c r="D230" s="113">
        <f>IF($C230="","",IFERROR(INDEX(MUSTERILER!$C$7:$C$106,MATCH($C230,MUSTERILER!$B$7:$B$106,0)),"TANIMSIZ MÜŞTERİ"))</f>
        <v/>
      </c>
      <c r="E230" s="114" t="n"/>
      <c r="F230" s="115" t="n"/>
      <c r="G230" s="107" t="n"/>
      <c r="H230" s="107" t="n"/>
      <c r="I230" s="108" t="n"/>
      <c r="J230" s="108" t="n"/>
      <c r="K230" s="108" t="n"/>
      <c r="L230" s="119">
        <f>IF($E230="","",DATE(YEAR($E230),MONTH($E230),1))</f>
        <v/>
      </c>
      <c r="M230" s="112">
        <f>IF($C230="","",IF($D230="TANIMSIZ MÜŞTERİ","HATA",IF(OR($E230="",$F230&lt;=0,$G230=""),"EKSİK",IF($E230&gt;TODAY(),"İLERİ TARİH","UYGUN"))))</f>
        <v/>
      </c>
      <c r="N230" s="6" t="n"/>
      <c r="O230" s="6" t="n"/>
    </row>
    <row r="231">
      <c r="A231" s="6" t="n"/>
      <c r="B231" s="112">
        <f>IF($C231="","","T"&amp;TEXT(ROW()-6,"00000"))</f>
        <v/>
      </c>
      <c r="C231" s="107" t="n"/>
      <c r="D231" s="113">
        <f>IF($C231="","",IFERROR(INDEX(MUSTERILER!$C$7:$C$106,MATCH($C231,MUSTERILER!$B$7:$B$106,0)),"TANIMSIZ MÜŞTERİ"))</f>
        <v/>
      </c>
      <c r="E231" s="114" t="n"/>
      <c r="F231" s="115" t="n"/>
      <c r="G231" s="107" t="n"/>
      <c r="H231" s="107" t="n"/>
      <c r="I231" s="108" t="n"/>
      <c r="J231" s="108" t="n"/>
      <c r="K231" s="108" t="n"/>
      <c r="L231" s="119">
        <f>IF($E231="","",DATE(YEAR($E231),MONTH($E231),1))</f>
        <v/>
      </c>
      <c r="M231" s="112">
        <f>IF($C231="","",IF($D231="TANIMSIZ MÜŞTERİ","HATA",IF(OR($E231="",$F231&lt;=0,$G231=""),"EKSİK",IF($E231&gt;TODAY(),"İLERİ TARİH","UYGUN"))))</f>
        <v/>
      </c>
      <c r="N231" s="6" t="n"/>
      <c r="O231" s="6" t="n"/>
    </row>
    <row r="232">
      <c r="A232" s="6" t="n"/>
      <c r="B232" s="112">
        <f>IF($C232="","","T"&amp;TEXT(ROW()-6,"00000"))</f>
        <v/>
      </c>
      <c r="C232" s="107" t="n"/>
      <c r="D232" s="113">
        <f>IF($C232="","",IFERROR(INDEX(MUSTERILER!$C$7:$C$106,MATCH($C232,MUSTERILER!$B$7:$B$106,0)),"TANIMSIZ MÜŞTERİ"))</f>
        <v/>
      </c>
      <c r="E232" s="114" t="n"/>
      <c r="F232" s="115" t="n"/>
      <c r="G232" s="107" t="n"/>
      <c r="H232" s="107" t="n"/>
      <c r="I232" s="108" t="n"/>
      <c r="J232" s="108" t="n"/>
      <c r="K232" s="108" t="n"/>
      <c r="L232" s="119">
        <f>IF($E232="","",DATE(YEAR($E232),MONTH($E232),1))</f>
        <v/>
      </c>
      <c r="M232" s="112">
        <f>IF($C232="","",IF($D232="TANIMSIZ MÜŞTERİ","HATA",IF(OR($E232="",$F232&lt;=0,$G232=""),"EKSİK",IF($E232&gt;TODAY(),"İLERİ TARİH","UYGUN"))))</f>
        <v/>
      </c>
      <c r="N232" s="6" t="n"/>
      <c r="O232" s="6" t="n"/>
    </row>
    <row r="233">
      <c r="A233" s="6" t="n"/>
      <c r="B233" s="112">
        <f>IF($C233="","","T"&amp;TEXT(ROW()-6,"00000"))</f>
        <v/>
      </c>
      <c r="C233" s="107" t="n"/>
      <c r="D233" s="113">
        <f>IF($C233="","",IFERROR(INDEX(MUSTERILER!$C$7:$C$106,MATCH($C233,MUSTERILER!$B$7:$B$106,0)),"TANIMSIZ MÜŞTERİ"))</f>
        <v/>
      </c>
      <c r="E233" s="114" t="n"/>
      <c r="F233" s="115" t="n"/>
      <c r="G233" s="107" t="n"/>
      <c r="H233" s="107" t="n"/>
      <c r="I233" s="108" t="n"/>
      <c r="J233" s="108" t="n"/>
      <c r="K233" s="108" t="n"/>
      <c r="L233" s="119">
        <f>IF($E233="","",DATE(YEAR($E233),MONTH($E233),1))</f>
        <v/>
      </c>
      <c r="M233" s="112">
        <f>IF($C233="","",IF($D233="TANIMSIZ MÜŞTERİ","HATA",IF(OR($E233="",$F233&lt;=0,$G233=""),"EKSİK",IF($E233&gt;TODAY(),"İLERİ TARİH","UYGUN"))))</f>
        <v/>
      </c>
      <c r="N233" s="6" t="n"/>
      <c r="O233" s="6" t="n"/>
    </row>
    <row r="234">
      <c r="A234" s="6" t="n"/>
      <c r="B234" s="112">
        <f>IF($C234="","","T"&amp;TEXT(ROW()-6,"00000"))</f>
        <v/>
      </c>
      <c r="C234" s="107" t="n"/>
      <c r="D234" s="113">
        <f>IF($C234="","",IFERROR(INDEX(MUSTERILER!$C$7:$C$106,MATCH($C234,MUSTERILER!$B$7:$B$106,0)),"TANIMSIZ MÜŞTERİ"))</f>
        <v/>
      </c>
      <c r="E234" s="114" t="n"/>
      <c r="F234" s="115" t="n"/>
      <c r="G234" s="107" t="n"/>
      <c r="H234" s="107" t="n"/>
      <c r="I234" s="108" t="n"/>
      <c r="J234" s="108" t="n"/>
      <c r="K234" s="108" t="n"/>
      <c r="L234" s="119">
        <f>IF($E234="","",DATE(YEAR($E234),MONTH($E234),1))</f>
        <v/>
      </c>
      <c r="M234" s="112">
        <f>IF($C234="","",IF($D234="TANIMSIZ MÜŞTERİ","HATA",IF(OR($E234="",$F234&lt;=0,$G234=""),"EKSİK",IF($E234&gt;TODAY(),"İLERİ TARİH","UYGUN"))))</f>
        <v/>
      </c>
      <c r="N234" s="6" t="n"/>
      <c r="O234" s="6" t="n"/>
    </row>
    <row r="235">
      <c r="A235" s="6" t="n"/>
      <c r="B235" s="112">
        <f>IF($C235="","","T"&amp;TEXT(ROW()-6,"00000"))</f>
        <v/>
      </c>
      <c r="C235" s="107" t="n"/>
      <c r="D235" s="113">
        <f>IF($C235="","",IFERROR(INDEX(MUSTERILER!$C$7:$C$106,MATCH($C235,MUSTERILER!$B$7:$B$106,0)),"TANIMSIZ MÜŞTERİ"))</f>
        <v/>
      </c>
      <c r="E235" s="114" t="n"/>
      <c r="F235" s="115" t="n"/>
      <c r="G235" s="107" t="n"/>
      <c r="H235" s="107" t="n"/>
      <c r="I235" s="108" t="n"/>
      <c r="J235" s="108" t="n"/>
      <c r="K235" s="108" t="n"/>
      <c r="L235" s="119">
        <f>IF($E235="","",DATE(YEAR($E235),MONTH($E235),1))</f>
        <v/>
      </c>
      <c r="M235" s="112">
        <f>IF($C235="","",IF($D235="TANIMSIZ MÜŞTERİ","HATA",IF(OR($E235="",$F235&lt;=0,$G235=""),"EKSİK",IF($E235&gt;TODAY(),"İLERİ TARİH","UYGUN"))))</f>
        <v/>
      </c>
      <c r="N235" s="6" t="n"/>
      <c r="O235" s="6" t="n"/>
    </row>
    <row r="236">
      <c r="A236" s="6" t="n"/>
      <c r="B236" s="112">
        <f>IF($C236="","","T"&amp;TEXT(ROW()-6,"00000"))</f>
        <v/>
      </c>
      <c r="C236" s="107" t="n"/>
      <c r="D236" s="113">
        <f>IF($C236="","",IFERROR(INDEX(MUSTERILER!$C$7:$C$106,MATCH($C236,MUSTERILER!$B$7:$B$106,0)),"TANIMSIZ MÜŞTERİ"))</f>
        <v/>
      </c>
      <c r="E236" s="114" t="n"/>
      <c r="F236" s="115" t="n"/>
      <c r="G236" s="107" t="n"/>
      <c r="H236" s="107" t="n"/>
      <c r="I236" s="108" t="n"/>
      <c r="J236" s="108" t="n"/>
      <c r="K236" s="108" t="n"/>
      <c r="L236" s="119">
        <f>IF($E236="","",DATE(YEAR($E236),MONTH($E236),1))</f>
        <v/>
      </c>
      <c r="M236" s="112">
        <f>IF($C236="","",IF($D236="TANIMSIZ MÜŞTERİ","HATA",IF(OR($E236="",$F236&lt;=0,$G236=""),"EKSİK",IF($E236&gt;TODAY(),"İLERİ TARİH","UYGUN"))))</f>
        <v/>
      </c>
      <c r="N236" s="6" t="n"/>
      <c r="O236" s="6" t="n"/>
    </row>
    <row r="237">
      <c r="A237" s="6" t="n"/>
      <c r="B237" s="112">
        <f>IF($C237="","","T"&amp;TEXT(ROW()-6,"00000"))</f>
        <v/>
      </c>
      <c r="C237" s="107" t="n"/>
      <c r="D237" s="113">
        <f>IF($C237="","",IFERROR(INDEX(MUSTERILER!$C$7:$C$106,MATCH($C237,MUSTERILER!$B$7:$B$106,0)),"TANIMSIZ MÜŞTERİ"))</f>
        <v/>
      </c>
      <c r="E237" s="114" t="n"/>
      <c r="F237" s="115" t="n"/>
      <c r="G237" s="107" t="n"/>
      <c r="H237" s="107" t="n"/>
      <c r="I237" s="108" t="n"/>
      <c r="J237" s="108" t="n"/>
      <c r="K237" s="108" t="n"/>
      <c r="L237" s="119">
        <f>IF($E237="","",DATE(YEAR($E237),MONTH($E237),1))</f>
        <v/>
      </c>
      <c r="M237" s="112">
        <f>IF($C237="","",IF($D237="TANIMSIZ MÜŞTERİ","HATA",IF(OR($E237="",$F237&lt;=0,$G237=""),"EKSİK",IF($E237&gt;TODAY(),"İLERİ TARİH","UYGUN"))))</f>
        <v/>
      </c>
      <c r="N237" s="6" t="n"/>
      <c r="O237" s="6" t="n"/>
    </row>
    <row r="238">
      <c r="A238" s="6" t="n"/>
      <c r="B238" s="112">
        <f>IF($C238="","","T"&amp;TEXT(ROW()-6,"00000"))</f>
        <v/>
      </c>
      <c r="C238" s="107" t="n"/>
      <c r="D238" s="113">
        <f>IF($C238="","",IFERROR(INDEX(MUSTERILER!$C$7:$C$106,MATCH($C238,MUSTERILER!$B$7:$B$106,0)),"TANIMSIZ MÜŞTERİ"))</f>
        <v/>
      </c>
      <c r="E238" s="114" t="n"/>
      <c r="F238" s="115" t="n"/>
      <c r="G238" s="107" t="n"/>
      <c r="H238" s="107" t="n"/>
      <c r="I238" s="108" t="n"/>
      <c r="J238" s="108" t="n"/>
      <c r="K238" s="108" t="n"/>
      <c r="L238" s="119">
        <f>IF($E238="","",DATE(YEAR($E238),MONTH($E238),1))</f>
        <v/>
      </c>
      <c r="M238" s="112">
        <f>IF($C238="","",IF($D238="TANIMSIZ MÜŞTERİ","HATA",IF(OR($E238="",$F238&lt;=0,$G238=""),"EKSİK",IF($E238&gt;TODAY(),"İLERİ TARİH","UYGUN"))))</f>
        <v/>
      </c>
      <c r="N238" s="6" t="n"/>
      <c r="O238" s="6" t="n"/>
    </row>
    <row r="239">
      <c r="A239" s="6" t="n"/>
      <c r="B239" s="112">
        <f>IF($C239="","","T"&amp;TEXT(ROW()-6,"00000"))</f>
        <v/>
      </c>
      <c r="C239" s="107" t="n"/>
      <c r="D239" s="113">
        <f>IF($C239="","",IFERROR(INDEX(MUSTERILER!$C$7:$C$106,MATCH($C239,MUSTERILER!$B$7:$B$106,0)),"TANIMSIZ MÜŞTERİ"))</f>
        <v/>
      </c>
      <c r="E239" s="114" t="n"/>
      <c r="F239" s="115" t="n"/>
      <c r="G239" s="107" t="n"/>
      <c r="H239" s="107" t="n"/>
      <c r="I239" s="108" t="n"/>
      <c r="J239" s="108" t="n"/>
      <c r="K239" s="108" t="n"/>
      <c r="L239" s="119">
        <f>IF($E239="","",DATE(YEAR($E239),MONTH($E239),1))</f>
        <v/>
      </c>
      <c r="M239" s="112">
        <f>IF($C239="","",IF($D239="TANIMSIZ MÜŞTERİ","HATA",IF(OR($E239="",$F239&lt;=0,$G239=""),"EKSİK",IF($E239&gt;TODAY(),"İLERİ TARİH","UYGUN"))))</f>
        <v/>
      </c>
      <c r="N239" s="6" t="n"/>
      <c r="O239" s="6" t="n"/>
    </row>
    <row r="240">
      <c r="A240" s="6" t="n"/>
      <c r="B240" s="112">
        <f>IF($C240="","","T"&amp;TEXT(ROW()-6,"00000"))</f>
        <v/>
      </c>
      <c r="C240" s="107" t="n"/>
      <c r="D240" s="113">
        <f>IF($C240="","",IFERROR(INDEX(MUSTERILER!$C$7:$C$106,MATCH($C240,MUSTERILER!$B$7:$B$106,0)),"TANIMSIZ MÜŞTERİ"))</f>
        <v/>
      </c>
      <c r="E240" s="114" t="n"/>
      <c r="F240" s="115" t="n"/>
      <c r="G240" s="107" t="n"/>
      <c r="H240" s="107" t="n"/>
      <c r="I240" s="108" t="n"/>
      <c r="J240" s="108" t="n"/>
      <c r="K240" s="108" t="n"/>
      <c r="L240" s="119">
        <f>IF($E240="","",DATE(YEAR($E240),MONTH($E240),1))</f>
        <v/>
      </c>
      <c r="M240" s="112">
        <f>IF($C240="","",IF($D240="TANIMSIZ MÜŞTERİ","HATA",IF(OR($E240="",$F240&lt;=0,$G240=""),"EKSİK",IF($E240&gt;TODAY(),"İLERİ TARİH","UYGUN"))))</f>
        <v/>
      </c>
      <c r="N240" s="6" t="n"/>
      <c r="O240" s="6" t="n"/>
    </row>
    <row r="241">
      <c r="A241" s="6" t="n"/>
      <c r="B241" s="112">
        <f>IF($C241="","","T"&amp;TEXT(ROW()-6,"00000"))</f>
        <v/>
      </c>
      <c r="C241" s="107" t="n"/>
      <c r="D241" s="113">
        <f>IF($C241="","",IFERROR(INDEX(MUSTERILER!$C$7:$C$106,MATCH($C241,MUSTERILER!$B$7:$B$106,0)),"TANIMSIZ MÜŞTERİ"))</f>
        <v/>
      </c>
      <c r="E241" s="114" t="n"/>
      <c r="F241" s="115" t="n"/>
      <c r="G241" s="107" t="n"/>
      <c r="H241" s="107" t="n"/>
      <c r="I241" s="108" t="n"/>
      <c r="J241" s="108" t="n"/>
      <c r="K241" s="108" t="n"/>
      <c r="L241" s="119">
        <f>IF($E241="","",DATE(YEAR($E241),MONTH($E241),1))</f>
        <v/>
      </c>
      <c r="M241" s="112">
        <f>IF($C241="","",IF($D241="TANIMSIZ MÜŞTERİ","HATA",IF(OR($E241="",$F241&lt;=0,$G241=""),"EKSİK",IF($E241&gt;TODAY(),"İLERİ TARİH","UYGUN"))))</f>
        <v/>
      </c>
      <c r="N241" s="6" t="n"/>
      <c r="O241" s="6" t="n"/>
    </row>
    <row r="242">
      <c r="A242" s="6" t="n"/>
      <c r="B242" s="112">
        <f>IF($C242="","","T"&amp;TEXT(ROW()-6,"00000"))</f>
        <v/>
      </c>
      <c r="C242" s="107" t="n"/>
      <c r="D242" s="113">
        <f>IF($C242="","",IFERROR(INDEX(MUSTERILER!$C$7:$C$106,MATCH($C242,MUSTERILER!$B$7:$B$106,0)),"TANIMSIZ MÜŞTERİ"))</f>
        <v/>
      </c>
      <c r="E242" s="114" t="n"/>
      <c r="F242" s="115" t="n"/>
      <c r="G242" s="107" t="n"/>
      <c r="H242" s="107" t="n"/>
      <c r="I242" s="108" t="n"/>
      <c r="J242" s="108" t="n"/>
      <c r="K242" s="108" t="n"/>
      <c r="L242" s="119">
        <f>IF($E242="","",DATE(YEAR($E242),MONTH($E242),1))</f>
        <v/>
      </c>
      <c r="M242" s="112">
        <f>IF($C242="","",IF($D242="TANIMSIZ MÜŞTERİ","HATA",IF(OR($E242="",$F242&lt;=0,$G242=""),"EKSİK",IF($E242&gt;TODAY(),"İLERİ TARİH","UYGUN"))))</f>
        <v/>
      </c>
      <c r="N242" s="6" t="n"/>
      <c r="O242" s="6" t="n"/>
    </row>
    <row r="243">
      <c r="A243" s="6" t="n"/>
      <c r="B243" s="112">
        <f>IF($C243="","","T"&amp;TEXT(ROW()-6,"00000"))</f>
        <v/>
      </c>
      <c r="C243" s="107" t="n"/>
      <c r="D243" s="113">
        <f>IF($C243="","",IFERROR(INDEX(MUSTERILER!$C$7:$C$106,MATCH($C243,MUSTERILER!$B$7:$B$106,0)),"TANIMSIZ MÜŞTERİ"))</f>
        <v/>
      </c>
      <c r="E243" s="114" t="n"/>
      <c r="F243" s="115" t="n"/>
      <c r="G243" s="107" t="n"/>
      <c r="H243" s="107" t="n"/>
      <c r="I243" s="108" t="n"/>
      <c r="J243" s="108" t="n"/>
      <c r="K243" s="108" t="n"/>
      <c r="L243" s="119">
        <f>IF($E243="","",DATE(YEAR($E243),MONTH($E243),1))</f>
        <v/>
      </c>
      <c r="M243" s="112">
        <f>IF($C243="","",IF($D243="TANIMSIZ MÜŞTERİ","HATA",IF(OR($E243="",$F243&lt;=0,$G243=""),"EKSİK",IF($E243&gt;TODAY(),"İLERİ TARİH","UYGUN"))))</f>
        <v/>
      </c>
      <c r="N243" s="6" t="n"/>
      <c r="O243" s="6" t="n"/>
    </row>
    <row r="244">
      <c r="A244" s="6" t="n"/>
      <c r="B244" s="112">
        <f>IF($C244="","","T"&amp;TEXT(ROW()-6,"00000"))</f>
        <v/>
      </c>
      <c r="C244" s="107" t="n"/>
      <c r="D244" s="113">
        <f>IF($C244="","",IFERROR(INDEX(MUSTERILER!$C$7:$C$106,MATCH($C244,MUSTERILER!$B$7:$B$106,0)),"TANIMSIZ MÜŞTERİ"))</f>
        <v/>
      </c>
      <c r="E244" s="114" t="n"/>
      <c r="F244" s="115" t="n"/>
      <c r="G244" s="107" t="n"/>
      <c r="H244" s="107" t="n"/>
      <c r="I244" s="108" t="n"/>
      <c r="J244" s="108" t="n"/>
      <c r="K244" s="108" t="n"/>
      <c r="L244" s="119">
        <f>IF($E244="","",DATE(YEAR($E244),MONTH($E244),1))</f>
        <v/>
      </c>
      <c r="M244" s="112">
        <f>IF($C244="","",IF($D244="TANIMSIZ MÜŞTERİ","HATA",IF(OR($E244="",$F244&lt;=0,$G244=""),"EKSİK",IF($E244&gt;TODAY(),"İLERİ TARİH","UYGUN"))))</f>
        <v/>
      </c>
      <c r="N244" s="6" t="n"/>
      <c r="O244" s="6" t="n"/>
    </row>
    <row r="245">
      <c r="A245" s="6" t="n"/>
      <c r="B245" s="112">
        <f>IF($C245="","","T"&amp;TEXT(ROW()-6,"00000"))</f>
        <v/>
      </c>
      <c r="C245" s="107" t="n"/>
      <c r="D245" s="113">
        <f>IF($C245="","",IFERROR(INDEX(MUSTERILER!$C$7:$C$106,MATCH($C245,MUSTERILER!$B$7:$B$106,0)),"TANIMSIZ MÜŞTERİ"))</f>
        <v/>
      </c>
      <c r="E245" s="114" t="n"/>
      <c r="F245" s="115" t="n"/>
      <c r="G245" s="107" t="n"/>
      <c r="H245" s="107" t="n"/>
      <c r="I245" s="108" t="n"/>
      <c r="J245" s="108" t="n"/>
      <c r="K245" s="108" t="n"/>
      <c r="L245" s="119">
        <f>IF($E245="","",DATE(YEAR($E245),MONTH($E245),1))</f>
        <v/>
      </c>
      <c r="M245" s="112">
        <f>IF($C245="","",IF($D245="TANIMSIZ MÜŞTERİ","HATA",IF(OR($E245="",$F245&lt;=0,$G245=""),"EKSİK",IF($E245&gt;TODAY(),"İLERİ TARİH","UYGUN"))))</f>
        <v/>
      </c>
      <c r="N245" s="6" t="n"/>
      <c r="O245" s="6" t="n"/>
    </row>
    <row r="246">
      <c r="A246" s="6" t="n"/>
      <c r="B246" s="112">
        <f>IF($C246="","","T"&amp;TEXT(ROW()-6,"00000"))</f>
        <v/>
      </c>
      <c r="C246" s="107" t="n"/>
      <c r="D246" s="113">
        <f>IF($C246="","",IFERROR(INDEX(MUSTERILER!$C$7:$C$106,MATCH($C246,MUSTERILER!$B$7:$B$106,0)),"TANIMSIZ MÜŞTERİ"))</f>
        <v/>
      </c>
      <c r="E246" s="114" t="n"/>
      <c r="F246" s="115" t="n"/>
      <c r="G246" s="107" t="n"/>
      <c r="H246" s="107" t="n"/>
      <c r="I246" s="108" t="n"/>
      <c r="J246" s="108" t="n"/>
      <c r="K246" s="108" t="n"/>
      <c r="L246" s="119">
        <f>IF($E246="","",DATE(YEAR($E246),MONTH($E246),1))</f>
        <v/>
      </c>
      <c r="M246" s="112">
        <f>IF($C246="","",IF($D246="TANIMSIZ MÜŞTERİ","HATA",IF(OR($E246="",$F246&lt;=0,$G246=""),"EKSİK",IF($E246&gt;TODAY(),"İLERİ TARİH","UYGUN"))))</f>
        <v/>
      </c>
      <c r="N246" s="6" t="n"/>
      <c r="O246" s="6" t="n"/>
    </row>
    <row r="247">
      <c r="A247" s="6" t="n"/>
      <c r="B247" s="112">
        <f>IF($C247="","","T"&amp;TEXT(ROW()-6,"00000"))</f>
        <v/>
      </c>
      <c r="C247" s="107" t="n"/>
      <c r="D247" s="113">
        <f>IF($C247="","",IFERROR(INDEX(MUSTERILER!$C$7:$C$106,MATCH($C247,MUSTERILER!$B$7:$B$106,0)),"TANIMSIZ MÜŞTERİ"))</f>
        <v/>
      </c>
      <c r="E247" s="114" t="n"/>
      <c r="F247" s="115" t="n"/>
      <c r="G247" s="107" t="n"/>
      <c r="H247" s="107" t="n"/>
      <c r="I247" s="108" t="n"/>
      <c r="J247" s="108" t="n"/>
      <c r="K247" s="108" t="n"/>
      <c r="L247" s="119">
        <f>IF($E247="","",DATE(YEAR($E247),MONTH($E247),1))</f>
        <v/>
      </c>
      <c r="M247" s="112">
        <f>IF($C247="","",IF($D247="TANIMSIZ MÜŞTERİ","HATA",IF(OR($E247="",$F247&lt;=0,$G247=""),"EKSİK",IF($E247&gt;TODAY(),"İLERİ TARİH","UYGUN"))))</f>
        <v/>
      </c>
      <c r="N247" s="6" t="n"/>
      <c r="O247" s="6" t="n"/>
    </row>
    <row r="248">
      <c r="A248" s="6" t="n"/>
      <c r="B248" s="112">
        <f>IF($C248="","","T"&amp;TEXT(ROW()-6,"00000"))</f>
        <v/>
      </c>
      <c r="C248" s="107" t="n"/>
      <c r="D248" s="113">
        <f>IF($C248="","",IFERROR(INDEX(MUSTERILER!$C$7:$C$106,MATCH($C248,MUSTERILER!$B$7:$B$106,0)),"TANIMSIZ MÜŞTERİ"))</f>
        <v/>
      </c>
      <c r="E248" s="114" t="n"/>
      <c r="F248" s="115" t="n"/>
      <c r="G248" s="107" t="n"/>
      <c r="H248" s="107" t="n"/>
      <c r="I248" s="108" t="n"/>
      <c r="J248" s="108" t="n"/>
      <c r="K248" s="108" t="n"/>
      <c r="L248" s="119">
        <f>IF($E248="","",DATE(YEAR($E248),MONTH($E248),1))</f>
        <v/>
      </c>
      <c r="M248" s="112">
        <f>IF($C248="","",IF($D248="TANIMSIZ MÜŞTERİ","HATA",IF(OR($E248="",$F248&lt;=0,$G248=""),"EKSİK",IF($E248&gt;TODAY(),"İLERİ TARİH","UYGUN"))))</f>
        <v/>
      </c>
      <c r="N248" s="6" t="n"/>
      <c r="O248" s="6" t="n"/>
    </row>
    <row r="249">
      <c r="A249" s="6" t="n"/>
      <c r="B249" s="112">
        <f>IF($C249="","","T"&amp;TEXT(ROW()-6,"00000"))</f>
        <v/>
      </c>
      <c r="C249" s="107" t="n"/>
      <c r="D249" s="113">
        <f>IF($C249="","",IFERROR(INDEX(MUSTERILER!$C$7:$C$106,MATCH($C249,MUSTERILER!$B$7:$B$106,0)),"TANIMSIZ MÜŞTERİ"))</f>
        <v/>
      </c>
      <c r="E249" s="114" t="n"/>
      <c r="F249" s="115" t="n"/>
      <c r="G249" s="107" t="n"/>
      <c r="H249" s="107" t="n"/>
      <c r="I249" s="108" t="n"/>
      <c r="J249" s="108" t="n"/>
      <c r="K249" s="108" t="n"/>
      <c r="L249" s="119">
        <f>IF($E249="","",DATE(YEAR($E249),MONTH($E249),1))</f>
        <v/>
      </c>
      <c r="M249" s="112">
        <f>IF($C249="","",IF($D249="TANIMSIZ MÜŞTERİ","HATA",IF(OR($E249="",$F249&lt;=0,$G249=""),"EKSİK",IF($E249&gt;TODAY(),"İLERİ TARİH","UYGUN"))))</f>
        <v/>
      </c>
      <c r="N249" s="6" t="n"/>
      <c r="O249" s="6" t="n"/>
    </row>
    <row r="250">
      <c r="A250" s="6" t="n"/>
      <c r="B250" s="112">
        <f>IF($C250="","","T"&amp;TEXT(ROW()-6,"00000"))</f>
        <v/>
      </c>
      <c r="C250" s="107" t="n"/>
      <c r="D250" s="113">
        <f>IF($C250="","",IFERROR(INDEX(MUSTERILER!$C$7:$C$106,MATCH($C250,MUSTERILER!$B$7:$B$106,0)),"TANIMSIZ MÜŞTERİ"))</f>
        <v/>
      </c>
      <c r="E250" s="114" t="n"/>
      <c r="F250" s="115" t="n"/>
      <c r="G250" s="107" t="n"/>
      <c r="H250" s="107" t="n"/>
      <c r="I250" s="108" t="n"/>
      <c r="J250" s="108" t="n"/>
      <c r="K250" s="108" t="n"/>
      <c r="L250" s="119">
        <f>IF($E250="","",DATE(YEAR($E250),MONTH($E250),1))</f>
        <v/>
      </c>
      <c r="M250" s="112">
        <f>IF($C250="","",IF($D250="TANIMSIZ MÜŞTERİ","HATA",IF(OR($E250="",$F250&lt;=0,$G250=""),"EKSİK",IF($E250&gt;TODAY(),"İLERİ TARİH","UYGUN"))))</f>
        <v/>
      </c>
      <c r="N250" s="6" t="n"/>
      <c r="O250" s="6" t="n"/>
    </row>
    <row r="251">
      <c r="A251" s="6" t="n"/>
      <c r="B251" s="112">
        <f>IF($C251="","","T"&amp;TEXT(ROW()-6,"00000"))</f>
        <v/>
      </c>
      <c r="C251" s="107" t="n"/>
      <c r="D251" s="113">
        <f>IF($C251="","",IFERROR(INDEX(MUSTERILER!$C$7:$C$106,MATCH($C251,MUSTERILER!$B$7:$B$106,0)),"TANIMSIZ MÜŞTERİ"))</f>
        <v/>
      </c>
      <c r="E251" s="114" t="n"/>
      <c r="F251" s="115" t="n"/>
      <c r="G251" s="107" t="n"/>
      <c r="H251" s="107" t="n"/>
      <c r="I251" s="108" t="n"/>
      <c r="J251" s="108" t="n"/>
      <c r="K251" s="108" t="n"/>
      <c r="L251" s="119">
        <f>IF($E251="","",DATE(YEAR($E251),MONTH($E251),1))</f>
        <v/>
      </c>
      <c r="M251" s="112">
        <f>IF($C251="","",IF($D251="TANIMSIZ MÜŞTERİ","HATA",IF(OR($E251="",$F251&lt;=0,$G251=""),"EKSİK",IF($E251&gt;TODAY(),"İLERİ TARİH","UYGUN"))))</f>
        <v/>
      </c>
      <c r="N251" s="6" t="n"/>
      <c r="O251" s="6" t="n"/>
    </row>
    <row r="252">
      <c r="A252" s="6" t="n"/>
      <c r="B252" s="112">
        <f>IF($C252="","","T"&amp;TEXT(ROW()-6,"00000"))</f>
        <v/>
      </c>
      <c r="C252" s="107" t="n"/>
      <c r="D252" s="113">
        <f>IF($C252="","",IFERROR(INDEX(MUSTERILER!$C$7:$C$106,MATCH($C252,MUSTERILER!$B$7:$B$106,0)),"TANIMSIZ MÜŞTERİ"))</f>
        <v/>
      </c>
      <c r="E252" s="114" t="n"/>
      <c r="F252" s="115" t="n"/>
      <c r="G252" s="107" t="n"/>
      <c r="H252" s="107" t="n"/>
      <c r="I252" s="108" t="n"/>
      <c r="J252" s="108" t="n"/>
      <c r="K252" s="108" t="n"/>
      <c r="L252" s="119">
        <f>IF($E252="","",DATE(YEAR($E252),MONTH($E252),1))</f>
        <v/>
      </c>
      <c r="M252" s="112">
        <f>IF($C252="","",IF($D252="TANIMSIZ MÜŞTERİ","HATA",IF(OR($E252="",$F252&lt;=0,$G252=""),"EKSİK",IF($E252&gt;TODAY(),"İLERİ TARİH","UYGUN"))))</f>
        <v/>
      </c>
      <c r="N252" s="6" t="n"/>
      <c r="O252" s="6" t="n"/>
    </row>
    <row r="253">
      <c r="A253" s="6" t="n"/>
      <c r="B253" s="112">
        <f>IF($C253="","","T"&amp;TEXT(ROW()-6,"00000"))</f>
        <v/>
      </c>
      <c r="C253" s="107" t="n"/>
      <c r="D253" s="113">
        <f>IF($C253="","",IFERROR(INDEX(MUSTERILER!$C$7:$C$106,MATCH($C253,MUSTERILER!$B$7:$B$106,0)),"TANIMSIZ MÜŞTERİ"))</f>
        <v/>
      </c>
      <c r="E253" s="114" t="n"/>
      <c r="F253" s="115" t="n"/>
      <c r="G253" s="107" t="n"/>
      <c r="H253" s="107" t="n"/>
      <c r="I253" s="108" t="n"/>
      <c r="J253" s="108" t="n"/>
      <c r="K253" s="108" t="n"/>
      <c r="L253" s="119">
        <f>IF($E253="","",DATE(YEAR($E253),MONTH($E253),1))</f>
        <v/>
      </c>
      <c r="M253" s="112">
        <f>IF($C253="","",IF($D253="TANIMSIZ MÜŞTERİ","HATA",IF(OR($E253="",$F253&lt;=0,$G253=""),"EKSİK",IF($E253&gt;TODAY(),"İLERİ TARİH","UYGUN"))))</f>
        <v/>
      </c>
      <c r="N253" s="6" t="n"/>
      <c r="O253" s="6" t="n"/>
    </row>
    <row r="254">
      <c r="A254" s="6" t="n"/>
      <c r="B254" s="112">
        <f>IF($C254="","","T"&amp;TEXT(ROW()-6,"00000"))</f>
        <v/>
      </c>
      <c r="C254" s="107" t="n"/>
      <c r="D254" s="113">
        <f>IF($C254="","",IFERROR(INDEX(MUSTERILER!$C$7:$C$106,MATCH($C254,MUSTERILER!$B$7:$B$106,0)),"TANIMSIZ MÜŞTERİ"))</f>
        <v/>
      </c>
      <c r="E254" s="114" t="n"/>
      <c r="F254" s="115" t="n"/>
      <c r="G254" s="107" t="n"/>
      <c r="H254" s="107" t="n"/>
      <c r="I254" s="108" t="n"/>
      <c r="J254" s="108" t="n"/>
      <c r="K254" s="108" t="n"/>
      <c r="L254" s="119">
        <f>IF($E254="","",DATE(YEAR($E254),MONTH($E254),1))</f>
        <v/>
      </c>
      <c r="M254" s="112">
        <f>IF($C254="","",IF($D254="TANIMSIZ MÜŞTERİ","HATA",IF(OR($E254="",$F254&lt;=0,$G254=""),"EKSİK",IF($E254&gt;TODAY(),"İLERİ TARİH","UYGUN"))))</f>
        <v/>
      </c>
      <c r="N254" s="6" t="n"/>
      <c r="O254" s="6" t="n"/>
    </row>
    <row r="255">
      <c r="A255" s="6" t="n"/>
      <c r="B255" s="112">
        <f>IF($C255="","","T"&amp;TEXT(ROW()-6,"00000"))</f>
        <v/>
      </c>
      <c r="C255" s="107" t="n"/>
      <c r="D255" s="113">
        <f>IF($C255="","",IFERROR(INDEX(MUSTERILER!$C$7:$C$106,MATCH($C255,MUSTERILER!$B$7:$B$106,0)),"TANIMSIZ MÜŞTERİ"))</f>
        <v/>
      </c>
      <c r="E255" s="114" t="n"/>
      <c r="F255" s="115" t="n"/>
      <c r="G255" s="107" t="n"/>
      <c r="H255" s="107" t="n"/>
      <c r="I255" s="108" t="n"/>
      <c r="J255" s="108" t="n"/>
      <c r="K255" s="108" t="n"/>
      <c r="L255" s="119">
        <f>IF($E255="","",DATE(YEAR($E255),MONTH($E255),1))</f>
        <v/>
      </c>
      <c r="M255" s="112">
        <f>IF($C255="","",IF($D255="TANIMSIZ MÜŞTERİ","HATA",IF(OR($E255="",$F255&lt;=0,$G255=""),"EKSİK",IF($E255&gt;TODAY(),"İLERİ TARİH","UYGUN"))))</f>
        <v/>
      </c>
      <c r="N255" s="6" t="n"/>
      <c r="O255" s="6" t="n"/>
    </row>
    <row r="256">
      <c r="A256" s="6" t="n"/>
      <c r="B256" s="112">
        <f>IF($C256="","","T"&amp;TEXT(ROW()-6,"00000"))</f>
        <v/>
      </c>
      <c r="C256" s="107" t="n"/>
      <c r="D256" s="113">
        <f>IF($C256="","",IFERROR(INDEX(MUSTERILER!$C$7:$C$106,MATCH($C256,MUSTERILER!$B$7:$B$106,0)),"TANIMSIZ MÜŞTERİ"))</f>
        <v/>
      </c>
      <c r="E256" s="114" t="n"/>
      <c r="F256" s="115" t="n"/>
      <c r="G256" s="107" t="n"/>
      <c r="H256" s="107" t="n"/>
      <c r="I256" s="108" t="n"/>
      <c r="J256" s="108" t="n"/>
      <c r="K256" s="108" t="n"/>
      <c r="L256" s="119">
        <f>IF($E256="","",DATE(YEAR($E256),MONTH($E256),1))</f>
        <v/>
      </c>
      <c r="M256" s="112">
        <f>IF($C256="","",IF($D256="TANIMSIZ MÜŞTERİ","HATA",IF(OR($E256="",$F256&lt;=0,$G256=""),"EKSİK",IF($E256&gt;TODAY(),"İLERİ TARİH","UYGUN"))))</f>
        <v/>
      </c>
      <c r="N256" s="6" t="n"/>
      <c r="O256" s="6" t="n"/>
    </row>
    <row r="257">
      <c r="A257" s="6" t="n"/>
      <c r="B257" s="112">
        <f>IF($C257="","","T"&amp;TEXT(ROW()-6,"00000"))</f>
        <v/>
      </c>
      <c r="C257" s="107" t="n"/>
      <c r="D257" s="113">
        <f>IF($C257="","",IFERROR(INDEX(MUSTERILER!$C$7:$C$106,MATCH($C257,MUSTERILER!$B$7:$B$106,0)),"TANIMSIZ MÜŞTERİ"))</f>
        <v/>
      </c>
      <c r="E257" s="114" t="n"/>
      <c r="F257" s="115" t="n"/>
      <c r="G257" s="107" t="n"/>
      <c r="H257" s="107" t="n"/>
      <c r="I257" s="108" t="n"/>
      <c r="J257" s="108" t="n"/>
      <c r="K257" s="108" t="n"/>
      <c r="L257" s="119">
        <f>IF($E257="","",DATE(YEAR($E257),MONTH($E257),1))</f>
        <v/>
      </c>
      <c r="M257" s="112">
        <f>IF($C257="","",IF($D257="TANIMSIZ MÜŞTERİ","HATA",IF(OR($E257="",$F257&lt;=0,$G257=""),"EKSİK",IF($E257&gt;TODAY(),"İLERİ TARİH","UYGUN"))))</f>
        <v/>
      </c>
      <c r="N257" s="6" t="n"/>
      <c r="O257" s="6" t="n"/>
    </row>
    <row r="258">
      <c r="A258" s="6" t="n"/>
      <c r="B258" s="112">
        <f>IF($C258="","","T"&amp;TEXT(ROW()-6,"00000"))</f>
        <v/>
      </c>
      <c r="C258" s="107" t="n"/>
      <c r="D258" s="113">
        <f>IF($C258="","",IFERROR(INDEX(MUSTERILER!$C$7:$C$106,MATCH($C258,MUSTERILER!$B$7:$B$106,0)),"TANIMSIZ MÜŞTERİ"))</f>
        <v/>
      </c>
      <c r="E258" s="114" t="n"/>
      <c r="F258" s="115" t="n"/>
      <c r="G258" s="107" t="n"/>
      <c r="H258" s="107" t="n"/>
      <c r="I258" s="108" t="n"/>
      <c r="J258" s="108" t="n"/>
      <c r="K258" s="108" t="n"/>
      <c r="L258" s="119">
        <f>IF($E258="","",DATE(YEAR($E258),MONTH($E258),1))</f>
        <v/>
      </c>
      <c r="M258" s="112">
        <f>IF($C258="","",IF($D258="TANIMSIZ MÜŞTERİ","HATA",IF(OR($E258="",$F258&lt;=0,$G258=""),"EKSİK",IF($E258&gt;TODAY(),"İLERİ TARİH","UYGUN"))))</f>
        <v/>
      </c>
      <c r="N258" s="6" t="n"/>
      <c r="O258" s="6" t="n"/>
    </row>
    <row r="259">
      <c r="A259" s="6" t="n"/>
      <c r="B259" s="112">
        <f>IF($C259="","","T"&amp;TEXT(ROW()-6,"00000"))</f>
        <v/>
      </c>
      <c r="C259" s="107" t="n"/>
      <c r="D259" s="113">
        <f>IF($C259="","",IFERROR(INDEX(MUSTERILER!$C$7:$C$106,MATCH($C259,MUSTERILER!$B$7:$B$106,0)),"TANIMSIZ MÜŞTERİ"))</f>
        <v/>
      </c>
      <c r="E259" s="114" t="n"/>
      <c r="F259" s="115" t="n"/>
      <c r="G259" s="107" t="n"/>
      <c r="H259" s="107" t="n"/>
      <c r="I259" s="108" t="n"/>
      <c r="J259" s="108" t="n"/>
      <c r="K259" s="108" t="n"/>
      <c r="L259" s="119">
        <f>IF($E259="","",DATE(YEAR($E259),MONTH($E259),1))</f>
        <v/>
      </c>
      <c r="M259" s="112">
        <f>IF($C259="","",IF($D259="TANIMSIZ MÜŞTERİ","HATA",IF(OR($E259="",$F259&lt;=0,$G259=""),"EKSİK",IF($E259&gt;TODAY(),"İLERİ TARİH","UYGUN"))))</f>
        <v/>
      </c>
      <c r="N259" s="6" t="n"/>
      <c r="O259" s="6" t="n"/>
    </row>
    <row r="260">
      <c r="A260" s="6" t="n"/>
      <c r="B260" s="112">
        <f>IF($C260="","","T"&amp;TEXT(ROW()-6,"00000"))</f>
        <v/>
      </c>
      <c r="C260" s="107" t="n"/>
      <c r="D260" s="113">
        <f>IF($C260="","",IFERROR(INDEX(MUSTERILER!$C$7:$C$106,MATCH($C260,MUSTERILER!$B$7:$B$106,0)),"TANIMSIZ MÜŞTERİ"))</f>
        <v/>
      </c>
      <c r="E260" s="114" t="n"/>
      <c r="F260" s="115" t="n"/>
      <c r="G260" s="107" t="n"/>
      <c r="H260" s="107" t="n"/>
      <c r="I260" s="108" t="n"/>
      <c r="J260" s="108" t="n"/>
      <c r="K260" s="108" t="n"/>
      <c r="L260" s="119">
        <f>IF($E260="","",DATE(YEAR($E260),MONTH($E260),1))</f>
        <v/>
      </c>
      <c r="M260" s="112">
        <f>IF($C260="","",IF($D260="TANIMSIZ MÜŞTERİ","HATA",IF(OR($E260="",$F260&lt;=0,$G260=""),"EKSİK",IF($E260&gt;TODAY(),"İLERİ TARİH","UYGUN"))))</f>
        <v/>
      </c>
      <c r="N260" s="6" t="n"/>
      <c r="O260" s="6" t="n"/>
    </row>
    <row r="261">
      <c r="A261" s="6" t="n"/>
      <c r="B261" s="112">
        <f>IF($C261="","","T"&amp;TEXT(ROW()-6,"00000"))</f>
        <v/>
      </c>
      <c r="C261" s="107" t="n"/>
      <c r="D261" s="113">
        <f>IF($C261="","",IFERROR(INDEX(MUSTERILER!$C$7:$C$106,MATCH($C261,MUSTERILER!$B$7:$B$106,0)),"TANIMSIZ MÜŞTERİ"))</f>
        <v/>
      </c>
      <c r="E261" s="114" t="n"/>
      <c r="F261" s="115" t="n"/>
      <c r="G261" s="107" t="n"/>
      <c r="H261" s="107" t="n"/>
      <c r="I261" s="108" t="n"/>
      <c r="J261" s="108" t="n"/>
      <c r="K261" s="108" t="n"/>
      <c r="L261" s="119">
        <f>IF($E261="","",DATE(YEAR($E261),MONTH($E261),1))</f>
        <v/>
      </c>
      <c r="M261" s="112">
        <f>IF($C261="","",IF($D261="TANIMSIZ MÜŞTERİ","HATA",IF(OR($E261="",$F261&lt;=0,$G261=""),"EKSİK",IF($E261&gt;TODAY(),"İLERİ TARİH","UYGUN"))))</f>
        <v/>
      </c>
      <c r="N261" s="6" t="n"/>
      <c r="O261" s="6" t="n"/>
    </row>
    <row r="262">
      <c r="A262" s="6" t="n"/>
      <c r="B262" s="112">
        <f>IF($C262="","","T"&amp;TEXT(ROW()-6,"00000"))</f>
        <v/>
      </c>
      <c r="C262" s="107" t="n"/>
      <c r="D262" s="113">
        <f>IF($C262="","",IFERROR(INDEX(MUSTERILER!$C$7:$C$106,MATCH($C262,MUSTERILER!$B$7:$B$106,0)),"TANIMSIZ MÜŞTERİ"))</f>
        <v/>
      </c>
      <c r="E262" s="114" t="n"/>
      <c r="F262" s="115" t="n"/>
      <c r="G262" s="107" t="n"/>
      <c r="H262" s="107" t="n"/>
      <c r="I262" s="108" t="n"/>
      <c r="J262" s="108" t="n"/>
      <c r="K262" s="108" t="n"/>
      <c r="L262" s="119">
        <f>IF($E262="","",DATE(YEAR($E262),MONTH($E262),1))</f>
        <v/>
      </c>
      <c r="M262" s="112">
        <f>IF($C262="","",IF($D262="TANIMSIZ MÜŞTERİ","HATA",IF(OR($E262="",$F262&lt;=0,$G262=""),"EKSİK",IF($E262&gt;TODAY(),"İLERİ TARİH","UYGUN"))))</f>
        <v/>
      </c>
      <c r="N262" s="6" t="n"/>
      <c r="O262" s="6" t="n"/>
    </row>
    <row r="263">
      <c r="A263" s="6" t="n"/>
      <c r="B263" s="112">
        <f>IF($C263="","","T"&amp;TEXT(ROW()-6,"00000"))</f>
        <v/>
      </c>
      <c r="C263" s="107" t="n"/>
      <c r="D263" s="113">
        <f>IF($C263="","",IFERROR(INDEX(MUSTERILER!$C$7:$C$106,MATCH($C263,MUSTERILER!$B$7:$B$106,0)),"TANIMSIZ MÜŞTERİ"))</f>
        <v/>
      </c>
      <c r="E263" s="114" t="n"/>
      <c r="F263" s="115" t="n"/>
      <c r="G263" s="107" t="n"/>
      <c r="H263" s="107" t="n"/>
      <c r="I263" s="108" t="n"/>
      <c r="J263" s="108" t="n"/>
      <c r="K263" s="108" t="n"/>
      <c r="L263" s="119">
        <f>IF($E263="","",DATE(YEAR($E263),MONTH($E263),1))</f>
        <v/>
      </c>
      <c r="M263" s="112">
        <f>IF($C263="","",IF($D263="TANIMSIZ MÜŞTERİ","HATA",IF(OR($E263="",$F263&lt;=0,$G263=""),"EKSİK",IF($E263&gt;TODAY(),"İLERİ TARİH","UYGUN"))))</f>
        <v/>
      </c>
      <c r="N263" s="6" t="n"/>
      <c r="O263" s="6" t="n"/>
    </row>
    <row r="264">
      <c r="A264" s="6" t="n"/>
      <c r="B264" s="112">
        <f>IF($C264="","","T"&amp;TEXT(ROW()-6,"00000"))</f>
        <v/>
      </c>
      <c r="C264" s="107" t="n"/>
      <c r="D264" s="113">
        <f>IF($C264="","",IFERROR(INDEX(MUSTERILER!$C$7:$C$106,MATCH($C264,MUSTERILER!$B$7:$B$106,0)),"TANIMSIZ MÜŞTERİ"))</f>
        <v/>
      </c>
      <c r="E264" s="114" t="n"/>
      <c r="F264" s="115" t="n"/>
      <c r="G264" s="107" t="n"/>
      <c r="H264" s="107" t="n"/>
      <c r="I264" s="108" t="n"/>
      <c r="J264" s="108" t="n"/>
      <c r="K264" s="108" t="n"/>
      <c r="L264" s="119">
        <f>IF($E264="","",DATE(YEAR($E264),MONTH($E264),1))</f>
        <v/>
      </c>
      <c r="M264" s="112">
        <f>IF($C264="","",IF($D264="TANIMSIZ MÜŞTERİ","HATA",IF(OR($E264="",$F264&lt;=0,$G264=""),"EKSİK",IF($E264&gt;TODAY(),"İLERİ TARİH","UYGUN"))))</f>
        <v/>
      </c>
      <c r="N264" s="6" t="n"/>
      <c r="O264" s="6" t="n"/>
    </row>
    <row r="265">
      <c r="A265" s="6" t="n"/>
      <c r="B265" s="112">
        <f>IF($C265="","","T"&amp;TEXT(ROW()-6,"00000"))</f>
        <v/>
      </c>
      <c r="C265" s="107" t="n"/>
      <c r="D265" s="113">
        <f>IF($C265="","",IFERROR(INDEX(MUSTERILER!$C$7:$C$106,MATCH($C265,MUSTERILER!$B$7:$B$106,0)),"TANIMSIZ MÜŞTERİ"))</f>
        <v/>
      </c>
      <c r="E265" s="114" t="n"/>
      <c r="F265" s="115" t="n"/>
      <c r="G265" s="107" t="n"/>
      <c r="H265" s="107" t="n"/>
      <c r="I265" s="108" t="n"/>
      <c r="J265" s="108" t="n"/>
      <c r="K265" s="108" t="n"/>
      <c r="L265" s="119">
        <f>IF($E265="","",DATE(YEAR($E265),MONTH($E265),1))</f>
        <v/>
      </c>
      <c r="M265" s="112">
        <f>IF($C265="","",IF($D265="TANIMSIZ MÜŞTERİ","HATA",IF(OR($E265="",$F265&lt;=0,$G265=""),"EKSİK",IF($E265&gt;TODAY(),"İLERİ TARİH","UYGUN"))))</f>
        <v/>
      </c>
      <c r="N265" s="6" t="n"/>
      <c r="O265" s="6" t="n"/>
    </row>
    <row r="266">
      <c r="A266" s="6" t="n"/>
      <c r="B266" s="112">
        <f>IF($C266="","","T"&amp;TEXT(ROW()-6,"00000"))</f>
        <v/>
      </c>
      <c r="C266" s="107" t="n"/>
      <c r="D266" s="113">
        <f>IF($C266="","",IFERROR(INDEX(MUSTERILER!$C$7:$C$106,MATCH($C266,MUSTERILER!$B$7:$B$106,0)),"TANIMSIZ MÜŞTERİ"))</f>
        <v/>
      </c>
      <c r="E266" s="114" t="n"/>
      <c r="F266" s="115" t="n"/>
      <c r="G266" s="107" t="n"/>
      <c r="H266" s="107" t="n"/>
      <c r="I266" s="108" t="n"/>
      <c r="J266" s="108" t="n"/>
      <c r="K266" s="108" t="n"/>
      <c r="L266" s="119">
        <f>IF($E266="","",DATE(YEAR($E266),MONTH($E266),1))</f>
        <v/>
      </c>
      <c r="M266" s="112">
        <f>IF($C266="","",IF($D266="TANIMSIZ MÜŞTERİ","HATA",IF(OR($E266="",$F266&lt;=0,$G266=""),"EKSİK",IF($E266&gt;TODAY(),"İLERİ TARİH","UYGUN"))))</f>
        <v/>
      </c>
      <c r="N266" s="6" t="n"/>
      <c r="O266" s="6" t="n"/>
    </row>
    <row r="267">
      <c r="A267" s="6" t="n"/>
      <c r="B267" s="112">
        <f>IF($C267="","","T"&amp;TEXT(ROW()-6,"00000"))</f>
        <v/>
      </c>
      <c r="C267" s="107" t="n"/>
      <c r="D267" s="113">
        <f>IF($C267="","",IFERROR(INDEX(MUSTERILER!$C$7:$C$106,MATCH($C267,MUSTERILER!$B$7:$B$106,0)),"TANIMSIZ MÜŞTERİ"))</f>
        <v/>
      </c>
      <c r="E267" s="114" t="n"/>
      <c r="F267" s="115" t="n"/>
      <c r="G267" s="107" t="n"/>
      <c r="H267" s="107" t="n"/>
      <c r="I267" s="108" t="n"/>
      <c r="J267" s="108" t="n"/>
      <c r="K267" s="108" t="n"/>
      <c r="L267" s="119">
        <f>IF($E267="","",DATE(YEAR($E267),MONTH($E267),1))</f>
        <v/>
      </c>
      <c r="M267" s="112">
        <f>IF($C267="","",IF($D267="TANIMSIZ MÜŞTERİ","HATA",IF(OR($E267="",$F267&lt;=0,$G267=""),"EKSİK",IF($E267&gt;TODAY(),"İLERİ TARİH","UYGUN"))))</f>
        <v/>
      </c>
      <c r="N267" s="6" t="n"/>
      <c r="O267" s="6" t="n"/>
    </row>
    <row r="268">
      <c r="A268" s="6" t="n"/>
      <c r="B268" s="112">
        <f>IF($C268="","","T"&amp;TEXT(ROW()-6,"00000"))</f>
        <v/>
      </c>
      <c r="C268" s="107" t="n"/>
      <c r="D268" s="113">
        <f>IF($C268="","",IFERROR(INDEX(MUSTERILER!$C$7:$C$106,MATCH($C268,MUSTERILER!$B$7:$B$106,0)),"TANIMSIZ MÜŞTERİ"))</f>
        <v/>
      </c>
      <c r="E268" s="114" t="n"/>
      <c r="F268" s="115" t="n"/>
      <c r="G268" s="107" t="n"/>
      <c r="H268" s="107" t="n"/>
      <c r="I268" s="108" t="n"/>
      <c r="J268" s="108" t="n"/>
      <c r="K268" s="108" t="n"/>
      <c r="L268" s="119">
        <f>IF($E268="","",DATE(YEAR($E268),MONTH($E268),1))</f>
        <v/>
      </c>
      <c r="M268" s="112">
        <f>IF($C268="","",IF($D268="TANIMSIZ MÜŞTERİ","HATA",IF(OR($E268="",$F268&lt;=0,$G268=""),"EKSİK",IF($E268&gt;TODAY(),"İLERİ TARİH","UYGUN"))))</f>
        <v/>
      </c>
      <c r="N268" s="6" t="n"/>
      <c r="O268" s="6" t="n"/>
    </row>
    <row r="269">
      <c r="A269" s="6" t="n"/>
      <c r="B269" s="112">
        <f>IF($C269="","","T"&amp;TEXT(ROW()-6,"00000"))</f>
        <v/>
      </c>
      <c r="C269" s="107" t="n"/>
      <c r="D269" s="113">
        <f>IF($C269="","",IFERROR(INDEX(MUSTERILER!$C$7:$C$106,MATCH($C269,MUSTERILER!$B$7:$B$106,0)),"TANIMSIZ MÜŞTERİ"))</f>
        <v/>
      </c>
      <c r="E269" s="114" t="n"/>
      <c r="F269" s="115" t="n"/>
      <c r="G269" s="107" t="n"/>
      <c r="H269" s="107" t="n"/>
      <c r="I269" s="108" t="n"/>
      <c r="J269" s="108" t="n"/>
      <c r="K269" s="108" t="n"/>
      <c r="L269" s="119">
        <f>IF($E269="","",DATE(YEAR($E269),MONTH($E269),1))</f>
        <v/>
      </c>
      <c r="M269" s="112">
        <f>IF($C269="","",IF($D269="TANIMSIZ MÜŞTERİ","HATA",IF(OR($E269="",$F269&lt;=0,$G269=""),"EKSİK",IF($E269&gt;TODAY(),"İLERİ TARİH","UYGUN"))))</f>
        <v/>
      </c>
      <c r="N269" s="6" t="n"/>
      <c r="O269" s="6" t="n"/>
    </row>
    <row r="270">
      <c r="A270" s="6" t="n"/>
      <c r="B270" s="112">
        <f>IF($C270="","","T"&amp;TEXT(ROW()-6,"00000"))</f>
        <v/>
      </c>
      <c r="C270" s="107" t="n"/>
      <c r="D270" s="113">
        <f>IF($C270="","",IFERROR(INDEX(MUSTERILER!$C$7:$C$106,MATCH($C270,MUSTERILER!$B$7:$B$106,0)),"TANIMSIZ MÜŞTERİ"))</f>
        <v/>
      </c>
      <c r="E270" s="114" t="n"/>
      <c r="F270" s="115" t="n"/>
      <c r="G270" s="107" t="n"/>
      <c r="H270" s="107" t="n"/>
      <c r="I270" s="108" t="n"/>
      <c r="J270" s="108" t="n"/>
      <c r="K270" s="108" t="n"/>
      <c r="L270" s="119">
        <f>IF($E270="","",DATE(YEAR($E270),MONTH($E270),1))</f>
        <v/>
      </c>
      <c r="M270" s="112">
        <f>IF($C270="","",IF($D270="TANIMSIZ MÜŞTERİ","HATA",IF(OR($E270="",$F270&lt;=0,$G270=""),"EKSİK",IF($E270&gt;TODAY(),"İLERİ TARİH","UYGUN"))))</f>
        <v/>
      </c>
      <c r="N270" s="6" t="n"/>
      <c r="O270" s="6" t="n"/>
    </row>
    <row r="271">
      <c r="A271" s="6" t="n"/>
      <c r="B271" s="112">
        <f>IF($C271="","","T"&amp;TEXT(ROW()-6,"00000"))</f>
        <v/>
      </c>
      <c r="C271" s="107" t="n"/>
      <c r="D271" s="113">
        <f>IF($C271="","",IFERROR(INDEX(MUSTERILER!$C$7:$C$106,MATCH($C271,MUSTERILER!$B$7:$B$106,0)),"TANIMSIZ MÜŞTERİ"))</f>
        <v/>
      </c>
      <c r="E271" s="114" t="n"/>
      <c r="F271" s="115" t="n"/>
      <c r="G271" s="107" t="n"/>
      <c r="H271" s="107" t="n"/>
      <c r="I271" s="108" t="n"/>
      <c r="J271" s="108" t="n"/>
      <c r="K271" s="108" t="n"/>
      <c r="L271" s="119">
        <f>IF($E271="","",DATE(YEAR($E271),MONTH($E271),1))</f>
        <v/>
      </c>
      <c r="M271" s="112">
        <f>IF($C271="","",IF($D271="TANIMSIZ MÜŞTERİ","HATA",IF(OR($E271="",$F271&lt;=0,$G271=""),"EKSİK",IF($E271&gt;TODAY(),"İLERİ TARİH","UYGUN"))))</f>
        <v/>
      </c>
      <c r="N271" s="6" t="n"/>
      <c r="O271" s="6" t="n"/>
    </row>
    <row r="272">
      <c r="A272" s="6" t="n"/>
      <c r="B272" s="112">
        <f>IF($C272="","","T"&amp;TEXT(ROW()-6,"00000"))</f>
        <v/>
      </c>
      <c r="C272" s="107" t="n"/>
      <c r="D272" s="113">
        <f>IF($C272="","",IFERROR(INDEX(MUSTERILER!$C$7:$C$106,MATCH($C272,MUSTERILER!$B$7:$B$106,0)),"TANIMSIZ MÜŞTERİ"))</f>
        <v/>
      </c>
      <c r="E272" s="114" t="n"/>
      <c r="F272" s="115" t="n"/>
      <c r="G272" s="107" t="n"/>
      <c r="H272" s="107" t="n"/>
      <c r="I272" s="108" t="n"/>
      <c r="J272" s="108" t="n"/>
      <c r="K272" s="108" t="n"/>
      <c r="L272" s="119">
        <f>IF($E272="","",DATE(YEAR($E272),MONTH($E272),1))</f>
        <v/>
      </c>
      <c r="M272" s="112">
        <f>IF($C272="","",IF($D272="TANIMSIZ MÜŞTERİ","HATA",IF(OR($E272="",$F272&lt;=0,$G272=""),"EKSİK",IF($E272&gt;TODAY(),"İLERİ TARİH","UYGUN"))))</f>
        <v/>
      </c>
      <c r="N272" s="6" t="n"/>
      <c r="O272" s="6" t="n"/>
    </row>
    <row r="273">
      <c r="A273" s="6" t="n"/>
      <c r="B273" s="112">
        <f>IF($C273="","","T"&amp;TEXT(ROW()-6,"00000"))</f>
        <v/>
      </c>
      <c r="C273" s="107" t="n"/>
      <c r="D273" s="113">
        <f>IF($C273="","",IFERROR(INDEX(MUSTERILER!$C$7:$C$106,MATCH($C273,MUSTERILER!$B$7:$B$106,0)),"TANIMSIZ MÜŞTERİ"))</f>
        <v/>
      </c>
      <c r="E273" s="114" t="n"/>
      <c r="F273" s="115" t="n"/>
      <c r="G273" s="107" t="n"/>
      <c r="H273" s="107" t="n"/>
      <c r="I273" s="108" t="n"/>
      <c r="J273" s="108" t="n"/>
      <c r="K273" s="108" t="n"/>
      <c r="L273" s="119">
        <f>IF($E273="","",DATE(YEAR($E273),MONTH($E273),1))</f>
        <v/>
      </c>
      <c r="M273" s="112">
        <f>IF($C273="","",IF($D273="TANIMSIZ MÜŞTERİ","HATA",IF(OR($E273="",$F273&lt;=0,$G273=""),"EKSİK",IF($E273&gt;TODAY(),"İLERİ TARİH","UYGUN"))))</f>
        <v/>
      </c>
      <c r="N273" s="6" t="n"/>
      <c r="O273" s="6" t="n"/>
    </row>
    <row r="274">
      <c r="A274" s="6" t="n"/>
      <c r="B274" s="112">
        <f>IF($C274="","","T"&amp;TEXT(ROW()-6,"00000"))</f>
        <v/>
      </c>
      <c r="C274" s="107" t="n"/>
      <c r="D274" s="113">
        <f>IF($C274="","",IFERROR(INDEX(MUSTERILER!$C$7:$C$106,MATCH($C274,MUSTERILER!$B$7:$B$106,0)),"TANIMSIZ MÜŞTERİ"))</f>
        <v/>
      </c>
      <c r="E274" s="114" t="n"/>
      <c r="F274" s="115" t="n"/>
      <c r="G274" s="107" t="n"/>
      <c r="H274" s="107" t="n"/>
      <c r="I274" s="108" t="n"/>
      <c r="J274" s="108" t="n"/>
      <c r="K274" s="108" t="n"/>
      <c r="L274" s="119">
        <f>IF($E274="","",DATE(YEAR($E274),MONTH($E274),1))</f>
        <v/>
      </c>
      <c r="M274" s="112">
        <f>IF($C274="","",IF($D274="TANIMSIZ MÜŞTERİ","HATA",IF(OR($E274="",$F274&lt;=0,$G274=""),"EKSİK",IF($E274&gt;TODAY(),"İLERİ TARİH","UYGUN"))))</f>
        <v/>
      </c>
      <c r="N274" s="6" t="n"/>
      <c r="O274" s="6" t="n"/>
    </row>
    <row r="275">
      <c r="A275" s="6" t="n"/>
      <c r="B275" s="112">
        <f>IF($C275="","","T"&amp;TEXT(ROW()-6,"00000"))</f>
        <v/>
      </c>
      <c r="C275" s="107" t="n"/>
      <c r="D275" s="113">
        <f>IF($C275="","",IFERROR(INDEX(MUSTERILER!$C$7:$C$106,MATCH($C275,MUSTERILER!$B$7:$B$106,0)),"TANIMSIZ MÜŞTERİ"))</f>
        <v/>
      </c>
      <c r="E275" s="114" t="n"/>
      <c r="F275" s="115" t="n"/>
      <c r="G275" s="107" t="n"/>
      <c r="H275" s="107" t="n"/>
      <c r="I275" s="108" t="n"/>
      <c r="J275" s="108" t="n"/>
      <c r="K275" s="108" t="n"/>
      <c r="L275" s="119">
        <f>IF($E275="","",DATE(YEAR($E275),MONTH($E275),1))</f>
        <v/>
      </c>
      <c r="M275" s="112">
        <f>IF($C275="","",IF($D275="TANIMSIZ MÜŞTERİ","HATA",IF(OR($E275="",$F275&lt;=0,$G275=""),"EKSİK",IF($E275&gt;TODAY(),"İLERİ TARİH","UYGUN"))))</f>
        <v/>
      </c>
      <c r="N275" s="6" t="n"/>
      <c r="O275" s="6" t="n"/>
    </row>
    <row r="276">
      <c r="A276" s="6" t="n"/>
      <c r="B276" s="112">
        <f>IF($C276="","","T"&amp;TEXT(ROW()-6,"00000"))</f>
        <v/>
      </c>
      <c r="C276" s="107" t="n"/>
      <c r="D276" s="113">
        <f>IF($C276="","",IFERROR(INDEX(MUSTERILER!$C$7:$C$106,MATCH($C276,MUSTERILER!$B$7:$B$106,0)),"TANIMSIZ MÜŞTERİ"))</f>
        <v/>
      </c>
      <c r="E276" s="114" t="n"/>
      <c r="F276" s="115" t="n"/>
      <c r="G276" s="107" t="n"/>
      <c r="H276" s="107" t="n"/>
      <c r="I276" s="108" t="n"/>
      <c r="J276" s="108" t="n"/>
      <c r="K276" s="108" t="n"/>
      <c r="L276" s="119">
        <f>IF($E276="","",DATE(YEAR($E276),MONTH($E276),1))</f>
        <v/>
      </c>
      <c r="M276" s="112">
        <f>IF($C276="","",IF($D276="TANIMSIZ MÜŞTERİ","HATA",IF(OR($E276="",$F276&lt;=0,$G276=""),"EKSİK",IF($E276&gt;TODAY(),"İLERİ TARİH","UYGUN"))))</f>
        <v/>
      </c>
      <c r="N276" s="6" t="n"/>
      <c r="O276" s="6" t="n"/>
    </row>
    <row r="277">
      <c r="A277" s="6" t="n"/>
      <c r="B277" s="112">
        <f>IF($C277="","","T"&amp;TEXT(ROW()-6,"00000"))</f>
        <v/>
      </c>
      <c r="C277" s="107" t="n"/>
      <c r="D277" s="113">
        <f>IF($C277="","",IFERROR(INDEX(MUSTERILER!$C$7:$C$106,MATCH($C277,MUSTERILER!$B$7:$B$106,0)),"TANIMSIZ MÜŞTERİ"))</f>
        <v/>
      </c>
      <c r="E277" s="114" t="n"/>
      <c r="F277" s="115" t="n"/>
      <c r="G277" s="107" t="n"/>
      <c r="H277" s="107" t="n"/>
      <c r="I277" s="108" t="n"/>
      <c r="J277" s="108" t="n"/>
      <c r="K277" s="108" t="n"/>
      <c r="L277" s="119">
        <f>IF($E277="","",DATE(YEAR($E277),MONTH($E277),1))</f>
        <v/>
      </c>
      <c r="M277" s="112">
        <f>IF($C277="","",IF($D277="TANIMSIZ MÜŞTERİ","HATA",IF(OR($E277="",$F277&lt;=0,$G277=""),"EKSİK",IF($E277&gt;TODAY(),"İLERİ TARİH","UYGUN"))))</f>
        <v/>
      </c>
      <c r="N277" s="6" t="n"/>
      <c r="O277" s="6" t="n"/>
    </row>
    <row r="278">
      <c r="A278" s="6" t="n"/>
      <c r="B278" s="112">
        <f>IF($C278="","","T"&amp;TEXT(ROW()-6,"00000"))</f>
        <v/>
      </c>
      <c r="C278" s="107" t="n"/>
      <c r="D278" s="113">
        <f>IF($C278="","",IFERROR(INDEX(MUSTERILER!$C$7:$C$106,MATCH($C278,MUSTERILER!$B$7:$B$106,0)),"TANIMSIZ MÜŞTERİ"))</f>
        <v/>
      </c>
      <c r="E278" s="114" t="n"/>
      <c r="F278" s="115" t="n"/>
      <c r="G278" s="107" t="n"/>
      <c r="H278" s="107" t="n"/>
      <c r="I278" s="108" t="n"/>
      <c r="J278" s="108" t="n"/>
      <c r="K278" s="108" t="n"/>
      <c r="L278" s="119">
        <f>IF($E278="","",DATE(YEAR($E278),MONTH($E278),1))</f>
        <v/>
      </c>
      <c r="M278" s="112">
        <f>IF($C278="","",IF($D278="TANIMSIZ MÜŞTERİ","HATA",IF(OR($E278="",$F278&lt;=0,$G278=""),"EKSİK",IF($E278&gt;TODAY(),"İLERİ TARİH","UYGUN"))))</f>
        <v/>
      </c>
      <c r="N278" s="6" t="n"/>
      <c r="O278" s="6" t="n"/>
    </row>
    <row r="279">
      <c r="A279" s="6" t="n"/>
      <c r="B279" s="112">
        <f>IF($C279="","","T"&amp;TEXT(ROW()-6,"00000"))</f>
        <v/>
      </c>
      <c r="C279" s="107" t="n"/>
      <c r="D279" s="113">
        <f>IF($C279="","",IFERROR(INDEX(MUSTERILER!$C$7:$C$106,MATCH($C279,MUSTERILER!$B$7:$B$106,0)),"TANIMSIZ MÜŞTERİ"))</f>
        <v/>
      </c>
      <c r="E279" s="114" t="n"/>
      <c r="F279" s="115" t="n"/>
      <c r="G279" s="107" t="n"/>
      <c r="H279" s="107" t="n"/>
      <c r="I279" s="108" t="n"/>
      <c r="J279" s="108" t="n"/>
      <c r="K279" s="108" t="n"/>
      <c r="L279" s="119">
        <f>IF($E279="","",DATE(YEAR($E279),MONTH($E279),1))</f>
        <v/>
      </c>
      <c r="M279" s="112">
        <f>IF($C279="","",IF($D279="TANIMSIZ MÜŞTERİ","HATA",IF(OR($E279="",$F279&lt;=0,$G279=""),"EKSİK",IF($E279&gt;TODAY(),"İLERİ TARİH","UYGUN"))))</f>
        <v/>
      </c>
      <c r="N279" s="6" t="n"/>
      <c r="O279" s="6" t="n"/>
    </row>
    <row r="280">
      <c r="A280" s="6" t="n"/>
      <c r="B280" s="112">
        <f>IF($C280="","","T"&amp;TEXT(ROW()-6,"00000"))</f>
        <v/>
      </c>
      <c r="C280" s="107" t="n"/>
      <c r="D280" s="113">
        <f>IF($C280="","",IFERROR(INDEX(MUSTERILER!$C$7:$C$106,MATCH($C280,MUSTERILER!$B$7:$B$106,0)),"TANIMSIZ MÜŞTERİ"))</f>
        <v/>
      </c>
      <c r="E280" s="114" t="n"/>
      <c r="F280" s="115" t="n"/>
      <c r="G280" s="107" t="n"/>
      <c r="H280" s="107" t="n"/>
      <c r="I280" s="108" t="n"/>
      <c r="J280" s="108" t="n"/>
      <c r="K280" s="108" t="n"/>
      <c r="L280" s="119">
        <f>IF($E280="","",DATE(YEAR($E280),MONTH($E280),1))</f>
        <v/>
      </c>
      <c r="M280" s="112">
        <f>IF($C280="","",IF($D280="TANIMSIZ MÜŞTERİ","HATA",IF(OR($E280="",$F280&lt;=0,$G280=""),"EKSİK",IF($E280&gt;TODAY(),"İLERİ TARİH","UYGUN"))))</f>
        <v/>
      </c>
      <c r="N280" s="6" t="n"/>
      <c r="O280" s="6" t="n"/>
    </row>
    <row r="281">
      <c r="A281" s="6" t="n"/>
      <c r="B281" s="112">
        <f>IF($C281="","","T"&amp;TEXT(ROW()-6,"00000"))</f>
        <v/>
      </c>
      <c r="C281" s="107" t="n"/>
      <c r="D281" s="113">
        <f>IF($C281="","",IFERROR(INDEX(MUSTERILER!$C$7:$C$106,MATCH($C281,MUSTERILER!$B$7:$B$106,0)),"TANIMSIZ MÜŞTERİ"))</f>
        <v/>
      </c>
      <c r="E281" s="114" t="n"/>
      <c r="F281" s="115" t="n"/>
      <c r="G281" s="107" t="n"/>
      <c r="H281" s="107" t="n"/>
      <c r="I281" s="108" t="n"/>
      <c r="J281" s="108" t="n"/>
      <c r="K281" s="108" t="n"/>
      <c r="L281" s="119">
        <f>IF($E281="","",DATE(YEAR($E281),MONTH($E281),1))</f>
        <v/>
      </c>
      <c r="M281" s="112">
        <f>IF($C281="","",IF($D281="TANIMSIZ MÜŞTERİ","HATA",IF(OR($E281="",$F281&lt;=0,$G281=""),"EKSİK",IF($E281&gt;TODAY(),"İLERİ TARİH","UYGUN"))))</f>
        <v/>
      </c>
      <c r="N281" s="6" t="n"/>
      <c r="O281" s="6" t="n"/>
    </row>
    <row r="282">
      <c r="A282" s="6" t="n"/>
      <c r="B282" s="112">
        <f>IF($C282="","","T"&amp;TEXT(ROW()-6,"00000"))</f>
        <v/>
      </c>
      <c r="C282" s="107" t="n"/>
      <c r="D282" s="113">
        <f>IF($C282="","",IFERROR(INDEX(MUSTERILER!$C$7:$C$106,MATCH($C282,MUSTERILER!$B$7:$B$106,0)),"TANIMSIZ MÜŞTERİ"))</f>
        <v/>
      </c>
      <c r="E282" s="114" t="n"/>
      <c r="F282" s="115" t="n"/>
      <c r="G282" s="107" t="n"/>
      <c r="H282" s="107" t="n"/>
      <c r="I282" s="108" t="n"/>
      <c r="J282" s="108" t="n"/>
      <c r="K282" s="108" t="n"/>
      <c r="L282" s="119">
        <f>IF($E282="","",DATE(YEAR($E282),MONTH($E282),1))</f>
        <v/>
      </c>
      <c r="M282" s="112">
        <f>IF($C282="","",IF($D282="TANIMSIZ MÜŞTERİ","HATA",IF(OR($E282="",$F282&lt;=0,$G282=""),"EKSİK",IF($E282&gt;TODAY(),"İLERİ TARİH","UYGUN"))))</f>
        <v/>
      </c>
      <c r="N282" s="6" t="n"/>
      <c r="O282" s="6" t="n"/>
    </row>
    <row r="283">
      <c r="A283" s="6" t="n"/>
      <c r="B283" s="112">
        <f>IF($C283="","","T"&amp;TEXT(ROW()-6,"00000"))</f>
        <v/>
      </c>
      <c r="C283" s="107" t="n"/>
      <c r="D283" s="113">
        <f>IF($C283="","",IFERROR(INDEX(MUSTERILER!$C$7:$C$106,MATCH($C283,MUSTERILER!$B$7:$B$106,0)),"TANIMSIZ MÜŞTERİ"))</f>
        <v/>
      </c>
      <c r="E283" s="114" t="n"/>
      <c r="F283" s="115" t="n"/>
      <c r="G283" s="107" t="n"/>
      <c r="H283" s="107" t="n"/>
      <c r="I283" s="108" t="n"/>
      <c r="J283" s="108" t="n"/>
      <c r="K283" s="108" t="n"/>
      <c r="L283" s="119">
        <f>IF($E283="","",DATE(YEAR($E283),MONTH($E283),1))</f>
        <v/>
      </c>
      <c r="M283" s="112">
        <f>IF($C283="","",IF($D283="TANIMSIZ MÜŞTERİ","HATA",IF(OR($E283="",$F283&lt;=0,$G283=""),"EKSİK",IF($E283&gt;TODAY(),"İLERİ TARİH","UYGUN"))))</f>
        <v/>
      </c>
      <c r="N283" s="6" t="n"/>
      <c r="O283" s="6" t="n"/>
    </row>
    <row r="284">
      <c r="A284" s="6" t="n"/>
      <c r="B284" s="112">
        <f>IF($C284="","","T"&amp;TEXT(ROW()-6,"00000"))</f>
        <v/>
      </c>
      <c r="C284" s="107" t="n"/>
      <c r="D284" s="113">
        <f>IF($C284="","",IFERROR(INDEX(MUSTERILER!$C$7:$C$106,MATCH($C284,MUSTERILER!$B$7:$B$106,0)),"TANIMSIZ MÜŞTERİ"))</f>
        <v/>
      </c>
      <c r="E284" s="114" t="n"/>
      <c r="F284" s="115" t="n"/>
      <c r="G284" s="107" t="n"/>
      <c r="H284" s="107" t="n"/>
      <c r="I284" s="108" t="n"/>
      <c r="J284" s="108" t="n"/>
      <c r="K284" s="108" t="n"/>
      <c r="L284" s="119">
        <f>IF($E284="","",DATE(YEAR($E284),MONTH($E284),1))</f>
        <v/>
      </c>
      <c r="M284" s="112">
        <f>IF($C284="","",IF($D284="TANIMSIZ MÜŞTERİ","HATA",IF(OR($E284="",$F284&lt;=0,$G284=""),"EKSİK",IF($E284&gt;TODAY(),"İLERİ TARİH","UYGUN"))))</f>
        <v/>
      </c>
      <c r="N284" s="6" t="n"/>
      <c r="O284" s="6" t="n"/>
    </row>
    <row r="285">
      <c r="A285" s="6" t="n"/>
      <c r="B285" s="112">
        <f>IF($C285="","","T"&amp;TEXT(ROW()-6,"00000"))</f>
        <v/>
      </c>
      <c r="C285" s="107" t="n"/>
      <c r="D285" s="113">
        <f>IF($C285="","",IFERROR(INDEX(MUSTERILER!$C$7:$C$106,MATCH($C285,MUSTERILER!$B$7:$B$106,0)),"TANIMSIZ MÜŞTERİ"))</f>
        <v/>
      </c>
      <c r="E285" s="114" t="n"/>
      <c r="F285" s="115" t="n"/>
      <c r="G285" s="107" t="n"/>
      <c r="H285" s="107" t="n"/>
      <c r="I285" s="108" t="n"/>
      <c r="J285" s="108" t="n"/>
      <c r="K285" s="108" t="n"/>
      <c r="L285" s="119">
        <f>IF($E285="","",DATE(YEAR($E285),MONTH($E285),1))</f>
        <v/>
      </c>
      <c r="M285" s="112">
        <f>IF($C285="","",IF($D285="TANIMSIZ MÜŞTERİ","HATA",IF(OR($E285="",$F285&lt;=0,$G285=""),"EKSİK",IF($E285&gt;TODAY(),"İLERİ TARİH","UYGUN"))))</f>
        <v/>
      </c>
      <c r="N285" s="6" t="n"/>
      <c r="O285" s="6" t="n"/>
    </row>
    <row r="286">
      <c r="A286" s="6" t="n"/>
      <c r="B286" s="112">
        <f>IF($C286="","","T"&amp;TEXT(ROW()-6,"00000"))</f>
        <v/>
      </c>
      <c r="C286" s="107" t="n"/>
      <c r="D286" s="113">
        <f>IF($C286="","",IFERROR(INDEX(MUSTERILER!$C$7:$C$106,MATCH($C286,MUSTERILER!$B$7:$B$106,0)),"TANIMSIZ MÜŞTERİ"))</f>
        <v/>
      </c>
      <c r="E286" s="114" t="n"/>
      <c r="F286" s="115" t="n"/>
      <c r="G286" s="107" t="n"/>
      <c r="H286" s="107" t="n"/>
      <c r="I286" s="108" t="n"/>
      <c r="J286" s="108" t="n"/>
      <c r="K286" s="108" t="n"/>
      <c r="L286" s="119">
        <f>IF($E286="","",DATE(YEAR($E286),MONTH($E286),1))</f>
        <v/>
      </c>
      <c r="M286" s="112">
        <f>IF($C286="","",IF($D286="TANIMSIZ MÜŞTERİ","HATA",IF(OR($E286="",$F286&lt;=0,$G286=""),"EKSİK",IF($E286&gt;TODAY(),"İLERİ TARİH","UYGUN"))))</f>
        <v/>
      </c>
      <c r="N286" s="6" t="n"/>
      <c r="O286" s="6" t="n"/>
    </row>
    <row r="287">
      <c r="A287" s="6" t="n"/>
      <c r="B287" s="112">
        <f>IF($C287="","","T"&amp;TEXT(ROW()-6,"00000"))</f>
        <v/>
      </c>
      <c r="C287" s="107" t="n"/>
      <c r="D287" s="113">
        <f>IF($C287="","",IFERROR(INDEX(MUSTERILER!$C$7:$C$106,MATCH($C287,MUSTERILER!$B$7:$B$106,0)),"TANIMSIZ MÜŞTERİ"))</f>
        <v/>
      </c>
      <c r="E287" s="114" t="n"/>
      <c r="F287" s="115" t="n"/>
      <c r="G287" s="107" t="n"/>
      <c r="H287" s="107" t="n"/>
      <c r="I287" s="108" t="n"/>
      <c r="J287" s="108" t="n"/>
      <c r="K287" s="108" t="n"/>
      <c r="L287" s="119">
        <f>IF($E287="","",DATE(YEAR($E287),MONTH($E287),1))</f>
        <v/>
      </c>
      <c r="M287" s="112">
        <f>IF($C287="","",IF($D287="TANIMSIZ MÜŞTERİ","HATA",IF(OR($E287="",$F287&lt;=0,$G287=""),"EKSİK",IF($E287&gt;TODAY(),"İLERİ TARİH","UYGUN"))))</f>
        <v/>
      </c>
      <c r="N287" s="6" t="n"/>
      <c r="O287" s="6" t="n"/>
    </row>
    <row r="288">
      <c r="A288" s="6" t="n"/>
      <c r="B288" s="112">
        <f>IF($C288="","","T"&amp;TEXT(ROW()-6,"00000"))</f>
        <v/>
      </c>
      <c r="C288" s="107" t="n"/>
      <c r="D288" s="113">
        <f>IF($C288="","",IFERROR(INDEX(MUSTERILER!$C$7:$C$106,MATCH($C288,MUSTERILER!$B$7:$B$106,0)),"TANIMSIZ MÜŞTERİ"))</f>
        <v/>
      </c>
      <c r="E288" s="114" t="n"/>
      <c r="F288" s="115" t="n"/>
      <c r="G288" s="107" t="n"/>
      <c r="H288" s="107" t="n"/>
      <c r="I288" s="108" t="n"/>
      <c r="J288" s="108" t="n"/>
      <c r="K288" s="108" t="n"/>
      <c r="L288" s="119">
        <f>IF($E288="","",DATE(YEAR($E288),MONTH($E288),1))</f>
        <v/>
      </c>
      <c r="M288" s="112">
        <f>IF($C288="","",IF($D288="TANIMSIZ MÜŞTERİ","HATA",IF(OR($E288="",$F288&lt;=0,$G288=""),"EKSİK",IF($E288&gt;TODAY(),"İLERİ TARİH","UYGUN"))))</f>
        <v/>
      </c>
      <c r="N288" s="6" t="n"/>
      <c r="O288" s="6" t="n"/>
    </row>
    <row r="289">
      <c r="A289" s="6" t="n"/>
      <c r="B289" s="112">
        <f>IF($C289="","","T"&amp;TEXT(ROW()-6,"00000"))</f>
        <v/>
      </c>
      <c r="C289" s="107" t="n"/>
      <c r="D289" s="113">
        <f>IF($C289="","",IFERROR(INDEX(MUSTERILER!$C$7:$C$106,MATCH($C289,MUSTERILER!$B$7:$B$106,0)),"TANIMSIZ MÜŞTERİ"))</f>
        <v/>
      </c>
      <c r="E289" s="114" t="n"/>
      <c r="F289" s="115" t="n"/>
      <c r="G289" s="107" t="n"/>
      <c r="H289" s="107" t="n"/>
      <c r="I289" s="108" t="n"/>
      <c r="J289" s="108" t="n"/>
      <c r="K289" s="108" t="n"/>
      <c r="L289" s="119">
        <f>IF($E289="","",DATE(YEAR($E289),MONTH($E289),1))</f>
        <v/>
      </c>
      <c r="M289" s="112">
        <f>IF($C289="","",IF($D289="TANIMSIZ MÜŞTERİ","HATA",IF(OR($E289="",$F289&lt;=0,$G289=""),"EKSİK",IF($E289&gt;TODAY(),"İLERİ TARİH","UYGUN"))))</f>
        <v/>
      </c>
      <c r="N289" s="6" t="n"/>
      <c r="O289" s="6" t="n"/>
    </row>
    <row r="290">
      <c r="A290" s="6" t="n"/>
      <c r="B290" s="112">
        <f>IF($C290="","","T"&amp;TEXT(ROW()-6,"00000"))</f>
        <v/>
      </c>
      <c r="C290" s="107" t="n"/>
      <c r="D290" s="113">
        <f>IF($C290="","",IFERROR(INDEX(MUSTERILER!$C$7:$C$106,MATCH($C290,MUSTERILER!$B$7:$B$106,0)),"TANIMSIZ MÜŞTERİ"))</f>
        <v/>
      </c>
      <c r="E290" s="114" t="n"/>
      <c r="F290" s="115" t="n"/>
      <c r="G290" s="107" t="n"/>
      <c r="H290" s="107" t="n"/>
      <c r="I290" s="108" t="n"/>
      <c r="J290" s="108" t="n"/>
      <c r="K290" s="108" t="n"/>
      <c r="L290" s="119">
        <f>IF($E290="","",DATE(YEAR($E290),MONTH($E290),1))</f>
        <v/>
      </c>
      <c r="M290" s="112">
        <f>IF($C290="","",IF($D290="TANIMSIZ MÜŞTERİ","HATA",IF(OR($E290="",$F290&lt;=0,$G290=""),"EKSİK",IF($E290&gt;TODAY(),"İLERİ TARİH","UYGUN"))))</f>
        <v/>
      </c>
      <c r="N290" s="6" t="n"/>
      <c r="O290" s="6" t="n"/>
    </row>
    <row r="291">
      <c r="A291" s="6" t="n"/>
      <c r="B291" s="112">
        <f>IF($C291="","","T"&amp;TEXT(ROW()-6,"00000"))</f>
        <v/>
      </c>
      <c r="C291" s="107" t="n"/>
      <c r="D291" s="113">
        <f>IF($C291="","",IFERROR(INDEX(MUSTERILER!$C$7:$C$106,MATCH($C291,MUSTERILER!$B$7:$B$106,0)),"TANIMSIZ MÜŞTERİ"))</f>
        <v/>
      </c>
      <c r="E291" s="114" t="n"/>
      <c r="F291" s="115" t="n"/>
      <c r="G291" s="107" t="n"/>
      <c r="H291" s="107" t="n"/>
      <c r="I291" s="108" t="n"/>
      <c r="J291" s="108" t="n"/>
      <c r="K291" s="108" t="n"/>
      <c r="L291" s="119">
        <f>IF($E291="","",DATE(YEAR($E291),MONTH($E291),1))</f>
        <v/>
      </c>
      <c r="M291" s="112">
        <f>IF($C291="","",IF($D291="TANIMSIZ MÜŞTERİ","HATA",IF(OR($E291="",$F291&lt;=0,$G291=""),"EKSİK",IF($E291&gt;TODAY(),"İLERİ TARİH","UYGUN"))))</f>
        <v/>
      </c>
      <c r="N291" s="6" t="n"/>
      <c r="O291" s="6" t="n"/>
    </row>
    <row r="292">
      <c r="A292" s="6" t="n"/>
      <c r="B292" s="112">
        <f>IF($C292="","","T"&amp;TEXT(ROW()-6,"00000"))</f>
        <v/>
      </c>
      <c r="C292" s="107" t="n"/>
      <c r="D292" s="113">
        <f>IF($C292="","",IFERROR(INDEX(MUSTERILER!$C$7:$C$106,MATCH($C292,MUSTERILER!$B$7:$B$106,0)),"TANIMSIZ MÜŞTERİ"))</f>
        <v/>
      </c>
      <c r="E292" s="114" t="n"/>
      <c r="F292" s="115" t="n"/>
      <c r="G292" s="107" t="n"/>
      <c r="H292" s="107" t="n"/>
      <c r="I292" s="108" t="n"/>
      <c r="J292" s="108" t="n"/>
      <c r="K292" s="108" t="n"/>
      <c r="L292" s="119">
        <f>IF($E292="","",DATE(YEAR($E292),MONTH($E292),1))</f>
        <v/>
      </c>
      <c r="M292" s="112">
        <f>IF($C292="","",IF($D292="TANIMSIZ MÜŞTERİ","HATA",IF(OR($E292="",$F292&lt;=0,$G292=""),"EKSİK",IF($E292&gt;TODAY(),"İLERİ TARİH","UYGUN"))))</f>
        <v/>
      </c>
      <c r="N292" s="6" t="n"/>
      <c r="O292" s="6" t="n"/>
    </row>
    <row r="293">
      <c r="A293" s="6" t="n"/>
      <c r="B293" s="112">
        <f>IF($C293="","","T"&amp;TEXT(ROW()-6,"00000"))</f>
        <v/>
      </c>
      <c r="C293" s="107" t="n"/>
      <c r="D293" s="113">
        <f>IF($C293="","",IFERROR(INDEX(MUSTERILER!$C$7:$C$106,MATCH($C293,MUSTERILER!$B$7:$B$106,0)),"TANIMSIZ MÜŞTERİ"))</f>
        <v/>
      </c>
      <c r="E293" s="114" t="n"/>
      <c r="F293" s="115" t="n"/>
      <c r="G293" s="107" t="n"/>
      <c r="H293" s="107" t="n"/>
      <c r="I293" s="108" t="n"/>
      <c r="J293" s="108" t="n"/>
      <c r="K293" s="108" t="n"/>
      <c r="L293" s="119">
        <f>IF($E293="","",DATE(YEAR($E293),MONTH($E293),1))</f>
        <v/>
      </c>
      <c r="M293" s="112">
        <f>IF($C293="","",IF($D293="TANIMSIZ MÜŞTERİ","HATA",IF(OR($E293="",$F293&lt;=0,$G293=""),"EKSİK",IF($E293&gt;TODAY(),"İLERİ TARİH","UYGUN"))))</f>
        <v/>
      </c>
      <c r="N293" s="6" t="n"/>
      <c r="O293" s="6" t="n"/>
    </row>
    <row r="294">
      <c r="A294" s="6" t="n"/>
      <c r="B294" s="112">
        <f>IF($C294="","","T"&amp;TEXT(ROW()-6,"00000"))</f>
        <v/>
      </c>
      <c r="C294" s="107" t="n"/>
      <c r="D294" s="113">
        <f>IF($C294="","",IFERROR(INDEX(MUSTERILER!$C$7:$C$106,MATCH($C294,MUSTERILER!$B$7:$B$106,0)),"TANIMSIZ MÜŞTERİ"))</f>
        <v/>
      </c>
      <c r="E294" s="114" t="n"/>
      <c r="F294" s="115" t="n"/>
      <c r="G294" s="107" t="n"/>
      <c r="H294" s="107" t="n"/>
      <c r="I294" s="108" t="n"/>
      <c r="J294" s="108" t="n"/>
      <c r="K294" s="108" t="n"/>
      <c r="L294" s="119">
        <f>IF($E294="","",DATE(YEAR($E294),MONTH($E294),1))</f>
        <v/>
      </c>
      <c r="M294" s="112">
        <f>IF($C294="","",IF($D294="TANIMSIZ MÜŞTERİ","HATA",IF(OR($E294="",$F294&lt;=0,$G294=""),"EKSİK",IF($E294&gt;TODAY(),"İLERİ TARİH","UYGUN"))))</f>
        <v/>
      </c>
      <c r="N294" s="6" t="n"/>
      <c r="O294" s="6" t="n"/>
    </row>
    <row r="295">
      <c r="A295" s="6" t="n"/>
      <c r="B295" s="112">
        <f>IF($C295="","","T"&amp;TEXT(ROW()-6,"00000"))</f>
        <v/>
      </c>
      <c r="C295" s="107" t="n"/>
      <c r="D295" s="113">
        <f>IF($C295="","",IFERROR(INDEX(MUSTERILER!$C$7:$C$106,MATCH($C295,MUSTERILER!$B$7:$B$106,0)),"TANIMSIZ MÜŞTERİ"))</f>
        <v/>
      </c>
      <c r="E295" s="114" t="n"/>
      <c r="F295" s="115" t="n"/>
      <c r="G295" s="107" t="n"/>
      <c r="H295" s="107" t="n"/>
      <c r="I295" s="108" t="n"/>
      <c r="J295" s="108" t="n"/>
      <c r="K295" s="108" t="n"/>
      <c r="L295" s="119">
        <f>IF($E295="","",DATE(YEAR($E295),MONTH($E295),1))</f>
        <v/>
      </c>
      <c r="M295" s="112">
        <f>IF($C295="","",IF($D295="TANIMSIZ MÜŞTERİ","HATA",IF(OR($E295="",$F295&lt;=0,$G295=""),"EKSİK",IF($E295&gt;TODAY(),"İLERİ TARİH","UYGUN"))))</f>
        <v/>
      </c>
      <c r="N295" s="6" t="n"/>
      <c r="O295" s="6" t="n"/>
    </row>
    <row r="296">
      <c r="A296" s="6" t="n"/>
      <c r="B296" s="112">
        <f>IF($C296="","","T"&amp;TEXT(ROW()-6,"00000"))</f>
        <v/>
      </c>
      <c r="C296" s="107" t="n"/>
      <c r="D296" s="113">
        <f>IF($C296="","",IFERROR(INDEX(MUSTERILER!$C$7:$C$106,MATCH($C296,MUSTERILER!$B$7:$B$106,0)),"TANIMSIZ MÜŞTERİ"))</f>
        <v/>
      </c>
      <c r="E296" s="114" t="n"/>
      <c r="F296" s="115" t="n"/>
      <c r="G296" s="107" t="n"/>
      <c r="H296" s="107" t="n"/>
      <c r="I296" s="108" t="n"/>
      <c r="J296" s="108" t="n"/>
      <c r="K296" s="108" t="n"/>
      <c r="L296" s="119">
        <f>IF($E296="","",DATE(YEAR($E296),MONTH($E296),1))</f>
        <v/>
      </c>
      <c r="M296" s="112">
        <f>IF($C296="","",IF($D296="TANIMSIZ MÜŞTERİ","HATA",IF(OR($E296="",$F296&lt;=0,$G296=""),"EKSİK",IF($E296&gt;TODAY(),"İLERİ TARİH","UYGUN"))))</f>
        <v/>
      </c>
      <c r="N296" s="6" t="n"/>
      <c r="O296" s="6" t="n"/>
    </row>
    <row r="297">
      <c r="A297" s="6" t="n"/>
      <c r="B297" s="112">
        <f>IF($C297="","","T"&amp;TEXT(ROW()-6,"00000"))</f>
        <v/>
      </c>
      <c r="C297" s="107" t="n"/>
      <c r="D297" s="113">
        <f>IF($C297="","",IFERROR(INDEX(MUSTERILER!$C$7:$C$106,MATCH($C297,MUSTERILER!$B$7:$B$106,0)),"TANIMSIZ MÜŞTERİ"))</f>
        <v/>
      </c>
      <c r="E297" s="114" t="n"/>
      <c r="F297" s="115" t="n"/>
      <c r="G297" s="107" t="n"/>
      <c r="H297" s="107" t="n"/>
      <c r="I297" s="108" t="n"/>
      <c r="J297" s="108" t="n"/>
      <c r="K297" s="108" t="n"/>
      <c r="L297" s="119">
        <f>IF($E297="","",DATE(YEAR($E297),MONTH($E297),1))</f>
        <v/>
      </c>
      <c r="M297" s="112">
        <f>IF($C297="","",IF($D297="TANIMSIZ MÜŞTERİ","HATA",IF(OR($E297="",$F297&lt;=0,$G297=""),"EKSİK",IF($E297&gt;TODAY(),"İLERİ TARİH","UYGUN"))))</f>
        <v/>
      </c>
      <c r="N297" s="6" t="n"/>
      <c r="O297" s="6" t="n"/>
    </row>
    <row r="298">
      <c r="A298" s="6" t="n"/>
      <c r="B298" s="112">
        <f>IF($C298="","","T"&amp;TEXT(ROW()-6,"00000"))</f>
        <v/>
      </c>
      <c r="C298" s="107" t="n"/>
      <c r="D298" s="113">
        <f>IF($C298="","",IFERROR(INDEX(MUSTERILER!$C$7:$C$106,MATCH($C298,MUSTERILER!$B$7:$B$106,0)),"TANIMSIZ MÜŞTERİ"))</f>
        <v/>
      </c>
      <c r="E298" s="114" t="n"/>
      <c r="F298" s="115" t="n"/>
      <c r="G298" s="107" t="n"/>
      <c r="H298" s="107" t="n"/>
      <c r="I298" s="108" t="n"/>
      <c r="J298" s="108" t="n"/>
      <c r="K298" s="108" t="n"/>
      <c r="L298" s="119">
        <f>IF($E298="","",DATE(YEAR($E298),MONTH($E298),1))</f>
        <v/>
      </c>
      <c r="M298" s="112">
        <f>IF($C298="","",IF($D298="TANIMSIZ MÜŞTERİ","HATA",IF(OR($E298="",$F298&lt;=0,$G298=""),"EKSİK",IF($E298&gt;TODAY(),"İLERİ TARİH","UYGUN"))))</f>
        <v/>
      </c>
      <c r="N298" s="6" t="n"/>
      <c r="O298" s="6" t="n"/>
    </row>
    <row r="299">
      <c r="A299" s="6" t="n"/>
      <c r="B299" s="112">
        <f>IF($C299="","","T"&amp;TEXT(ROW()-6,"00000"))</f>
        <v/>
      </c>
      <c r="C299" s="107" t="n"/>
      <c r="D299" s="113">
        <f>IF($C299="","",IFERROR(INDEX(MUSTERILER!$C$7:$C$106,MATCH($C299,MUSTERILER!$B$7:$B$106,0)),"TANIMSIZ MÜŞTERİ"))</f>
        <v/>
      </c>
      <c r="E299" s="114" t="n"/>
      <c r="F299" s="115" t="n"/>
      <c r="G299" s="107" t="n"/>
      <c r="H299" s="107" t="n"/>
      <c r="I299" s="108" t="n"/>
      <c r="J299" s="108" t="n"/>
      <c r="K299" s="108" t="n"/>
      <c r="L299" s="119">
        <f>IF($E299="","",DATE(YEAR($E299),MONTH($E299),1))</f>
        <v/>
      </c>
      <c r="M299" s="112">
        <f>IF($C299="","",IF($D299="TANIMSIZ MÜŞTERİ","HATA",IF(OR($E299="",$F299&lt;=0,$G299=""),"EKSİK",IF($E299&gt;TODAY(),"İLERİ TARİH","UYGUN"))))</f>
        <v/>
      </c>
      <c r="N299" s="6" t="n"/>
      <c r="O299" s="6" t="n"/>
    </row>
    <row r="300">
      <c r="A300" s="6" t="n"/>
      <c r="B300" s="112">
        <f>IF($C300="","","T"&amp;TEXT(ROW()-6,"00000"))</f>
        <v/>
      </c>
      <c r="C300" s="107" t="n"/>
      <c r="D300" s="113">
        <f>IF($C300="","",IFERROR(INDEX(MUSTERILER!$C$7:$C$106,MATCH($C300,MUSTERILER!$B$7:$B$106,0)),"TANIMSIZ MÜŞTERİ"))</f>
        <v/>
      </c>
      <c r="E300" s="114" t="n"/>
      <c r="F300" s="115" t="n"/>
      <c r="G300" s="107" t="n"/>
      <c r="H300" s="107" t="n"/>
      <c r="I300" s="108" t="n"/>
      <c r="J300" s="108" t="n"/>
      <c r="K300" s="108" t="n"/>
      <c r="L300" s="119">
        <f>IF($E300="","",DATE(YEAR($E300),MONTH($E300),1))</f>
        <v/>
      </c>
      <c r="M300" s="112">
        <f>IF($C300="","",IF($D300="TANIMSIZ MÜŞTERİ","HATA",IF(OR($E300="",$F300&lt;=0,$G300=""),"EKSİK",IF($E300&gt;TODAY(),"İLERİ TARİH","UYGUN"))))</f>
        <v/>
      </c>
      <c r="N300" s="6" t="n"/>
      <c r="O300" s="6" t="n"/>
    </row>
    <row r="301">
      <c r="A301" s="6" t="n"/>
      <c r="B301" s="112">
        <f>IF($C301="","","T"&amp;TEXT(ROW()-6,"00000"))</f>
        <v/>
      </c>
      <c r="C301" s="107" t="n"/>
      <c r="D301" s="113">
        <f>IF($C301="","",IFERROR(INDEX(MUSTERILER!$C$7:$C$106,MATCH($C301,MUSTERILER!$B$7:$B$106,0)),"TANIMSIZ MÜŞTERİ"))</f>
        <v/>
      </c>
      <c r="E301" s="114" t="n"/>
      <c r="F301" s="115" t="n"/>
      <c r="G301" s="107" t="n"/>
      <c r="H301" s="107" t="n"/>
      <c r="I301" s="108" t="n"/>
      <c r="J301" s="108" t="n"/>
      <c r="K301" s="108" t="n"/>
      <c r="L301" s="119">
        <f>IF($E301="","",DATE(YEAR($E301),MONTH($E301),1))</f>
        <v/>
      </c>
      <c r="M301" s="112">
        <f>IF($C301="","",IF($D301="TANIMSIZ MÜŞTERİ","HATA",IF(OR($E301="",$F301&lt;=0,$G301=""),"EKSİK",IF($E301&gt;TODAY(),"İLERİ TARİH","UYGUN"))))</f>
        <v/>
      </c>
      <c r="N301" s="6" t="n"/>
      <c r="O301" s="6" t="n"/>
    </row>
    <row r="302">
      <c r="A302" s="6" t="n"/>
      <c r="B302" s="112">
        <f>IF($C302="","","T"&amp;TEXT(ROW()-6,"00000"))</f>
        <v/>
      </c>
      <c r="C302" s="107" t="n"/>
      <c r="D302" s="113">
        <f>IF($C302="","",IFERROR(INDEX(MUSTERILER!$C$7:$C$106,MATCH($C302,MUSTERILER!$B$7:$B$106,0)),"TANIMSIZ MÜŞTERİ"))</f>
        <v/>
      </c>
      <c r="E302" s="114" t="n"/>
      <c r="F302" s="115" t="n"/>
      <c r="G302" s="107" t="n"/>
      <c r="H302" s="107" t="n"/>
      <c r="I302" s="108" t="n"/>
      <c r="J302" s="108" t="n"/>
      <c r="K302" s="108" t="n"/>
      <c r="L302" s="119">
        <f>IF($E302="","",DATE(YEAR($E302),MONTH($E302),1))</f>
        <v/>
      </c>
      <c r="M302" s="112">
        <f>IF($C302="","",IF($D302="TANIMSIZ MÜŞTERİ","HATA",IF(OR($E302="",$F302&lt;=0,$G302=""),"EKSİK",IF($E302&gt;TODAY(),"İLERİ TARİH","UYGUN"))))</f>
        <v/>
      </c>
      <c r="N302" s="6" t="n"/>
      <c r="O302" s="6" t="n"/>
    </row>
    <row r="303">
      <c r="A303" s="6" t="n"/>
      <c r="B303" s="112">
        <f>IF($C303="","","T"&amp;TEXT(ROW()-6,"00000"))</f>
        <v/>
      </c>
      <c r="C303" s="107" t="n"/>
      <c r="D303" s="113">
        <f>IF($C303="","",IFERROR(INDEX(MUSTERILER!$C$7:$C$106,MATCH($C303,MUSTERILER!$B$7:$B$106,0)),"TANIMSIZ MÜŞTERİ"))</f>
        <v/>
      </c>
      <c r="E303" s="114" t="n"/>
      <c r="F303" s="115" t="n"/>
      <c r="G303" s="107" t="n"/>
      <c r="H303" s="107" t="n"/>
      <c r="I303" s="108" t="n"/>
      <c r="J303" s="108" t="n"/>
      <c r="K303" s="108" t="n"/>
      <c r="L303" s="119">
        <f>IF($E303="","",DATE(YEAR($E303),MONTH($E303),1))</f>
        <v/>
      </c>
      <c r="M303" s="112">
        <f>IF($C303="","",IF($D303="TANIMSIZ MÜŞTERİ","HATA",IF(OR($E303="",$F303&lt;=0,$G303=""),"EKSİK",IF($E303&gt;TODAY(),"İLERİ TARİH","UYGUN"))))</f>
        <v/>
      </c>
      <c r="N303" s="6" t="n"/>
      <c r="O303" s="6" t="n"/>
    </row>
    <row r="304">
      <c r="A304" s="6" t="n"/>
      <c r="B304" s="112">
        <f>IF($C304="","","T"&amp;TEXT(ROW()-6,"00000"))</f>
        <v/>
      </c>
      <c r="C304" s="107" t="n"/>
      <c r="D304" s="113">
        <f>IF($C304="","",IFERROR(INDEX(MUSTERILER!$C$7:$C$106,MATCH($C304,MUSTERILER!$B$7:$B$106,0)),"TANIMSIZ MÜŞTERİ"))</f>
        <v/>
      </c>
      <c r="E304" s="114" t="n"/>
      <c r="F304" s="115" t="n"/>
      <c r="G304" s="107" t="n"/>
      <c r="H304" s="107" t="n"/>
      <c r="I304" s="108" t="n"/>
      <c r="J304" s="108" t="n"/>
      <c r="K304" s="108" t="n"/>
      <c r="L304" s="119">
        <f>IF($E304="","",DATE(YEAR($E304),MONTH($E304),1))</f>
        <v/>
      </c>
      <c r="M304" s="112">
        <f>IF($C304="","",IF($D304="TANIMSIZ MÜŞTERİ","HATA",IF(OR($E304="",$F304&lt;=0,$G304=""),"EKSİK",IF($E304&gt;TODAY(),"İLERİ TARİH","UYGUN"))))</f>
        <v/>
      </c>
      <c r="N304" s="6" t="n"/>
      <c r="O304" s="6" t="n"/>
    </row>
    <row r="305">
      <c r="A305" s="6" t="n"/>
      <c r="B305" s="112">
        <f>IF($C305="","","T"&amp;TEXT(ROW()-6,"00000"))</f>
        <v/>
      </c>
      <c r="C305" s="107" t="n"/>
      <c r="D305" s="113">
        <f>IF($C305="","",IFERROR(INDEX(MUSTERILER!$C$7:$C$106,MATCH($C305,MUSTERILER!$B$7:$B$106,0)),"TANIMSIZ MÜŞTERİ"))</f>
        <v/>
      </c>
      <c r="E305" s="114" t="n"/>
      <c r="F305" s="115" t="n"/>
      <c r="G305" s="107" t="n"/>
      <c r="H305" s="107" t="n"/>
      <c r="I305" s="108" t="n"/>
      <c r="J305" s="108" t="n"/>
      <c r="K305" s="108" t="n"/>
      <c r="L305" s="119">
        <f>IF($E305="","",DATE(YEAR($E305),MONTH($E305),1))</f>
        <v/>
      </c>
      <c r="M305" s="112">
        <f>IF($C305="","",IF($D305="TANIMSIZ MÜŞTERİ","HATA",IF(OR($E305="",$F305&lt;=0,$G305=""),"EKSİK",IF($E305&gt;TODAY(),"İLERİ TARİH","UYGUN"))))</f>
        <v/>
      </c>
      <c r="N305" s="6" t="n"/>
      <c r="O305" s="6" t="n"/>
    </row>
    <row r="306">
      <c r="A306" s="6" t="n"/>
      <c r="B306" s="112">
        <f>IF($C306="","","T"&amp;TEXT(ROW()-6,"00000"))</f>
        <v/>
      </c>
      <c r="C306" s="107" t="n"/>
      <c r="D306" s="113">
        <f>IF($C306="","",IFERROR(INDEX(MUSTERILER!$C$7:$C$106,MATCH($C306,MUSTERILER!$B$7:$B$106,0)),"TANIMSIZ MÜŞTERİ"))</f>
        <v/>
      </c>
      <c r="E306" s="114" t="n"/>
      <c r="F306" s="115" t="n"/>
      <c r="G306" s="107" t="n"/>
      <c r="H306" s="107" t="n"/>
      <c r="I306" s="108" t="n"/>
      <c r="J306" s="108" t="n"/>
      <c r="K306" s="108" t="n"/>
      <c r="L306" s="119">
        <f>IF($E306="","",DATE(YEAR($E306),MONTH($E306),1))</f>
        <v/>
      </c>
      <c r="M306" s="112">
        <f>IF($C306="","",IF($D306="TANIMSIZ MÜŞTERİ","HATA",IF(OR($E306="",$F306&lt;=0,$G306=""),"EKSİK",IF($E306&gt;TODAY(),"İLERİ TARİH","UYGUN"))))</f>
        <v/>
      </c>
      <c r="N306" s="6" t="n"/>
      <c r="O306" s="6" t="n"/>
    </row>
    <row r="307">
      <c r="A307" s="6" t="n"/>
      <c r="B307" s="112">
        <f>IF($C307="","","T"&amp;TEXT(ROW()-6,"00000"))</f>
        <v/>
      </c>
      <c r="C307" s="107" t="n"/>
      <c r="D307" s="113">
        <f>IF($C307="","",IFERROR(INDEX(MUSTERILER!$C$7:$C$106,MATCH($C307,MUSTERILER!$B$7:$B$106,0)),"TANIMSIZ MÜŞTERİ"))</f>
        <v/>
      </c>
      <c r="E307" s="114" t="n"/>
      <c r="F307" s="115" t="n"/>
      <c r="G307" s="107" t="n"/>
      <c r="H307" s="107" t="n"/>
      <c r="I307" s="108" t="n"/>
      <c r="J307" s="108" t="n"/>
      <c r="K307" s="108" t="n"/>
      <c r="L307" s="119">
        <f>IF($E307="","",DATE(YEAR($E307),MONTH($E307),1))</f>
        <v/>
      </c>
      <c r="M307" s="112">
        <f>IF($C307="","",IF($D307="TANIMSIZ MÜŞTERİ","HATA",IF(OR($E307="",$F307&lt;=0,$G307=""),"EKSİK",IF($E307&gt;TODAY(),"İLERİ TARİH","UYGUN"))))</f>
        <v/>
      </c>
      <c r="N307" s="6" t="n"/>
      <c r="O307" s="6" t="n"/>
    </row>
    <row r="308">
      <c r="A308" s="6" t="n"/>
      <c r="B308" s="112">
        <f>IF($C308="","","T"&amp;TEXT(ROW()-6,"00000"))</f>
        <v/>
      </c>
      <c r="C308" s="107" t="n"/>
      <c r="D308" s="113">
        <f>IF($C308="","",IFERROR(INDEX(MUSTERILER!$C$7:$C$106,MATCH($C308,MUSTERILER!$B$7:$B$106,0)),"TANIMSIZ MÜŞTERİ"))</f>
        <v/>
      </c>
      <c r="E308" s="114" t="n"/>
      <c r="F308" s="115" t="n"/>
      <c r="G308" s="107" t="n"/>
      <c r="H308" s="107" t="n"/>
      <c r="I308" s="108" t="n"/>
      <c r="J308" s="108" t="n"/>
      <c r="K308" s="108" t="n"/>
      <c r="L308" s="119">
        <f>IF($E308="","",DATE(YEAR($E308),MONTH($E308),1))</f>
        <v/>
      </c>
      <c r="M308" s="112">
        <f>IF($C308="","",IF($D308="TANIMSIZ MÜŞTERİ","HATA",IF(OR($E308="",$F308&lt;=0,$G308=""),"EKSİK",IF($E308&gt;TODAY(),"İLERİ TARİH","UYGUN"))))</f>
        <v/>
      </c>
      <c r="N308" s="6" t="n"/>
      <c r="O308" s="6" t="n"/>
    </row>
    <row r="309">
      <c r="A309" s="6" t="n"/>
      <c r="B309" s="112">
        <f>IF($C309="","","T"&amp;TEXT(ROW()-6,"00000"))</f>
        <v/>
      </c>
      <c r="C309" s="107" t="n"/>
      <c r="D309" s="113">
        <f>IF($C309="","",IFERROR(INDEX(MUSTERILER!$C$7:$C$106,MATCH($C309,MUSTERILER!$B$7:$B$106,0)),"TANIMSIZ MÜŞTERİ"))</f>
        <v/>
      </c>
      <c r="E309" s="114" t="n"/>
      <c r="F309" s="115" t="n"/>
      <c r="G309" s="107" t="n"/>
      <c r="H309" s="107" t="n"/>
      <c r="I309" s="108" t="n"/>
      <c r="J309" s="108" t="n"/>
      <c r="K309" s="108" t="n"/>
      <c r="L309" s="119">
        <f>IF($E309="","",DATE(YEAR($E309),MONTH($E309),1))</f>
        <v/>
      </c>
      <c r="M309" s="112">
        <f>IF($C309="","",IF($D309="TANIMSIZ MÜŞTERİ","HATA",IF(OR($E309="",$F309&lt;=0,$G309=""),"EKSİK",IF($E309&gt;TODAY(),"İLERİ TARİH","UYGUN"))))</f>
        <v/>
      </c>
      <c r="N309" s="6" t="n"/>
      <c r="O309" s="6" t="n"/>
    </row>
    <row r="310">
      <c r="A310" s="6" t="n"/>
      <c r="B310" s="112">
        <f>IF($C310="","","T"&amp;TEXT(ROW()-6,"00000"))</f>
        <v/>
      </c>
      <c r="C310" s="107" t="n"/>
      <c r="D310" s="113">
        <f>IF($C310="","",IFERROR(INDEX(MUSTERILER!$C$7:$C$106,MATCH($C310,MUSTERILER!$B$7:$B$106,0)),"TANIMSIZ MÜŞTERİ"))</f>
        <v/>
      </c>
      <c r="E310" s="114" t="n"/>
      <c r="F310" s="115" t="n"/>
      <c r="G310" s="107" t="n"/>
      <c r="H310" s="107" t="n"/>
      <c r="I310" s="108" t="n"/>
      <c r="J310" s="108" t="n"/>
      <c r="K310" s="108" t="n"/>
      <c r="L310" s="119">
        <f>IF($E310="","",DATE(YEAR($E310),MONTH($E310),1))</f>
        <v/>
      </c>
      <c r="M310" s="112">
        <f>IF($C310="","",IF($D310="TANIMSIZ MÜŞTERİ","HATA",IF(OR($E310="",$F310&lt;=0,$G310=""),"EKSİK",IF($E310&gt;TODAY(),"İLERİ TARİH","UYGUN"))))</f>
        <v/>
      </c>
      <c r="N310" s="6" t="n"/>
      <c r="O310" s="6" t="n"/>
    </row>
    <row r="311">
      <c r="A311" s="6" t="n"/>
      <c r="B311" s="112">
        <f>IF($C311="","","T"&amp;TEXT(ROW()-6,"00000"))</f>
        <v/>
      </c>
      <c r="C311" s="107" t="n"/>
      <c r="D311" s="113">
        <f>IF($C311="","",IFERROR(INDEX(MUSTERILER!$C$7:$C$106,MATCH($C311,MUSTERILER!$B$7:$B$106,0)),"TANIMSIZ MÜŞTERİ"))</f>
        <v/>
      </c>
      <c r="E311" s="114" t="n"/>
      <c r="F311" s="115" t="n"/>
      <c r="G311" s="107" t="n"/>
      <c r="H311" s="107" t="n"/>
      <c r="I311" s="108" t="n"/>
      <c r="J311" s="108" t="n"/>
      <c r="K311" s="108" t="n"/>
      <c r="L311" s="119">
        <f>IF($E311="","",DATE(YEAR($E311),MONTH($E311),1))</f>
        <v/>
      </c>
      <c r="M311" s="112">
        <f>IF($C311="","",IF($D311="TANIMSIZ MÜŞTERİ","HATA",IF(OR($E311="",$F311&lt;=0,$G311=""),"EKSİK",IF($E311&gt;TODAY(),"İLERİ TARİH","UYGUN"))))</f>
        <v/>
      </c>
      <c r="N311" s="6" t="n"/>
      <c r="O311" s="6" t="n"/>
    </row>
    <row r="312">
      <c r="A312" s="6" t="n"/>
      <c r="B312" s="112">
        <f>IF($C312="","","T"&amp;TEXT(ROW()-6,"00000"))</f>
        <v/>
      </c>
      <c r="C312" s="107" t="n"/>
      <c r="D312" s="113">
        <f>IF($C312="","",IFERROR(INDEX(MUSTERILER!$C$7:$C$106,MATCH($C312,MUSTERILER!$B$7:$B$106,0)),"TANIMSIZ MÜŞTERİ"))</f>
        <v/>
      </c>
      <c r="E312" s="114" t="n"/>
      <c r="F312" s="115" t="n"/>
      <c r="G312" s="107" t="n"/>
      <c r="H312" s="107" t="n"/>
      <c r="I312" s="108" t="n"/>
      <c r="J312" s="108" t="n"/>
      <c r="K312" s="108" t="n"/>
      <c r="L312" s="119">
        <f>IF($E312="","",DATE(YEAR($E312),MONTH($E312),1))</f>
        <v/>
      </c>
      <c r="M312" s="112">
        <f>IF($C312="","",IF($D312="TANIMSIZ MÜŞTERİ","HATA",IF(OR($E312="",$F312&lt;=0,$G312=""),"EKSİK",IF($E312&gt;TODAY(),"İLERİ TARİH","UYGUN"))))</f>
        <v/>
      </c>
      <c r="N312" s="6" t="n"/>
      <c r="O312" s="6" t="n"/>
    </row>
    <row r="313">
      <c r="A313" s="6" t="n"/>
      <c r="B313" s="112">
        <f>IF($C313="","","T"&amp;TEXT(ROW()-6,"00000"))</f>
        <v/>
      </c>
      <c r="C313" s="107" t="n"/>
      <c r="D313" s="113">
        <f>IF($C313="","",IFERROR(INDEX(MUSTERILER!$C$7:$C$106,MATCH($C313,MUSTERILER!$B$7:$B$106,0)),"TANIMSIZ MÜŞTERİ"))</f>
        <v/>
      </c>
      <c r="E313" s="114" t="n"/>
      <c r="F313" s="115" t="n"/>
      <c r="G313" s="107" t="n"/>
      <c r="H313" s="107" t="n"/>
      <c r="I313" s="108" t="n"/>
      <c r="J313" s="108" t="n"/>
      <c r="K313" s="108" t="n"/>
      <c r="L313" s="119">
        <f>IF($E313="","",DATE(YEAR($E313),MONTH($E313),1))</f>
        <v/>
      </c>
      <c r="M313" s="112">
        <f>IF($C313="","",IF($D313="TANIMSIZ MÜŞTERİ","HATA",IF(OR($E313="",$F313&lt;=0,$G313=""),"EKSİK",IF($E313&gt;TODAY(),"İLERİ TARİH","UYGUN"))))</f>
        <v/>
      </c>
      <c r="N313" s="6" t="n"/>
      <c r="O313" s="6" t="n"/>
    </row>
    <row r="314">
      <c r="A314" s="6" t="n"/>
      <c r="B314" s="112">
        <f>IF($C314="","","T"&amp;TEXT(ROW()-6,"00000"))</f>
        <v/>
      </c>
      <c r="C314" s="107" t="n"/>
      <c r="D314" s="113">
        <f>IF($C314="","",IFERROR(INDEX(MUSTERILER!$C$7:$C$106,MATCH($C314,MUSTERILER!$B$7:$B$106,0)),"TANIMSIZ MÜŞTERİ"))</f>
        <v/>
      </c>
      <c r="E314" s="114" t="n"/>
      <c r="F314" s="115" t="n"/>
      <c r="G314" s="107" t="n"/>
      <c r="H314" s="107" t="n"/>
      <c r="I314" s="108" t="n"/>
      <c r="J314" s="108" t="n"/>
      <c r="K314" s="108" t="n"/>
      <c r="L314" s="119">
        <f>IF($E314="","",DATE(YEAR($E314),MONTH($E314),1))</f>
        <v/>
      </c>
      <c r="M314" s="112">
        <f>IF($C314="","",IF($D314="TANIMSIZ MÜŞTERİ","HATA",IF(OR($E314="",$F314&lt;=0,$G314=""),"EKSİK",IF($E314&gt;TODAY(),"İLERİ TARİH","UYGUN"))))</f>
        <v/>
      </c>
      <c r="N314" s="6" t="n"/>
      <c r="O314" s="6" t="n"/>
    </row>
    <row r="315">
      <c r="A315" s="6" t="n"/>
      <c r="B315" s="112">
        <f>IF($C315="","","T"&amp;TEXT(ROW()-6,"00000"))</f>
        <v/>
      </c>
      <c r="C315" s="107" t="n"/>
      <c r="D315" s="113">
        <f>IF($C315="","",IFERROR(INDEX(MUSTERILER!$C$7:$C$106,MATCH($C315,MUSTERILER!$B$7:$B$106,0)),"TANIMSIZ MÜŞTERİ"))</f>
        <v/>
      </c>
      <c r="E315" s="114" t="n"/>
      <c r="F315" s="115" t="n"/>
      <c r="G315" s="107" t="n"/>
      <c r="H315" s="107" t="n"/>
      <c r="I315" s="108" t="n"/>
      <c r="J315" s="108" t="n"/>
      <c r="K315" s="108" t="n"/>
      <c r="L315" s="119">
        <f>IF($E315="","",DATE(YEAR($E315),MONTH($E315),1))</f>
        <v/>
      </c>
      <c r="M315" s="112">
        <f>IF($C315="","",IF($D315="TANIMSIZ MÜŞTERİ","HATA",IF(OR($E315="",$F315&lt;=0,$G315=""),"EKSİK",IF($E315&gt;TODAY(),"İLERİ TARİH","UYGUN"))))</f>
        <v/>
      </c>
      <c r="N315" s="6" t="n"/>
      <c r="O315" s="6" t="n"/>
    </row>
    <row r="316">
      <c r="A316" s="6" t="n"/>
      <c r="B316" s="112">
        <f>IF($C316="","","T"&amp;TEXT(ROW()-6,"00000"))</f>
        <v/>
      </c>
      <c r="C316" s="107" t="n"/>
      <c r="D316" s="113">
        <f>IF($C316="","",IFERROR(INDEX(MUSTERILER!$C$7:$C$106,MATCH($C316,MUSTERILER!$B$7:$B$106,0)),"TANIMSIZ MÜŞTERİ"))</f>
        <v/>
      </c>
      <c r="E316" s="114" t="n"/>
      <c r="F316" s="115" t="n"/>
      <c r="G316" s="107" t="n"/>
      <c r="H316" s="107" t="n"/>
      <c r="I316" s="108" t="n"/>
      <c r="J316" s="108" t="n"/>
      <c r="K316" s="108" t="n"/>
      <c r="L316" s="119">
        <f>IF($E316="","",DATE(YEAR($E316),MONTH($E316),1))</f>
        <v/>
      </c>
      <c r="M316" s="112">
        <f>IF($C316="","",IF($D316="TANIMSIZ MÜŞTERİ","HATA",IF(OR($E316="",$F316&lt;=0,$G316=""),"EKSİK",IF($E316&gt;TODAY(),"İLERİ TARİH","UYGUN"))))</f>
        <v/>
      </c>
      <c r="N316" s="6" t="n"/>
      <c r="O316" s="6" t="n"/>
    </row>
    <row r="317">
      <c r="A317" s="6" t="n"/>
      <c r="B317" s="112">
        <f>IF($C317="","","T"&amp;TEXT(ROW()-6,"00000"))</f>
        <v/>
      </c>
      <c r="C317" s="107" t="n"/>
      <c r="D317" s="113">
        <f>IF($C317="","",IFERROR(INDEX(MUSTERILER!$C$7:$C$106,MATCH($C317,MUSTERILER!$B$7:$B$106,0)),"TANIMSIZ MÜŞTERİ"))</f>
        <v/>
      </c>
      <c r="E317" s="114" t="n"/>
      <c r="F317" s="115" t="n"/>
      <c r="G317" s="107" t="n"/>
      <c r="H317" s="107" t="n"/>
      <c r="I317" s="108" t="n"/>
      <c r="J317" s="108" t="n"/>
      <c r="K317" s="108" t="n"/>
      <c r="L317" s="119">
        <f>IF($E317="","",DATE(YEAR($E317),MONTH($E317),1))</f>
        <v/>
      </c>
      <c r="M317" s="112">
        <f>IF($C317="","",IF($D317="TANIMSIZ MÜŞTERİ","HATA",IF(OR($E317="",$F317&lt;=0,$G317=""),"EKSİK",IF($E317&gt;TODAY(),"İLERİ TARİH","UYGUN"))))</f>
        <v/>
      </c>
      <c r="N317" s="6" t="n"/>
      <c r="O317" s="6" t="n"/>
    </row>
    <row r="318">
      <c r="A318" s="6" t="n"/>
      <c r="B318" s="112">
        <f>IF($C318="","","T"&amp;TEXT(ROW()-6,"00000"))</f>
        <v/>
      </c>
      <c r="C318" s="107" t="n"/>
      <c r="D318" s="113">
        <f>IF($C318="","",IFERROR(INDEX(MUSTERILER!$C$7:$C$106,MATCH($C318,MUSTERILER!$B$7:$B$106,0)),"TANIMSIZ MÜŞTERİ"))</f>
        <v/>
      </c>
      <c r="E318" s="114" t="n"/>
      <c r="F318" s="115" t="n"/>
      <c r="G318" s="107" t="n"/>
      <c r="H318" s="107" t="n"/>
      <c r="I318" s="108" t="n"/>
      <c r="J318" s="108" t="n"/>
      <c r="K318" s="108" t="n"/>
      <c r="L318" s="119">
        <f>IF($E318="","",DATE(YEAR($E318),MONTH($E318),1))</f>
        <v/>
      </c>
      <c r="M318" s="112">
        <f>IF($C318="","",IF($D318="TANIMSIZ MÜŞTERİ","HATA",IF(OR($E318="",$F318&lt;=0,$G318=""),"EKSİK",IF($E318&gt;TODAY(),"İLERİ TARİH","UYGUN"))))</f>
        <v/>
      </c>
      <c r="N318" s="6" t="n"/>
      <c r="O318" s="6" t="n"/>
    </row>
    <row r="319">
      <c r="A319" s="6" t="n"/>
      <c r="B319" s="112">
        <f>IF($C319="","","T"&amp;TEXT(ROW()-6,"00000"))</f>
        <v/>
      </c>
      <c r="C319" s="107" t="n"/>
      <c r="D319" s="113">
        <f>IF($C319="","",IFERROR(INDEX(MUSTERILER!$C$7:$C$106,MATCH($C319,MUSTERILER!$B$7:$B$106,0)),"TANIMSIZ MÜŞTERİ"))</f>
        <v/>
      </c>
      <c r="E319" s="114" t="n"/>
      <c r="F319" s="115" t="n"/>
      <c r="G319" s="107" t="n"/>
      <c r="H319" s="107" t="n"/>
      <c r="I319" s="108" t="n"/>
      <c r="J319" s="108" t="n"/>
      <c r="K319" s="108" t="n"/>
      <c r="L319" s="119">
        <f>IF($E319="","",DATE(YEAR($E319),MONTH($E319),1))</f>
        <v/>
      </c>
      <c r="M319" s="112">
        <f>IF($C319="","",IF($D319="TANIMSIZ MÜŞTERİ","HATA",IF(OR($E319="",$F319&lt;=0,$G319=""),"EKSİK",IF($E319&gt;TODAY(),"İLERİ TARİH","UYGUN"))))</f>
        <v/>
      </c>
      <c r="N319" s="6" t="n"/>
      <c r="O319" s="6" t="n"/>
    </row>
    <row r="320">
      <c r="A320" s="6" t="n"/>
      <c r="B320" s="112">
        <f>IF($C320="","","T"&amp;TEXT(ROW()-6,"00000"))</f>
        <v/>
      </c>
      <c r="C320" s="107" t="n"/>
      <c r="D320" s="113">
        <f>IF($C320="","",IFERROR(INDEX(MUSTERILER!$C$7:$C$106,MATCH($C320,MUSTERILER!$B$7:$B$106,0)),"TANIMSIZ MÜŞTERİ"))</f>
        <v/>
      </c>
      <c r="E320" s="114" t="n"/>
      <c r="F320" s="115" t="n"/>
      <c r="G320" s="107" t="n"/>
      <c r="H320" s="107" t="n"/>
      <c r="I320" s="108" t="n"/>
      <c r="J320" s="108" t="n"/>
      <c r="K320" s="108" t="n"/>
      <c r="L320" s="119">
        <f>IF($E320="","",DATE(YEAR($E320),MONTH($E320),1))</f>
        <v/>
      </c>
      <c r="M320" s="112">
        <f>IF($C320="","",IF($D320="TANIMSIZ MÜŞTERİ","HATA",IF(OR($E320="",$F320&lt;=0,$G320=""),"EKSİK",IF($E320&gt;TODAY(),"İLERİ TARİH","UYGUN"))))</f>
        <v/>
      </c>
      <c r="N320" s="6" t="n"/>
      <c r="O320" s="6" t="n"/>
    </row>
    <row r="321">
      <c r="A321" s="6" t="n"/>
      <c r="B321" s="112">
        <f>IF($C321="","","T"&amp;TEXT(ROW()-6,"00000"))</f>
        <v/>
      </c>
      <c r="C321" s="107" t="n"/>
      <c r="D321" s="113">
        <f>IF($C321="","",IFERROR(INDEX(MUSTERILER!$C$7:$C$106,MATCH($C321,MUSTERILER!$B$7:$B$106,0)),"TANIMSIZ MÜŞTERİ"))</f>
        <v/>
      </c>
      <c r="E321" s="114" t="n"/>
      <c r="F321" s="115" t="n"/>
      <c r="G321" s="107" t="n"/>
      <c r="H321" s="107" t="n"/>
      <c r="I321" s="108" t="n"/>
      <c r="J321" s="108" t="n"/>
      <c r="K321" s="108" t="n"/>
      <c r="L321" s="119">
        <f>IF($E321="","",DATE(YEAR($E321),MONTH($E321),1))</f>
        <v/>
      </c>
      <c r="M321" s="112">
        <f>IF($C321="","",IF($D321="TANIMSIZ MÜŞTERİ","HATA",IF(OR($E321="",$F321&lt;=0,$G321=""),"EKSİK",IF($E321&gt;TODAY(),"İLERİ TARİH","UYGUN"))))</f>
        <v/>
      </c>
      <c r="N321" s="6" t="n"/>
      <c r="O321" s="6" t="n"/>
    </row>
    <row r="322">
      <c r="A322" s="6" t="n"/>
      <c r="B322" s="112">
        <f>IF($C322="","","T"&amp;TEXT(ROW()-6,"00000"))</f>
        <v/>
      </c>
      <c r="C322" s="107" t="n"/>
      <c r="D322" s="113">
        <f>IF($C322="","",IFERROR(INDEX(MUSTERILER!$C$7:$C$106,MATCH($C322,MUSTERILER!$B$7:$B$106,0)),"TANIMSIZ MÜŞTERİ"))</f>
        <v/>
      </c>
      <c r="E322" s="114" t="n"/>
      <c r="F322" s="115" t="n"/>
      <c r="G322" s="107" t="n"/>
      <c r="H322" s="107" t="n"/>
      <c r="I322" s="108" t="n"/>
      <c r="J322" s="108" t="n"/>
      <c r="K322" s="108" t="n"/>
      <c r="L322" s="119">
        <f>IF($E322="","",DATE(YEAR($E322),MONTH($E322),1))</f>
        <v/>
      </c>
      <c r="M322" s="112">
        <f>IF($C322="","",IF($D322="TANIMSIZ MÜŞTERİ","HATA",IF(OR($E322="",$F322&lt;=0,$G322=""),"EKSİK",IF($E322&gt;TODAY(),"İLERİ TARİH","UYGUN"))))</f>
        <v/>
      </c>
      <c r="N322" s="6" t="n"/>
      <c r="O322" s="6" t="n"/>
    </row>
    <row r="323">
      <c r="A323" s="6" t="n"/>
      <c r="B323" s="112">
        <f>IF($C323="","","T"&amp;TEXT(ROW()-6,"00000"))</f>
        <v/>
      </c>
      <c r="C323" s="107" t="n"/>
      <c r="D323" s="113">
        <f>IF($C323="","",IFERROR(INDEX(MUSTERILER!$C$7:$C$106,MATCH($C323,MUSTERILER!$B$7:$B$106,0)),"TANIMSIZ MÜŞTERİ"))</f>
        <v/>
      </c>
      <c r="E323" s="114" t="n"/>
      <c r="F323" s="115" t="n"/>
      <c r="G323" s="107" t="n"/>
      <c r="H323" s="107" t="n"/>
      <c r="I323" s="108" t="n"/>
      <c r="J323" s="108" t="n"/>
      <c r="K323" s="108" t="n"/>
      <c r="L323" s="119">
        <f>IF($E323="","",DATE(YEAR($E323),MONTH($E323),1))</f>
        <v/>
      </c>
      <c r="M323" s="112">
        <f>IF($C323="","",IF($D323="TANIMSIZ MÜŞTERİ","HATA",IF(OR($E323="",$F323&lt;=0,$G323=""),"EKSİK",IF($E323&gt;TODAY(),"İLERİ TARİH","UYGUN"))))</f>
        <v/>
      </c>
      <c r="N323" s="6" t="n"/>
      <c r="O323" s="6" t="n"/>
    </row>
    <row r="324">
      <c r="A324" s="6" t="n"/>
      <c r="B324" s="112">
        <f>IF($C324="","","T"&amp;TEXT(ROW()-6,"00000"))</f>
        <v/>
      </c>
      <c r="C324" s="107" t="n"/>
      <c r="D324" s="113">
        <f>IF($C324="","",IFERROR(INDEX(MUSTERILER!$C$7:$C$106,MATCH($C324,MUSTERILER!$B$7:$B$106,0)),"TANIMSIZ MÜŞTERİ"))</f>
        <v/>
      </c>
      <c r="E324" s="114" t="n"/>
      <c r="F324" s="115" t="n"/>
      <c r="G324" s="107" t="n"/>
      <c r="H324" s="107" t="n"/>
      <c r="I324" s="108" t="n"/>
      <c r="J324" s="108" t="n"/>
      <c r="K324" s="108" t="n"/>
      <c r="L324" s="119">
        <f>IF($E324="","",DATE(YEAR($E324),MONTH($E324),1))</f>
        <v/>
      </c>
      <c r="M324" s="112">
        <f>IF($C324="","",IF($D324="TANIMSIZ MÜŞTERİ","HATA",IF(OR($E324="",$F324&lt;=0,$G324=""),"EKSİK",IF($E324&gt;TODAY(),"İLERİ TARİH","UYGUN"))))</f>
        <v/>
      </c>
      <c r="N324" s="6" t="n"/>
      <c r="O324" s="6" t="n"/>
    </row>
    <row r="325">
      <c r="A325" s="6" t="n"/>
      <c r="B325" s="112">
        <f>IF($C325="","","T"&amp;TEXT(ROW()-6,"00000"))</f>
        <v/>
      </c>
      <c r="C325" s="107" t="n"/>
      <c r="D325" s="113">
        <f>IF($C325="","",IFERROR(INDEX(MUSTERILER!$C$7:$C$106,MATCH($C325,MUSTERILER!$B$7:$B$106,0)),"TANIMSIZ MÜŞTERİ"))</f>
        <v/>
      </c>
      <c r="E325" s="114" t="n"/>
      <c r="F325" s="115" t="n"/>
      <c r="G325" s="107" t="n"/>
      <c r="H325" s="107" t="n"/>
      <c r="I325" s="108" t="n"/>
      <c r="J325" s="108" t="n"/>
      <c r="K325" s="108" t="n"/>
      <c r="L325" s="119">
        <f>IF($E325="","",DATE(YEAR($E325),MONTH($E325),1))</f>
        <v/>
      </c>
      <c r="M325" s="112">
        <f>IF($C325="","",IF($D325="TANIMSIZ MÜŞTERİ","HATA",IF(OR($E325="",$F325&lt;=0,$G325=""),"EKSİK",IF($E325&gt;TODAY(),"İLERİ TARİH","UYGUN"))))</f>
        <v/>
      </c>
      <c r="N325" s="6" t="n"/>
      <c r="O325" s="6" t="n"/>
    </row>
    <row r="326">
      <c r="A326" s="6" t="n"/>
      <c r="B326" s="112">
        <f>IF($C326="","","T"&amp;TEXT(ROW()-6,"00000"))</f>
        <v/>
      </c>
      <c r="C326" s="107" t="n"/>
      <c r="D326" s="113">
        <f>IF($C326="","",IFERROR(INDEX(MUSTERILER!$C$7:$C$106,MATCH($C326,MUSTERILER!$B$7:$B$106,0)),"TANIMSIZ MÜŞTERİ"))</f>
        <v/>
      </c>
      <c r="E326" s="114" t="n"/>
      <c r="F326" s="115" t="n"/>
      <c r="G326" s="107" t="n"/>
      <c r="H326" s="107" t="n"/>
      <c r="I326" s="108" t="n"/>
      <c r="J326" s="108" t="n"/>
      <c r="K326" s="108" t="n"/>
      <c r="L326" s="119">
        <f>IF($E326="","",DATE(YEAR($E326),MONTH($E326),1))</f>
        <v/>
      </c>
      <c r="M326" s="112">
        <f>IF($C326="","",IF($D326="TANIMSIZ MÜŞTERİ","HATA",IF(OR($E326="",$F326&lt;=0,$G326=""),"EKSİK",IF($E326&gt;TODAY(),"İLERİ TARİH","UYGUN"))))</f>
        <v/>
      </c>
      <c r="N326" s="6" t="n"/>
      <c r="O326" s="6" t="n"/>
    </row>
    <row r="327">
      <c r="A327" s="6" t="n"/>
      <c r="B327" s="112">
        <f>IF($C327="","","T"&amp;TEXT(ROW()-6,"00000"))</f>
        <v/>
      </c>
      <c r="C327" s="107" t="n"/>
      <c r="D327" s="113">
        <f>IF($C327="","",IFERROR(INDEX(MUSTERILER!$C$7:$C$106,MATCH($C327,MUSTERILER!$B$7:$B$106,0)),"TANIMSIZ MÜŞTERİ"))</f>
        <v/>
      </c>
      <c r="E327" s="114" t="n"/>
      <c r="F327" s="115" t="n"/>
      <c r="G327" s="107" t="n"/>
      <c r="H327" s="107" t="n"/>
      <c r="I327" s="108" t="n"/>
      <c r="J327" s="108" t="n"/>
      <c r="K327" s="108" t="n"/>
      <c r="L327" s="119">
        <f>IF($E327="","",DATE(YEAR($E327),MONTH($E327),1))</f>
        <v/>
      </c>
      <c r="M327" s="112">
        <f>IF($C327="","",IF($D327="TANIMSIZ MÜŞTERİ","HATA",IF(OR($E327="",$F327&lt;=0,$G327=""),"EKSİK",IF($E327&gt;TODAY(),"İLERİ TARİH","UYGUN"))))</f>
        <v/>
      </c>
      <c r="N327" s="6" t="n"/>
      <c r="O327" s="6" t="n"/>
    </row>
    <row r="328">
      <c r="A328" s="6" t="n"/>
      <c r="B328" s="112">
        <f>IF($C328="","","T"&amp;TEXT(ROW()-6,"00000"))</f>
        <v/>
      </c>
      <c r="C328" s="107" t="n"/>
      <c r="D328" s="113">
        <f>IF($C328="","",IFERROR(INDEX(MUSTERILER!$C$7:$C$106,MATCH($C328,MUSTERILER!$B$7:$B$106,0)),"TANIMSIZ MÜŞTERİ"))</f>
        <v/>
      </c>
      <c r="E328" s="114" t="n"/>
      <c r="F328" s="115" t="n"/>
      <c r="G328" s="107" t="n"/>
      <c r="H328" s="107" t="n"/>
      <c r="I328" s="108" t="n"/>
      <c r="J328" s="108" t="n"/>
      <c r="K328" s="108" t="n"/>
      <c r="L328" s="119">
        <f>IF($E328="","",DATE(YEAR($E328),MONTH($E328),1))</f>
        <v/>
      </c>
      <c r="M328" s="112">
        <f>IF($C328="","",IF($D328="TANIMSIZ MÜŞTERİ","HATA",IF(OR($E328="",$F328&lt;=0,$G328=""),"EKSİK",IF($E328&gt;TODAY(),"İLERİ TARİH","UYGUN"))))</f>
        <v/>
      </c>
      <c r="N328" s="6" t="n"/>
      <c r="O328" s="6" t="n"/>
    </row>
    <row r="329">
      <c r="A329" s="6" t="n"/>
      <c r="B329" s="112">
        <f>IF($C329="","","T"&amp;TEXT(ROW()-6,"00000"))</f>
        <v/>
      </c>
      <c r="C329" s="107" t="n"/>
      <c r="D329" s="113">
        <f>IF($C329="","",IFERROR(INDEX(MUSTERILER!$C$7:$C$106,MATCH($C329,MUSTERILER!$B$7:$B$106,0)),"TANIMSIZ MÜŞTERİ"))</f>
        <v/>
      </c>
      <c r="E329" s="114" t="n"/>
      <c r="F329" s="115" t="n"/>
      <c r="G329" s="107" t="n"/>
      <c r="H329" s="107" t="n"/>
      <c r="I329" s="108" t="n"/>
      <c r="J329" s="108" t="n"/>
      <c r="K329" s="108" t="n"/>
      <c r="L329" s="119">
        <f>IF($E329="","",DATE(YEAR($E329),MONTH($E329),1))</f>
        <v/>
      </c>
      <c r="M329" s="112">
        <f>IF($C329="","",IF($D329="TANIMSIZ MÜŞTERİ","HATA",IF(OR($E329="",$F329&lt;=0,$G329=""),"EKSİK",IF($E329&gt;TODAY(),"İLERİ TARİH","UYGUN"))))</f>
        <v/>
      </c>
      <c r="N329" s="6" t="n"/>
      <c r="O329" s="6" t="n"/>
    </row>
    <row r="330">
      <c r="A330" s="6" t="n"/>
      <c r="B330" s="112">
        <f>IF($C330="","","T"&amp;TEXT(ROW()-6,"00000"))</f>
        <v/>
      </c>
      <c r="C330" s="107" t="n"/>
      <c r="D330" s="113">
        <f>IF($C330="","",IFERROR(INDEX(MUSTERILER!$C$7:$C$106,MATCH($C330,MUSTERILER!$B$7:$B$106,0)),"TANIMSIZ MÜŞTERİ"))</f>
        <v/>
      </c>
      <c r="E330" s="114" t="n"/>
      <c r="F330" s="115" t="n"/>
      <c r="G330" s="107" t="n"/>
      <c r="H330" s="107" t="n"/>
      <c r="I330" s="108" t="n"/>
      <c r="J330" s="108" t="n"/>
      <c r="K330" s="108" t="n"/>
      <c r="L330" s="119">
        <f>IF($E330="","",DATE(YEAR($E330),MONTH($E330),1))</f>
        <v/>
      </c>
      <c r="M330" s="112">
        <f>IF($C330="","",IF($D330="TANIMSIZ MÜŞTERİ","HATA",IF(OR($E330="",$F330&lt;=0,$G330=""),"EKSİK",IF($E330&gt;TODAY(),"İLERİ TARİH","UYGUN"))))</f>
        <v/>
      </c>
      <c r="N330" s="6" t="n"/>
      <c r="O330" s="6" t="n"/>
    </row>
    <row r="331">
      <c r="A331" s="6" t="n"/>
      <c r="B331" s="112">
        <f>IF($C331="","","T"&amp;TEXT(ROW()-6,"00000"))</f>
        <v/>
      </c>
      <c r="C331" s="107" t="n"/>
      <c r="D331" s="113">
        <f>IF($C331="","",IFERROR(INDEX(MUSTERILER!$C$7:$C$106,MATCH($C331,MUSTERILER!$B$7:$B$106,0)),"TANIMSIZ MÜŞTERİ"))</f>
        <v/>
      </c>
      <c r="E331" s="114" t="n"/>
      <c r="F331" s="115" t="n"/>
      <c r="G331" s="107" t="n"/>
      <c r="H331" s="107" t="n"/>
      <c r="I331" s="108" t="n"/>
      <c r="J331" s="108" t="n"/>
      <c r="K331" s="108" t="n"/>
      <c r="L331" s="119">
        <f>IF($E331="","",DATE(YEAR($E331),MONTH($E331),1))</f>
        <v/>
      </c>
      <c r="M331" s="112">
        <f>IF($C331="","",IF($D331="TANIMSIZ MÜŞTERİ","HATA",IF(OR($E331="",$F331&lt;=0,$G331=""),"EKSİK",IF($E331&gt;TODAY(),"İLERİ TARİH","UYGUN"))))</f>
        <v/>
      </c>
      <c r="N331" s="6" t="n"/>
      <c r="O331" s="6" t="n"/>
    </row>
    <row r="332">
      <c r="A332" s="6" t="n"/>
      <c r="B332" s="112">
        <f>IF($C332="","","T"&amp;TEXT(ROW()-6,"00000"))</f>
        <v/>
      </c>
      <c r="C332" s="107" t="n"/>
      <c r="D332" s="113">
        <f>IF($C332="","",IFERROR(INDEX(MUSTERILER!$C$7:$C$106,MATCH($C332,MUSTERILER!$B$7:$B$106,0)),"TANIMSIZ MÜŞTERİ"))</f>
        <v/>
      </c>
      <c r="E332" s="114" t="n"/>
      <c r="F332" s="115" t="n"/>
      <c r="G332" s="107" t="n"/>
      <c r="H332" s="107" t="n"/>
      <c r="I332" s="108" t="n"/>
      <c r="J332" s="108" t="n"/>
      <c r="K332" s="108" t="n"/>
      <c r="L332" s="119">
        <f>IF($E332="","",DATE(YEAR($E332),MONTH($E332),1))</f>
        <v/>
      </c>
      <c r="M332" s="112">
        <f>IF($C332="","",IF($D332="TANIMSIZ MÜŞTERİ","HATA",IF(OR($E332="",$F332&lt;=0,$G332=""),"EKSİK",IF($E332&gt;TODAY(),"İLERİ TARİH","UYGUN"))))</f>
        <v/>
      </c>
      <c r="N332" s="6" t="n"/>
      <c r="O332" s="6" t="n"/>
    </row>
    <row r="333">
      <c r="A333" s="6" t="n"/>
      <c r="B333" s="112">
        <f>IF($C333="","","T"&amp;TEXT(ROW()-6,"00000"))</f>
        <v/>
      </c>
      <c r="C333" s="107" t="n"/>
      <c r="D333" s="113">
        <f>IF($C333="","",IFERROR(INDEX(MUSTERILER!$C$7:$C$106,MATCH($C333,MUSTERILER!$B$7:$B$106,0)),"TANIMSIZ MÜŞTERİ"))</f>
        <v/>
      </c>
      <c r="E333" s="114" t="n"/>
      <c r="F333" s="115" t="n"/>
      <c r="G333" s="107" t="n"/>
      <c r="H333" s="107" t="n"/>
      <c r="I333" s="108" t="n"/>
      <c r="J333" s="108" t="n"/>
      <c r="K333" s="108" t="n"/>
      <c r="L333" s="119">
        <f>IF($E333="","",DATE(YEAR($E333),MONTH($E333),1))</f>
        <v/>
      </c>
      <c r="M333" s="112">
        <f>IF($C333="","",IF($D333="TANIMSIZ MÜŞTERİ","HATA",IF(OR($E333="",$F333&lt;=0,$G333=""),"EKSİK",IF($E333&gt;TODAY(),"İLERİ TARİH","UYGUN"))))</f>
        <v/>
      </c>
      <c r="N333" s="6" t="n"/>
      <c r="O333" s="6" t="n"/>
    </row>
    <row r="334">
      <c r="A334" s="6" t="n"/>
      <c r="B334" s="112">
        <f>IF($C334="","","T"&amp;TEXT(ROW()-6,"00000"))</f>
        <v/>
      </c>
      <c r="C334" s="107" t="n"/>
      <c r="D334" s="113">
        <f>IF($C334="","",IFERROR(INDEX(MUSTERILER!$C$7:$C$106,MATCH($C334,MUSTERILER!$B$7:$B$106,0)),"TANIMSIZ MÜŞTERİ"))</f>
        <v/>
      </c>
      <c r="E334" s="114" t="n"/>
      <c r="F334" s="115" t="n"/>
      <c r="G334" s="107" t="n"/>
      <c r="H334" s="107" t="n"/>
      <c r="I334" s="108" t="n"/>
      <c r="J334" s="108" t="n"/>
      <c r="K334" s="108" t="n"/>
      <c r="L334" s="119">
        <f>IF($E334="","",DATE(YEAR($E334),MONTH($E334),1))</f>
        <v/>
      </c>
      <c r="M334" s="112">
        <f>IF($C334="","",IF($D334="TANIMSIZ MÜŞTERİ","HATA",IF(OR($E334="",$F334&lt;=0,$G334=""),"EKSİK",IF($E334&gt;TODAY(),"İLERİ TARİH","UYGUN"))))</f>
        <v/>
      </c>
      <c r="N334" s="6" t="n"/>
      <c r="O334" s="6" t="n"/>
    </row>
    <row r="335">
      <c r="A335" s="6" t="n"/>
      <c r="B335" s="112">
        <f>IF($C335="","","T"&amp;TEXT(ROW()-6,"00000"))</f>
        <v/>
      </c>
      <c r="C335" s="107" t="n"/>
      <c r="D335" s="113">
        <f>IF($C335="","",IFERROR(INDEX(MUSTERILER!$C$7:$C$106,MATCH($C335,MUSTERILER!$B$7:$B$106,0)),"TANIMSIZ MÜŞTERİ"))</f>
        <v/>
      </c>
      <c r="E335" s="114" t="n"/>
      <c r="F335" s="115" t="n"/>
      <c r="G335" s="107" t="n"/>
      <c r="H335" s="107" t="n"/>
      <c r="I335" s="108" t="n"/>
      <c r="J335" s="108" t="n"/>
      <c r="K335" s="108" t="n"/>
      <c r="L335" s="119">
        <f>IF($E335="","",DATE(YEAR($E335),MONTH($E335),1))</f>
        <v/>
      </c>
      <c r="M335" s="112">
        <f>IF($C335="","",IF($D335="TANIMSIZ MÜŞTERİ","HATA",IF(OR($E335="",$F335&lt;=0,$G335=""),"EKSİK",IF($E335&gt;TODAY(),"İLERİ TARİH","UYGUN"))))</f>
        <v/>
      </c>
      <c r="N335" s="6" t="n"/>
      <c r="O335" s="6" t="n"/>
    </row>
    <row r="336">
      <c r="A336" s="6" t="n"/>
      <c r="B336" s="112">
        <f>IF($C336="","","T"&amp;TEXT(ROW()-6,"00000"))</f>
        <v/>
      </c>
      <c r="C336" s="107" t="n"/>
      <c r="D336" s="113">
        <f>IF($C336="","",IFERROR(INDEX(MUSTERILER!$C$7:$C$106,MATCH($C336,MUSTERILER!$B$7:$B$106,0)),"TANIMSIZ MÜŞTERİ"))</f>
        <v/>
      </c>
      <c r="E336" s="114" t="n"/>
      <c r="F336" s="115" t="n"/>
      <c r="G336" s="107" t="n"/>
      <c r="H336" s="107" t="n"/>
      <c r="I336" s="108" t="n"/>
      <c r="J336" s="108" t="n"/>
      <c r="K336" s="108" t="n"/>
      <c r="L336" s="119">
        <f>IF($E336="","",DATE(YEAR($E336),MONTH($E336),1))</f>
        <v/>
      </c>
      <c r="M336" s="112">
        <f>IF($C336="","",IF($D336="TANIMSIZ MÜŞTERİ","HATA",IF(OR($E336="",$F336&lt;=0,$G336=""),"EKSİK",IF($E336&gt;TODAY(),"İLERİ TARİH","UYGUN"))))</f>
        <v/>
      </c>
      <c r="N336" s="6" t="n"/>
      <c r="O336" s="6" t="n"/>
    </row>
    <row r="337">
      <c r="A337" s="6" t="n"/>
      <c r="B337" s="112">
        <f>IF($C337="","","T"&amp;TEXT(ROW()-6,"00000"))</f>
        <v/>
      </c>
      <c r="C337" s="107" t="n"/>
      <c r="D337" s="113">
        <f>IF($C337="","",IFERROR(INDEX(MUSTERILER!$C$7:$C$106,MATCH($C337,MUSTERILER!$B$7:$B$106,0)),"TANIMSIZ MÜŞTERİ"))</f>
        <v/>
      </c>
      <c r="E337" s="114" t="n"/>
      <c r="F337" s="115" t="n"/>
      <c r="G337" s="107" t="n"/>
      <c r="H337" s="107" t="n"/>
      <c r="I337" s="108" t="n"/>
      <c r="J337" s="108" t="n"/>
      <c r="K337" s="108" t="n"/>
      <c r="L337" s="119">
        <f>IF($E337="","",DATE(YEAR($E337),MONTH($E337),1))</f>
        <v/>
      </c>
      <c r="M337" s="112">
        <f>IF($C337="","",IF($D337="TANIMSIZ MÜŞTERİ","HATA",IF(OR($E337="",$F337&lt;=0,$G337=""),"EKSİK",IF($E337&gt;TODAY(),"İLERİ TARİH","UYGUN"))))</f>
        <v/>
      </c>
      <c r="N337" s="6" t="n"/>
      <c r="O337" s="6" t="n"/>
    </row>
    <row r="338">
      <c r="A338" s="6" t="n"/>
      <c r="B338" s="112">
        <f>IF($C338="","","T"&amp;TEXT(ROW()-6,"00000"))</f>
        <v/>
      </c>
      <c r="C338" s="107" t="n"/>
      <c r="D338" s="113">
        <f>IF($C338="","",IFERROR(INDEX(MUSTERILER!$C$7:$C$106,MATCH($C338,MUSTERILER!$B$7:$B$106,0)),"TANIMSIZ MÜŞTERİ"))</f>
        <v/>
      </c>
      <c r="E338" s="114" t="n"/>
      <c r="F338" s="115" t="n"/>
      <c r="G338" s="107" t="n"/>
      <c r="H338" s="107" t="n"/>
      <c r="I338" s="108" t="n"/>
      <c r="J338" s="108" t="n"/>
      <c r="K338" s="108" t="n"/>
      <c r="L338" s="119">
        <f>IF($E338="","",DATE(YEAR($E338),MONTH($E338),1))</f>
        <v/>
      </c>
      <c r="M338" s="112">
        <f>IF($C338="","",IF($D338="TANIMSIZ MÜŞTERİ","HATA",IF(OR($E338="",$F338&lt;=0,$G338=""),"EKSİK",IF($E338&gt;TODAY(),"İLERİ TARİH","UYGUN"))))</f>
        <v/>
      </c>
      <c r="N338" s="6" t="n"/>
      <c r="O338" s="6" t="n"/>
    </row>
    <row r="339">
      <c r="A339" s="6" t="n"/>
      <c r="B339" s="112">
        <f>IF($C339="","","T"&amp;TEXT(ROW()-6,"00000"))</f>
        <v/>
      </c>
      <c r="C339" s="107" t="n"/>
      <c r="D339" s="113">
        <f>IF($C339="","",IFERROR(INDEX(MUSTERILER!$C$7:$C$106,MATCH($C339,MUSTERILER!$B$7:$B$106,0)),"TANIMSIZ MÜŞTERİ"))</f>
        <v/>
      </c>
      <c r="E339" s="114" t="n"/>
      <c r="F339" s="115" t="n"/>
      <c r="G339" s="107" t="n"/>
      <c r="H339" s="107" t="n"/>
      <c r="I339" s="108" t="n"/>
      <c r="J339" s="108" t="n"/>
      <c r="K339" s="108" t="n"/>
      <c r="L339" s="119">
        <f>IF($E339="","",DATE(YEAR($E339),MONTH($E339),1))</f>
        <v/>
      </c>
      <c r="M339" s="112">
        <f>IF($C339="","",IF($D339="TANIMSIZ MÜŞTERİ","HATA",IF(OR($E339="",$F339&lt;=0,$G339=""),"EKSİK",IF($E339&gt;TODAY(),"İLERİ TARİH","UYGUN"))))</f>
        <v/>
      </c>
      <c r="N339" s="6" t="n"/>
      <c r="O339" s="6" t="n"/>
    </row>
    <row r="340">
      <c r="A340" s="6" t="n"/>
      <c r="B340" s="112">
        <f>IF($C340="","","T"&amp;TEXT(ROW()-6,"00000"))</f>
        <v/>
      </c>
      <c r="C340" s="107" t="n"/>
      <c r="D340" s="113">
        <f>IF($C340="","",IFERROR(INDEX(MUSTERILER!$C$7:$C$106,MATCH($C340,MUSTERILER!$B$7:$B$106,0)),"TANIMSIZ MÜŞTERİ"))</f>
        <v/>
      </c>
      <c r="E340" s="114" t="n"/>
      <c r="F340" s="115" t="n"/>
      <c r="G340" s="107" t="n"/>
      <c r="H340" s="107" t="n"/>
      <c r="I340" s="108" t="n"/>
      <c r="J340" s="108" t="n"/>
      <c r="K340" s="108" t="n"/>
      <c r="L340" s="119">
        <f>IF($E340="","",DATE(YEAR($E340),MONTH($E340),1))</f>
        <v/>
      </c>
      <c r="M340" s="112">
        <f>IF($C340="","",IF($D340="TANIMSIZ MÜŞTERİ","HATA",IF(OR($E340="",$F340&lt;=0,$G340=""),"EKSİK",IF($E340&gt;TODAY(),"İLERİ TARİH","UYGUN"))))</f>
        <v/>
      </c>
      <c r="N340" s="6" t="n"/>
      <c r="O340" s="6" t="n"/>
    </row>
    <row r="341">
      <c r="A341" s="6" t="n"/>
      <c r="B341" s="112">
        <f>IF($C341="","","T"&amp;TEXT(ROW()-6,"00000"))</f>
        <v/>
      </c>
      <c r="C341" s="107" t="n"/>
      <c r="D341" s="113">
        <f>IF($C341="","",IFERROR(INDEX(MUSTERILER!$C$7:$C$106,MATCH($C341,MUSTERILER!$B$7:$B$106,0)),"TANIMSIZ MÜŞTERİ"))</f>
        <v/>
      </c>
      <c r="E341" s="114" t="n"/>
      <c r="F341" s="115" t="n"/>
      <c r="G341" s="107" t="n"/>
      <c r="H341" s="107" t="n"/>
      <c r="I341" s="108" t="n"/>
      <c r="J341" s="108" t="n"/>
      <c r="K341" s="108" t="n"/>
      <c r="L341" s="119">
        <f>IF($E341="","",DATE(YEAR($E341),MONTH($E341),1))</f>
        <v/>
      </c>
      <c r="M341" s="112">
        <f>IF($C341="","",IF($D341="TANIMSIZ MÜŞTERİ","HATA",IF(OR($E341="",$F341&lt;=0,$G341=""),"EKSİK",IF($E341&gt;TODAY(),"İLERİ TARİH","UYGUN"))))</f>
        <v/>
      </c>
      <c r="N341" s="6" t="n"/>
      <c r="O341" s="6" t="n"/>
    </row>
    <row r="342">
      <c r="A342" s="6" t="n"/>
      <c r="B342" s="112">
        <f>IF($C342="","","T"&amp;TEXT(ROW()-6,"00000"))</f>
        <v/>
      </c>
      <c r="C342" s="107" t="n"/>
      <c r="D342" s="113">
        <f>IF($C342="","",IFERROR(INDEX(MUSTERILER!$C$7:$C$106,MATCH($C342,MUSTERILER!$B$7:$B$106,0)),"TANIMSIZ MÜŞTERİ"))</f>
        <v/>
      </c>
      <c r="E342" s="114" t="n"/>
      <c r="F342" s="115" t="n"/>
      <c r="G342" s="107" t="n"/>
      <c r="H342" s="107" t="n"/>
      <c r="I342" s="108" t="n"/>
      <c r="J342" s="108" t="n"/>
      <c r="K342" s="108" t="n"/>
      <c r="L342" s="119">
        <f>IF($E342="","",DATE(YEAR($E342),MONTH($E342),1))</f>
        <v/>
      </c>
      <c r="M342" s="112">
        <f>IF($C342="","",IF($D342="TANIMSIZ MÜŞTERİ","HATA",IF(OR($E342="",$F342&lt;=0,$G342=""),"EKSİK",IF($E342&gt;TODAY(),"İLERİ TARİH","UYGUN"))))</f>
        <v/>
      </c>
      <c r="N342" s="6" t="n"/>
      <c r="O342" s="6" t="n"/>
    </row>
    <row r="343">
      <c r="A343" s="6" t="n"/>
      <c r="B343" s="112">
        <f>IF($C343="","","T"&amp;TEXT(ROW()-6,"00000"))</f>
        <v/>
      </c>
      <c r="C343" s="107" t="n"/>
      <c r="D343" s="113">
        <f>IF($C343="","",IFERROR(INDEX(MUSTERILER!$C$7:$C$106,MATCH($C343,MUSTERILER!$B$7:$B$106,0)),"TANIMSIZ MÜŞTERİ"))</f>
        <v/>
      </c>
      <c r="E343" s="114" t="n"/>
      <c r="F343" s="115" t="n"/>
      <c r="G343" s="107" t="n"/>
      <c r="H343" s="107" t="n"/>
      <c r="I343" s="108" t="n"/>
      <c r="J343" s="108" t="n"/>
      <c r="K343" s="108" t="n"/>
      <c r="L343" s="119">
        <f>IF($E343="","",DATE(YEAR($E343),MONTH($E343),1))</f>
        <v/>
      </c>
      <c r="M343" s="112">
        <f>IF($C343="","",IF($D343="TANIMSIZ MÜŞTERİ","HATA",IF(OR($E343="",$F343&lt;=0,$G343=""),"EKSİK",IF($E343&gt;TODAY(),"İLERİ TARİH","UYGUN"))))</f>
        <v/>
      </c>
      <c r="N343" s="6" t="n"/>
      <c r="O343" s="6" t="n"/>
    </row>
    <row r="344">
      <c r="A344" s="6" t="n"/>
      <c r="B344" s="112">
        <f>IF($C344="","","T"&amp;TEXT(ROW()-6,"00000"))</f>
        <v/>
      </c>
      <c r="C344" s="107" t="n"/>
      <c r="D344" s="113">
        <f>IF($C344="","",IFERROR(INDEX(MUSTERILER!$C$7:$C$106,MATCH($C344,MUSTERILER!$B$7:$B$106,0)),"TANIMSIZ MÜŞTERİ"))</f>
        <v/>
      </c>
      <c r="E344" s="114" t="n"/>
      <c r="F344" s="115" t="n"/>
      <c r="G344" s="107" t="n"/>
      <c r="H344" s="107" t="n"/>
      <c r="I344" s="108" t="n"/>
      <c r="J344" s="108" t="n"/>
      <c r="K344" s="108" t="n"/>
      <c r="L344" s="119">
        <f>IF($E344="","",DATE(YEAR($E344),MONTH($E344),1))</f>
        <v/>
      </c>
      <c r="M344" s="112">
        <f>IF($C344="","",IF($D344="TANIMSIZ MÜŞTERİ","HATA",IF(OR($E344="",$F344&lt;=0,$G344=""),"EKSİK",IF($E344&gt;TODAY(),"İLERİ TARİH","UYGUN"))))</f>
        <v/>
      </c>
      <c r="N344" s="6" t="n"/>
      <c r="O344" s="6" t="n"/>
    </row>
    <row r="345">
      <c r="A345" s="6" t="n"/>
      <c r="B345" s="112">
        <f>IF($C345="","","T"&amp;TEXT(ROW()-6,"00000"))</f>
        <v/>
      </c>
      <c r="C345" s="107" t="n"/>
      <c r="D345" s="113">
        <f>IF($C345="","",IFERROR(INDEX(MUSTERILER!$C$7:$C$106,MATCH($C345,MUSTERILER!$B$7:$B$106,0)),"TANIMSIZ MÜŞTERİ"))</f>
        <v/>
      </c>
      <c r="E345" s="114" t="n"/>
      <c r="F345" s="115" t="n"/>
      <c r="G345" s="107" t="n"/>
      <c r="H345" s="107" t="n"/>
      <c r="I345" s="108" t="n"/>
      <c r="J345" s="108" t="n"/>
      <c r="K345" s="108" t="n"/>
      <c r="L345" s="119">
        <f>IF($E345="","",DATE(YEAR($E345),MONTH($E345),1))</f>
        <v/>
      </c>
      <c r="M345" s="112">
        <f>IF($C345="","",IF($D345="TANIMSIZ MÜŞTERİ","HATA",IF(OR($E345="",$F345&lt;=0,$G345=""),"EKSİK",IF($E345&gt;TODAY(),"İLERİ TARİH","UYGUN"))))</f>
        <v/>
      </c>
      <c r="N345" s="6" t="n"/>
      <c r="O345" s="6" t="n"/>
    </row>
    <row r="346">
      <c r="A346" s="6" t="n"/>
      <c r="B346" s="112">
        <f>IF($C346="","","T"&amp;TEXT(ROW()-6,"00000"))</f>
        <v/>
      </c>
      <c r="C346" s="107" t="n"/>
      <c r="D346" s="113">
        <f>IF($C346="","",IFERROR(INDEX(MUSTERILER!$C$7:$C$106,MATCH($C346,MUSTERILER!$B$7:$B$106,0)),"TANIMSIZ MÜŞTERİ"))</f>
        <v/>
      </c>
      <c r="E346" s="114" t="n"/>
      <c r="F346" s="115" t="n"/>
      <c r="G346" s="107" t="n"/>
      <c r="H346" s="107" t="n"/>
      <c r="I346" s="108" t="n"/>
      <c r="J346" s="108" t="n"/>
      <c r="K346" s="108" t="n"/>
      <c r="L346" s="119">
        <f>IF($E346="","",DATE(YEAR($E346),MONTH($E346),1))</f>
        <v/>
      </c>
      <c r="M346" s="112">
        <f>IF($C346="","",IF($D346="TANIMSIZ MÜŞTERİ","HATA",IF(OR($E346="",$F346&lt;=0,$G346=""),"EKSİK",IF($E346&gt;TODAY(),"İLERİ TARİH","UYGUN"))))</f>
        <v/>
      </c>
      <c r="N346" s="6" t="n"/>
      <c r="O346" s="6" t="n"/>
    </row>
    <row r="347">
      <c r="A347" s="6" t="n"/>
      <c r="B347" s="112">
        <f>IF($C347="","","T"&amp;TEXT(ROW()-6,"00000"))</f>
        <v/>
      </c>
      <c r="C347" s="107" t="n"/>
      <c r="D347" s="113">
        <f>IF($C347="","",IFERROR(INDEX(MUSTERILER!$C$7:$C$106,MATCH($C347,MUSTERILER!$B$7:$B$106,0)),"TANIMSIZ MÜŞTERİ"))</f>
        <v/>
      </c>
      <c r="E347" s="114" t="n"/>
      <c r="F347" s="115" t="n"/>
      <c r="G347" s="107" t="n"/>
      <c r="H347" s="107" t="n"/>
      <c r="I347" s="108" t="n"/>
      <c r="J347" s="108" t="n"/>
      <c r="K347" s="108" t="n"/>
      <c r="L347" s="119">
        <f>IF($E347="","",DATE(YEAR($E347),MONTH($E347),1))</f>
        <v/>
      </c>
      <c r="M347" s="112">
        <f>IF($C347="","",IF($D347="TANIMSIZ MÜŞTERİ","HATA",IF(OR($E347="",$F347&lt;=0,$G347=""),"EKSİK",IF($E347&gt;TODAY(),"İLERİ TARİH","UYGUN"))))</f>
        <v/>
      </c>
      <c r="N347" s="6" t="n"/>
      <c r="O347" s="6" t="n"/>
    </row>
    <row r="348">
      <c r="A348" s="6" t="n"/>
      <c r="B348" s="112">
        <f>IF($C348="","","T"&amp;TEXT(ROW()-6,"00000"))</f>
        <v/>
      </c>
      <c r="C348" s="107" t="n"/>
      <c r="D348" s="113">
        <f>IF($C348="","",IFERROR(INDEX(MUSTERILER!$C$7:$C$106,MATCH($C348,MUSTERILER!$B$7:$B$106,0)),"TANIMSIZ MÜŞTERİ"))</f>
        <v/>
      </c>
      <c r="E348" s="114" t="n"/>
      <c r="F348" s="115" t="n"/>
      <c r="G348" s="107" t="n"/>
      <c r="H348" s="107" t="n"/>
      <c r="I348" s="108" t="n"/>
      <c r="J348" s="108" t="n"/>
      <c r="K348" s="108" t="n"/>
      <c r="L348" s="119">
        <f>IF($E348="","",DATE(YEAR($E348),MONTH($E348),1))</f>
        <v/>
      </c>
      <c r="M348" s="112">
        <f>IF($C348="","",IF($D348="TANIMSIZ MÜŞTERİ","HATA",IF(OR($E348="",$F348&lt;=0,$G348=""),"EKSİK",IF($E348&gt;TODAY(),"İLERİ TARİH","UYGUN"))))</f>
        <v/>
      </c>
      <c r="N348" s="6" t="n"/>
      <c r="O348" s="6" t="n"/>
    </row>
    <row r="349">
      <c r="A349" s="6" t="n"/>
      <c r="B349" s="112">
        <f>IF($C349="","","T"&amp;TEXT(ROW()-6,"00000"))</f>
        <v/>
      </c>
      <c r="C349" s="107" t="n"/>
      <c r="D349" s="113">
        <f>IF($C349="","",IFERROR(INDEX(MUSTERILER!$C$7:$C$106,MATCH($C349,MUSTERILER!$B$7:$B$106,0)),"TANIMSIZ MÜŞTERİ"))</f>
        <v/>
      </c>
      <c r="E349" s="114" t="n"/>
      <c r="F349" s="115" t="n"/>
      <c r="G349" s="107" t="n"/>
      <c r="H349" s="107" t="n"/>
      <c r="I349" s="108" t="n"/>
      <c r="J349" s="108" t="n"/>
      <c r="K349" s="108" t="n"/>
      <c r="L349" s="119">
        <f>IF($E349="","",DATE(YEAR($E349),MONTH($E349),1))</f>
        <v/>
      </c>
      <c r="M349" s="112">
        <f>IF($C349="","",IF($D349="TANIMSIZ MÜŞTERİ","HATA",IF(OR($E349="",$F349&lt;=0,$G349=""),"EKSİK",IF($E349&gt;TODAY(),"İLERİ TARİH","UYGUN"))))</f>
        <v/>
      </c>
      <c r="N349" s="6" t="n"/>
      <c r="O349" s="6" t="n"/>
    </row>
    <row r="350">
      <c r="A350" s="6" t="n"/>
      <c r="B350" s="112">
        <f>IF($C350="","","T"&amp;TEXT(ROW()-6,"00000"))</f>
        <v/>
      </c>
      <c r="C350" s="107" t="n"/>
      <c r="D350" s="113">
        <f>IF($C350="","",IFERROR(INDEX(MUSTERILER!$C$7:$C$106,MATCH($C350,MUSTERILER!$B$7:$B$106,0)),"TANIMSIZ MÜŞTERİ"))</f>
        <v/>
      </c>
      <c r="E350" s="114" t="n"/>
      <c r="F350" s="115" t="n"/>
      <c r="G350" s="107" t="n"/>
      <c r="H350" s="107" t="n"/>
      <c r="I350" s="108" t="n"/>
      <c r="J350" s="108" t="n"/>
      <c r="K350" s="108" t="n"/>
      <c r="L350" s="119">
        <f>IF($E350="","",DATE(YEAR($E350),MONTH($E350),1))</f>
        <v/>
      </c>
      <c r="M350" s="112">
        <f>IF($C350="","",IF($D350="TANIMSIZ MÜŞTERİ","HATA",IF(OR($E350="",$F350&lt;=0,$G350=""),"EKSİK",IF($E350&gt;TODAY(),"İLERİ TARİH","UYGUN"))))</f>
        <v/>
      </c>
      <c r="N350" s="6" t="n"/>
      <c r="O350" s="6" t="n"/>
    </row>
    <row r="351">
      <c r="A351" s="6" t="n"/>
      <c r="B351" s="112">
        <f>IF($C351="","","T"&amp;TEXT(ROW()-6,"00000"))</f>
        <v/>
      </c>
      <c r="C351" s="107" t="n"/>
      <c r="D351" s="113">
        <f>IF($C351="","",IFERROR(INDEX(MUSTERILER!$C$7:$C$106,MATCH($C351,MUSTERILER!$B$7:$B$106,0)),"TANIMSIZ MÜŞTERİ"))</f>
        <v/>
      </c>
      <c r="E351" s="114" t="n"/>
      <c r="F351" s="115" t="n"/>
      <c r="G351" s="107" t="n"/>
      <c r="H351" s="107" t="n"/>
      <c r="I351" s="108" t="n"/>
      <c r="J351" s="108" t="n"/>
      <c r="K351" s="108" t="n"/>
      <c r="L351" s="119">
        <f>IF($E351="","",DATE(YEAR($E351),MONTH($E351),1))</f>
        <v/>
      </c>
      <c r="M351" s="112">
        <f>IF($C351="","",IF($D351="TANIMSIZ MÜŞTERİ","HATA",IF(OR($E351="",$F351&lt;=0,$G351=""),"EKSİK",IF($E351&gt;TODAY(),"İLERİ TARİH","UYGUN"))))</f>
        <v/>
      </c>
      <c r="N351" s="6" t="n"/>
      <c r="O351" s="6" t="n"/>
    </row>
    <row r="352">
      <c r="A352" s="6" t="n"/>
      <c r="B352" s="112">
        <f>IF($C352="","","T"&amp;TEXT(ROW()-6,"00000"))</f>
        <v/>
      </c>
      <c r="C352" s="107" t="n"/>
      <c r="D352" s="113">
        <f>IF($C352="","",IFERROR(INDEX(MUSTERILER!$C$7:$C$106,MATCH($C352,MUSTERILER!$B$7:$B$106,0)),"TANIMSIZ MÜŞTERİ"))</f>
        <v/>
      </c>
      <c r="E352" s="114" t="n"/>
      <c r="F352" s="115" t="n"/>
      <c r="G352" s="107" t="n"/>
      <c r="H352" s="107" t="n"/>
      <c r="I352" s="108" t="n"/>
      <c r="J352" s="108" t="n"/>
      <c r="K352" s="108" t="n"/>
      <c r="L352" s="119">
        <f>IF($E352="","",DATE(YEAR($E352),MONTH($E352),1))</f>
        <v/>
      </c>
      <c r="M352" s="112">
        <f>IF($C352="","",IF($D352="TANIMSIZ MÜŞTERİ","HATA",IF(OR($E352="",$F352&lt;=0,$G352=""),"EKSİK",IF($E352&gt;TODAY(),"İLERİ TARİH","UYGUN"))))</f>
        <v/>
      </c>
      <c r="N352" s="6" t="n"/>
      <c r="O352" s="6" t="n"/>
    </row>
    <row r="353">
      <c r="A353" s="6" t="n"/>
      <c r="B353" s="112">
        <f>IF($C353="","","T"&amp;TEXT(ROW()-6,"00000"))</f>
        <v/>
      </c>
      <c r="C353" s="107" t="n"/>
      <c r="D353" s="113">
        <f>IF($C353="","",IFERROR(INDEX(MUSTERILER!$C$7:$C$106,MATCH($C353,MUSTERILER!$B$7:$B$106,0)),"TANIMSIZ MÜŞTERİ"))</f>
        <v/>
      </c>
      <c r="E353" s="114" t="n"/>
      <c r="F353" s="115" t="n"/>
      <c r="G353" s="107" t="n"/>
      <c r="H353" s="107" t="n"/>
      <c r="I353" s="108" t="n"/>
      <c r="J353" s="108" t="n"/>
      <c r="K353" s="108" t="n"/>
      <c r="L353" s="119">
        <f>IF($E353="","",DATE(YEAR($E353),MONTH($E353),1))</f>
        <v/>
      </c>
      <c r="M353" s="112">
        <f>IF($C353="","",IF($D353="TANIMSIZ MÜŞTERİ","HATA",IF(OR($E353="",$F353&lt;=0,$G353=""),"EKSİK",IF($E353&gt;TODAY(),"İLERİ TARİH","UYGUN"))))</f>
        <v/>
      </c>
      <c r="N353" s="6" t="n"/>
      <c r="O353" s="6" t="n"/>
    </row>
    <row r="354">
      <c r="A354" s="6" t="n"/>
      <c r="B354" s="112">
        <f>IF($C354="","","T"&amp;TEXT(ROW()-6,"00000"))</f>
        <v/>
      </c>
      <c r="C354" s="107" t="n"/>
      <c r="D354" s="113">
        <f>IF($C354="","",IFERROR(INDEX(MUSTERILER!$C$7:$C$106,MATCH($C354,MUSTERILER!$B$7:$B$106,0)),"TANIMSIZ MÜŞTERİ"))</f>
        <v/>
      </c>
      <c r="E354" s="114" t="n"/>
      <c r="F354" s="115" t="n"/>
      <c r="G354" s="107" t="n"/>
      <c r="H354" s="107" t="n"/>
      <c r="I354" s="108" t="n"/>
      <c r="J354" s="108" t="n"/>
      <c r="K354" s="108" t="n"/>
      <c r="L354" s="119">
        <f>IF($E354="","",DATE(YEAR($E354),MONTH($E354),1))</f>
        <v/>
      </c>
      <c r="M354" s="112">
        <f>IF($C354="","",IF($D354="TANIMSIZ MÜŞTERİ","HATA",IF(OR($E354="",$F354&lt;=0,$G354=""),"EKSİK",IF($E354&gt;TODAY(),"İLERİ TARİH","UYGUN"))))</f>
        <v/>
      </c>
      <c r="N354" s="6" t="n"/>
      <c r="O354" s="6" t="n"/>
    </row>
    <row r="355">
      <c r="A355" s="6" t="n"/>
      <c r="B355" s="112">
        <f>IF($C355="","","T"&amp;TEXT(ROW()-6,"00000"))</f>
        <v/>
      </c>
      <c r="C355" s="107" t="n"/>
      <c r="D355" s="113">
        <f>IF($C355="","",IFERROR(INDEX(MUSTERILER!$C$7:$C$106,MATCH($C355,MUSTERILER!$B$7:$B$106,0)),"TANIMSIZ MÜŞTERİ"))</f>
        <v/>
      </c>
      <c r="E355" s="114" t="n"/>
      <c r="F355" s="115" t="n"/>
      <c r="G355" s="107" t="n"/>
      <c r="H355" s="107" t="n"/>
      <c r="I355" s="108" t="n"/>
      <c r="J355" s="108" t="n"/>
      <c r="K355" s="108" t="n"/>
      <c r="L355" s="119">
        <f>IF($E355="","",DATE(YEAR($E355),MONTH($E355),1))</f>
        <v/>
      </c>
      <c r="M355" s="112">
        <f>IF($C355="","",IF($D355="TANIMSIZ MÜŞTERİ","HATA",IF(OR($E355="",$F355&lt;=0,$G355=""),"EKSİK",IF($E355&gt;TODAY(),"İLERİ TARİH","UYGUN"))))</f>
        <v/>
      </c>
      <c r="N355" s="6" t="n"/>
      <c r="O355" s="6" t="n"/>
    </row>
    <row r="356">
      <c r="A356" s="6" t="n"/>
      <c r="B356" s="112">
        <f>IF($C356="","","T"&amp;TEXT(ROW()-6,"00000"))</f>
        <v/>
      </c>
      <c r="C356" s="107" t="n"/>
      <c r="D356" s="113">
        <f>IF($C356="","",IFERROR(INDEX(MUSTERILER!$C$7:$C$106,MATCH($C356,MUSTERILER!$B$7:$B$106,0)),"TANIMSIZ MÜŞTERİ"))</f>
        <v/>
      </c>
      <c r="E356" s="114" t="n"/>
      <c r="F356" s="115" t="n"/>
      <c r="G356" s="107" t="n"/>
      <c r="H356" s="107" t="n"/>
      <c r="I356" s="108" t="n"/>
      <c r="J356" s="108" t="n"/>
      <c r="K356" s="108" t="n"/>
      <c r="L356" s="119">
        <f>IF($E356="","",DATE(YEAR($E356),MONTH($E356),1))</f>
        <v/>
      </c>
      <c r="M356" s="112">
        <f>IF($C356="","",IF($D356="TANIMSIZ MÜŞTERİ","HATA",IF(OR($E356="",$F356&lt;=0,$G356=""),"EKSİK",IF($E356&gt;TODAY(),"İLERİ TARİH","UYGUN"))))</f>
        <v/>
      </c>
      <c r="N356" s="6" t="n"/>
      <c r="O356" s="6" t="n"/>
    </row>
    <row r="357">
      <c r="A357" s="6" t="n"/>
      <c r="B357" s="112">
        <f>IF($C357="","","T"&amp;TEXT(ROW()-6,"00000"))</f>
        <v/>
      </c>
      <c r="C357" s="107" t="n"/>
      <c r="D357" s="113">
        <f>IF($C357="","",IFERROR(INDEX(MUSTERILER!$C$7:$C$106,MATCH($C357,MUSTERILER!$B$7:$B$106,0)),"TANIMSIZ MÜŞTERİ"))</f>
        <v/>
      </c>
      <c r="E357" s="114" t="n"/>
      <c r="F357" s="115" t="n"/>
      <c r="G357" s="107" t="n"/>
      <c r="H357" s="107" t="n"/>
      <c r="I357" s="108" t="n"/>
      <c r="J357" s="108" t="n"/>
      <c r="K357" s="108" t="n"/>
      <c r="L357" s="119">
        <f>IF($E357="","",DATE(YEAR($E357),MONTH($E357),1))</f>
        <v/>
      </c>
      <c r="M357" s="112">
        <f>IF($C357="","",IF($D357="TANIMSIZ MÜŞTERİ","HATA",IF(OR($E357="",$F357&lt;=0,$G357=""),"EKSİK",IF($E357&gt;TODAY(),"İLERİ TARİH","UYGUN"))))</f>
        <v/>
      </c>
      <c r="N357" s="6" t="n"/>
      <c r="O357" s="6" t="n"/>
    </row>
    <row r="358">
      <c r="A358" s="6" t="n"/>
      <c r="B358" s="112">
        <f>IF($C358="","","T"&amp;TEXT(ROW()-6,"00000"))</f>
        <v/>
      </c>
      <c r="C358" s="107" t="n"/>
      <c r="D358" s="113">
        <f>IF($C358="","",IFERROR(INDEX(MUSTERILER!$C$7:$C$106,MATCH($C358,MUSTERILER!$B$7:$B$106,0)),"TANIMSIZ MÜŞTERİ"))</f>
        <v/>
      </c>
      <c r="E358" s="114" t="n"/>
      <c r="F358" s="115" t="n"/>
      <c r="G358" s="107" t="n"/>
      <c r="H358" s="107" t="n"/>
      <c r="I358" s="108" t="n"/>
      <c r="J358" s="108" t="n"/>
      <c r="K358" s="108" t="n"/>
      <c r="L358" s="119">
        <f>IF($E358="","",DATE(YEAR($E358),MONTH($E358),1))</f>
        <v/>
      </c>
      <c r="M358" s="112">
        <f>IF($C358="","",IF($D358="TANIMSIZ MÜŞTERİ","HATA",IF(OR($E358="",$F358&lt;=0,$G358=""),"EKSİK",IF($E358&gt;TODAY(),"İLERİ TARİH","UYGUN"))))</f>
        <v/>
      </c>
      <c r="N358" s="6" t="n"/>
      <c r="O358" s="6" t="n"/>
    </row>
    <row r="359">
      <c r="A359" s="6" t="n"/>
      <c r="B359" s="112">
        <f>IF($C359="","","T"&amp;TEXT(ROW()-6,"00000"))</f>
        <v/>
      </c>
      <c r="C359" s="107" t="n"/>
      <c r="D359" s="113">
        <f>IF($C359="","",IFERROR(INDEX(MUSTERILER!$C$7:$C$106,MATCH($C359,MUSTERILER!$B$7:$B$106,0)),"TANIMSIZ MÜŞTERİ"))</f>
        <v/>
      </c>
      <c r="E359" s="114" t="n"/>
      <c r="F359" s="115" t="n"/>
      <c r="G359" s="107" t="n"/>
      <c r="H359" s="107" t="n"/>
      <c r="I359" s="108" t="n"/>
      <c r="J359" s="108" t="n"/>
      <c r="K359" s="108" t="n"/>
      <c r="L359" s="119">
        <f>IF($E359="","",DATE(YEAR($E359),MONTH($E359),1))</f>
        <v/>
      </c>
      <c r="M359" s="112">
        <f>IF($C359="","",IF($D359="TANIMSIZ MÜŞTERİ","HATA",IF(OR($E359="",$F359&lt;=0,$G359=""),"EKSİK",IF($E359&gt;TODAY(),"İLERİ TARİH","UYGUN"))))</f>
        <v/>
      </c>
      <c r="N359" s="6" t="n"/>
      <c r="O359" s="6" t="n"/>
    </row>
    <row r="360">
      <c r="A360" s="6" t="n"/>
      <c r="B360" s="112">
        <f>IF($C360="","","T"&amp;TEXT(ROW()-6,"00000"))</f>
        <v/>
      </c>
      <c r="C360" s="107" t="n"/>
      <c r="D360" s="113">
        <f>IF($C360="","",IFERROR(INDEX(MUSTERILER!$C$7:$C$106,MATCH($C360,MUSTERILER!$B$7:$B$106,0)),"TANIMSIZ MÜŞTERİ"))</f>
        <v/>
      </c>
      <c r="E360" s="114" t="n"/>
      <c r="F360" s="115" t="n"/>
      <c r="G360" s="107" t="n"/>
      <c r="H360" s="107" t="n"/>
      <c r="I360" s="108" t="n"/>
      <c r="J360" s="108" t="n"/>
      <c r="K360" s="108" t="n"/>
      <c r="L360" s="119">
        <f>IF($E360="","",DATE(YEAR($E360),MONTH($E360),1))</f>
        <v/>
      </c>
      <c r="M360" s="112">
        <f>IF($C360="","",IF($D360="TANIMSIZ MÜŞTERİ","HATA",IF(OR($E360="",$F360&lt;=0,$G360=""),"EKSİK",IF($E360&gt;TODAY(),"İLERİ TARİH","UYGUN"))))</f>
        <v/>
      </c>
      <c r="N360" s="6" t="n"/>
      <c r="O360" s="6" t="n"/>
    </row>
    <row r="361">
      <c r="A361" s="6" t="n"/>
      <c r="B361" s="112">
        <f>IF($C361="","","T"&amp;TEXT(ROW()-6,"00000"))</f>
        <v/>
      </c>
      <c r="C361" s="107" t="n"/>
      <c r="D361" s="113">
        <f>IF($C361="","",IFERROR(INDEX(MUSTERILER!$C$7:$C$106,MATCH($C361,MUSTERILER!$B$7:$B$106,0)),"TANIMSIZ MÜŞTERİ"))</f>
        <v/>
      </c>
      <c r="E361" s="114" t="n"/>
      <c r="F361" s="115" t="n"/>
      <c r="G361" s="107" t="n"/>
      <c r="H361" s="107" t="n"/>
      <c r="I361" s="108" t="n"/>
      <c r="J361" s="108" t="n"/>
      <c r="K361" s="108" t="n"/>
      <c r="L361" s="119">
        <f>IF($E361="","",DATE(YEAR($E361),MONTH($E361),1))</f>
        <v/>
      </c>
      <c r="M361" s="112">
        <f>IF($C361="","",IF($D361="TANIMSIZ MÜŞTERİ","HATA",IF(OR($E361="",$F361&lt;=0,$G361=""),"EKSİK",IF($E361&gt;TODAY(),"İLERİ TARİH","UYGUN"))))</f>
        <v/>
      </c>
      <c r="N361" s="6" t="n"/>
      <c r="O361" s="6" t="n"/>
    </row>
    <row r="362">
      <c r="A362" s="6" t="n"/>
      <c r="B362" s="112">
        <f>IF($C362="","","T"&amp;TEXT(ROW()-6,"00000"))</f>
        <v/>
      </c>
      <c r="C362" s="107" t="n"/>
      <c r="D362" s="113">
        <f>IF($C362="","",IFERROR(INDEX(MUSTERILER!$C$7:$C$106,MATCH($C362,MUSTERILER!$B$7:$B$106,0)),"TANIMSIZ MÜŞTERİ"))</f>
        <v/>
      </c>
      <c r="E362" s="114" t="n"/>
      <c r="F362" s="115" t="n"/>
      <c r="G362" s="107" t="n"/>
      <c r="H362" s="107" t="n"/>
      <c r="I362" s="108" t="n"/>
      <c r="J362" s="108" t="n"/>
      <c r="K362" s="108" t="n"/>
      <c r="L362" s="119">
        <f>IF($E362="","",DATE(YEAR($E362),MONTH($E362),1))</f>
        <v/>
      </c>
      <c r="M362" s="112">
        <f>IF($C362="","",IF($D362="TANIMSIZ MÜŞTERİ","HATA",IF(OR($E362="",$F362&lt;=0,$G362=""),"EKSİK",IF($E362&gt;TODAY(),"İLERİ TARİH","UYGUN"))))</f>
        <v/>
      </c>
      <c r="N362" s="6" t="n"/>
      <c r="O362" s="6" t="n"/>
    </row>
    <row r="363">
      <c r="A363" s="6" t="n"/>
      <c r="B363" s="112">
        <f>IF($C363="","","T"&amp;TEXT(ROW()-6,"00000"))</f>
        <v/>
      </c>
      <c r="C363" s="107" t="n"/>
      <c r="D363" s="113">
        <f>IF($C363="","",IFERROR(INDEX(MUSTERILER!$C$7:$C$106,MATCH($C363,MUSTERILER!$B$7:$B$106,0)),"TANIMSIZ MÜŞTERİ"))</f>
        <v/>
      </c>
      <c r="E363" s="114" t="n"/>
      <c r="F363" s="115" t="n"/>
      <c r="G363" s="107" t="n"/>
      <c r="H363" s="107" t="n"/>
      <c r="I363" s="108" t="n"/>
      <c r="J363" s="108" t="n"/>
      <c r="K363" s="108" t="n"/>
      <c r="L363" s="119">
        <f>IF($E363="","",DATE(YEAR($E363),MONTH($E363),1))</f>
        <v/>
      </c>
      <c r="M363" s="112">
        <f>IF($C363="","",IF($D363="TANIMSIZ MÜŞTERİ","HATA",IF(OR($E363="",$F363&lt;=0,$G363=""),"EKSİK",IF($E363&gt;TODAY(),"İLERİ TARİH","UYGUN"))))</f>
        <v/>
      </c>
      <c r="N363" s="6" t="n"/>
      <c r="O363" s="6" t="n"/>
    </row>
    <row r="364">
      <c r="A364" s="6" t="n"/>
      <c r="B364" s="112">
        <f>IF($C364="","","T"&amp;TEXT(ROW()-6,"00000"))</f>
        <v/>
      </c>
      <c r="C364" s="107" t="n"/>
      <c r="D364" s="113">
        <f>IF($C364="","",IFERROR(INDEX(MUSTERILER!$C$7:$C$106,MATCH($C364,MUSTERILER!$B$7:$B$106,0)),"TANIMSIZ MÜŞTERİ"))</f>
        <v/>
      </c>
      <c r="E364" s="114" t="n"/>
      <c r="F364" s="115" t="n"/>
      <c r="G364" s="107" t="n"/>
      <c r="H364" s="107" t="n"/>
      <c r="I364" s="108" t="n"/>
      <c r="J364" s="108" t="n"/>
      <c r="K364" s="108" t="n"/>
      <c r="L364" s="119">
        <f>IF($E364="","",DATE(YEAR($E364),MONTH($E364),1))</f>
        <v/>
      </c>
      <c r="M364" s="112">
        <f>IF($C364="","",IF($D364="TANIMSIZ MÜŞTERİ","HATA",IF(OR($E364="",$F364&lt;=0,$G364=""),"EKSİK",IF($E364&gt;TODAY(),"İLERİ TARİH","UYGUN"))))</f>
        <v/>
      </c>
      <c r="N364" s="6" t="n"/>
      <c r="O364" s="6" t="n"/>
    </row>
    <row r="365">
      <c r="A365" s="6" t="n"/>
      <c r="B365" s="112">
        <f>IF($C365="","","T"&amp;TEXT(ROW()-6,"00000"))</f>
        <v/>
      </c>
      <c r="C365" s="107" t="n"/>
      <c r="D365" s="113">
        <f>IF($C365="","",IFERROR(INDEX(MUSTERILER!$C$7:$C$106,MATCH($C365,MUSTERILER!$B$7:$B$106,0)),"TANIMSIZ MÜŞTERİ"))</f>
        <v/>
      </c>
      <c r="E365" s="114" t="n"/>
      <c r="F365" s="115" t="n"/>
      <c r="G365" s="107" t="n"/>
      <c r="H365" s="107" t="n"/>
      <c r="I365" s="108" t="n"/>
      <c r="J365" s="108" t="n"/>
      <c r="K365" s="108" t="n"/>
      <c r="L365" s="119">
        <f>IF($E365="","",DATE(YEAR($E365),MONTH($E365),1))</f>
        <v/>
      </c>
      <c r="M365" s="112">
        <f>IF($C365="","",IF($D365="TANIMSIZ MÜŞTERİ","HATA",IF(OR($E365="",$F365&lt;=0,$G365=""),"EKSİK",IF($E365&gt;TODAY(),"İLERİ TARİH","UYGUN"))))</f>
        <v/>
      </c>
      <c r="N365" s="6" t="n"/>
      <c r="O365" s="6" t="n"/>
    </row>
    <row r="366">
      <c r="A366" s="6" t="n"/>
      <c r="B366" s="112">
        <f>IF($C366="","","T"&amp;TEXT(ROW()-6,"00000"))</f>
        <v/>
      </c>
      <c r="C366" s="107" t="n"/>
      <c r="D366" s="113">
        <f>IF($C366="","",IFERROR(INDEX(MUSTERILER!$C$7:$C$106,MATCH($C366,MUSTERILER!$B$7:$B$106,0)),"TANIMSIZ MÜŞTERİ"))</f>
        <v/>
      </c>
      <c r="E366" s="114" t="n"/>
      <c r="F366" s="115" t="n"/>
      <c r="G366" s="107" t="n"/>
      <c r="H366" s="107" t="n"/>
      <c r="I366" s="108" t="n"/>
      <c r="J366" s="108" t="n"/>
      <c r="K366" s="108" t="n"/>
      <c r="L366" s="119">
        <f>IF($E366="","",DATE(YEAR($E366),MONTH($E366),1))</f>
        <v/>
      </c>
      <c r="M366" s="112">
        <f>IF($C366="","",IF($D366="TANIMSIZ MÜŞTERİ","HATA",IF(OR($E366="",$F366&lt;=0,$G366=""),"EKSİK",IF($E366&gt;TODAY(),"İLERİ TARİH","UYGUN"))))</f>
        <v/>
      </c>
      <c r="N366" s="6" t="n"/>
      <c r="O366" s="6" t="n"/>
    </row>
    <row r="367">
      <c r="A367" s="6" t="n"/>
      <c r="B367" s="112">
        <f>IF($C367="","","T"&amp;TEXT(ROW()-6,"00000"))</f>
        <v/>
      </c>
      <c r="C367" s="107" t="n"/>
      <c r="D367" s="113">
        <f>IF($C367="","",IFERROR(INDEX(MUSTERILER!$C$7:$C$106,MATCH($C367,MUSTERILER!$B$7:$B$106,0)),"TANIMSIZ MÜŞTERİ"))</f>
        <v/>
      </c>
      <c r="E367" s="114" t="n"/>
      <c r="F367" s="115" t="n"/>
      <c r="G367" s="107" t="n"/>
      <c r="H367" s="107" t="n"/>
      <c r="I367" s="108" t="n"/>
      <c r="J367" s="108" t="n"/>
      <c r="K367" s="108" t="n"/>
      <c r="L367" s="119">
        <f>IF($E367="","",DATE(YEAR($E367),MONTH($E367),1))</f>
        <v/>
      </c>
      <c r="M367" s="112">
        <f>IF($C367="","",IF($D367="TANIMSIZ MÜŞTERİ","HATA",IF(OR($E367="",$F367&lt;=0,$G367=""),"EKSİK",IF($E367&gt;TODAY(),"İLERİ TARİH","UYGUN"))))</f>
        <v/>
      </c>
      <c r="N367" s="6" t="n"/>
      <c r="O367" s="6" t="n"/>
    </row>
    <row r="368">
      <c r="A368" s="6" t="n"/>
      <c r="B368" s="112">
        <f>IF($C368="","","T"&amp;TEXT(ROW()-6,"00000"))</f>
        <v/>
      </c>
      <c r="C368" s="107" t="n"/>
      <c r="D368" s="113">
        <f>IF($C368="","",IFERROR(INDEX(MUSTERILER!$C$7:$C$106,MATCH($C368,MUSTERILER!$B$7:$B$106,0)),"TANIMSIZ MÜŞTERİ"))</f>
        <v/>
      </c>
      <c r="E368" s="114" t="n"/>
      <c r="F368" s="115" t="n"/>
      <c r="G368" s="107" t="n"/>
      <c r="H368" s="107" t="n"/>
      <c r="I368" s="108" t="n"/>
      <c r="J368" s="108" t="n"/>
      <c r="K368" s="108" t="n"/>
      <c r="L368" s="119">
        <f>IF($E368="","",DATE(YEAR($E368),MONTH($E368),1))</f>
        <v/>
      </c>
      <c r="M368" s="112">
        <f>IF($C368="","",IF($D368="TANIMSIZ MÜŞTERİ","HATA",IF(OR($E368="",$F368&lt;=0,$G368=""),"EKSİK",IF($E368&gt;TODAY(),"İLERİ TARİH","UYGUN"))))</f>
        <v/>
      </c>
      <c r="N368" s="6" t="n"/>
      <c r="O368" s="6" t="n"/>
    </row>
    <row r="369">
      <c r="A369" s="6" t="n"/>
      <c r="B369" s="112">
        <f>IF($C369="","","T"&amp;TEXT(ROW()-6,"00000"))</f>
        <v/>
      </c>
      <c r="C369" s="107" t="n"/>
      <c r="D369" s="113">
        <f>IF($C369="","",IFERROR(INDEX(MUSTERILER!$C$7:$C$106,MATCH($C369,MUSTERILER!$B$7:$B$106,0)),"TANIMSIZ MÜŞTERİ"))</f>
        <v/>
      </c>
      <c r="E369" s="114" t="n"/>
      <c r="F369" s="115" t="n"/>
      <c r="G369" s="107" t="n"/>
      <c r="H369" s="107" t="n"/>
      <c r="I369" s="108" t="n"/>
      <c r="J369" s="108" t="n"/>
      <c r="K369" s="108" t="n"/>
      <c r="L369" s="119">
        <f>IF($E369="","",DATE(YEAR($E369),MONTH($E369),1))</f>
        <v/>
      </c>
      <c r="M369" s="112">
        <f>IF($C369="","",IF($D369="TANIMSIZ MÜŞTERİ","HATA",IF(OR($E369="",$F369&lt;=0,$G369=""),"EKSİK",IF($E369&gt;TODAY(),"İLERİ TARİH","UYGUN"))))</f>
        <v/>
      </c>
      <c r="N369" s="6" t="n"/>
      <c r="O369" s="6" t="n"/>
    </row>
    <row r="370">
      <c r="A370" s="6" t="n"/>
      <c r="B370" s="112">
        <f>IF($C370="","","T"&amp;TEXT(ROW()-6,"00000"))</f>
        <v/>
      </c>
      <c r="C370" s="107" t="n"/>
      <c r="D370" s="113">
        <f>IF($C370="","",IFERROR(INDEX(MUSTERILER!$C$7:$C$106,MATCH($C370,MUSTERILER!$B$7:$B$106,0)),"TANIMSIZ MÜŞTERİ"))</f>
        <v/>
      </c>
      <c r="E370" s="114" t="n"/>
      <c r="F370" s="115" t="n"/>
      <c r="G370" s="107" t="n"/>
      <c r="H370" s="107" t="n"/>
      <c r="I370" s="108" t="n"/>
      <c r="J370" s="108" t="n"/>
      <c r="K370" s="108" t="n"/>
      <c r="L370" s="119">
        <f>IF($E370="","",DATE(YEAR($E370),MONTH($E370),1))</f>
        <v/>
      </c>
      <c r="M370" s="112">
        <f>IF($C370="","",IF($D370="TANIMSIZ MÜŞTERİ","HATA",IF(OR($E370="",$F370&lt;=0,$G370=""),"EKSİK",IF($E370&gt;TODAY(),"İLERİ TARİH","UYGUN"))))</f>
        <v/>
      </c>
      <c r="N370" s="6" t="n"/>
      <c r="O370" s="6" t="n"/>
    </row>
    <row r="371">
      <c r="A371" s="6" t="n"/>
      <c r="B371" s="112">
        <f>IF($C371="","","T"&amp;TEXT(ROW()-6,"00000"))</f>
        <v/>
      </c>
      <c r="C371" s="107" t="n"/>
      <c r="D371" s="113">
        <f>IF($C371="","",IFERROR(INDEX(MUSTERILER!$C$7:$C$106,MATCH($C371,MUSTERILER!$B$7:$B$106,0)),"TANIMSIZ MÜŞTERİ"))</f>
        <v/>
      </c>
      <c r="E371" s="114" t="n"/>
      <c r="F371" s="115" t="n"/>
      <c r="G371" s="107" t="n"/>
      <c r="H371" s="107" t="n"/>
      <c r="I371" s="108" t="n"/>
      <c r="J371" s="108" t="n"/>
      <c r="K371" s="108" t="n"/>
      <c r="L371" s="119">
        <f>IF($E371="","",DATE(YEAR($E371),MONTH($E371),1))</f>
        <v/>
      </c>
      <c r="M371" s="112">
        <f>IF($C371="","",IF($D371="TANIMSIZ MÜŞTERİ","HATA",IF(OR($E371="",$F371&lt;=0,$G371=""),"EKSİK",IF($E371&gt;TODAY(),"İLERİ TARİH","UYGUN"))))</f>
        <v/>
      </c>
      <c r="N371" s="6" t="n"/>
      <c r="O371" s="6" t="n"/>
    </row>
    <row r="372">
      <c r="A372" s="6" t="n"/>
      <c r="B372" s="112">
        <f>IF($C372="","","T"&amp;TEXT(ROW()-6,"00000"))</f>
        <v/>
      </c>
      <c r="C372" s="107" t="n"/>
      <c r="D372" s="113">
        <f>IF($C372="","",IFERROR(INDEX(MUSTERILER!$C$7:$C$106,MATCH($C372,MUSTERILER!$B$7:$B$106,0)),"TANIMSIZ MÜŞTERİ"))</f>
        <v/>
      </c>
      <c r="E372" s="114" t="n"/>
      <c r="F372" s="115" t="n"/>
      <c r="G372" s="107" t="n"/>
      <c r="H372" s="107" t="n"/>
      <c r="I372" s="108" t="n"/>
      <c r="J372" s="108" t="n"/>
      <c r="K372" s="108" t="n"/>
      <c r="L372" s="119">
        <f>IF($E372="","",DATE(YEAR($E372),MONTH($E372),1))</f>
        <v/>
      </c>
      <c r="M372" s="112">
        <f>IF($C372="","",IF($D372="TANIMSIZ MÜŞTERİ","HATA",IF(OR($E372="",$F372&lt;=0,$G372=""),"EKSİK",IF($E372&gt;TODAY(),"İLERİ TARİH","UYGUN"))))</f>
        <v/>
      </c>
      <c r="N372" s="6" t="n"/>
      <c r="O372" s="6" t="n"/>
    </row>
    <row r="373">
      <c r="A373" s="6" t="n"/>
      <c r="B373" s="112">
        <f>IF($C373="","","T"&amp;TEXT(ROW()-6,"00000"))</f>
        <v/>
      </c>
      <c r="C373" s="107" t="n"/>
      <c r="D373" s="113">
        <f>IF($C373="","",IFERROR(INDEX(MUSTERILER!$C$7:$C$106,MATCH($C373,MUSTERILER!$B$7:$B$106,0)),"TANIMSIZ MÜŞTERİ"))</f>
        <v/>
      </c>
      <c r="E373" s="114" t="n"/>
      <c r="F373" s="115" t="n"/>
      <c r="G373" s="107" t="n"/>
      <c r="H373" s="107" t="n"/>
      <c r="I373" s="108" t="n"/>
      <c r="J373" s="108" t="n"/>
      <c r="K373" s="108" t="n"/>
      <c r="L373" s="119">
        <f>IF($E373="","",DATE(YEAR($E373),MONTH($E373),1))</f>
        <v/>
      </c>
      <c r="M373" s="112">
        <f>IF($C373="","",IF($D373="TANIMSIZ MÜŞTERİ","HATA",IF(OR($E373="",$F373&lt;=0,$G373=""),"EKSİK",IF($E373&gt;TODAY(),"İLERİ TARİH","UYGUN"))))</f>
        <v/>
      </c>
      <c r="N373" s="6" t="n"/>
      <c r="O373" s="6" t="n"/>
    </row>
    <row r="374">
      <c r="A374" s="6" t="n"/>
      <c r="B374" s="112">
        <f>IF($C374="","","T"&amp;TEXT(ROW()-6,"00000"))</f>
        <v/>
      </c>
      <c r="C374" s="107" t="n"/>
      <c r="D374" s="113">
        <f>IF($C374="","",IFERROR(INDEX(MUSTERILER!$C$7:$C$106,MATCH($C374,MUSTERILER!$B$7:$B$106,0)),"TANIMSIZ MÜŞTERİ"))</f>
        <v/>
      </c>
      <c r="E374" s="114" t="n"/>
      <c r="F374" s="115" t="n"/>
      <c r="G374" s="107" t="n"/>
      <c r="H374" s="107" t="n"/>
      <c r="I374" s="108" t="n"/>
      <c r="J374" s="108" t="n"/>
      <c r="K374" s="108" t="n"/>
      <c r="L374" s="119">
        <f>IF($E374="","",DATE(YEAR($E374),MONTH($E374),1))</f>
        <v/>
      </c>
      <c r="M374" s="112">
        <f>IF($C374="","",IF($D374="TANIMSIZ MÜŞTERİ","HATA",IF(OR($E374="",$F374&lt;=0,$G374=""),"EKSİK",IF($E374&gt;TODAY(),"İLERİ TARİH","UYGUN"))))</f>
        <v/>
      </c>
      <c r="N374" s="6" t="n"/>
      <c r="O374" s="6" t="n"/>
    </row>
    <row r="375">
      <c r="A375" s="6" t="n"/>
      <c r="B375" s="112">
        <f>IF($C375="","","T"&amp;TEXT(ROW()-6,"00000"))</f>
        <v/>
      </c>
      <c r="C375" s="107" t="n"/>
      <c r="D375" s="113">
        <f>IF($C375="","",IFERROR(INDEX(MUSTERILER!$C$7:$C$106,MATCH($C375,MUSTERILER!$B$7:$B$106,0)),"TANIMSIZ MÜŞTERİ"))</f>
        <v/>
      </c>
      <c r="E375" s="114" t="n"/>
      <c r="F375" s="115" t="n"/>
      <c r="G375" s="107" t="n"/>
      <c r="H375" s="107" t="n"/>
      <c r="I375" s="108" t="n"/>
      <c r="J375" s="108" t="n"/>
      <c r="K375" s="108" t="n"/>
      <c r="L375" s="119">
        <f>IF($E375="","",DATE(YEAR($E375),MONTH($E375),1))</f>
        <v/>
      </c>
      <c r="M375" s="112">
        <f>IF($C375="","",IF($D375="TANIMSIZ MÜŞTERİ","HATA",IF(OR($E375="",$F375&lt;=0,$G375=""),"EKSİK",IF($E375&gt;TODAY(),"İLERİ TARİH","UYGUN"))))</f>
        <v/>
      </c>
      <c r="N375" s="6" t="n"/>
      <c r="O375" s="6" t="n"/>
    </row>
    <row r="376">
      <c r="A376" s="6" t="n"/>
      <c r="B376" s="112">
        <f>IF($C376="","","T"&amp;TEXT(ROW()-6,"00000"))</f>
        <v/>
      </c>
      <c r="C376" s="107" t="n"/>
      <c r="D376" s="113">
        <f>IF($C376="","",IFERROR(INDEX(MUSTERILER!$C$7:$C$106,MATCH($C376,MUSTERILER!$B$7:$B$106,0)),"TANIMSIZ MÜŞTERİ"))</f>
        <v/>
      </c>
      <c r="E376" s="114" t="n"/>
      <c r="F376" s="115" t="n"/>
      <c r="G376" s="107" t="n"/>
      <c r="H376" s="107" t="n"/>
      <c r="I376" s="108" t="n"/>
      <c r="J376" s="108" t="n"/>
      <c r="K376" s="108" t="n"/>
      <c r="L376" s="119">
        <f>IF($E376="","",DATE(YEAR($E376),MONTH($E376),1))</f>
        <v/>
      </c>
      <c r="M376" s="112">
        <f>IF($C376="","",IF($D376="TANIMSIZ MÜŞTERİ","HATA",IF(OR($E376="",$F376&lt;=0,$G376=""),"EKSİK",IF($E376&gt;TODAY(),"İLERİ TARİH","UYGUN"))))</f>
        <v/>
      </c>
      <c r="N376" s="6" t="n"/>
      <c r="O376" s="6" t="n"/>
    </row>
    <row r="377">
      <c r="A377" s="6" t="n"/>
      <c r="B377" s="112">
        <f>IF($C377="","","T"&amp;TEXT(ROW()-6,"00000"))</f>
        <v/>
      </c>
      <c r="C377" s="107" t="n"/>
      <c r="D377" s="113">
        <f>IF($C377="","",IFERROR(INDEX(MUSTERILER!$C$7:$C$106,MATCH($C377,MUSTERILER!$B$7:$B$106,0)),"TANIMSIZ MÜŞTERİ"))</f>
        <v/>
      </c>
      <c r="E377" s="114" t="n"/>
      <c r="F377" s="115" t="n"/>
      <c r="G377" s="107" t="n"/>
      <c r="H377" s="107" t="n"/>
      <c r="I377" s="108" t="n"/>
      <c r="J377" s="108" t="n"/>
      <c r="K377" s="108" t="n"/>
      <c r="L377" s="119">
        <f>IF($E377="","",DATE(YEAR($E377),MONTH($E377),1))</f>
        <v/>
      </c>
      <c r="M377" s="112">
        <f>IF($C377="","",IF($D377="TANIMSIZ MÜŞTERİ","HATA",IF(OR($E377="",$F377&lt;=0,$G377=""),"EKSİK",IF($E377&gt;TODAY(),"İLERİ TARİH","UYGUN"))))</f>
        <v/>
      </c>
      <c r="N377" s="6" t="n"/>
      <c r="O377" s="6" t="n"/>
    </row>
    <row r="378">
      <c r="A378" s="6" t="n"/>
      <c r="B378" s="112">
        <f>IF($C378="","","T"&amp;TEXT(ROW()-6,"00000"))</f>
        <v/>
      </c>
      <c r="C378" s="107" t="n"/>
      <c r="D378" s="113">
        <f>IF($C378="","",IFERROR(INDEX(MUSTERILER!$C$7:$C$106,MATCH($C378,MUSTERILER!$B$7:$B$106,0)),"TANIMSIZ MÜŞTERİ"))</f>
        <v/>
      </c>
      <c r="E378" s="114" t="n"/>
      <c r="F378" s="115" t="n"/>
      <c r="G378" s="107" t="n"/>
      <c r="H378" s="107" t="n"/>
      <c r="I378" s="108" t="n"/>
      <c r="J378" s="108" t="n"/>
      <c r="K378" s="108" t="n"/>
      <c r="L378" s="119">
        <f>IF($E378="","",DATE(YEAR($E378),MONTH($E378),1))</f>
        <v/>
      </c>
      <c r="M378" s="112">
        <f>IF($C378="","",IF($D378="TANIMSIZ MÜŞTERİ","HATA",IF(OR($E378="",$F378&lt;=0,$G378=""),"EKSİK",IF($E378&gt;TODAY(),"İLERİ TARİH","UYGUN"))))</f>
        <v/>
      </c>
      <c r="N378" s="6" t="n"/>
      <c r="O378" s="6" t="n"/>
    </row>
    <row r="379">
      <c r="A379" s="6" t="n"/>
      <c r="B379" s="112">
        <f>IF($C379="","","T"&amp;TEXT(ROW()-6,"00000"))</f>
        <v/>
      </c>
      <c r="C379" s="107" t="n"/>
      <c r="D379" s="113">
        <f>IF($C379="","",IFERROR(INDEX(MUSTERILER!$C$7:$C$106,MATCH($C379,MUSTERILER!$B$7:$B$106,0)),"TANIMSIZ MÜŞTERİ"))</f>
        <v/>
      </c>
      <c r="E379" s="114" t="n"/>
      <c r="F379" s="115" t="n"/>
      <c r="G379" s="107" t="n"/>
      <c r="H379" s="107" t="n"/>
      <c r="I379" s="108" t="n"/>
      <c r="J379" s="108" t="n"/>
      <c r="K379" s="108" t="n"/>
      <c r="L379" s="119">
        <f>IF($E379="","",DATE(YEAR($E379),MONTH($E379),1))</f>
        <v/>
      </c>
      <c r="M379" s="112">
        <f>IF($C379="","",IF($D379="TANIMSIZ MÜŞTERİ","HATA",IF(OR($E379="",$F379&lt;=0,$G379=""),"EKSİK",IF($E379&gt;TODAY(),"İLERİ TARİH","UYGUN"))))</f>
        <v/>
      </c>
      <c r="N379" s="6" t="n"/>
      <c r="O379" s="6" t="n"/>
    </row>
    <row r="380">
      <c r="A380" s="6" t="n"/>
      <c r="B380" s="112">
        <f>IF($C380="","","T"&amp;TEXT(ROW()-6,"00000"))</f>
        <v/>
      </c>
      <c r="C380" s="107" t="n"/>
      <c r="D380" s="113">
        <f>IF($C380="","",IFERROR(INDEX(MUSTERILER!$C$7:$C$106,MATCH($C380,MUSTERILER!$B$7:$B$106,0)),"TANIMSIZ MÜŞTERİ"))</f>
        <v/>
      </c>
      <c r="E380" s="114" t="n"/>
      <c r="F380" s="115" t="n"/>
      <c r="G380" s="107" t="n"/>
      <c r="H380" s="107" t="n"/>
      <c r="I380" s="108" t="n"/>
      <c r="J380" s="108" t="n"/>
      <c r="K380" s="108" t="n"/>
      <c r="L380" s="119">
        <f>IF($E380="","",DATE(YEAR($E380),MONTH($E380),1))</f>
        <v/>
      </c>
      <c r="M380" s="112">
        <f>IF($C380="","",IF($D380="TANIMSIZ MÜŞTERİ","HATA",IF(OR($E380="",$F380&lt;=0,$G380=""),"EKSİK",IF($E380&gt;TODAY(),"İLERİ TARİH","UYGUN"))))</f>
        <v/>
      </c>
      <c r="N380" s="6" t="n"/>
      <c r="O380" s="6" t="n"/>
    </row>
    <row r="381">
      <c r="A381" s="6" t="n"/>
      <c r="B381" s="112">
        <f>IF($C381="","","T"&amp;TEXT(ROW()-6,"00000"))</f>
        <v/>
      </c>
      <c r="C381" s="107" t="n"/>
      <c r="D381" s="113">
        <f>IF($C381="","",IFERROR(INDEX(MUSTERILER!$C$7:$C$106,MATCH($C381,MUSTERILER!$B$7:$B$106,0)),"TANIMSIZ MÜŞTERİ"))</f>
        <v/>
      </c>
      <c r="E381" s="114" t="n"/>
      <c r="F381" s="115" t="n"/>
      <c r="G381" s="107" t="n"/>
      <c r="H381" s="107" t="n"/>
      <c r="I381" s="108" t="n"/>
      <c r="J381" s="108" t="n"/>
      <c r="K381" s="108" t="n"/>
      <c r="L381" s="119">
        <f>IF($E381="","",DATE(YEAR($E381),MONTH($E381),1))</f>
        <v/>
      </c>
      <c r="M381" s="112">
        <f>IF($C381="","",IF($D381="TANIMSIZ MÜŞTERİ","HATA",IF(OR($E381="",$F381&lt;=0,$G381=""),"EKSİK",IF($E381&gt;TODAY(),"İLERİ TARİH","UYGUN"))))</f>
        <v/>
      </c>
      <c r="N381" s="6" t="n"/>
      <c r="O381" s="6" t="n"/>
    </row>
    <row r="382">
      <c r="A382" s="6" t="n"/>
      <c r="B382" s="112">
        <f>IF($C382="","","T"&amp;TEXT(ROW()-6,"00000"))</f>
        <v/>
      </c>
      <c r="C382" s="107" t="n"/>
      <c r="D382" s="113">
        <f>IF($C382="","",IFERROR(INDEX(MUSTERILER!$C$7:$C$106,MATCH($C382,MUSTERILER!$B$7:$B$106,0)),"TANIMSIZ MÜŞTERİ"))</f>
        <v/>
      </c>
      <c r="E382" s="114" t="n"/>
      <c r="F382" s="115" t="n"/>
      <c r="G382" s="107" t="n"/>
      <c r="H382" s="107" t="n"/>
      <c r="I382" s="108" t="n"/>
      <c r="J382" s="108" t="n"/>
      <c r="K382" s="108" t="n"/>
      <c r="L382" s="119">
        <f>IF($E382="","",DATE(YEAR($E382),MONTH($E382),1))</f>
        <v/>
      </c>
      <c r="M382" s="112">
        <f>IF($C382="","",IF($D382="TANIMSIZ MÜŞTERİ","HATA",IF(OR($E382="",$F382&lt;=0,$G382=""),"EKSİK",IF($E382&gt;TODAY(),"İLERİ TARİH","UYGUN"))))</f>
        <v/>
      </c>
      <c r="N382" s="6" t="n"/>
      <c r="O382" s="6" t="n"/>
    </row>
    <row r="383">
      <c r="A383" s="6" t="n"/>
      <c r="B383" s="112">
        <f>IF($C383="","","T"&amp;TEXT(ROW()-6,"00000"))</f>
        <v/>
      </c>
      <c r="C383" s="107" t="n"/>
      <c r="D383" s="113">
        <f>IF($C383="","",IFERROR(INDEX(MUSTERILER!$C$7:$C$106,MATCH($C383,MUSTERILER!$B$7:$B$106,0)),"TANIMSIZ MÜŞTERİ"))</f>
        <v/>
      </c>
      <c r="E383" s="114" t="n"/>
      <c r="F383" s="115" t="n"/>
      <c r="G383" s="107" t="n"/>
      <c r="H383" s="107" t="n"/>
      <c r="I383" s="108" t="n"/>
      <c r="J383" s="108" t="n"/>
      <c r="K383" s="108" t="n"/>
      <c r="L383" s="119">
        <f>IF($E383="","",DATE(YEAR($E383),MONTH($E383),1))</f>
        <v/>
      </c>
      <c r="M383" s="112">
        <f>IF($C383="","",IF($D383="TANIMSIZ MÜŞTERİ","HATA",IF(OR($E383="",$F383&lt;=0,$G383=""),"EKSİK",IF($E383&gt;TODAY(),"İLERİ TARİH","UYGUN"))))</f>
        <v/>
      </c>
      <c r="N383" s="6" t="n"/>
      <c r="O383" s="6" t="n"/>
    </row>
    <row r="384">
      <c r="A384" s="6" t="n"/>
      <c r="B384" s="112">
        <f>IF($C384="","","T"&amp;TEXT(ROW()-6,"00000"))</f>
        <v/>
      </c>
      <c r="C384" s="107" t="n"/>
      <c r="D384" s="113">
        <f>IF($C384="","",IFERROR(INDEX(MUSTERILER!$C$7:$C$106,MATCH($C384,MUSTERILER!$B$7:$B$106,0)),"TANIMSIZ MÜŞTERİ"))</f>
        <v/>
      </c>
      <c r="E384" s="114" t="n"/>
      <c r="F384" s="115" t="n"/>
      <c r="G384" s="107" t="n"/>
      <c r="H384" s="107" t="n"/>
      <c r="I384" s="108" t="n"/>
      <c r="J384" s="108" t="n"/>
      <c r="K384" s="108" t="n"/>
      <c r="L384" s="119">
        <f>IF($E384="","",DATE(YEAR($E384),MONTH($E384),1))</f>
        <v/>
      </c>
      <c r="M384" s="112">
        <f>IF($C384="","",IF($D384="TANIMSIZ MÜŞTERİ","HATA",IF(OR($E384="",$F384&lt;=0,$G384=""),"EKSİK",IF($E384&gt;TODAY(),"İLERİ TARİH","UYGUN"))))</f>
        <v/>
      </c>
      <c r="N384" s="6" t="n"/>
      <c r="O384" s="6" t="n"/>
    </row>
    <row r="385">
      <c r="A385" s="6" t="n"/>
      <c r="B385" s="112">
        <f>IF($C385="","","T"&amp;TEXT(ROW()-6,"00000"))</f>
        <v/>
      </c>
      <c r="C385" s="107" t="n"/>
      <c r="D385" s="113">
        <f>IF($C385="","",IFERROR(INDEX(MUSTERILER!$C$7:$C$106,MATCH($C385,MUSTERILER!$B$7:$B$106,0)),"TANIMSIZ MÜŞTERİ"))</f>
        <v/>
      </c>
      <c r="E385" s="114" t="n"/>
      <c r="F385" s="115" t="n"/>
      <c r="G385" s="107" t="n"/>
      <c r="H385" s="107" t="n"/>
      <c r="I385" s="108" t="n"/>
      <c r="J385" s="108" t="n"/>
      <c r="K385" s="108" t="n"/>
      <c r="L385" s="119">
        <f>IF($E385="","",DATE(YEAR($E385),MONTH($E385),1))</f>
        <v/>
      </c>
      <c r="M385" s="112">
        <f>IF($C385="","",IF($D385="TANIMSIZ MÜŞTERİ","HATA",IF(OR($E385="",$F385&lt;=0,$G385=""),"EKSİK",IF($E385&gt;TODAY(),"İLERİ TARİH","UYGUN"))))</f>
        <v/>
      </c>
      <c r="N385" s="6" t="n"/>
      <c r="O385" s="6" t="n"/>
    </row>
    <row r="386">
      <c r="A386" s="6" t="n"/>
      <c r="B386" s="112">
        <f>IF($C386="","","T"&amp;TEXT(ROW()-6,"00000"))</f>
        <v/>
      </c>
      <c r="C386" s="107" t="n"/>
      <c r="D386" s="113">
        <f>IF($C386="","",IFERROR(INDEX(MUSTERILER!$C$7:$C$106,MATCH($C386,MUSTERILER!$B$7:$B$106,0)),"TANIMSIZ MÜŞTERİ"))</f>
        <v/>
      </c>
      <c r="E386" s="114" t="n"/>
      <c r="F386" s="115" t="n"/>
      <c r="G386" s="107" t="n"/>
      <c r="H386" s="107" t="n"/>
      <c r="I386" s="108" t="n"/>
      <c r="J386" s="108" t="n"/>
      <c r="K386" s="108" t="n"/>
      <c r="L386" s="119">
        <f>IF($E386="","",DATE(YEAR($E386),MONTH($E386),1))</f>
        <v/>
      </c>
      <c r="M386" s="112">
        <f>IF($C386="","",IF($D386="TANIMSIZ MÜŞTERİ","HATA",IF(OR($E386="",$F386&lt;=0,$G386=""),"EKSİK",IF($E386&gt;TODAY(),"İLERİ TARİH","UYGUN"))))</f>
        <v/>
      </c>
      <c r="N386" s="6" t="n"/>
      <c r="O386" s="6" t="n"/>
    </row>
    <row r="387">
      <c r="A387" s="6" t="n"/>
      <c r="B387" s="112">
        <f>IF($C387="","","T"&amp;TEXT(ROW()-6,"00000"))</f>
        <v/>
      </c>
      <c r="C387" s="107" t="n"/>
      <c r="D387" s="113">
        <f>IF($C387="","",IFERROR(INDEX(MUSTERILER!$C$7:$C$106,MATCH($C387,MUSTERILER!$B$7:$B$106,0)),"TANIMSIZ MÜŞTERİ"))</f>
        <v/>
      </c>
      <c r="E387" s="114" t="n"/>
      <c r="F387" s="115" t="n"/>
      <c r="G387" s="107" t="n"/>
      <c r="H387" s="107" t="n"/>
      <c r="I387" s="108" t="n"/>
      <c r="J387" s="108" t="n"/>
      <c r="K387" s="108" t="n"/>
      <c r="L387" s="119">
        <f>IF($E387="","",DATE(YEAR($E387),MONTH($E387),1))</f>
        <v/>
      </c>
      <c r="M387" s="112">
        <f>IF($C387="","",IF($D387="TANIMSIZ MÜŞTERİ","HATA",IF(OR($E387="",$F387&lt;=0,$G387=""),"EKSİK",IF($E387&gt;TODAY(),"İLERİ TARİH","UYGUN"))))</f>
        <v/>
      </c>
      <c r="N387" s="6" t="n"/>
      <c r="O387" s="6" t="n"/>
    </row>
    <row r="388">
      <c r="A388" s="6" t="n"/>
      <c r="B388" s="112">
        <f>IF($C388="","","T"&amp;TEXT(ROW()-6,"00000"))</f>
        <v/>
      </c>
      <c r="C388" s="107" t="n"/>
      <c r="D388" s="113">
        <f>IF($C388="","",IFERROR(INDEX(MUSTERILER!$C$7:$C$106,MATCH($C388,MUSTERILER!$B$7:$B$106,0)),"TANIMSIZ MÜŞTERİ"))</f>
        <v/>
      </c>
      <c r="E388" s="114" t="n"/>
      <c r="F388" s="115" t="n"/>
      <c r="G388" s="107" t="n"/>
      <c r="H388" s="107" t="n"/>
      <c r="I388" s="108" t="n"/>
      <c r="J388" s="108" t="n"/>
      <c r="K388" s="108" t="n"/>
      <c r="L388" s="119">
        <f>IF($E388="","",DATE(YEAR($E388),MONTH($E388),1))</f>
        <v/>
      </c>
      <c r="M388" s="112">
        <f>IF($C388="","",IF($D388="TANIMSIZ MÜŞTERİ","HATA",IF(OR($E388="",$F388&lt;=0,$G388=""),"EKSİK",IF($E388&gt;TODAY(),"İLERİ TARİH","UYGUN"))))</f>
        <v/>
      </c>
      <c r="N388" s="6" t="n"/>
      <c r="O388" s="6" t="n"/>
    </row>
    <row r="389">
      <c r="A389" s="6" t="n"/>
      <c r="B389" s="112">
        <f>IF($C389="","","T"&amp;TEXT(ROW()-6,"00000"))</f>
        <v/>
      </c>
      <c r="C389" s="107" t="n"/>
      <c r="D389" s="113">
        <f>IF($C389="","",IFERROR(INDEX(MUSTERILER!$C$7:$C$106,MATCH($C389,MUSTERILER!$B$7:$B$106,0)),"TANIMSIZ MÜŞTERİ"))</f>
        <v/>
      </c>
      <c r="E389" s="114" t="n"/>
      <c r="F389" s="115" t="n"/>
      <c r="G389" s="107" t="n"/>
      <c r="H389" s="107" t="n"/>
      <c r="I389" s="108" t="n"/>
      <c r="J389" s="108" t="n"/>
      <c r="K389" s="108" t="n"/>
      <c r="L389" s="119">
        <f>IF($E389="","",DATE(YEAR($E389),MONTH($E389),1))</f>
        <v/>
      </c>
      <c r="M389" s="112">
        <f>IF($C389="","",IF($D389="TANIMSIZ MÜŞTERİ","HATA",IF(OR($E389="",$F389&lt;=0,$G389=""),"EKSİK",IF($E389&gt;TODAY(),"İLERİ TARİH","UYGUN"))))</f>
        <v/>
      </c>
      <c r="N389" s="6" t="n"/>
      <c r="O389" s="6" t="n"/>
    </row>
    <row r="390">
      <c r="A390" s="6" t="n"/>
      <c r="B390" s="112">
        <f>IF($C390="","","T"&amp;TEXT(ROW()-6,"00000"))</f>
        <v/>
      </c>
      <c r="C390" s="107" t="n"/>
      <c r="D390" s="113">
        <f>IF($C390="","",IFERROR(INDEX(MUSTERILER!$C$7:$C$106,MATCH($C390,MUSTERILER!$B$7:$B$106,0)),"TANIMSIZ MÜŞTERİ"))</f>
        <v/>
      </c>
      <c r="E390" s="114" t="n"/>
      <c r="F390" s="115" t="n"/>
      <c r="G390" s="107" t="n"/>
      <c r="H390" s="107" t="n"/>
      <c r="I390" s="108" t="n"/>
      <c r="J390" s="108" t="n"/>
      <c r="K390" s="108" t="n"/>
      <c r="L390" s="119">
        <f>IF($E390="","",DATE(YEAR($E390),MONTH($E390),1))</f>
        <v/>
      </c>
      <c r="M390" s="112">
        <f>IF($C390="","",IF($D390="TANIMSIZ MÜŞTERİ","HATA",IF(OR($E390="",$F390&lt;=0,$G390=""),"EKSİK",IF($E390&gt;TODAY(),"İLERİ TARİH","UYGUN"))))</f>
        <v/>
      </c>
      <c r="N390" s="6" t="n"/>
      <c r="O390" s="6" t="n"/>
    </row>
    <row r="391">
      <c r="A391" s="6" t="n"/>
      <c r="B391" s="112">
        <f>IF($C391="","","T"&amp;TEXT(ROW()-6,"00000"))</f>
        <v/>
      </c>
      <c r="C391" s="107" t="n"/>
      <c r="D391" s="113">
        <f>IF($C391="","",IFERROR(INDEX(MUSTERILER!$C$7:$C$106,MATCH($C391,MUSTERILER!$B$7:$B$106,0)),"TANIMSIZ MÜŞTERİ"))</f>
        <v/>
      </c>
      <c r="E391" s="114" t="n"/>
      <c r="F391" s="115" t="n"/>
      <c r="G391" s="107" t="n"/>
      <c r="H391" s="107" t="n"/>
      <c r="I391" s="108" t="n"/>
      <c r="J391" s="108" t="n"/>
      <c r="K391" s="108" t="n"/>
      <c r="L391" s="119">
        <f>IF($E391="","",DATE(YEAR($E391),MONTH($E391),1))</f>
        <v/>
      </c>
      <c r="M391" s="112">
        <f>IF($C391="","",IF($D391="TANIMSIZ MÜŞTERİ","HATA",IF(OR($E391="",$F391&lt;=0,$G391=""),"EKSİK",IF($E391&gt;TODAY(),"İLERİ TARİH","UYGUN"))))</f>
        <v/>
      </c>
      <c r="N391" s="6" t="n"/>
      <c r="O391" s="6" t="n"/>
    </row>
    <row r="392">
      <c r="A392" s="6" t="n"/>
      <c r="B392" s="112">
        <f>IF($C392="","","T"&amp;TEXT(ROW()-6,"00000"))</f>
        <v/>
      </c>
      <c r="C392" s="107" t="n"/>
      <c r="D392" s="113">
        <f>IF($C392="","",IFERROR(INDEX(MUSTERILER!$C$7:$C$106,MATCH($C392,MUSTERILER!$B$7:$B$106,0)),"TANIMSIZ MÜŞTERİ"))</f>
        <v/>
      </c>
      <c r="E392" s="114" t="n"/>
      <c r="F392" s="115" t="n"/>
      <c r="G392" s="107" t="n"/>
      <c r="H392" s="107" t="n"/>
      <c r="I392" s="108" t="n"/>
      <c r="J392" s="108" t="n"/>
      <c r="K392" s="108" t="n"/>
      <c r="L392" s="119">
        <f>IF($E392="","",DATE(YEAR($E392),MONTH($E392),1))</f>
        <v/>
      </c>
      <c r="M392" s="112">
        <f>IF($C392="","",IF($D392="TANIMSIZ MÜŞTERİ","HATA",IF(OR($E392="",$F392&lt;=0,$G392=""),"EKSİK",IF($E392&gt;TODAY(),"İLERİ TARİH","UYGUN"))))</f>
        <v/>
      </c>
      <c r="N392" s="6" t="n"/>
      <c r="O392" s="6" t="n"/>
    </row>
    <row r="393">
      <c r="A393" s="6" t="n"/>
      <c r="B393" s="112">
        <f>IF($C393="","","T"&amp;TEXT(ROW()-6,"00000"))</f>
        <v/>
      </c>
      <c r="C393" s="107" t="n"/>
      <c r="D393" s="113">
        <f>IF($C393="","",IFERROR(INDEX(MUSTERILER!$C$7:$C$106,MATCH($C393,MUSTERILER!$B$7:$B$106,0)),"TANIMSIZ MÜŞTERİ"))</f>
        <v/>
      </c>
      <c r="E393" s="114" t="n"/>
      <c r="F393" s="115" t="n"/>
      <c r="G393" s="107" t="n"/>
      <c r="H393" s="107" t="n"/>
      <c r="I393" s="108" t="n"/>
      <c r="J393" s="108" t="n"/>
      <c r="K393" s="108" t="n"/>
      <c r="L393" s="119">
        <f>IF($E393="","",DATE(YEAR($E393),MONTH($E393),1))</f>
        <v/>
      </c>
      <c r="M393" s="112">
        <f>IF($C393="","",IF($D393="TANIMSIZ MÜŞTERİ","HATA",IF(OR($E393="",$F393&lt;=0,$G393=""),"EKSİK",IF($E393&gt;TODAY(),"İLERİ TARİH","UYGUN"))))</f>
        <v/>
      </c>
      <c r="N393" s="6" t="n"/>
      <c r="O393" s="6" t="n"/>
    </row>
    <row r="394">
      <c r="A394" s="6" t="n"/>
      <c r="B394" s="112">
        <f>IF($C394="","","T"&amp;TEXT(ROW()-6,"00000"))</f>
        <v/>
      </c>
      <c r="C394" s="107" t="n"/>
      <c r="D394" s="113">
        <f>IF($C394="","",IFERROR(INDEX(MUSTERILER!$C$7:$C$106,MATCH($C394,MUSTERILER!$B$7:$B$106,0)),"TANIMSIZ MÜŞTERİ"))</f>
        <v/>
      </c>
      <c r="E394" s="114" t="n"/>
      <c r="F394" s="115" t="n"/>
      <c r="G394" s="107" t="n"/>
      <c r="H394" s="107" t="n"/>
      <c r="I394" s="108" t="n"/>
      <c r="J394" s="108" t="n"/>
      <c r="K394" s="108" t="n"/>
      <c r="L394" s="119">
        <f>IF($E394="","",DATE(YEAR($E394),MONTH($E394),1))</f>
        <v/>
      </c>
      <c r="M394" s="112">
        <f>IF($C394="","",IF($D394="TANIMSIZ MÜŞTERİ","HATA",IF(OR($E394="",$F394&lt;=0,$G394=""),"EKSİK",IF($E394&gt;TODAY(),"İLERİ TARİH","UYGUN"))))</f>
        <v/>
      </c>
      <c r="N394" s="6" t="n"/>
      <c r="O394" s="6" t="n"/>
    </row>
    <row r="395">
      <c r="A395" s="6" t="n"/>
      <c r="B395" s="112">
        <f>IF($C395="","","T"&amp;TEXT(ROW()-6,"00000"))</f>
        <v/>
      </c>
      <c r="C395" s="107" t="n"/>
      <c r="D395" s="113">
        <f>IF($C395="","",IFERROR(INDEX(MUSTERILER!$C$7:$C$106,MATCH($C395,MUSTERILER!$B$7:$B$106,0)),"TANIMSIZ MÜŞTERİ"))</f>
        <v/>
      </c>
      <c r="E395" s="114" t="n"/>
      <c r="F395" s="115" t="n"/>
      <c r="G395" s="107" t="n"/>
      <c r="H395" s="107" t="n"/>
      <c r="I395" s="108" t="n"/>
      <c r="J395" s="108" t="n"/>
      <c r="K395" s="108" t="n"/>
      <c r="L395" s="119">
        <f>IF($E395="","",DATE(YEAR($E395),MONTH($E395),1))</f>
        <v/>
      </c>
      <c r="M395" s="112">
        <f>IF($C395="","",IF($D395="TANIMSIZ MÜŞTERİ","HATA",IF(OR($E395="",$F395&lt;=0,$G395=""),"EKSİK",IF($E395&gt;TODAY(),"İLERİ TARİH","UYGUN"))))</f>
        <v/>
      </c>
      <c r="N395" s="6" t="n"/>
      <c r="O395" s="6" t="n"/>
    </row>
    <row r="396">
      <c r="A396" s="6" t="n"/>
      <c r="B396" s="112">
        <f>IF($C396="","","T"&amp;TEXT(ROW()-6,"00000"))</f>
        <v/>
      </c>
      <c r="C396" s="107" t="n"/>
      <c r="D396" s="113">
        <f>IF($C396="","",IFERROR(INDEX(MUSTERILER!$C$7:$C$106,MATCH($C396,MUSTERILER!$B$7:$B$106,0)),"TANIMSIZ MÜŞTERİ"))</f>
        <v/>
      </c>
      <c r="E396" s="114" t="n"/>
      <c r="F396" s="115" t="n"/>
      <c r="G396" s="107" t="n"/>
      <c r="H396" s="107" t="n"/>
      <c r="I396" s="108" t="n"/>
      <c r="J396" s="108" t="n"/>
      <c r="K396" s="108" t="n"/>
      <c r="L396" s="119">
        <f>IF($E396="","",DATE(YEAR($E396),MONTH($E396),1))</f>
        <v/>
      </c>
      <c r="M396" s="112">
        <f>IF($C396="","",IF($D396="TANIMSIZ MÜŞTERİ","HATA",IF(OR($E396="",$F396&lt;=0,$G396=""),"EKSİK",IF($E396&gt;TODAY(),"İLERİ TARİH","UYGUN"))))</f>
        <v/>
      </c>
      <c r="N396" s="6" t="n"/>
      <c r="O396" s="6" t="n"/>
    </row>
    <row r="397">
      <c r="A397" s="6" t="n"/>
      <c r="B397" s="112">
        <f>IF($C397="","","T"&amp;TEXT(ROW()-6,"00000"))</f>
        <v/>
      </c>
      <c r="C397" s="107" t="n"/>
      <c r="D397" s="113">
        <f>IF($C397="","",IFERROR(INDEX(MUSTERILER!$C$7:$C$106,MATCH($C397,MUSTERILER!$B$7:$B$106,0)),"TANIMSIZ MÜŞTERİ"))</f>
        <v/>
      </c>
      <c r="E397" s="114" t="n"/>
      <c r="F397" s="115" t="n"/>
      <c r="G397" s="107" t="n"/>
      <c r="H397" s="107" t="n"/>
      <c r="I397" s="108" t="n"/>
      <c r="J397" s="108" t="n"/>
      <c r="K397" s="108" t="n"/>
      <c r="L397" s="119">
        <f>IF($E397="","",DATE(YEAR($E397),MONTH($E397),1))</f>
        <v/>
      </c>
      <c r="M397" s="112">
        <f>IF($C397="","",IF($D397="TANIMSIZ MÜŞTERİ","HATA",IF(OR($E397="",$F397&lt;=0,$G397=""),"EKSİK",IF($E397&gt;TODAY(),"İLERİ TARİH","UYGUN"))))</f>
        <v/>
      </c>
      <c r="N397" s="6" t="n"/>
      <c r="O397" s="6" t="n"/>
    </row>
    <row r="398">
      <c r="A398" s="6" t="n"/>
      <c r="B398" s="112">
        <f>IF($C398="","","T"&amp;TEXT(ROW()-6,"00000"))</f>
        <v/>
      </c>
      <c r="C398" s="107" t="n"/>
      <c r="D398" s="113">
        <f>IF($C398="","",IFERROR(INDEX(MUSTERILER!$C$7:$C$106,MATCH($C398,MUSTERILER!$B$7:$B$106,0)),"TANIMSIZ MÜŞTERİ"))</f>
        <v/>
      </c>
      <c r="E398" s="114" t="n"/>
      <c r="F398" s="115" t="n"/>
      <c r="G398" s="107" t="n"/>
      <c r="H398" s="107" t="n"/>
      <c r="I398" s="108" t="n"/>
      <c r="J398" s="108" t="n"/>
      <c r="K398" s="108" t="n"/>
      <c r="L398" s="119">
        <f>IF($E398="","",DATE(YEAR($E398),MONTH($E398),1))</f>
        <v/>
      </c>
      <c r="M398" s="112">
        <f>IF($C398="","",IF($D398="TANIMSIZ MÜŞTERİ","HATA",IF(OR($E398="",$F398&lt;=0,$G398=""),"EKSİK",IF($E398&gt;TODAY(),"İLERİ TARİH","UYGUN"))))</f>
        <v/>
      </c>
      <c r="N398" s="6" t="n"/>
      <c r="O398" s="6" t="n"/>
    </row>
    <row r="399">
      <c r="A399" s="6" t="n"/>
      <c r="B399" s="112">
        <f>IF($C399="","","T"&amp;TEXT(ROW()-6,"00000"))</f>
        <v/>
      </c>
      <c r="C399" s="107" t="n"/>
      <c r="D399" s="113">
        <f>IF($C399="","",IFERROR(INDEX(MUSTERILER!$C$7:$C$106,MATCH($C399,MUSTERILER!$B$7:$B$106,0)),"TANIMSIZ MÜŞTERİ"))</f>
        <v/>
      </c>
      <c r="E399" s="114" t="n"/>
      <c r="F399" s="115" t="n"/>
      <c r="G399" s="107" t="n"/>
      <c r="H399" s="107" t="n"/>
      <c r="I399" s="108" t="n"/>
      <c r="J399" s="108" t="n"/>
      <c r="K399" s="108" t="n"/>
      <c r="L399" s="119">
        <f>IF($E399="","",DATE(YEAR($E399),MONTH($E399),1))</f>
        <v/>
      </c>
      <c r="M399" s="112">
        <f>IF($C399="","",IF($D399="TANIMSIZ MÜŞTERİ","HATA",IF(OR($E399="",$F399&lt;=0,$G399=""),"EKSİK",IF($E399&gt;TODAY(),"İLERİ TARİH","UYGUN"))))</f>
        <v/>
      </c>
      <c r="N399" s="6" t="n"/>
      <c r="O399" s="6" t="n"/>
    </row>
    <row r="400">
      <c r="A400" s="6" t="n"/>
      <c r="B400" s="112">
        <f>IF($C400="","","T"&amp;TEXT(ROW()-6,"00000"))</f>
        <v/>
      </c>
      <c r="C400" s="107" t="n"/>
      <c r="D400" s="113">
        <f>IF($C400="","",IFERROR(INDEX(MUSTERILER!$C$7:$C$106,MATCH($C400,MUSTERILER!$B$7:$B$106,0)),"TANIMSIZ MÜŞTERİ"))</f>
        <v/>
      </c>
      <c r="E400" s="114" t="n"/>
      <c r="F400" s="115" t="n"/>
      <c r="G400" s="107" t="n"/>
      <c r="H400" s="107" t="n"/>
      <c r="I400" s="108" t="n"/>
      <c r="J400" s="108" t="n"/>
      <c r="K400" s="108" t="n"/>
      <c r="L400" s="119">
        <f>IF($E400="","",DATE(YEAR($E400),MONTH($E400),1))</f>
        <v/>
      </c>
      <c r="M400" s="112">
        <f>IF($C400="","",IF($D400="TANIMSIZ MÜŞTERİ","HATA",IF(OR($E400="",$F400&lt;=0,$G400=""),"EKSİK",IF($E400&gt;TODAY(),"İLERİ TARİH","UYGUN"))))</f>
        <v/>
      </c>
      <c r="N400" s="6" t="n"/>
      <c r="O400" s="6" t="n"/>
    </row>
    <row r="401">
      <c r="A401" s="6" t="n"/>
      <c r="B401" s="112">
        <f>IF($C401="","","T"&amp;TEXT(ROW()-6,"00000"))</f>
        <v/>
      </c>
      <c r="C401" s="107" t="n"/>
      <c r="D401" s="113">
        <f>IF($C401="","",IFERROR(INDEX(MUSTERILER!$C$7:$C$106,MATCH($C401,MUSTERILER!$B$7:$B$106,0)),"TANIMSIZ MÜŞTERİ"))</f>
        <v/>
      </c>
      <c r="E401" s="114" t="n"/>
      <c r="F401" s="115" t="n"/>
      <c r="G401" s="107" t="n"/>
      <c r="H401" s="107" t="n"/>
      <c r="I401" s="108" t="n"/>
      <c r="J401" s="108" t="n"/>
      <c r="K401" s="108" t="n"/>
      <c r="L401" s="119">
        <f>IF($E401="","",DATE(YEAR($E401),MONTH($E401),1))</f>
        <v/>
      </c>
      <c r="M401" s="112">
        <f>IF($C401="","",IF($D401="TANIMSIZ MÜŞTERİ","HATA",IF(OR($E401="",$F401&lt;=0,$G401=""),"EKSİK",IF($E401&gt;TODAY(),"İLERİ TARİH","UYGUN"))))</f>
        <v/>
      </c>
      <c r="N401" s="6" t="n"/>
      <c r="O401" s="6" t="n"/>
    </row>
    <row r="402">
      <c r="A402" s="6" t="n"/>
      <c r="B402" s="112">
        <f>IF($C402="","","T"&amp;TEXT(ROW()-6,"00000"))</f>
        <v/>
      </c>
      <c r="C402" s="107" t="n"/>
      <c r="D402" s="113">
        <f>IF($C402="","",IFERROR(INDEX(MUSTERILER!$C$7:$C$106,MATCH($C402,MUSTERILER!$B$7:$B$106,0)),"TANIMSIZ MÜŞTERİ"))</f>
        <v/>
      </c>
      <c r="E402" s="114" t="n"/>
      <c r="F402" s="115" t="n"/>
      <c r="G402" s="107" t="n"/>
      <c r="H402" s="107" t="n"/>
      <c r="I402" s="108" t="n"/>
      <c r="J402" s="108" t="n"/>
      <c r="K402" s="108" t="n"/>
      <c r="L402" s="119">
        <f>IF($E402="","",DATE(YEAR($E402),MONTH($E402),1))</f>
        <v/>
      </c>
      <c r="M402" s="112">
        <f>IF($C402="","",IF($D402="TANIMSIZ MÜŞTERİ","HATA",IF(OR($E402="",$F402&lt;=0,$G402=""),"EKSİK",IF($E402&gt;TODAY(),"İLERİ TARİH","UYGUN"))))</f>
        <v/>
      </c>
      <c r="N402" s="6" t="n"/>
      <c r="O402" s="6" t="n"/>
    </row>
    <row r="403">
      <c r="A403" s="6" t="n"/>
      <c r="B403" s="112">
        <f>IF($C403="","","T"&amp;TEXT(ROW()-6,"00000"))</f>
        <v/>
      </c>
      <c r="C403" s="107" t="n"/>
      <c r="D403" s="113">
        <f>IF($C403="","",IFERROR(INDEX(MUSTERILER!$C$7:$C$106,MATCH($C403,MUSTERILER!$B$7:$B$106,0)),"TANIMSIZ MÜŞTERİ"))</f>
        <v/>
      </c>
      <c r="E403" s="114" t="n"/>
      <c r="F403" s="115" t="n"/>
      <c r="G403" s="107" t="n"/>
      <c r="H403" s="107" t="n"/>
      <c r="I403" s="108" t="n"/>
      <c r="J403" s="108" t="n"/>
      <c r="K403" s="108" t="n"/>
      <c r="L403" s="119">
        <f>IF($E403="","",DATE(YEAR($E403),MONTH($E403),1))</f>
        <v/>
      </c>
      <c r="M403" s="112">
        <f>IF($C403="","",IF($D403="TANIMSIZ MÜŞTERİ","HATA",IF(OR($E403="",$F403&lt;=0,$G403=""),"EKSİK",IF($E403&gt;TODAY(),"İLERİ TARİH","UYGUN"))))</f>
        <v/>
      </c>
      <c r="N403" s="6" t="n"/>
      <c r="O403" s="6" t="n"/>
    </row>
    <row r="404">
      <c r="A404" s="6" t="n"/>
      <c r="B404" s="112">
        <f>IF($C404="","","T"&amp;TEXT(ROW()-6,"00000"))</f>
        <v/>
      </c>
      <c r="C404" s="107" t="n"/>
      <c r="D404" s="113">
        <f>IF($C404="","",IFERROR(INDEX(MUSTERILER!$C$7:$C$106,MATCH($C404,MUSTERILER!$B$7:$B$106,0)),"TANIMSIZ MÜŞTERİ"))</f>
        <v/>
      </c>
      <c r="E404" s="114" t="n"/>
      <c r="F404" s="115" t="n"/>
      <c r="G404" s="107" t="n"/>
      <c r="H404" s="107" t="n"/>
      <c r="I404" s="108" t="n"/>
      <c r="J404" s="108" t="n"/>
      <c r="K404" s="108" t="n"/>
      <c r="L404" s="119">
        <f>IF($E404="","",DATE(YEAR($E404),MONTH($E404),1))</f>
        <v/>
      </c>
      <c r="M404" s="112">
        <f>IF($C404="","",IF($D404="TANIMSIZ MÜŞTERİ","HATA",IF(OR($E404="",$F404&lt;=0,$G404=""),"EKSİK",IF($E404&gt;TODAY(),"İLERİ TARİH","UYGUN"))))</f>
        <v/>
      </c>
      <c r="N404" s="6" t="n"/>
      <c r="O404" s="6" t="n"/>
    </row>
    <row r="405">
      <c r="A405" s="6" t="n"/>
      <c r="B405" s="112">
        <f>IF($C405="","","T"&amp;TEXT(ROW()-6,"00000"))</f>
        <v/>
      </c>
      <c r="C405" s="107" t="n"/>
      <c r="D405" s="113">
        <f>IF($C405="","",IFERROR(INDEX(MUSTERILER!$C$7:$C$106,MATCH($C405,MUSTERILER!$B$7:$B$106,0)),"TANIMSIZ MÜŞTERİ"))</f>
        <v/>
      </c>
      <c r="E405" s="114" t="n"/>
      <c r="F405" s="115" t="n"/>
      <c r="G405" s="107" t="n"/>
      <c r="H405" s="107" t="n"/>
      <c r="I405" s="108" t="n"/>
      <c r="J405" s="108" t="n"/>
      <c r="K405" s="108" t="n"/>
      <c r="L405" s="119">
        <f>IF($E405="","",DATE(YEAR($E405),MONTH($E405),1))</f>
        <v/>
      </c>
      <c r="M405" s="112">
        <f>IF($C405="","",IF($D405="TANIMSIZ MÜŞTERİ","HATA",IF(OR($E405="",$F405&lt;=0,$G405=""),"EKSİK",IF($E405&gt;TODAY(),"İLERİ TARİH","UYGUN"))))</f>
        <v/>
      </c>
      <c r="N405" s="6" t="n"/>
      <c r="O405" s="6" t="n"/>
    </row>
    <row r="406">
      <c r="A406" s="6" t="n"/>
      <c r="B406" s="112">
        <f>IF($C406="","","T"&amp;TEXT(ROW()-6,"00000"))</f>
        <v/>
      </c>
      <c r="C406" s="107" t="n"/>
      <c r="D406" s="113">
        <f>IF($C406="","",IFERROR(INDEX(MUSTERILER!$C$7:$C$106,MATCH($C406,MUSTERILER!$B$7:$B$106,0)),"TANIMSIZ MÜŞTERİ"))</f>
        <v/>
      </c>
      <c r="E406" s="114" t="n"/>
      <c r="F406" s="115" t="n"/>
      <c r="G406" s="107" t="n"/>
      <c r="H406" s="107" t="n"/>
      <c r="I406" s="108" t="n"/>
      <c r="J406" s="108" t="n"/>
      <c r="K406" s="108" t="n"/>
      <c r="L406" s="119">
        <f>IF($E406="","",DATE(YEAR($E406),MONTH($E406),1))</f>
        <v/>
      </c>
      <c r="M406" s="112">
        <f>IF($C406="","",IF($D406="TANIMSIZ MÜŞTERİ","HATA",IF(OR($E406="",$F406&lt;=0,$G406=""),"EKSİK",IF($E406&gt;TODAY(),"İLERİ TARİH","UYGUN"))))</f>
        <v/>
      </c>
      <c r="N406" s="6" t="n"/>
      <c r="O406" s="6" t="n"/>
    </row>
    <row r="407">
      <c r="A407" s="6" t="n"/>
      <c r="B407" s="112">
        <f>IF($C407="","","T"&amp;TEXT(ROW()-6,"00000"))</f>
        <v/>
      </c>
      <c r="C407" s="107" t="n"/>
      <c r="D407" s="113">
        <f>IF($C407="","",IFERROR(INDEX(MUSTERILER!$C$7:$C$106,MATCH($C407,MUSTERILER!$B$7:$B$106,0)),"TANIMSIZ MÜŞTERİ"))</f>
        <v/>
      </c>
      <c r="E407" s="114" t="n"/>
      <c r="F407" s="115" t="n"/>
      <c r="G407" s="107" t="n"/>
      <c r="H407" s="107" t="n"/>
      <c r="I407" s="108" t="n"/>
      <c r="J407" s="108" t="n"/>
      <c r="K407" s="108" t="n"/>
      <c r="L407" s="119">
        <f>IF($E407="","",DATE(YEAR($E407),MONTH($E407),1))</f>
        <v/>
      </c>
      <c r="M407" s="112">
        <f>IF($C407="","",IF($D407="TANIMSIZ MÜŞTERİ","HATA",IF(OR($E407="",$F407&lt;=0,$G407=""),"EKSİK",IF($E407&gt;TODAY(),"İLERİ TARİH","UYGUN"))))</f>
        <v/>
      </c>
      <c r="N407" s="6" t="n"/>
      <c r="O407" s="6" t="n"/>
    </row>
    <row r="408">
      <c r="A408" s="6" t="n"/>
      <c r="B408" s="112">
        <f>IF($C408="","","T"&amp;TEXT(ROW()-6,"00000"))</f>
        <v/>
      </c>
      <c r="C408" s="107" t="n"/>
      <c r="D408" s="113">
        <f>IF($C408="","",IFERROR(INDEX(MUSTERILER!$C$7:$C$106,MATCH($C408,MUSTERILER!$B$7:$B$106,0)),"TANIMSIZ MÜŞTERİ"))</f>
        <v/>
      </c>
      <c r="E408" s="114" t="n"/>
      <c r="F408" s="115" t="n"/>
      <c r="G408" s="107" t="n"/>
      <c r="H408" s="107" t="n"/>
      <c r="I408" s="108" t="n"/>
      <c r="J408" s="108" t="n"/>
      <c r="K408" s="108" t="n"/>
      <c r="L408" s="119">
        <f>IF($E408="","",DATE(YEAR($E408),MONTH($E408),1))</f>
        <v/>
      </c>
      <c r="M408" s="112">
        <f>IF($C408="","",IF($D408="TANIMSIZ MÜŞTERİ","HATA",IF(OR($E408="",$F408&lt;=0,$G408=""),"EKSİK",IF($E408&gt;TODAY(),"İLERİ TARİH","UYGUN"))))</f>
        <v/>
      </c>
      <c r="N408" s="6" t="n"/>
      <c r="O408" s="6" t="n"/>
    </row>
    <row r="409">
      <c r="A409" s="6" t="n"/>
      <c r="B409" s="112">
        <f>IF($C409="","","T"&amp;TEXT(ROW()-6,"00000"))</f>
        <v/>
      </c>
      <c r="C409" s="107" t="n"/>
      <c r="D409" s="113">
        <f>IF($C409="","",IFERROR(INDEX(MUSTERILER!$C$7:$C$106,MATCH($C409,MUSTERILER!$B$7:$B$106,0)),"TANIMSIZ MÜŞTERİ"))</f>
        <v/>
      </c>
      <c r="E409" s="114" t="n"/>
      <c r="F409" s="115" t="n"/>
      <c r="G409" s="107" t="n"/>
      <c r="H409" s="107" t="n"/>
      <c r="I409" s="108" t="n"/>
      <c r="J409" s="108" t="n"/>
      <c r="K409" s="108" t="n"/>
      <c r="L409" s="119">
        <f>IF($E409="","",DATE(YEAR($E409),MONTH($E409),1))</f>
        <v/>
      </c>
      <c r="M409" s="112">
        <f>IF($C409="","",IF($D409="TANIMSIZ MÜŞTERİ","HATA",IF(OR($E409="",$F409&lt;=0,$G409=""),"EKSİK",IF($E409&gt;TODAY(),"İLERİ TARİH","UYGUN"))))</f>
        <v/>
      </c>
      <c r="N409" s="6" t="n"/>
      <c r="O409" s="6" t="n"/>
    </row>
    <row r="410">
      <c r="A410" s="6" t="n"/>
      <c r="B410" s="112">
        <f>IF($C410="","","T"&amp;TEXT(ROW()-6,"00000"))</f>
        <v/>
      </c>
      <c r="C410" s="107" t="n"/>
      <c r="D410" s="113">
        <f>IF($C410="","",IFERROR(INDEX(MUSTERILER!$C$7:$C$106,MATCH($C410,MUSTERILER!$B$7:$B$106,0)),"TANIMSIZ MÜŞTERİ"))</f>
        <v/>
      </c>
      <c r="E410" s="114" t="n"/>
      <c r="F410" s="115" t="n"/>
      <c r="G410" s="107" t="n"/>
      <c r="H410" s="107" t="n"/>
      <c r="I410" s="108" t="n"/>
      <c r="J410" s="108" t="n"/>
      <c r="K410" s="108" t="n"/>
      <c r="L410" s="119">
        <f>IF($E410="","",DATE(YEAR($E410),MONTH($E410),1))</f>
        <v/>
      </c>
      <c r="M410" s="112">
        <f>IF($C410="","",IF($D410="TANIMSIZ MÜŞTERİ","HATA",IF(OR($E410="",$F410&lt;=0,$G410=""),"EKSİK",IF($E410&gt;TODAY(),"İLERİ TARİH","UYGUN"))))</f>
        <v/>
      </c>
      <c r="N410" s="6" t="n"/>
      <c r="O410" s="6" t="n"/>
    </row>
    <row r="411">
      <c r="A411" s="6" t="n"/>
      <c r="B411" s="112">
        <f>IF($C411="","","T"&amp;TEXT(ROW()-6,"00000"))</f>
        <v/>
      </c>
      <c r="C411" s="107" t="n"/>
      <c r="D411" s="113">
        <f>IF($C411="","",IFERROR(INDEX(MUSTERILER!$C$7:$C$106,MATCH($C411,MUSTERILER!$B$7:$B$106,0)),"TANIMSIZ MÜŞTERİ"))</f>
        <v/>
      </c>
      <c r="E411" s="114" t="n"/>
      <c r="F411" s="115" t="n"/>
      <c r="G411" s="107" t="n"/>
      <c r="H411" s="107" t="n"/>
      <c r="I411" s="108" t="n"/>
      <c r="J411" s="108" t="n"/>
      <c r="K411" s="108" t="n"/>
      <c r="L411" s="119">
        <f>IF($E411="","",DATE(YEAR($E411),MONTH($E411),1))</f>
        <v/>
      </c>
      <c r="M411" s="112">
        <f>IF($C411="","",IF($D411="TANIMSIZ MÜŞTERİ","HATA",IF(OR($E411="",$F411&lt;=0,$G411=""),"EKSİK",IF($E411&gt;TODAY(),"İLERİ TARİH","UYGUN"))))</f>
        <v/>
      </c>
      <c r="N411" s="6" t="n"/>
      <c r="O411" s="6" t="n"/>
    </row>
    <row r="412">
      <c r="A412" s="6" t="n"/>
      <c r="B412" s="112">
        <f>IF($C412="","","T"&amp;TEXT(ROW()-6,"00000"))</f>
        <v/>
      </c>
      <c r="C412" s="107" t="n"/>
      <c r="D412" s="113">
        <f>IF($C412="","",IFERROR(INDEX(MUSTERILER!$C$7:$C$106,MATCH($C412,MUSTERILER!$B$7:$B$106,0)),"TANIMSIZ MÜŞTERİ"))</f>
        <v/>
      </c>
      <c r="E412" s="114" t="n"/>
      <c r="F412" s="115" t="n"/>
      <c r="G412" s="107" t="n"/>
      <c r="H412" s="107" t="n"/>
      <c r="I412" s="108" t="n"/>
      <c r="J412" s="108" t="n"/>
      <c r="K412" s="108" t="n"/>
      <c r="L412" s="119">
        <f>IF($E412="","",DATE(YEAR($E412),MONTH($E412),1))</f>
        <v/>
      </c>
      <c r="M412" s="112">
        <f>IF($C412="","",IF($D412="TANIMSIZ MÜŞTERİ","HATA",IF(OR($E412="",$F412&lt;=0,$G412=""),"EKSİK",IF($E412&gt;TODAY(),"İLERİ TARİH","UYGUN"))))</f>
        <v/>
      </c>
      <c r="N412" s="6" t="n"/>
      <c r="O412" s="6" t="n"/>
    </row>
    <row r="413">
      <c r="A413" s="6" t="n"/>
      <c r="B413" s="112">
        <f>IF($C413="","","T"&amp;TEXT(ROW()-6,"00000"))</f>
        <v/>
      </c>
      <c r="C413" s="107" t="n"/>
      <c r="D413" s="113">
        <f>IF($C413="","",IFERROR(INDEX(MUSTERILER!$C$7:$C$106,MATCH($C413,MUSTERILER!$B$7:$B$106,0)),"TANIMSIZ MÜŞTERİ"))</f>
        <v/>
      </c>
      <c r="E413" s="114" t="n"/>
      <c r="F413" s="115" t="n"/>
      <c r="G413" s="107" t="n"/>
      <c r="H413" s="107" t="n"/>
      <c r="I413" s="108" t="n"/>
      <c r="J413" s="108" t="n"/>
      <c r="K413" s="108" t="n"/>
      <c r="L413" s="119">
        <f>IF($E413="","",DATE(YEAR($E413),MONTH($E413),1))</f>
        <v/>
      </c>
      <c r="M413" s="112">
        <f>IF($C413="","",IF($D413="TANIMSIZ MÜŞTERİ","HATA",IF(OR($E413="",$F413&lt;=0,$G413=""),"EKSİK",IF($E413&gt;TODAY(),"İLERİ TARİH","UYGUN"))))</f>
        <v/>
      </c>
      <c r="N413" s="6" t="n"/>
      <c r="O413" s="6" t="n"/>
    </row>
    <row r="414">
      <c r="A414" s="6" t="n"/>
      <c r="B414" s="112">
        <f>IF($C414="","","T"&amp;TEXT(ROW()-6,"00000"))</f>
        <v/>
      </c>
      <c r="C414" s="107" t="n"/>
      <c r="D414" s="113">
        <f>IF($C414="","",IFERROR(INDEX(MUSTERILER!$C$7:$C$106,MATCH($C414,MUSTERILER!$B$7:$B$106,0)),"TANIMSIZ MÜŞTERİ"))</f>
        <v/>
      </c>
      <c r="E414" s="114" t="n"/>
      <c r="F414" s="115" t="n"/>
      <c r="G414" s="107" t="n"/>
      <c r="H414" s="107" t="n"/>
      <c r="I414" s="108" t="n"/>
      <c r="J414" s="108" t="n"/>
      <c r="K414" s="108" t="n"/>
      <c r="L414" s="119">
        <f>IF($E414="","",DATE(YEAR($E414),MONTH($E414),1))</f>
        <v/>
      </c>
      <c r="M414" s="112">
        <f>IF($C414="","",IF($D414="TANIMSIZ MÜŞTERİ","HATA",IF(OR($E414="",$F414&lt;=0,$G414=""),"EKSİK",IF($E414&gt;TODAY(),"İLERİ TARİH","UYGUN"))))</f>
        <v/>
      </c>
      <c r="N414" s="6" t="n"/>
      <c r="O414" s="6" t="n"/>
    </row>
    <row r="415">
      <c r="A415" s="6" t="n"/>
      <c r="B415" s="112">
        <f>IF($C415="","","T"&amp;TEXT(ROW()-6,"00000"))</f>
        <v/>
      </c>
      <c r="C415" s="107" t="n"/>
      <c r="D415" s="113">
        <f>IF($C415="","",IFERROR(INDEX(MUSTERILER!$C$7:$C$106,MATCH($C415,MUSTERILER!$B$7:$B$106,0)),"TANIMSIZ MÜŞTERİ"))</f>
        <v/>
      </c>
      <c r="E415" s="114" t="n"/>
      <c r="F415" s="115" t="n"/>
      <c r="G415" s="107" t="n"/>
      <c r="H415" s="107" t="n"/>
      <c r="I415" s="108" t="n"/>
      <c r="J415" s="108" t="n"/>
      <c r="K415" s="108" t="n"/>
      <c r="L415" s="119">
        <f>IF($E415="","",DATE(YEAR($E415),MONTH($E415),1))</f>
        <v/>
      </c>
      <c r="M415" s="112">
        <f>IF($C415="","",IF($D415="TANIMSIZ MÜŞTERİ","HATA",IF(OR($E415="",$F415&lt;=0,$G415=""),"EKSİK",IF($E415&gt;TODAY(),"İLERİ TARİH","UYGUN"))))</f>
        <v/>
      </c>
      <c r="N415" s="6" t="n"/>
      <c r="O415" s="6" t="n"/>
    </row>
    <row r="416">
      <c r="A416" s="6" t="n"/>
      <c r="B416" s="112">
        <f>IF($C416="","","T"&amp;TEXT(ROW()-6,"00000"))</f>
        <v/>
      </c>
      <c r="C416" s="107" t="n"/>
      <c r="D416" s="113">
        <f>IF($C416="","",IFERROR(INDEX(MUSTERILER!$C$7:$C$106,MATCH($C416,MUSTERILER!$B$7:$B$106,0)),"TANIMSIZ MÜŞTERİ"))</f>
        <v/>
      </c>
      <c r="E416" s="114" t="n"/>
      <c r="F416" s="115" t="n"/>
      <c r="G416" s="107" t="n"/>
      <c r="H416" s="107" t="n"/>
      <c r="I416" s="108" t="n"/>
      <c r="J416" s="108" t="n"/>
      <c r="K416" s="108" t="n"/>
      <c r="L416" s="119">
        <f>IF($E416="","",DATE(YEAR($E416),MONTH($E416),1))</f>
        <v/>
      </c>
      <c r="M416" s="112">
        <f>IF($C416="","",IF($D416="TANIMSIZ MÜŞTERİ","HATA",IF(OR($E416="",$F416&lt;=0,$G416=""),"EKSİK",IF($E416&gt;TODAY(),"İLERİ TARİH","UYGUN"))))</f>
        <v/>
      </c>
      <c r="N416" s="6" t="n"/>
      <c r="O416" s="6" t="n"/>
    </row>
    <row r="417">
      <c r="A417" s="6" t="n"/>
      <c r="B417" s="112">
        <f>IF($C417="","","T"&amp;TEXT(ROW()-6,"00000"))</f>
        <v/>
      </c>
      <c r="C417" s="107" t="n"/>
      <c r="D417" s="113">
        <f>IF($C417="","",IFERROR(INDEX(MUSTERILER!$C$7:$C$106,MATCH($C417,MUSTERILER!$B$7:$B$106,0)),"TANIMSIZ MÜŞTERİ"))</f>
        <v/>
      </c>
      <c r="E417" s="114" t="n"/>
      <c r="F417" s="115" t="n"/>
      <c r="G417" s="107" t="n"/>
      <c r="H417" s="107" t="n"/>
      <c r="I417" s="108" t="n"/>
      <c r="J417" s="108" t="n"/>
      <c r="K417" s="108" t="n"/>
      <c r="L417" s="119">
        <f>IF($E417="","",DATE(YEAR($E417),MONTH($E417),1))</f>
        <v/>
      </c>
      <c r="M417" s="112">
        <f>IF($C417="","",IF($D417="TANIMSIZ MÜŞTERİ","HATA",IF(OR($E417="",$F417&lt;=0,$G417=""),"EKSİK",IF($E417&gt;TODAY(),"İLERİ TARİH","UYGUN"))))</f>
        <v/>
      </c>
      <c r="N417" s="6" t="n"/>
      <c r="O417" s="6" t="n"/>
    </row>
    <row r="418">
      <c r="A418" s="6" t="n"/>
      <c r="B418" s="112">
        <f>IF($C418="","","T"&amp;TEXT(ROW()-6,"00000"))</f>
        <v/>
      </c>
      <c r="C418" s="107" t="n"/>
      <c r="D418" s="113">
        <f>IF($C418="","",IFERROR(INDEX(MUSTERILER!$C$7:$C$106,MATCH($C418,MUSTERILER!$B$7:$B$106,0)),"TANIMSIZ MÜŞTERİ"))</f>
        <v/>
      </c>
      <c r="E418" s="114" t="n"/>
      <c r="F418" s="115" t="n"/>
      <c r="G418" s="107" t="n"/>
      <c r="H418" s="107" t="n"/>
      <c r="I418" s="108" t="n"/>
      <c r="J418" s="108" t="n"/>
      <c r="K418" s="108" t="n"/>
      <c r="L418" s="119">
        <f>IF($E418="","",DATE(YEAR($E418),MONTH($E418),1))</f>
        <v/>
      </c>
      <c r="M418" s="112">
        <f>IF($C418="","",IF($D418="TANIMSIZ MÜŞTERİ","HATA",IF(OR($E418="",$F418&lt;=0,$G418=""),"EKSİK",IF($E418&gt;TODAY(),"İLERİ TARİH","UYGUN"))))</f>
        <v/>
      </c>
      <c r="N418" s="6" t="n"/>
      <c r="O418" s="6" t="n"/>
    </row>
    <row r="419">
      <c r="A419" s="6" t="n"/>
      <c r="B419" s="112">
        <f>IF($C419="","","T"&amp;TEXT(ROW()-6,"00000"))</f>
        <v/>
      </c>
      <c r="C419" s="107" t="n"/>
      <c r="D419" s="113">
        <f>IF($C419="","",IFERROR(INDEX(MUSTERILER!$C$7:$C$106,MATCH($C419,MUSTERILER!$B$7:$B$106,0)),"TANIMSIZ MÜŞTERİ"))</f>
        <v/>
      </c>
      <c r="E419" s="114" t="n"/>
      <c r="F419" s="115" t="n"/>
      <c r="G419" s="107" t="n"/>
      <c r="H419" s="107" t="n"/>
      <c r="I419" s="108" t="n"/>
      <c r="J419" s="108" t="n"/>
      <c r="K419" s="108" t="n"/>
      <c r="L419" s="119">
        <f>IF($E419="","",DATE(YEAR($E419),MONTH($E419),1))</f>
        <v/>
      </c>
      <c r="M419" s="112">
        <f>IF($C419="","",IF($D419="TANIMSIZ MÜŞTERİ","HATA",IF(OR($E419="",$F419&lt;=0,$G419=""),"EKSİK",IF($E419&gt;TODAY(),"İLERİ TARİH","UYGUN"))))</f>
        <v/>
      </c>
      <c r="N419" s="6" t="n"/>
      <c r="O419" s="6" t="n"/>
    </row>
    <row r="420">
      <c r="A420" s="6" t="n"/>
      <c r="B420" s="112">
        <f>IF($C420="","","T"&amp;TEXT(ROW()-6,"00000"))</f>
        <v/>
      </c>
      <c r="C420" s="107" t="n"/>
      <c r="D420" s="113">
        <f>IF($C420="","",IFERROR(INDEX(MUSTERILER!$C$7:$C$106,MATCH($C420,MUSTERILER!$B$7:$B$106,0)),"TANIMSIZ MÜŞTERİ"))</f>
        <v/>
      </c>
      <c r="E420" s="114" t="n"/>
      <c r="F420" s="115" t="n"/>
      <c r="G420" s="107" t="n"/>
      <c r="H420" s="107" t="n"/>
      <c r="I420" s="108" t="n"/>
      <c r="J420" s="108" t="n"/>
      <c r="K420" s="108" t="n"/>
      <c r="L420" s="119">
        <f>IF($E420="","",DATE(YEAR($E420),MONTH($E420),1))</f>
        <v/>
      </c>
      <c r="M420" s="112">
        <f>IF($C420="","",IF($D420="TANIMSIZ MÜŞTERİ","HATA",IF(OR($E420="",$F420&lt;=0,$G420=""),"EKSİK",IF($E420&gt;TODAY(),"İLERİ TARİH","UYGUN"))))</f>
        <v/>
      </c>
      <c r="N420" s="6" t="n"/>
      <c r="O420" s="6" t="n"/>
    </row>
    <row r="421">
      <c r="A421" s="6" t="n"/>
      <c r="B421" s="112">
        <f>IF($C421="","","T"&amp;TEXT(ROW()-6,"00000"))</f>
        <v/>
      </c>
      <c r="C421" s="107" t="n"/>
      <c r="D421" s="113">
        <f>IF($C421="","",IFERROR(INDEX(MUSTERILER!$C$7:$C$106,MATCH($C421,MUSTERILER!$B$7:$B$106,0)),"TANIMSIZ MÜŞTERİ"))</f>
        <v/>
      </c>
      <c r="E421" s="114" t="n"/>
      <c r="F421" s="115" t="n"/>
      <c r="G421" s="107" t="n"/>
      <c r="H421" s="107" t="n"/>
      <c r="I421" s="108" t="n"/>
      <c r="J421" s="108" t="n"/>
      <c r="K421" s="108" t="n"/>
      <c r="L421" s="119">
        <f>IF($E421="","",DATE(YEAR($E421),MONTH($E421),1))</f>
        <v/>
      </c>
      <c r="M421" s="112">
        <f>IF($C421="","",IF($D421="TANIMSIZ MÜŞTERİ","HATA",IF(OR($E421="",$F421&lt;=0,$G421=""),"EKSİK",IF($E421&gt;TODAY(),"İLERİ TARİH","UYGUN"))))</f>
        <v/>
      </c>
      <c r="N421" s="6" t="n"/>
      <c r="O421" s="6" t="n"/>
    </row>
    <row r="422">
      <c r="A422" s="6" t="n"/>
      <c r="B422" s="112">
        <f>IF($C422="","","T"&amp;TEXT(ROW()-6,"00000"))</f>
        <v/>
      </c>
      <c r="C422" s="107" t="n"/>
      <c r="D422" s="113">
        <f>IF($C422="","",IFERROR(INDEX(MUSTERILER!$C$7:$C$106,MATCH($C422,MUSTERILER!$B$7:$B$106,0)),"TANIMSIZ MÜŞTERİ"))</f>
        <v/>
      </c>
      <c r="E422" s="114" t="n"/>
      <c r="F422" s="115" t="n"/>
      <c r="G422" s="107" t="n"/>
      <c r="H422" s="107" t="n"/>
      <c r="I422" s="108" t="n"/>
      <c r="J422" s="108" t="n"/>
      <c r="K422" s="108" t="n"/>
      <c r="L422" s="119">
        <f>IF($E422="","",DATE(YEAR($E422),MONTH($E422),1))</f>
        <v/>
      </c>
      <c r="M422" s="112">
        <f>IF($C422="","",IF($D422="TANIMSIZ MÜŞTERİ","HATA",IF(OR($E422="",$F422&lt;=0,$G422=""),"EKSİK",IF($E422&gt;TODAY(),"İLERİ TARİH","UYGUN"))))</f>
        <v/>
      </c>
      <c r="N422" s="6" t="n"/>
      <c r="O422" s="6" t="n"/>
    </row>
    <row r="423">
      <c r="A423" s="6" t="n"/>
      <c r="B423" s="112">
        <f>IF($C423="","","T"&amp;TEXT(ROW()-6,"00000"))</f>
        <v/>
      </c>
      <c r="C423" s="107" t="n"/>
      <c r="D423" s="113">
        <f>IF($C423="","",IFERROR(INDEX(MUSTERILER!$C$7:$C$106,MATCH($C423,MUSTERILER!$B$7:$B$106,0)),"TANIMSIZ MÜŞTERİ"))</f>
        <v/>
      </c>
      <c r="E423" s="114" t="n"/>
      <c r="F423" s="115" t="n"/>
      <c r="G423" s="107" t="n"/>
      <c r="H423" s="107" t="n"/>
      <c r="I423" s="108" t="n"/>
      <c r="J423" s="108" t="n"/>
      <c r="K423" s="108" t="n"/>
      <c r="L423" s="119">
        <f>IF($E423="","",DATE(YEAR($E423),MONTH($E423),1))</f>
        <v/>
      </c>
      <c r="M423" s="112">
        <f>IF($C423="","",IF($D423="TANIMSIZ MÜŞTERİ","HATA",IF(OR($E423="",$F423&lt;=0,$G423=""),"EKSİK",IF($E423&gt;TODAY(),"İLERİ TARİH","UYGUN"))))</f>
        <v/>
      </c>
      <c r="N423" s="6" t="n"/>
      <c r="O423" s="6" t="n"/>
    </row>
    <row r="424">
      <c r="A424" s="6" t="n"/>
      <c r="B424" s="112">
        <f>IF($C424="","","T"&amp;TEXT(ROW()-6,"00000"))</f>
        <v/>
      </c>
      <c r="C424" s="107" t="n"/>
      <c r="D424" s="113">
        <f>IF($C424="","",IFERROR(INDEX(MUSTERILER!$C$7:$C$106,MATCH($C424,MUSTERILER!$B$7:$B$106,0)),"TANIMSIZ MÜŞTERİ"))</f>
        <v/>
      </c>
      <c r="E424" s="114" t="n"/>
      <c r="F424" s="115" t="n"/>
      <c r="G424" s="107" t="n"/>
      <c r="H424" s="107" t="n"/>
      <c r="I424" s="108" t="n"/>
      <c r="J424" s="108" t="n"/>
      <c r="K424" s="108" t="n"/>
      <c r="L424" s="119">
        <f>IF($E424="","",DATE(YEAR($E424),MONTH($E424),1))</f>
        <v/>
      </c>
      <c r="M424" s="112">
        <f>IF($C424="","",IF($D424="TANIMSIZ MÜŞTERİ","HATA",IF(OR($E424="",$F424&lt;=0,$G424=""),"EKSİK",IF($E424&gt;TODAY(),"İLERİ TARİH","UYGUN"))))</f>
        <v/>
      </c>
      <c r="N424" s="6" t="n"/>
      <c r="O424" s="6" t="n"/>
    </row>
    <row r="425">
      <c r="A425" s="6" t="n"/>
      <c r="B425" s="112">
        <f>IF($C425="","","T"&amp;TEXT(ROW()-6,"00000"))</f>
        <v/>
      </c>
      <c r="C425" s="107" t="n"/>
      <c r="D425" s="113">
        <f>IF($C425="","",IFERROR(INDEX(MUSTERILER!$C$7:$C$106,MATCH($C425,MUSTERILER!$B$7:$B$106,0)),"TANIMSIZ MÜŞTERİ"))</f>
        <v/>
      </c>
      <c r="E425" s="114" t="n"/>
      <c r="F425" s="115" t="n"/>
      <c r="G425" s="107" t="n"/>
      <c r="H425" s="107" t="n"/>
      <c r="I425" s="108" t="n"/>
      <c r="J425" s="108" t="n"/>
      <c r="K425" s="108" t="n"/>
      <c r="L425" s="119">
        <f>IF($E425="","",DATE(YEAR($E425),MONTH($E425),1))</f>
        <v/>
      </c>
      <c r="M425" s="112">
        <f>IF($C425="","",IF($D425="TANIMSIZ MÜŞTERİ","HATA",IF(OR($E425="",$F425&lt;=0,$G425=""),"EKSİK",IF($E425&gt;TODAY(),"İLERİ TARİH","UYGUN"))))</f>
        <v/>
      </c>
      <c r="N425" s="6" t="n"/>
      <c r="O425" s="6" t="n"/>
    </row>
    <row r="426">
      <c r="A426" s="6" t="n"/>
      <c r="B426" s="112">
        <f>IF($C426="","","T"&amp;TEXT(ROW()-6,"00000"))</f>
        <v/>
      </c>
      <c r="C426" s="107" t="n"/>
      <c r="D426" s="113">
        <f>IF($C426="","",IFERROR(INDEX(MUSTERILER!$C$7:$C$106,MATCH($C426,MUSTERILER!$B$7:$B$106,0)),"TANIMSIZ MÜŞTERİ"))</f>
        <v/>
      </c>
      <c r="E426" s="114" t="n"/>
      <c r="F426" s="115" t="n"/>
      <c r="G426" s="107" t="n"/>
      <c r="H426" s="107" t="n"/>
      <c r="I426" s="108" t="n"/>
      <c r="J426" s="108" t="n"/>
      <c r="K426" s="108" t="n"/>
      <c r="L426" s="119">
        <f>IF($E426="","",DATE(YEAR($E426),MONTH($E426),1))</f>
        <v/>
      </c>
      <c r="M426" s="112">
        <f>IF($C426="","",IF($D426="TANIMSIZ MÜŞTERİ","HATA",IF(OR($E426="",$F426&lt;=0,$G426=""),"EKSİK",IF($E426&gt;TODAY(),"İLERİ TARİH","UYGUN"))))</f>
        <v/>
      </c>
      <c r="N426" s="6" t="n"/>
      <c r="O426" s="6" t="n"/>
    </row>
    <row r="427">
      <c r="A427" s="6" t="n"/>
      <c r="B427" s="112">
        <f>IF($C427="","","T"&amp;TEXT(ROW()-6,"00000"))</f>
        <v/>
      </c>
      <c r="C427" s="107" t="n"/>
      <c r="D427" s="113">
        <f>IF($C427="","",IFERROR(INDEX(MUSTERILER!$C$7:$C$106,MATCH($C427,MUSTERILER!$B$7:$B$106,0)),"TANIMSIZ MÜŞTERİ"))</f>
        <v/>
      </c>
      <c r="E427" s="114" t="n"/>
      <c r="F427" s="115" t="n"/>
      <c r="G427" s="107" t="n"/>
      <c r="H427" s="107" t="n"/>
      <c r="I427" s="108" t="n"/>
      <c r="J427" s="108" t="n"/>
      <c r="K427" s="108" t="n"/>
      <c r="L427" s="119">
        <f>IF($E427="","",DATE(YEAR($E427),MONTH($E427),1))</f>
        <v/>
      </c>
      <c r="M427" s="112">
        <f>IF($C427="","",IF($D427="TANIMSIZ MÜŞTERİ","HATA",IF(OR($E427="",$F427&lt;=0,$G427=""),"EKSİK",IF($E427&gt;TODAY(),"İLERİ TARİH","UYGUN"))))</f>
        <v/>
      </c>
      <c r="N427" s="6" t="n"/>
      <c r="O427" s="6" t="n"/>
    </row>
    <row r="428">
      <c r="A428" s="6" t="n"/>
      <c r="B428" s="112">
        <f>IF($C428="","","T"&amp;TEXT(ROW()-6,"00000"))</f>
        <v/>
      </c>
      <c r="C428" s="107" t="n"/>
      <c r="D428" s="113">
        <f>IF($C428="","",IFERROR(INDEX(MUSTERILER!$C$7:$C$106,MATCH($C428,MUSTERILER!$B$7:$B$106,0)),"TANIMSIZ MÜŞTERİ"))</f>
        <v/>
      </c>
      <c r="E428" s="114" t="n"/>
      <c r="F428" s="115" t="n"/>
      <c r="G428" s="107" t="n"/>
      <c r="H428" s="107" t="n"/>
      <c r="I428" s="108" t="n"/>
      <c r="J428" s="108" t="n"/>
      <c r="K428" s="108" t="n"/>
      <c r="L428" s="119">
        <f>IF($E428="","",DATE(YEAR($E428),MONTH($E428),1))</f>
        <v/>
      </c>
      <c r="M428" s="112">
        <f>IF($C428="","",IF($D428="TANIMSIZ MÜŞTERİ","HATA",IF(OR($E428="",$F428&lt;=0,$G428=""),"EKSİK",IF($E428&gt;TODAY(),"İLERİ TARİH","UYGUN"))))</f>
        <v/>
      </c>
      <c r="N428" s="6" t="n"/>
      <c r="O428" s="6" t="n"/>
    </row>
    <row r="429">
      <c r="A429" s="6" t="n"/>
      <c r="B429" s="112">
        <f>IF($C429="","","T"&amp;TEXT(ROW()-6,"00000"))</f>
        <v/>
      </c>
      <c r="C429" s="107" t="n"/>
      <c r="D429" s="113">
        <f>IF($C429="","",IFERROR(INDEX(MUSTERILER!$C$7:$C$106,MATCH($C429,MUSTERILER!$B$7:$B$106,0)),"TANIMSIZ MÜŞTERİ"))</f>
        <v/>
      </c>
      <c r="E429" s="114" t="n"/>
      <c r="F429" s="115" t="n"/>
      <c r="G429" s="107" t="n"/>
      <c r="H429" s="107" t="n"/>
      <c r="I429" s="108" t="n"/>
      <c r="J429" s="108" t="n"/>
      <c r="K429" s="108" t="n"/>
      <c r="L429" s="119">
        <f>IF($E429="","",DATE(YEAR($E429),MONTH($E429),1))</f>
        <v/>
      </c>
      <c r="M429" s="112">
        <f>IF($C429="","",IF($D429="TANIMSIZ MÜŞTERİ","HATA",IF(OR($E429="",$F429&lt;=0,$G429=""),"EKSİK",IF($E429&gt;TODAY(),"İLERİ TARİH","UYGUN"))))</f>
        <v/>
      </c>
      <c r="N429" s="6" t="n"/>
      <c r="O429" s="6" t="n"/>
    </row>
    <row r="430">
      <c r="A430" s="6" t="n"/>
      <c r="B430" s="112">
        <f>IF($C430="","","T"&amp;TEXT(ROW()-6,"00000"))</f>
        <v/>
      </c>
      <c r="C430" s="107" t="n"/>
      <c r="D430" s="113">
        <f>IF($C430="","",IFERROR(INDEX(MUSTERILER!$C$7:$C$106,MATCH($C430,MUSTERILER!$B$7:$B$106,0)),"TANIMSIZ MÜŞTERİ"))</f>
        <v/>
      </c>
      <c r="E430" s="114" t="n"/>
      <c r="F430" s="115" t="n"/>
      <c r="G430" s="107" t="n"/>
      <c r="H430" s="107" t="n"/>
      <c r="I430" s="108" t="n"/>
      <c r="J430" s="108" t="n"/>
      <c r="K430" s="108" t="n"/>
      <c r="L430" s="119">
        <f>IF($E430="","",DATE(YEAR($E430),MONTH($E430),1))</f>
        <v/>
      </c>
      <c r="M430" s="112">
        <f>IF($C430="","",IF($D430="TANIMSIZ MÜŞTERİ","HATA",IF(OR($E430="",$F430&lt;=0,$G430=""),"EKSİK",IF($E430&gt;TODAY(),"İLERİ TARİH","UYGUN"))))</f>
        <v/>
      </c>
      <c r="N430" s="6" t="n"/>
      <c r="O430" s="6" t="n"/>
    </row>
    <row r="431">
      <c r="A431" s="6" t="n"/>
      <c r="B431" s="112">
        <f>IF($C431="","","T"&amp;TEXT(ROW()-6,"00000"))</f>
        <v/>
      </c>
      <c r="C431" s="107" t="n"/>
      <c r="D431" s="113">
        <f>IF($C431="","",IFERROR(INDEX(MUSTERILER!$C$7:$C$106,MATCH($C431,MUSTERILER!$B$7:$B$106,0)),"TANIMSIZ MÜŞTERİ"))</f>
        <v/>
      </c>
      <c r="E431" s="114" t="n"/>
      <c r="F431" s="115" t="n"/>
      <c r="G431" s="107" t="n"/>
      <c r="H431" s="107" t="n"/>
      <c r="I431" s="108" t="n"/>
      <c r="J431" s="108" t="n"/>
      <c r="K431" s="108" t="n"/>
      <c r="L431" s="119">
        <f>IF($E431="","",DATE(YEAR($E431),MONTH($E431),1))</f>
        <v/>
      </c>
      <c r="M431" s="112">
        <f>IF($C431="","",IF($D431="TANIMSIZ MÜŞTERİ","HATA",IF(OR($E431="",$F431&lt;=0,$G431=""),"EKSİK",IF($E431&gt;TODAY(),"İLERİ TARİH","UYGUN"))))</f>
        <v/>
      </c>
      <c r="N431" s="6" t="n"/>
      <c r="O431" s="6" t="n"/>
    </row>
    <row r="432">
      <c r="A432" s="6" t="n"/>
      <c r="B432" s="112">
        <f>IF($C432="","","T"&amp;TEXT(ROW()-6,"00000"))</f>
        <v/>
      </c>
      <c r="C432" s="107" t="n"/>
      <c r="D432" s="113">
        <f>IF($C432="","",IFERROR(INDEX(MUSTERILER!$C$7:$C$106,MATCH($C432,MUSTERILER!$B$7:$B$106,0)),"TANIMSIZ MÜŞTERİ"))</f>
        <v/>
      </c>
      <c r="E432" s="114" t="n"/>
      <c r="F432" s="115" t="n"/>
      <c r="G432" s="107" t="n"/>
      <c r="H432" s="107" t="n"/>
      <c r="I432" s="108" t="n"/>
      <c r="J432" s="108" t="n"/>
      <c r="K432" s="108" t="n"/>
      <c r="L432" s="119">
        <f>IF($E432="","",DATE(YEAR($E432),MONTH($E432),1))</f>
        <v/>
      </c>
      <c r="M432" s="112">
        <f>IF($C432="","",IF($D432="TANIMSIZ MÜŞTERİ","HATA",IF(OR($E432="",$F432&lt;=0,$G432=""),"EKSİK",IF($E432&gt;TODAY(),"İLERİ TARİH","UYGUN"))))</f>
        <v/>
      </c>
      <c r="N432" s="6" t="n"/>
      <c r="O432" s="6" t="n"/>
    </row>
    <row r="433">
      <c r="A433" s="6" t="n"/>
      <c r="B433" s="112">
        <f>IF($C433="","","T"&amp;TEXT(ROW()-6,"00000"))</f>
        <v/>
      </c>
      <c r="C433" s="107" t="n"/>
      <c r="D433" s="113">
        <f>IF($C433="","",IFERROR(INDEX(MUSTERILER!$C$7:$C$106,MATCH($C433,MUSTERILER!$B$7:$B$106,0)),"TANIMSIZ MÜŞTERİ"))</f>
        <v/>
      </c>
      <c r="E433" s="114" t="n"/>
      <c r="F433" s="115" t="n"/>
      <c r="G433" s="107" t="n"/>
      <c r="H433" s="107" t="n"/>
      <c r="I433" s="108" t="n"/>
      <c r="J433" s="108" t="n"/>
      <c r="K433" s="108" t="n"/>
      <c r="L433" s="119">
        <f>IF($E433="","",DATE(YEAR($E433),MONTH($E433),1))</f>
        <v/>
      </c>
      <c r="M433" s="112">
        <f>IF($C433="","",IF($D433="TANIMSIZ MÜŞTERİ","HATA",IF(OR($E433="",$F433&lt;=0,$G433=""),"EKSİK",IF($E433&gt;TODAY(),"İLERİ TARİH","UYGUN"))))</f>
        <v/>
      </c>
      <c r="N433" s="6" t="n"/>
      <c r="O433" s="6" t="n"/>
    </row>
    <row r="434">
      <c r="A434" s="6" t="n"/>
      <c r="B434" s="112">
        <f>IF($C434="","","T"&amp;TEXT(ROW()-6,"00000"))</f>
        <v/>
      </c>
      <c r="C434" s="107" t="n"/>
      <c r="D434" s="113">
        <f>IF($C434="","",IFERROR(INDEX(MUSTERILER!$C$7:$C$106,MATCH($C434,MUSTERILER!$B$7:$B$106,0)),"TANIMSIZ MÜŞTERİ"))</f>
        <v/>
      </c>
      <c r="E434" s="114" t="n"/>
      <c r="F434" s="115" t="n"/>
      <c r="G434" s="107" t="n"/>
      <c r="H434" s="107" t="n"/>
      <c r="I434" s="108" t="n"/>
      <c r="J434" s="108" t="n"/>
      <c r="K434" s="108" t="n"/>
      <c r="L434" s="119">
        <f>IF($E434="","",DATE(YEAR($E434),MONTH($E434),1))</f>
        <v/>
      </c>
      <c r="M434" s="112">
        <f>IF($C434="","",IF($D434="TANIMSIZ MÜŞTERİ","HATA",IF(OR($E434="",$F434&lt;=0,$G434=""),"EKSİK",IF($E434&gt;TODAY(),"İLERİ TARİH","UYGUN"))))</f>
        <v/>
      </c>
      <c r="N434" s="6" t="n"/>
      <c r="O434" s="6" t="n"/>
    </row>
    <row r="435">
      <c r="A435" s="6" t="n"/>
      <c r="B435" s="112">
        <f>IF($C435="","","T"&amp;TEXT(ROW()-6,"00000"))</f>
        <v/>
      </c>
      <c r="C435" s="107" t="n"/>
      <c r="D435" s="113">
        <f>IF($C435="","",IFERROR(INDEX(MUSTERILER!$C$7:$C$106,MATCH($C435,MUSTERILER!$B$7:$B$106,0)),"TANIMSIZ MÜŞTERİ"))</f>
        <v/>
      </c>
      <c r="E435" s="114" t="n"/>
      <c r="F435" s="115" t="n"/>
      <c r="G435" s="107" t="n"/>
      <c r="H435" s="107" t="n"/>
      <c r="I435" s="108" t="n"/>
      <c r="J435" s="108" t="n"/>
      <c r="K435" s="108" t="n"/>
      <c r="L435" s="119">
        <f>IF($E435="","",DATE(YEAR($E435),MONTH($E435),1))</f>
        <v/>
      </c>
      <c r="M435" s="112">
        <f>IF($C435="","",IF($D435="TANIMSIZ MÜŞTERİ","HATA",IF(OR($E435="",$F435&lt;=0,$G435=""),"EKSİK",IF($E435&gt;TODAY(),"İLERİ TARİH","UYGUN"))))</f>
        <v/>
      </c>
      <c r="N435" s="6" t="n"/>
      <c r="O435" s="6" t="n"/>
    </row>
    <row r="436">
      <c r="A436" s="6" t="n"/>
      <c r="B436" s="112">
        <f>IF($C436="","","T"&amp;TEXT(ROW()-6,"00000"))</f>
        <v/>
      </c>
      <c r="C436" s="107" t="n"/>
      <c r="D436" s="113">
        <f>IF($C436="","",IFERROR(INDEX(MUSTERILER!$C$7:$C$106,MATCH($C436,MUSTERILER!$B$7:$B$106,0)),"TANIMSIZ MÜŞTERİ"))</f>
        <v/>
      </c>
      <c r="E436" s="114" t="n"/>
      <c r="F436" s="115" t="n"/>
      <c r="G436" s="107" t="n"/>
      <c r="H436" s="107" t="n"/>
      <c r="I436" s="108" t="n"/>
      <c r="J436" s="108" t="n"/>
      <c r="K436" s="108" t="n"/>
      <c r="L436" s="119">
        <f>IF($E436="","",DATE(YEAR($E436),MONTH($E436),1))</f>
        <v/>
      </c>
      <c r="M436" s="112">
        <f>IF($C436="","",IF($D436="TANIMSIZ MÜŞTERİ","HATA",IF(OR($E436="",$F436&lt;=0,$G436=""),"EKSİK",IF($E436&gt;TODAY(),"İLERİ TARİH","UYGUN"))))</f>
        <v/>
      </c>
      <c r="N436" s="6" t="n"/>
      <c r="O436" s="6" t="n"/>
    </row>
    <row r="437">
      <c r="A437" s="6" t="n"/>
      <c r="B437" s="112">
        <f>IF($C437="","","T"&amp;TEXT(ROW()-6,"00000"))</f>
        <v/>
      </c>
      <c r="C437" s="107" t="n"/>
      <c r="D437" s="113">
        <f>IF($C437="","",IFERROR(INDEX(MUSTERILER!$C$7:$C$106,MATCH($C437,MUSTERILER!$B$7:$B$106,0)),"TANIMSIZ MÜŞTERİ"))</f>
        <v/>
      </c>
      <c r="E437" s="114" t="n"/>
      <c r="F437" s="115" t="n"/>
      <c r="G437" s="107" t="n"/>
      <c r="H437" s="107" t="n"/>
      <c r="I437" s="108" t="n"/>
      <c r="J437" s="108" t="n"/>
      <c r="K437" s="108" t="n"/>
      <c r="L437" s="119">
        <f>IF($E437="","",DATE(YEAR($E437),MONTH($E437),1))</f>
        <v/>
      </c>
      <c r="M437" s="112">
        <f>IF($C437="","",IF($D437="TANIMSIZ MÜŞTERİ","HATA",IF(OR($E437="",$F437&lt;=0,$G437=""),"EKSİK",IF($E437&gt;TODAY(),"İLERİ TARİH","UYGUN"))))</f>
        <v/>
      </c>
      <c r="N437" s="6" t="n"/>
      <c r="O437" s="6" t="n"/>
    </row>
    <row r="438">
      <c r="A438" s="6" t="n"/>
      <c r="B438" s="112">
        <f>IF($C438="","","T"&amp;TEXT(ROW()-6,"00000"))</f>
        <v/>
      </c>
      <c r="C438" s="107" t="n"/>
      <c r="D438" s="113">
        <f>IF($C438="","",IFERROR(INDEX(MUSTERILER!$C$7:$C$106,MATCH($C438,MUSTERILER!$B$7:$B$106,0)),"TANIMSIZ MÜŞTERİ"))</f>
        <v/>
      </c>
      <c r="E438" s="114" t="n"/>
      <c r="F438" s="115" t="n"/>
      <c r="G438" s="107" t="n"/>
      <c r="H438" s="107" t="n"/>
      <c r="I438" s="108" t="n"/>
      <c r="J438" s="108" t="n"/>
      <c r="K438" s="108" t="n"/>
      <c r="L438" s="119">
        <f>IF($E438="","",DATE(YEAR($E438),MONTH($E438),1))</f>
        <v/>
      </c>
      <c r="M438" s="112">
        <f>IF($C438="","",IF($D438="TANIMSIZ MÜŞTERİ","HATA",IF(OR($E438="",$F438&lt;=0,$G438=""),"EKSİK",IF($E438&gt;TODAY(),"İLERİ TARİH","UYGUN"))))</f>
        <v/>
      </c>
      <c r="N438" s="6" t="n"/>
      <c r="O438" s="6" t="n"/>
    </row>
    <row r="439">
      <c r="A439" s="6" t="n"/>
      <c r="B439" s="112">
        <f>IF($C439="","","T"&amp;TEXT(ROW()-6,"00000"))</f>
        <v/>
      </c>
      <c r="C439" s="107" t="n"/>
      <c r="D439" s="113">
        <f>IF($C439="","",IFERROR(INDEX(MUSTERILER!$C$7:$C$106,MATCH($C439,MUSTERILER!$B$7:$B$106,0)),"TANIMSIZ MÜŞTERİ"))</f>
        <v/>
      </c>
      <c r="E439" s="114" t="n"/>
      <c r="F439" s="115" t="n"/>
      <c r="G439" s="107" t="n"/>
      <c r="H439" s="107" t="n"/>
      <c r="I439" s="108" t="n"/>
      <c r="J439" s="108" t="n"/>
      <c r="K439" s="108" t="n"/>
      <c r="L439" s="119">
        <f>IF($E439="","",DATE(YEAR($E439),MONTH($E439),1))</f>
        <v/>
      </c>
      <c r="M439" s="112">
        <f>IF($C439="","",IF($D439="TANIMSIZ MÜŞTERİ","HATA",IF(OR($E439="",$F439&lt;=0,$G439=""),"EKSİK",IF($E439&gt;TODAY(),"İLERİ TARİH","UYGUN"))))</f>
        <v/>
      </c>
      <c r="N439" s="6" t="n"/>
      <c r="O439" s="6" t="n"/>
    </row>
    <row r="440">
      <c r="A440" s="6" t="n"/>
      <c r="B440" s="112">
        <f>IF($C440="","","T"&amp;TEXT(ROW()-6,"00000"))</f>
        <v/>
      </c>
      <c r="C440" s="107" t="n"/>
      <c r="D440" s="113">
        <f>IF($C440="","",IFERROR(INDEX(MUSTERILER!$C$7:$C$106,MATCH($C440,MUSTERILER!$B$7:$B$106,0)),"TANIMSIZ MÜŞTERİ"))</f>
        <v/>
      </c>
      <c r="E440" s="114" t="n"/>
      <c r="F440" s="115" t="n"/>
      <c r="G440" s="107" t="n"/>
      <c r="H440" s="107" t="n"/>
      <c r="I440" s="108" t="n"/>
      <c r="J440" s="108" t="n"/>
      <c r="K440" s="108" t="n"/>
      <c r="L440" s="119">
        <f>IF($E440="","",DATE(YEAR($E440),MONTH($E440),1))</f>
        <v/>
      </c>
      <c r="M440" s="112">
        <f>IF($C440="","",IF($D440="TANIMSIZ MÜŞTERİ","HATA",IF(OR($E440="",$F440&lt;=0,$G440=""),"EKSİK",IF($E440&gt;TODAY(),"İLERİ TARİH","UYGUN"))))</f>
        <v/>
      </c>
      <c r="N440" s="6" t="n"/>
      <c r="O440" s="6" t="n"/>
    </row>
    <row r="441">
      <c r="A441" s="6" t="n"/>
      <c r="B441" s="112">
        <f>IF($C441="","","T"&amp;TEXT(ROW()-6,"00000"))</f>
        <v/>
      </c>
      <c r="C441" s="107" t="n"/>
      <c r="D441" s="113">
        <f>IF($C441="","",IFERROR(INDEX(MUSTERILER!$C$7:$C$106,MATCH($C441,MUSTERILER!$B$7:$B$106,0)),"TANIMSIZ MÜŞTERİ"))</f>
        <v/>
      </c>
      <c r="E441" s="114" t="n"/>
      <c r="F441" s="115" t="n"/>
      <c r="G441" s="107" t="n"/>
      <c r="H441" s="107" t="n"/>
      <c r="I441" s="108" t="n"/>
      <c r="J441" s="108" t="n"/>
      <c r="K441" s="108" t="n"/>
      <c r="L441" s="119">
        <f>IF($E441="","",DATE(YEAR($E441),MONTH($E441),1))</f>
        <v/>
      </c>
      <c r="M441" s="112">
        <f>IF($C441="","",IF($D441="TANIMSIZ MÜŞTERİ","HATA",IF(OR($E441="",$F441&lt;=0,$G441=""),"EKSİK",IF($E441&gt;TODAY(),"İLERİ TARİH","UYGUN"))))</f>
        <v/>
      </c>
      <c r="N441" s="6" t="n"/>
      <c r="O441" s="6" t="n"/>
    </row>
    <row r="442">
      <c r="A442" s="6" t="n"/>
      <c r="B442" s="112">
        <f>IF($C442="","","T"&amp;TEXT(ROW()-6,"00000"))</f>
        <v/>
      </c>
      <c r="C442" s="107" t="n"/>
      <c r="D442" s="113">
        <f>IF($C442="","",IFERROR(INDEX(MUSTERILER!$C$7:$C$106,MATCH($C442,MUSTERILER!$B$7:$B$106,0)),"TANIMSIZ MÜŞTERİ"))</f>
        <v/>
      </c>
      <c r="E442" s="114" t="n"/>
      <c r="F442" s="115" t="n"/>
      <c r="G442" s="107" t="n"/>
      <c r="H442" s="107" t="n"/>
      <c r="I442" s="108" t="n"/>
      <c r="J442" s="108" t="n"/>
      <c r="K442" s="108" t="n"/>
      <c r="L442" s="119">
        <f>IF($E442="","",DATE(YEAR($E442),MONTH($E442),1))</f>
        <v/>
      </c>
      <c r="M442" s="112">
        <f>IF($C442="","",IF($D442="TANIMSIZ MÜŞTERİ","HATA",IF(OR($E442="",$F442&lt;=0,$G442=""),"EKSİK",IF($E442&gt;TODAY(),"İLERİ TARİH","UYGUN"))))</f>
        <v/>
      </c>
      <c r="N442" s="6" t="n"/>
      <c r="O442" s="6" t="n"/>
    </row>
    <row r="443">
      <c r="A443" s="6" t="n"/>
      <c r="B443" s="112">
        <f>IF($C443="","","T"&amp;TEXT(ROW()-6,"00000"))</f>
        <v/>
      </c>
      <c r="C443" s="107" t="n"/>
      <c r="D443" s="113">
        <f>IF($C443="","",IFERROR(INDEX(MUSTERILER!$C$7:$C$106,MATCH($C443,MUSTERILER!$B$7:$B$106,0)),"TANIMSIZ MÜŞTERİ"))</f>
        <v/>
      </c>
      <c r="E443" s="114" t="n"/>
      <c r="F443" s="115" t="n"/>
      <c r="G443" s="107" t="n"/>
      <c r="H443" s="107" t="n"/>
      <c r="I443" s="108" t="n"/>
      <c r="J443" s="108" t="n"/>
      <c r="K443" s="108" t="n"/>
      <c r="L443" s="119">
        <f>IF($E443="","",DATE(YEAR($E443),MONTH($E443),1))</f>
        <v/>
      </c>
      <c r="M443" s="112">
        <f>IF($C443="","",IF($D443="TANIMSIZ MÜŞTERİ","HATA",IF(OR($E443="",$F443&lt;=0,$G443=""),"EKSİK",IF($E443&gt;TODAY(),"İLERİ TARİH","UYGUN"))))</f>
        <v/>
      </c>
      <c r="N443" s="6" t="n"/>
      <c r="O443" s="6" t="n"/>
    </row>
    <row r="444">
      <c r="A444" s="6" t="n"/>
      <c r="B444" s="112">
        <f>IF($C444="","","T"&amp;TEXT(ROW()-6,"00000"))</f>
        <v/>
      </c>
      <c r="C444" s="107" t="n"/>
      <c r="D444" s="113">
        <f>IF($C444="","",IFERROR(INDEX(MUSTERILER!$C$7:$C$106,MATCH($C444,MUSTERILER!$B$7:$B$106,0)),"TANIMSIZ MÜŞTERİ"))</f>
        <v/>
      </c>
      <c r="E444" s="114" t="n"/>
      <c r="F444" s="115" t="n"/>
      <c r="G444" s="107" t="n"/>
      <c r="H444" s="107" t="n"/>
      <c r="I444" s="108" t="n"/>
      <c r="J444" s="108" t="n"/>
      <c r="K444" s="108" t="n"/>
      <c r="L444" s="119">
        <f>IF($E444="","",DATE(YEAR($E444),MONTH($E444),1))</f>
        <v/>
      </c>
      <c r="M444" s="112">
        <f>IF($C444="","",IF($D444="TANIMSIZ MÜŞTERİ","HATA",IF(OR($E444="",$F444&lt;=0,$G444=""),"EKSİK",IF($E444&gt;TODAY(),"İLERİ TARİH","UYGUN"))))</f>
        <v/>
      </c>
      <c r="N444" s="6" t="n"/>
      <c r="O444" s="6" t="n"/>
    </row>
    <row r="445">
      <c r="A445" s="6" t="n"/>
      <c r="B445" s="112">
        <f>IF($C445="","","T"&amp;TEXT(ROW()-6,"00000"))</f>
        <v/>
      </c>
      <c r="C445" s="107" t="n"/>
      <c r="D445" s="113">
        <f>IF($C445="","",IFERROR(INDEX(MUSTERILER!$C$7:$C$106,MATCH($C445,MUSTERILER!$B$7:$B$106,0)),"TANIMSIZ MÜŞTERİ"))</f>
        <v/>
      </c>
      <c r="E445" s="114" t="n"/>
      <c r="F445" s="115" t="n"/>
      <c r="G445" s="107" t="n"/>
      <c r="H445" s="107" t="n"/>
      <c r="I445" s="108" t="n"/>
      <c r="J445" s="108" t="n"/>
      <c r="K445" s="108" t="n"/>
      <c r="L445" s="119">
        <f>IF($E445="","",DATE(YEAR($E445),MONTH($E445),1))</f>
        <v/>
      </c>
      <c r="M445" s="112">
        <f>IF($C445="","",IF($D445="TANIMSIZ MÜŞTERİ","HATA",IF(OR($E445="",$F445&lt;=0,$G445=""),"EKSİK",IF($E445&gt;TODAY(),"İLERİ TARİH","UYGUN"))))</f>
        <v/>
      </c>
      <c r="N445" s="6" t="n"/>
      <c r="O445" s="6" t="n"/>
    </row>
    <row r="446">
      <c r="A446" s="6" t="n"/>
      <c r="B446" s="112">
        <f>IF($C446="","","T"&amp;TEXT(ROW()-6,"00000"))</f>
        <v/>
      </c>
      <c r="C446" s="107" t="n"/>
      <c r="D446" s="113">
        <f>IF($C446="","",IFERROR(INDEX(MUSTERILER!$C$7:$C$106,MATCH($C446,MUSTERILER!$B$7:$B$106,0)),"TANIMSIZ MÜŞTERİ"))</f>
        <v/>
      </c>
      <c r="E446" s="114" t="n"/>
      <c r="F446" s="115" t="n"/>
      <c r="G446" s="107" t="n"/>
      <c r="H446" s="107" t="n"/>
      <c r="I446" s="108" t="n"/>
      <c r="J446" s="108" t="n"/>
      <c r="K446" s="108" t="n"/>
      <c r="L446" s="119">
        <f>IF($E446="","",DATE(YEAR($E446),MONTH($E446),1))</f>
        <v/>
      </c>
      <c r="M446" s="112">
        <f>IF($C446="","",IF($D446="TANIMSIZ MÜŞTERİ","HATA",IF(OR($E446="",$F446&lt;=0,$G446=""),"EKSİK",IF($E446&gt;TODAY(),"İLERİ TARİH","UYGUN"))))</f>
        <v/>
      </c>
      <c r="N446" s="6" t="n"/>
      <c r="O446" s="6" t="n"/>
    </row>
    <row r="447">
      <c r="A447" s="6" t="n"/>
      <c r="B447" s="112">
        <f>IF($C447="","","T"&amp;TEXT(ROW()-6,"00000"))</f>
        <v/>
      </c>
      <c r="C447" s="107" t="n"/>
      <c r="D447" s="113">
        <f>IF($C447="","",IFERROR(INDEX(MUSTERILER!$C$7:$C$106,MATCH($C447,MUSTERILER!$B$7:$B$106,0)),"TANIMSIZ MÜŞTERİ"))</f>
        <v/>
      </c>
      <c r="E447" s="114" t="n"/>
      <c r="F447" s="115" t="n"/>
      <c r="G447" s="107" t="n"/>
      <c r="H447" s="107" t="n"/>
      <c r="I447" s="108" t="n"/>
      <c r="J447" s="108" t="n"/>
      <c r="K447" s="108" t="n"/>
      <c r="L447" s="119">
        <f>IF($E447="","",DATE(YEAR($E447),MONTH($E447),1))</f>
        <v/>
      </c>
      <c r="M447" s="112">
        <f>IF($C447="","",IF($D447="TANIMSIZ MÜŞTERİ","HATA",IF(OR($E447="",$F447&lt;=0,$G447=""),"EKSİK",IF($E447&gt;TODAY(),"İLERİ TARİH","UYGUN"))))</f>
        <v/>
      </c>
      <c r="N447" s="6" t="n"/>
      <c r="O447" s="6" t="n"/>
    </row>
    <row r="448">
      <c r="A448" s="6" t="n"/>
      <c r="B448" s="112">
        <f>IF($C448="","","T"&amp;TEXT(ROW()-6,"00000"))</f>
        <v/>
      </c>
      <c r="C448" s="107" t="n"/>
      <c r="D448" s="113">
        <f>IF($C448="","",IFERROR(INDEX(MUSTERILER!$C$7:$C$106,MATCH($C448,MUSTERILER!$B$7:$B$106,0)),"TANIMSIZ MÜŞTERİ"))</f>
        <v/>
      </c>
      <c r="E448" s="114" t="n"/>
      <c r="F448" s="115" t="n"/>
      <c r="G448" s="107" t="n"/>
      <c r="H448" s="107" t="n"/>
      <c r="I448" s="108" t="n"/>
      <c r="J448" s="108" t="n"/>
      <c r="K448" s="108" t="n"/>
      <c r="L448" s="119">
        <f>IF($E448="","",DATE(YEAR($E448),MONTH($E448),1))</f>
        <v/>
      </c>
      <c r="M448" s="112">
        <f>IF($C448="","",IF($D448="TANIMSIZ MÜŞTERİ","HATA",IF(OR($E448="",$F448&lt;=0,$G448=""),"EKSİK",IF($E448&gt;TODAY(),"İLERİ TARİH","UYGUN"))))</f>
        <v/>
      </c>
      <c r="N448" s="6" t="n"/>
      <c r="O448" s="6" t="n"/>
    </row>
    <row r="449">
      <c r="A449" s="6" t="n"/>
      <c r="B449" s="112">
        <f>IF($C449="","","T"&amp;TEXT(ROW()-6,"00000"))</f>
        <v/>
      </c>
      <c r="C449" s="107" t="n"/>
      <c r="D449" s="113">
        <f>IF($C449="","",IFERROR(INDEX(MUSTERILER!$C$7:$C$106,MATCH($C449,MUSTERILER!$B$7:$B$106,0)),"TANIMSIZ MÜŞTERİ"))</f>
        <v/>
      </c>
      <c r="E449" s="114" t="n"/>
      <c r="F449" s="115" t="n"/>
      <c r="G449" s="107" t="n"/>
      <c r="H449" s="107" t="n"/>
      <c r="I449" s="108" t="n"/>
      <c r="J449" s="108" t="n"/>
      <c r="K449" s="108" t="n"/>
      <c r="L449" s="119">
        <f>IF($E449="","",DATE(YEAR($E449),MONTH($E449),1))</f>
        <v/>
      </c>
      <c r="M449" s="112">
        <f>IF($C449="","",IF($D449="TANIMSIZ MÜŞTERİ","HATA",IF(OR($E449="",$F449&lt;=0,$G449=""),"EKSİK",IF($E449&gt;TODAY(),"İLERİ TARİH","UYGUN"))))</f>
        <v/>
      </c>
      <c r="N449" s="6" t="n"/>
      <c r="O449" s="6" t="n"/>
    </row>
    <row r="450">
      <c r="A450" s="6" t="n"/>
      <c r="B450" s="112">
        <f>IF($C450="","","T"&amp;TEXT(ROW()-6,"00000"))</f>
        <v/>
      </c>
      <c r="C450" s="107" t="n"/>
      <c r="D450" s="113">
        <f>IF($C450="","",IFERROR(INDEX(MUSTERILER!$C$7:$C$106,MATCH($C450,MUSTERILER!$B$7:$B$106,0)),"TANIMSIZ MÜŞTERİ"))</f>
        <v/>
      </c>
      <c r="E450" s="114" t="n"/>
      <c r="F450" s="115" t="n"/>
      <c r="G450" s="107" t="n"/>
      <c r="H450" s="107" t="n"/>
      <c r="I450" s="108" t="n"/>
      <c r="J450" s="108" t="n"/>
      <c r="K450" s="108" t="n"/>
      <c r="L450" s="119">
        <f>IF($E450="","",DATE(YEAR($E450),MONTH($E450),1))</f>
        <v/>
      </c>
      <c r="M450" s="112">
        <f>IF($C450="","",IF($D450="TANIMSIZ MÜŞTERİ","HATA",IF(OR($E450="",$F450&lt;=0,$G450=""),"EKSİK",IF($E450&gt;TODAY(),"İLERİ TARİH","UYGUN"))))</f>
        <v/>
      </c>
      <c r="N450" s="6" t="n"/>
      <c r="O450" s="6" t="n"/>
    </row>
    <row r="451">
      <c r="A451" s="6" t="n"/>
      <c r="B451" s="112">
        <f>IF($C451="","","T"&amp;TEXT(ROW()-6,"00000"))</f>
        <v/>
      </c>
      <c r="C451" s="107" t="n"/>
      <c r="D451" s="113">
        <f>IF($C451="","",IFERROR(INDEX(MUSTERILER!$C$7:$C$106,MATCH($C451,MUSTERILER!$B$7:$B$106,0)),"TANIMSIZ MÜŞTERİ"))</f>
        <v/>
      </c>
      <c r="E451" s="114" t="n"/>
      <c r="F451" s="115" t="n"/>
      <c r="G451" s="107" t="n"/>
      <c r="H451" s="107" t="n"/>
      <c r="I451" s="108" t="n"/>
      <c r="J451" s="108" t="n"/>
      <c r="K451" s="108" t="n"/>
      <c r="L451" s="119">
        <f>IF($E451="","",DATE(YEAR($E451),MONTH($E451),1))</f>
        <v/>
      </c>
      <c r="M451" s="112">
        <f>IF($C451="","",IF($D451="TANIMSIZ MÜŞTERİ","HATA",IF(OR($E451="",$F451&lt;=0,$G451=""),"EKSİK",IF($E451&gt;TODAY(),"İLERİ TARİH","UYGUN"))))</f>
        <v/>
      </c>
      <c r="N451" s="6" t="n"/>
      <c r="O451" s="6" t="n"/>
    </row>
    <row r="452">
      <c r="A452" s="6" t="n"/>
      <c r="B452" s="112">
        <f>IF($C452="","","T"&amp;TEXT(ROW()-6,"00000"))</f>
        <v/>
      </c>
      <c r="C452" s="107" t="n"/>
      <c r="D452" s="113">
        <f>IF($C452="","",IFERROR(INDEX(MUSTERILER!$C$7:$C$106,MATCH($C452,MUSTERILER!$B$7:$B$106,0)),"TANIMSIZ MÜŞTERİ"))</f>
        <v/>
      </c>
      <c r="E452" s="114" t="n"/>
      <c r="F452" s="115" t="n"/>
      <c r="G452" s="107" t="n"/>
      <c r="H452" s="107" t="n"/>
      <c r="I452" s="108" t="n"/>
      <c r="J452" s="108" t="n"/>
      <c r="K452" s="108" t="n"/>
      <c r="L452" s="119">
        <f>IF($E452="","",DATE(YEAR($E452),MONTH($E452),1))</f>
        <v/>
      </c>
      <c r="M452" s="112">
        <f>IF($C452="","",IF($D452="TANIMSIZ MÜŞTERİ","HATA",IF(OR($E452="",$F452&lt;=0,$G452=""),"EKSİK",IF($E452&gt;TODAY(),"İLERİ TARİH","UYGUN"))))</f>
        <v/>
      </c>
      <c r="N452" s="6" t="n"/>
      <c r="O452" s="6" t="n"/>
    </row>
    <row r="453">
      <c r="A453" s="6" t="n"/>
      <c r="B453" s="112">
        <f>IF($C453="","","T"&amp;TEXT(ROW()-6,"00000"))</f>
        <v/>
      </c>
      <c r="C453" s="107" t="n"/>
      <c r="D453" s="113">
        <f>IF($C453="","",IFERROR(INDEX(MUSTERILER!$C$7:$C$106,MATCH($C453,MUSTERILER!$B$7:$B$106,0)),"TANIMSIZ MÜŞTERİ"))</f>
        <v/>
      </c>
      <c r="E453" s="114" t="n"/>
      <c r="F453" s="115" t="n"/>
      <c r="G453" s="107" t="n"/>
      <c r="H453" s="107" t="n"/>
      <c r="I453" s="108" t="n"/>
      <c r="J453" s="108" t="n"/>
      <c r="K453" s="108" t="n"/>
      <c r="L453" s="119">
        <f>IF($E453="","",DATE(YEAR($E453),MONTH($E453),1))</f>
        <v/>
      </c>
      <c r="M453" s="112">
        <f>IF($C453="","",IF($D453="TANIMSIZ MÜŞTERİ","HATA",IF(OR($E453="",$F453&lt;=0,$G453=""),"EKSİK",IF($E453&gt;TODAY(),"İLERİ TARİH","UYGUN"))))</f>
        <v/>
      </c>
      <c r="N453" s="6" t="n"/>
      <c r="O453" s="6" t="n"/>
    </row>
    <row r="454">
      <c r="A454" s="6" t="n"/>
      <c r="B454" s="112">
        <f>IF($C454="","","T"&amp;TEXT(ROW()-6,"00000"))</f>
        <v/>
      </c>
      <c r="C454" s="107" t="n"/>
      <c r="D454" s="113">
        <f>IF($C454="","",IFERROR(INDEX(MUSTERILER!$C$7:$C$106,MATCH($C454,MUSTERILER!$B$7:$B$106,0)),"TANIMSIZ MÜŞTERİ"))</f>
        <v/>
      </c>
      <c r="E454" s="114" t="n"/>
      <c r="F454" s="115" t="n"/>
      <c r="G454" s="107" t="n"/>
      <c r="H454" s="107" t="n"/>
      <c r="I454" s="108" t="n"/>
      <c r="J454" s="108" t="n"/>
      <c r="K454" s="108" t="n"/>
      <c r="L454" s="119">
        <f>IF($E454="","",DATE(YEAR($E454),MONTH($E454),1))</f>
        <v/>
      </c>
      <c r="M454" s="112">
        <f>IF($C454="","",IF($D454="TANIMSIZ MÜŞTERİ","HATA",IF(OR($E454="",$F454&lt;=0,$G454=""),"EKSİK",IF($E454&gt;TODAY(),"İLERİ TARİH","UYGUN"))))</f>
        <v/>
      </c>
      <c r="N454" s="6" t="n"/>
      <c r="O454" s="6" t="n"/>
    </row>
    <row r="455">
      <c r="A455" s="6" t="n"/>
      <c r="B455" s="112">
        <f>IF($C455="","","T"&amp;TEXT(ROW()-6,"00000"))</f>
        <v/>
      </c>
      <c r="C455" s="107" t="n"/>
      <c r="D455" s="113">
        <f>IF($C455="","",IFERROR(INDEX(MUSTERILER!$C$7:$C$106,MATCH($C455,MUSTERILER!$B$7:$B$106,0)),"TANIMSIZ MÜŞTERİ"))</f>
        <v/>
      </c>
      <c r="E455" s="114" t="n"/>
      <c r="F455" s="115" t="n"/>
      <c r="G455" s="107" t="n"/>
      <c r="H455" s="107" t="n"/>
      <c r="I455" s="108" t="n"/>
      <c r="J455" s="108" t="n"/>
      <c r="K455" s="108" t="n"/>
      <c r="L455" s="119">
        <f>IF($E455="","",DATE(YEAR($E455),MONTH($E455),1))</f>
        <v/>
      </c>
      <c r="M455" s="112">
        <f>IF($C455="","",IF($D455="TANIMSIZ MÜŞTERİ","HATA",IF(OR($E455="",$F455&lt;=0,$G455=""),"EKSİK",IF($E455&gt;TODAY(),"İLERİ TARİH","UYGUN"))))</f>
        <v/>
      </c>
      <c r="N455" s="6" t="n"/>
      <c r="O455" s="6" t="n"/>
    </row>
    <row r="456">
      <c r="A456" s="6" t="n"/>
      <c r="B456" s="112">
        <f>IF($C456="","","T"&amp;TEXT(ROW()-6,"00000"))</f>
        <v/>
      </c>
      <c r="C456" s="107" t="n"/>
      <c r="D456" s="113">
        <f>IF($C456="","",IFERROR(INDEX(MUSTERILER!$C$7:$C$106,MATCH($C456,MUSTERILER!$B$7:$B$106,0)),"TANIMSIZ MÜŞTERİ"))</f>
        <v/>
      </c>
      <c r="E456" s="114" t="n"/>
      <c r="F456" s="115" t="n"/>
      <c r="G456" s="107" t="n"/>
      <c r="H456" s="107" t="n"/>
      <c r="I456" s="108" t="n"/>
      <c r="J456" s="108" t="n"/>
      <c r="K456" s="108" t="n"/>
      <c r="L456" s="119">
        <f>IF($E456="","",DATE(YEAR($E456),MONTH($E456),1))</f>
        <v/>
      </c>
      <c r="M456" s="112">
        <f>IF($C456="","",IF($D456="TANIMSIZ MÜŞTERİ","HATA",IF(OR($E456="",$F456&lt;=0,$G456=""),"EKSİK",IF($E456&gt;TODAY(),"İLERİ TARİH","UYGUN"))))</f>
        <v/>
      </c>
      <c r="N456" s="6" t="n"/>
      <c r="O456" s="6" t="n"/>
    </row>
    <row r="457">
      <c r="A457" s="6" t="n"/>
      <c r="B457" s="112">
        <f>IF($C457="","","T"&amp;TEXT(ROW()-6,"00000"))</f>
        <v/>
      </c>
      <c r="C457" s="107" t="n"/>
      <c r="D457" s="113">
        <f>IF($C457="","",IFERROR(INDEX(MUSTERILER!$C$7:$C$106,MATCH($C457,MUSTERILER!$B$7:$B$106,0)),"TANIMSIZ MÜŞTERİ"))</f>
        <v/>
      </c>
      <c r="E457" s="114" t="n"/>
      <c r="F457" s="115" t="n"/>
      <c r="G457" s="107" t="n"/>
      <c r="H457" s="107" t="n"/>
      <c r="I457" s="108" t="n"/>
      <c r="J457" s="108" t="n"/>
      <c r="K457" s="108" t="n"/>
      <c r="L457" s="119">
        <f>IF($E457="","",DATE(YEAR($E457),MONTH($E457),1))</f>
        <v/>
      </c>
      <c r="M457" s="112">
        <f>IF($C457="","",IF($D457="TANIMSIZ MÜŞTERİ","HATA",IF(OR($E457="",$F457&lt;=0,$G457=""),"EKSİK",IF($E457&gt;TODAY(),"İLERİ TARİH","UYGUN"))))</f>
        <v/>
      </c>
      <c r="N457" s="6" t="n"/>
      <c r="O457" s="6" t="n"/>
    </row>
    <row r="458">
      <c r="A458" s="6" t="n"/>
      <c r="B458" s="112">
        <f>IF($C458="","","T"&amp;TEXT(ROW()-6,"00000"))</f>
        <v/>
      </c>
      <c r="C458" s="107" t="n"/>
      <c r="D458" s="113">
        <f>IF($C458="","",IFERROR(INDEX(MUSTERILER!$C$7:$C$106,MATCH($C458,MUSTERILER!$B$7:$B$106,0)),"TANIMSIZ MÜŞTERİ"))</f>
        <v/>
      </c>
      <c r="E458" s="114" t="n"/>
      <c r="F458" s="115" t="n"/>
      <c r="G458" s="107" t="n"/>
      <c r="H458" s="107" t="n"/>
      <c r="I458" s="108" t="n"/>
      <c r="J458" s="108" t="n"/>
      <c r="K458" s="108" t="n"/>
      <c r="L458" s="119">
        <f>IF($E458="","",DATE(YEAR($E458),MONTH($E458),1))</f>
        <v/>
      </c>
      <c r="M458" s="112">
        <f>IF($C458="","",IF($D458="TANIMSIZ MÜŞTERİ","HATA",IF(OR($E458="",$F458&lt;=0,$G458=""),"EKSİK",IF($E458&gt;TODAY(),"İLERİ TARİH","UYGUN"))))</f>
        <v/>
      </c>
      <c r="N458" s="6" t="n"/>
      <c r="O458" s="6" t="n"/>
    </row>
    <row r="459">
      <c r="A459" s="6" t="n"/>
      <c r="B459" s="112">
        <f>IF($C459="","","T"&amp;TEXT(ROW()-6,"00000"))</f>
        <v/>
      </c>
      <c r="C459" s="107" t="n"/>
      <c r="D459" s="113">
        <f>IF($C459="","",IFERROR(INDEX(MUSTERILER!$C$7:$C$106,MATCH($C459,MUSTERILER!$B$7:$B$106,0)),"TANIMSIZ MÜŞTERİ"))</f>
        <v/>
      </c>
      <c r="E459" s="114" t="n"/>
      <c r="F459" s="115" t="n"/>
      <c r="G459" s="107" t="n"/>
      <c r="H459" s="107" t="n"/>
      <c r="I459" s="108" t="n"/>
      <c r="J459" s="108" t="n"/>
      <c r="K459" s="108" t="n"/>
      <c r="L459" s="119">
        <f>IF($E459="","",DATE(YEAR($E459),MONTH($E459),1))</f>
        <v/>
      </c>
      <c r="M459" s="112">
        <f>IF($C459="","",IF($D459="TANIMSIZ MÜŞTERİ","HATA",IF(OR($E459="",$F459&lt;=0,$G459=""),"EKSİK",IF($E459&gt;TODAY(),"İLERİ TARİH","UYGUN"))))</f>
        <v/>
      </c>
      <c r="N459" s="6" t="n"/>
      <c r="O459" s="6" t="n"/>
    </row>
    <row r="460">
      <c r="A460" s="6" t="n"/>
      <c r="B460" s="112">
        <f>IF($C460="","","T"&amp;TEXT(ROW()-6,"00000"))</f>
        <v/>
      </c>
      <c r="C460" s="107" t="n"/>
      <c r="D460" s="113">
        <f>IF($C460="","",IFERROR(INDEX(MUSTERILER!$C$7:$C$106,MATCH($C460,MUSTERILER!$B$7:$B$106,0)),"TANIMSIZ MÜŞTERİ"))</f>
        <v/>
      </c>
      <c r="E460" s="114" t="n"/>
      <c r="F460" s="115" t="n"/>
      <c r="G460" s="107" t="n"/>
      <c r="H460" s="107" t="n"/>
      <c r="I460" s="108" t="n"/>
      <c r="J460" s="108" t="n"/>
      <c r="K460" s="108" t="n"/>
      <c r="L460" s="119">
        <f>IF($E460="","",DATE(YEAR($E460),MONTH($E460),1))</f>
        <v/>
      </c>
      <c r="M460" s="112">
        <f>IF($C460="","",IF($D460="TANIMSIZ MÜŞTERİ","HATA",IF(OR($E460="",$F460&lt;=0,$G460=""),"EKSİK",IF($E460&gt;TODAY(),"İLERİ TARİH","UYGUN"))))</f>
        <v/>
      </c>
      <c r="N460" s="6" t="n"/>
      <c r="O460" s="6" t="n"/>
    </row>
    <row r="461">
      <c r="A461" s="6" t="n"/>
      <c r="B461" s="112">
        <f>IF($C461="","","T"&amp;TEXT(ROW()-6,"00000"))</f>
        <v/>
      </c>
      <c r="C461" s="107" t="n"/>
      <c r="D461" s="113">
        <f>IF($C461="","",IFERROR(INDEX(MUSTERILER!$C$7:$C$106,MATCH($C461,MUSTERILER!$B$7:$B$106,0)),"TANIMSIZ MÜŞTERİ"))</f>
        <v/>
      </c>
      <c r="E461" s="114" t="n"/>
      <c r="F461" s="115" t="n"/>
      <c r="G461" s="107" t="n"/>
      <c r="H461" s="107" t="n"/>
      <c r="I461" s="108" t="n"/>
      <c r="J461" s="108" t="n"/>
      <c r="K461" s="108" t="n"/>
      <c r="L461" s="119">
        <f>IF($E461="","",DATE(YEAR($E461),MONTH($E461),1))</f>
        <v/>
      </c>
      <c r="M461" s="112">
        <f>IF($C461="","",IF($D461="TANIMSIZ MÜŞTERİ","HATA",IF(OR($E461="",$F461&lt;=0,$G461=""),"EKSİK",IF($E461&gt;TODAY(),"İLERİ TARİH","UYGUN"))))</f>
        <v/>
      </c>
      <c r="N461" s="6" t="n"/>
      <c r="O461" s="6" t="n"/>
    </row>
    <row r="462">
      <c r="A462" s="6" t="n"/>
      <c r="B462" s="112">
        <f>IF($C462="","","T"&amp;TEXT(ROW()-6,"00000"))</f>
        <v/>
      </c>
      <c r="C462" s="107" t="n"/>
      <c r="D462" s="113">
        <f>IF($C462="","",IFERROR(INDEX(MUSTERILER!$C$7:$C$106,MATCH($C462,MUSTERILER!$B$7:$B$106,0)),"TANIMSIZ MÜŞTERİ"))</f>
        <v/>
      </c>
      <c r="E462" s="114" t="n"/>
      <c r="F462" s="115" t="n"/>
      <c r="G462" s="107" t="n"/>
      <c r="H462" s="107" t="n"/>
      <c r="I462" s="108" t="n"/>
      <c r="J462" s="108" t="n"/>
      <c r="K462" s="108" t="n"/>
      <c r="L462" s="119">
        <f>IF($E462="","",DATE(YEAR($E462),MONTH($E462),1))</f>
        <v/>
      </c>
      <c r="M462" s="112">
        <f>IF($C462="","",IF($D462="TANIMSIZ MÜŞTERİ","HATA",IF(OR($E462="",$F462&lt;=0,$G462=""),"EKSİK",IF($E462&gt;TODAY(),"İLERİ TARİH","UYGUN"))))</f>
        <v/>
      </c>
      <c r="N462" s="6" t="n"/>
      <c r="O462" s="6" t="n"/>
    </row>
    <row r="463">
      <c r="A463" s="6" t="n"/>
      <c r="B463" s="112">
        <f>IF($C463="","","T"&amp;TEXT(ROW()-6,"00000"))</f>
        <v/>
      </c>
      <c r="C463" s="107" t="n"/>
      <c r="D463" s="113">
        <f>IF($C463="","",IFERROR(INDEX(MUSTERILER!$C$7:$C$106,MATCH($C463,MUSTERILER!$B$7:$B$106,0)),"TANIMSIZ MÜŞTERİ"))</f>
        <v/>
      </c>
      <c r="E463" s="114" t="n"/>
      <c r="F463" s="115" t="n"/>
      <c r="G463" s="107" t="n"/>
      <c r="H463" s="107" t="n"/>
      <c r="I463" s="108" t="n"/>
      <c r="J463" s="108" t="n"/>
      <c r="K463" s="108" t="n"/>
      <c r="L463" s="119">
        <f>IF($E463="","",DATE(YEAR($E463),MONTH($E463),1))</f>
        <v/>
      </c>
      <c r="M463" s="112">
        <f>IF($C463="","",IF($D463="TANIMSIZ MÜŞTERİ","HATA",IF(OR($E463="",$F463&lt;=0,$G463=""),"EKSİK",IF($E463&gt;TODAY(),"İLERİ TARİH","UYGUN"))))</f>
        <v/>
      </c>
      <c r="N463" s="6" t="n"/>
      <c r="O463" s="6" t="n"/>
    </row>
    <row r="464">
      <c r="A464" s="6" t="n"/>
      <c r="B464" s="112">
        <f>IF($C464="","","T"&amp;TEXT(ROW()-6,"00000"))</f>
        <v/>
      </c>
      <c r="C464" s="107" t="n"/>
      <c r="D464" s="113">
        <f>IF($C464="","",IFERROR(INDEX(MUSTERILER!$C$7:$C$106,MATCH($C464,MUSTERILER!$B$7:$B$106,0)),"TANIMSIZ MÜŞTERİ"))</f>
        <v/>
      </c>
      <c r="E464" s="114" t="n"/>
      <c r="F464" s="115" t="n"/>
      <c r="G464" s="107" t="n"/>
      <c r="H464" s="107" t="n"/>
      <c r="I464" s="108" t="n"/>
      <c r="J464" s="108" t="n"/>
      <c r="K464" s="108" t="n"/>
      <c r="L464" s="119">
        <f>IF($E464="","",DATE(YEAR($E464),MONTH($E464),1))</f>
        <v/>
      </c>
      <c r="M464" s="112">
        <f>IF($C464="","",IF($D464="TANIMSIZ MÜŞTERİ","HATA",IF(OR($E464="",$F464&lt;=0,$G464=""),"EKSİK",IF($E464&gt;TODAY(),"İLERİ TARİH","UYGUN"))))</f>
        <v/>
      </c>
      <c r="N464" s="6" t="n"/>
      <c r="O464" s="6" t="n"/>
    </row>
    <row r="465">
      <c r="A465" s="6" t="n"/>
      <c r="B465" s="112">
        <f>IF($C465="","","T"&amp;TEXT(ROW()-6,"00000"))</f>
        <v/>
      </c>
      <c r="C465" s="107" t="n"/>
      <c r="D465" s="113">
        <f>IF($C465="","",IFERROR(INDEX(MUSTERILER!$C$7:$C$106,MATCH($C465,MUSTERILER!$B$7:$B$106,0)),"TANIMSIZ MÜŞTERİ"))</f>
        <v/>
      </c>
      <c r="E465" s="114" t="n"/>
      <c r="F465" s="115" t="n"/>
      <c r="G465" s="107" t="n"/>
      <c r="H465" s="107" t="n"/>
      <c r="I465" s="108" t="n"/>
      <c r="J465" s="108" t="n"/>
      <c r="K465" s="108" t="n"/>
      <c r="L465" s="119">
        <f>IF($E465="","",DATE(YEAR($E465),MONTH($E465),1))</f>
        <v/>
      </c>
      <c r="M465" s="112">
        <f>IF($C465="","",IF($D465="TANIMSIZ MÜŞTERİ","HATA",IF(OR($E465="",$F465&lt;=0,$G465=""),"EKSİK",IF($E465&gt;TODAY(),"İLERİ TARİH","UYGUN"))))</f>
        <v/>
      </c>
      <c r="N465" s="6" t="n"/>
      <c r="O465" s="6" t="n"/>
    </row>
    <row r="466">
      <c r="A466" s="6" t="n"/>
      <c r="B466" s="112">
        <f>IF($C466="","","T"&amp;TEXT(ROW()-6,"00000"))</f>
        <v/>
      </c>
      <c r="C466" s="107" t="n"/>
      <c r="D466" s="113">
        <f>IF($C466="","",IFERROR(INDEX(MUSTERILER!$C$7:$C$106,MATCH($C466,MUSTERILER!$B$7:$B$106,0)),"TANIMSIZ MÜŞTERİ"))</f>
        <v/>
      </c>
      <c r="E466" s="114" t="n"/>
      <c r="F466" s="115" t="n"/>
      <c r="G466" s="107" t="n"/>
      <c r="H466" s="107" t="n"/>
      <c r="I466" s="108" t="n"/>
      <c r="J466" s="108" t="n"/>
      <c r="K466" s="108" t="n"/>
      <c r="L466" s="119">
        <f>IF($E466="","",DATE(YEAR($E466),MONTH($E466),1))</f>
        <v/>
      </c>
      <c r="M466" s="112">
        <f>IF($C466="","",IF($D466="TANIMSIZ MÜŞTERİ","HATA",IF(OR($E466="",$F466&lt;=0,$G466=""),"EKSİK",IF($E466&gt;TODAY(),"İLERİ TARİH","UYGUN"))))</f>
        <v/>
      </c>
      <c r="N466" s="6" t="n"/>
      <c r="O466" s="6" t="n"/>
    </row>
    <row r="467">
      <c r="A467" s="6" t="n"/>
      <c r="B467" s="112">
        <f>IF($C467="","","T"&amp;TEXT(ROW()-6,"00000"))</f>
        <v/>
      </c>
      <c r="C467" s="107" t="n"/>
      <c r="D467" s="113">
        <f>IF($C467="","",IFERROR(INDEX(MUSTERILER!$C$7:$C$106,MATCH($C467,MUSTERILER!$B$7:$B$106,0)),"TANIMSIZ MÜŞTERİ"))</f>
        <v/>
      </c>
      <c r="E467" s="114" t="n"/>
      <c r="F467" s="115" t="n"/>
      <c r="G467" s="107" t="n"/>
      <c r="H467" s="107" t="n"/>
      <c r="I467" s="108" t="n"/>
      <c r="J467" s="108" t="n"/>
      <c r="K467" s="108" t="n"/>
      <c r="L467" s="119">
        <f>IF($E467="","",DATE(YEAR($E467),MONTH($E467),1))</f>
        <v/>
      </c>
      <c r="M467" s="112">
        <f>IF($C467="","",IF($D467="TANIMSIZ MÜŞTERİ","HATA",IF(OR($E467="",$F467&lt;=0,$G467=""),"EKSİK",IF($E467&gt;TODAY(),"İLERİ TARİH","UYGUN"))))</f>
        <v/>
      </c>
      <c r="N467" s="6" t="n"/>
      <c r="O467" s="6" t="n"/>
    </row>
    <row r="468">
      <c r="A468" s="6" t="n"/>
      <c r="B468" s="112">
        <f>IF($C468="","","T"&amp;TEXT(ROW()-6,"00000"))</f>
        <v/>
      </c>
      <c r="C468" s="107" t="n"/>
      <c r="D468" s="113">
        <f>IF($C468="","",IFERROR(INDEX(MUSTERILER!$C$7:$C$106,MATCH($C468,MUSTERILER!$B$7:$B$106,0)),"TANIMSIZ MÜŞTERİ"))</f>
        <v/>
      </c>
      <c r="E468" s="114" t="n"/>
      <c r="F468" s="115" t="n"/>
      <c r="G468" s="107" t="n"/>
      <c r="H468" s="107" t="n"/>
      <c r="I468" s="108" t="n"/>
      <c r="J468" s="108" t="n"/>
      <c r="K468" s="108" t="n"/>
      <c r="L468" s="119">
        <f>IF($E468="","",DATE(YEAR($E468),MONTH($E468),1))</f>
        <v/>
      </c>
      <c r="M468" s="112">
        <f>IF($C468="","",IF($D468="TANIMSIZ MÜŞTERİ","HATA",IF(OR($E468="",$F468&lt;=0,$G468=""),"EKSİK",IF($E468&gt;TODAY(),"İLERİ TARİH","UYGUN"))))</f>
        <v/>
      </c>
      <c r="N468" s="6" t="n"/>
      <c r="O468" s="6" t="n"/>
    </row>
    <row r="469">
      <c r="A469" s="6" t="n"/>
      <c r="B469" s="112">
        <f>IF($C469="","","T"&amp;TEXT(ROW()-6,"00000"))</f>
        <v/>
      </c>
      <c r="C469" s="107" t="n"/>
      <c r="D469" s="113">
        <f>IF($C469="","",IFERROR(INDEX(MUSTERILER!$C$7:$C$106,MATCH($C469,MUSTERILER!$B$7:$B$106,0)),"TANIMSIZ MÜŞTERİ"))</f>
        <v/>
      </c>
      <c r="E469" s="114" t="n"/>
      <c r="F469" s="115" t="n"/>
      <c r="G469" s="107" t="n"/>
      <c r="H469" s="107" t="n"/>
      <c r="I469" s="108" t="n"/>
      <c r="J469" s="108" t="n"/>
      <c r="K469" s="108" t="n"/>
      <c r="L469" s="119">
        <f>IF($E469="","",DATE(YEAR($E469),MONTH($E469),1))</f>
        <v/>
      </c>
      <c r="M469" s="112">
        <f>IF($C469="","",IF($D469="TANIMSIZ MÜŞTERİ","HATA",IF(OR($E469="",$F469&lt;=0,$G469=""),"EKSİK",IF($E469&gt;TODAY(),"İLERİ TARİH","UYGUN"))))</f>
        <v/>
      </c>
      <c r="N469" s="6" t="n"/>
      <c r="O469" s="6" t="n"/>
    </row>
    <row r="470">
      <c r="A470" s="6" t="n"/>
      <c r="B470" s="112">
        <f>IF($C470="","","T"&amp;TEXT(ROW()-6,"00000"))</f>
        <v/>
      </c>
      <c r="C470" s="107" t="n"/>
      <c r="D470" s="113">
        <f>IF($C470="","",IFERROR(INDEX(MUSTERILER!$C$7:$C$106,MATCH($C470,MUSTERILER!$B$7:$B$106,0)),"TANIMSIZ MÜŞTERİ"))</f>
        <v/>
      </c>
      <c r="E470" s="114" t="n"/>
      <c r="F470" s="115" t="n"/>
      <c r="G470" s="107" t="n"/>
      <c r="H470" s="107" t="n"/>
      <c r="I470" s="108" t="n"/>
      <c r="J470" s="108" t="n"/>
      <c r="K470" s="108" t="n"/>
      <c r="L470" s="119">
        <f>IF($E470="","",DATE(YEAR($E470),MONTH($E470),1))</f>
        <v/>
      </c>
      <c r="M470" s="112">
        <f>IF($C470="","",IF($D470="TANIMSIZ MÜŞTERİ","HATA",IF(OR($E470="",$F470&lt;=0,$G470=""),"EKSİK",IF($E470&gt;TODAY(),"İLERİ TARİH","UYGUN"))))</f>
        <v/>
      </c>
      <c r="N470" s="6" t="n"/>
      <c r="O470" s="6" t="n"/>
    </row>
    <row r="471">
      <c r="A471" s="6" t="n"/>
      <c r="B471" s="112">
        <f>IF($C471="","","T"&amp;TEXT(ROW()-6,"00000"))</f>
        <v/>
      </c>
      <c r="C471" s="107" t="n"/>
      <c r="D471" s="113">
        <f>IF($C471="","",IFERROR(INDEX(MUSTERILER!$C$7:$C$106,MATCH($C471,MUSTERILER!$B$7:$B$106,0)),"TANIMSIZ MÜŞTERİ"))</f>
        <v/>
      </c>
      <c r="E471" s="114" t="n"/>
      <c r="F471" s="115" t="n"/>
      <c r="G471" s="107" t="n"/>
      <c r="H471" s="107" t="n"/>
      <c r="I471" s="108" t="n"/>
      <c r="J471" s="108" t="n"/>
      <c r="K471" s="108" t="n"/>
      <c r="L471" s="119">
        <f>IF($E471="","",DATE(YEAR($E471),MONTH($E471),1))</f>
        <v/>
      </c>
      <c r="M471" s="112">
        <f>IF($C471="","",IF($D471="TANIMSIZ MÜŞTERİ","HATA",IF(OR($E471="",$F471&lt;=0,$G471=""),"EKSİK",IF($E471&gt;TODAY(),"İLERİ TARİH","UYGUN"))))</f>
        <v/>
      </c>
      <c r="N471" s="6" t="n"/>
      <c r="O471" s="6" t="n"/>
    </row>
    <row r="472">
      <c r="A472" s="6" t="n"/>
      <c r="B472" s="112">
        <f>IF($C472="","","T"&amp;TEXT(ROW()-6,"00000"))</f>
        <v/>
      </c>
      <c r="C472" s="107" t="n"/>
      <c r="D472" s="113">
        <f>IF($C472="","",IFERROR(INDEX(MUSTERILER!$C$7:$C$106,MATCH($C472,MUSTERILER!$B$7:$B$106,0)),"TANIMSIZ MÜŞTERİ"))</f>
        <v/>
      </c>
      <c r="E472" s="114" t="n"/>
      <c r="F472" s="115" t="n"/>
      <c r="G472" s="107" t="n"/>
      <c r="H472" s="107" t="n"/>
      <c r="I472" s="108" t="n"/>
      <c r="J472" s="108" t="n"/>
      <c r="K472" s="108" t="n"/>
      <c r="L472" s="119">
        <f>IF($E472="","",DATE(YEAR($E472),MONTH($E472),1))</f>
        <v/>
      </c>
      <c r="M472" s="112">
        <f>IF($C472="","",IF($D472="TANIMSIZ MÜŞTERİ","HATA",IF(OR($E472="",$F472&lt;=0,$G472=""),"EKSİK",IF($E472&gt;TODAY(),"İLERİ TARİH","UYGUN"))))</f>
        <v/>
      </c>
      <c r="N472" s="6" t="n"/>
      <c r="O472" s="6" t="n"/>
    </row>
    <row r="473">
      <c r="A473" s="6" t="n"/>
      <c r="B473" s="112">
        <f>IF($C473="","","T"&amp;TEXT(ROW()-6,"00000"))</f>
        <v/>
      </c>
      <c r="C473" s="107" t="n"/>
      <c r="D473" s="113">
        <f>IF($C473="","",IFERROR(INDEX(MUSTERILER!$C$7:$C$106,MATCH($C473,MUSTERILER!$B$7:$B$106,0)),"TANIMSIZ MÜŞTERİ"))</f>
        <v/>
      </c>
      <c r="E473" s="114" t="n"/>
      <c r="F473" s="115" t="n"/>
      <c r="G473" s="107" t="n"/>
      <c r="H473" s="107" t="n"/>
      <c r="I473" s="108" t="n"/>
      <c r="J473" s="108" t="n"/>
      <c r="K473" s="108" t="n"/>
      <c r="L473" s="119">
        <f>IF($E473="","",DATE(YEAR($E473),MONTH($E473),1))</f>
        <v/>
      </c>
      <c r="M473" s="112">
        <f>IF($C473="","",IF($D473="TANIMSIZ MÜŞTERİ","HATA",IF(OR($E473="",$F473&lt;=0,$G473=""),"EKSİK",IF($E473&gt;TODAY(),"İLERİ TARİH","UYGUN"))))</f>
        <v/>
      </c>
      <c r="N473" s="6" t="n"/>
      <c r="O473" s="6" t="n"/>
    </row>
    <row r="474">
      <c r="A474" s="6" t="n"/>
      <c r="B474" s="112">
        <f>IF($C474="","","T"&amp;TEXT(ROW()-6,"00000"))</f>
        <v/>
      </c>
      <c r="C474" s="107" t="n"/>
      <c r="D474" s="113">
        <f>IF($C474="","",IFERROR(INDEX(MUSTERILER!$C$7:$C$106,MATCH($C474,MUSTERILER!$B$7:$B$106,0)),"TANIMSIZ MÜŞTERİ"))</f>
        <v/>
      </c>
      <c r="E474" s="114" t="n"/>
      <c r="F474" s="115" t="n"/>
      <c r="G474" s="107" t="n"/>
      <c r="H474" s="107" t="n"/>
      <c r="I474" s="108" t="n"/>
      <c r="J474" s="108" t="n"/>
      <c r="K474" s="108" t="n"/>
      <c r="L474" s="119">
        <f>IF($E474="","",DATE(YEAR($E474),MONTH($E474),1))</f>
        <v/>
      </c>
      <c r="M474" s="112">
        <f>IF($C474="","",IF($D474="TANIMSIZ MÜŞTERİ","HATA",IF(OR($E474="",$F474&lt;=0,$G474=""),"EKSİK",IF($E474&gt;TODAY(),"İLERİ TARİH","UYGUN"))))</f>
        <v/>
      </c>
      <c r="N474" s="6" t="n"/>
      <c r="O474" s="6" t="n"/>
    </row>
    <row r="475">
      <c r="A475" s="6" t="n"/>
      <c r="B475" s="112">
        <f>IF($C475="","","T"&amp;TEXT(ROW()-6,"00000"))</f>
        <v/>
      </c>
      <c r="C475" s="107" t="n"/>
      <c r="D475" s="113">
        <f>IF($C475="","",IFERROR(INDEX(MUSTERILER!$C$7:$C$106,MATCH($C475,MUSTERILER!$B$7:$B$106,0)),"TANIMSIZ MÜŞTERİ"))</f>
        <v/>
      </c>
      <c r="E475" s="114" t="n"/>
      <c r="F475" s="115" t="n"/>
      <c r="G475" s="107" t="n"/>
      <c r="H475" s="107" t="n"/>
      <c r="I475" s="108" t="n"/>
      <c r="J475" s="108" t="n"/>
      <c r="K475" s="108" t="n"/>
      <c r="L475" s="119">
        <f>IF($E475="","",DATE(YEAR($E475),MONTH($E475),1))</f>
        <v/>
      </c>
      <c r="M475" s="112">
        <f>IF($C475="","",IF($D475="TANIMSIZ MÜŞTERİ","HATA",IF(OR($E475="",$F475&lt;=0,$G475=""),"EKSİK",IF($E475&gt;TODAY(),"İLERİ TARİH","UYGUN"))))</f>
        <v/>
      </c>
      <c r="N475" s="6" t="n"/>
      <c r="O475" s="6" t="n"/>
    </row>
    <row r="476">
      <c r="A476" s="6" t="n"/>
      <c r="B476" s="112">
        <f>IF($C476="","","T"&amp;TEXT(ROW()-6,"00000"))</f>
        <v/>
      </c>
      <c r="C476" s="107" t="n"/>
      <c r="D476" s="113">
        <f>IF($C476="","",IFERROR(INDEX(MUSTERILER!$C$7:$C$106,MATCH($C476,MUSTERILER!$B$7:$B$106,0)),"TANIMSIZ MÜŞTERİ"))</f>
        <v/>
      </c>
      <c r="E476" s="114" t="n"/>
      <c r="F476" s="115" t="n"/>
      <c r="G476" s="107" t="n"/>
      <c r="H476" s="107" t="n"/>
      <c r="I476" s="108" t="n"/>
      <c r="J476" s="108" t="n"/>
      <c r="K476" s="108" t="n"/>
      <c r="L476" s="119">
        <f>IF($E476="","",DATE(YEAR($E476),MONTH($E476),1))</f>
        <v/>
      </c>
      <c r="M476" s="112">
        <f>IF($C476="","",IF($D476="TANIMSIZ MÜŞTERİ","HATA",IF(OR($E476="",$F476&lt;=0,$G476=""),"EKSİK",IF($E476&gt;TODAY(),"İLERİ TARİH","UYGUN"))))</f>
        <v/>
      </c>
      <c r="N476" s="6" t="n"/>
      <c r="O476" s="6" t="n"/>
    </row>
    <row r="477">
      <c r="A477" s="6" t="n"/>
      <c r="B477" s="112">
        <f>IF($C477="","","T"&amp;TEXT(ROW()-6,"00000"))</f>
        <v/>
      </c>
      <c r="C477" s="107" t="n"/>
      <c r="D477" s="113">
        <f>IF($C477="","",IFERROR(INDEX(MUSTERILER!$C$7:$C$106,MATCH($C477,MUSTERILER!$B$7:$B$106,0)),"TANIMSIZ MÜŞTERİ"))</f>
        <v/>
      </c>
      <c r="E477" s="114" t="n"/>
      <c r="F477" s="115" t="n"/>
      <c r="G477" s="107" t="n"/>
      <c r="H477" s="107" t="n"/>
      <c r="I477" s="108" t="n"/>
      <c r="J477" s="108" t="n"/>
      <c r="K477" s="108" t="n"/>
      <c r="L477" s="119">
        <f>IF($E477="","",DATE(YEAR($E477),MONTH($E477),1))</f>
        <v/>
      </c>
      <c r="M477" s="112">
        <f>IF($C477="","",IF($D477="TANIMSIZ MÜŞTERİ","HATA",IF(OR($E477="",$F477&lt;=0,$G477=""),"EKSİK",IF($E477&gt;TODAY(),"İLERİ TARİH","UYGUN"))))</f>
        <v/>
      </c>
      <c r="N477" s="6" t="n"/>
      <c r="O477" s="6" t="n"/>
    </row>
    <row r="478">
      <c r="A478" s="6" t="n"/>
      <c r="B478" s="112">
        <f>IF($C478="","","T"&amp;TEXT(ROW()-6,"00000"))</f>
        <v/>
      </c>
      <c r="C478" s="107" t="n"/>
      <c r="D478" s="113">
        <f>IF($C478="","",IFERROR(INDEX(MUSTERILER!$C$7:$C$106,MATCH($C478,MUSTERILER!$B$7:$B$106,0)),"TANIMSIZ MÜŞTERİ"))</f>
        <v/>
      </c>
      <c r="E478" s="114" t="n"/>
      <c r="F478" s="115" t="n"/>
      <c r="G478" s="107" t="n"/>
      <c r="H478" s="107" t="n"/>
      <c r="I478" s="108" t="n"/>
      <c r="J478" s="108" t="n"/>
      <c r="K478" s="108" t="n"/>
      <c r="L478" s="119">
        <f>IF($E478="","",DATE(YEAR($E478),MONTH($E478),1))</f>
        <v/>
      </c>
      <c r="M478" s="112">
        <f>IF($C478="","",IF($D478="TANIMSIZ MÜŞTERİ","HATA",IF(OR($E478="",$F478&lt;=0,$G478=""),"EKSİK",IF($E478&gt;TODAY(),"İLERİ TARİH","UYGUN"))))</f>
        <v/>
      </c>
      <c r="N478" s="6" t="n"/>
      <c r="O478" s="6" t="n"/>
    </row>
    <row r="479">
      <c r="A479" s="6" t="n"/>
      <c r="B479" s="112">
        <f>IF($C479="","","T"&amp;TEXT(ROW()-6,"00000"))</f>
        <v/>
      </c>
      <c r="C479" s="107" t="n"/>
      <c r="D479" s="113">
        <f>IF($C479="","",IFERROR(INDEX(MUSTERILER!$C$7:$C$106,MATCH($C479,MUSTERILER!$B$7:$B$106,0)),"TANIMSIZ MÜŞTERİ"))</f>
        <v/>
      </c>
      <c r="E479" s="114" t="n"/>
      <c r="F479" s="115" t="n"/>
      <c r="G479" s="107" t="n"/>
      <c r="H479" s="107" t="n"/>
      <c r="I479" s="108" t="n"/>
      <c r="J479" s="108" t="n"/>
      <c r="K479" s="108" t="n"/>
      <c r="L479" s="119">
        <f>IF($E479="","",DATE(YEAR($E479),MONTH($E479),1))</f>
        <v/>
      </c>
      <c r="M479" s="112">
        <f>IF($C479="","",IF($D479="TANIMSIZ MÜŞTERİ","HATA",IF(OR($E479="",$F479&lt;=0,$G479=""),"EKSİK",IF($E479&gt;TODAY(),"İLERİ TARİH","UYGUN"))))</f>
        <v/>
      </c>
      <c r="N479" s="6" t="n"/>
      <c r="O479" s="6" t="n"/>
    </row>
    <row r="480">
      <c r="A480" s="6" t="n"/>
      <c r="B480" s="112">
        <f>IF($C480="","","T"&amp;TEXT(ROW()-6,"00000"))</f>
        <v/>
      </c>
      <c r="C480" s="107" t="n"/>
      <c r="D480" s="113">
        <f>IF($C480="","",IFERROR(INDEX(MUSTERILER!$C$7:$C$106,MATCH($C480,MUSTERILER!$B$7:$B$106,0)),"TANIMSIZ MÜŞTERİ"))</f>
        <v/>
      </c>
      <c r="E480" s="114" t="n"/>
      <c r="F480" s="115" t="n"/>
      <c r="G480" s="107" t="n"/>
      <c r="H480" s="107" t="n"/>
      <c r="I480" s="108" t="n"/>
      <c r="J480" s="108" t="n"/>
      <c r="K480" s="108" t="n"/>
      <c r="L480" s="119">
        <f>IF($E480="","",DATE(YEAR($E480),MONTH($E480),1))</f>
        <v/>
      </c>
      <c r="M480" s="112">
        <f>IF($C480="","",IF($D480="TANIMSIZ MÜŞTERİ","HATA",IF(OR($E480="",$F480&lt;=0,$G480=""),"EKSİK",IF($E480&gt;TODAY(),"İLERİ TARİH","UYGUN"))))</f>
        <v/>
      </c>
      <c r="N480" s="6" t="n"/>
      <c r="O480" s="6" t="n"/>
    </row>
    <row r="481">
      <c r="A481" s="6" t="n"/>
      <c r="B481" s="112">
        <f>IF($C481="","","T"&amp;TEXT(ROW()-6,"00000"))</f>
        <v/>
      </c>
      <c r="C481" s="107" t="n"/>
      <c r="D481" s="113">
        <f>IF($C481="","",IFERROR(INDEX(MUSTERILER!$C$7:$C$106,MATCH($C481,MUSTERILER!$B$7:$B$106,0)),"TANIMSIZ MÜŞTERİ"))</f>
        <v/>
      </c>
      <c r="E481" s="114" t="n"/>
      <c r="F481" s="115" t="n"/>
      <c r="G481" s="107" t="n"/>
      <c r="H481" s="107" t="n"/>
      <c r="I481" s="108" t="n"/>
      <c r="J481" s="108" t="n"/>
      <c r="K481" s="108" t="n"/>
      <c r="L481" s="119">
        <f>IF($E481="","",DATE(YEAR($E481),MONTH($E481),1))</f>
        <v/>
      </c>
      <c r="M481" s="112">
        <f>IF($C481="","",IF($D481="TANIMSIZ MÜŞTERİ","HATA",IF(OR($E481="",$F481&lt;=0,$G481=""),"EKSİK",IF($E481&gt;TODAY(),"İLERİ TARİH","UYGUN"))))</f>
        <v/>
      </c>
      <c r="N481" s="6" t="n"/>
      <c r="O481" s="6" t="n"/>
    </row>
    <row r="482">
      <c r="A482" s="6" t="n"/>
      <c r="B482" s="112">
        <f>IF($C482="","","T"&amp;TEXT(ROW()-6,"00000"))</f>
        <v/>
      </c>
      <c r="C482" s="107" t="n"/>
      <c r="D482" s="113">
        <f>IF($C482="","",IFERROR(INDEX(MUSTERILER!$C$7:$C$106,MATCH($C482,MUSTERILER!$B$7:$B$106,0)),"TANIMSIZ MÜŞTERİ"))</f>
        <v/>
      </c>
      <c r="E482" s="114" t="n"/>
      <c r="F482" s="115" t="n"/>
      <c r="G482" s="107" t="n"/>
      <c r="H482" s="107" t="n"/>
      <c r="I482" s="108" t="n"/>
      <c r="J482" s="108" t="n"/>
      <c r="K482" s="108" t="n"/>
      <c r="L482" s="119">
        <f>IF($E482="","",DATE(YEAR($E482),MONTH($E482),1))</f>
        <v/>
      </c>
      <c r="M482" s="112">
        <f>IF($C482="","",IF($D482="TANIMSIZ MÜŞTERİ","HATA",IF(OR($E482="",$F482&lt;=0,$G482=""),"EKSİK",IF($E482&gt;TODAY(),"İLERİ TARİH","UYGUN"))))</f>
        <v/>
      </c>
      <c r="N482" s="6" t="n"/>
      <c r="O482" s="6" t="n"/>
    </row>
    <row r="483">
      <c r="A483" s="6" t="n"/>
      <c r="B483" s="112">
        <f>IF($C483="","","T"&amp;TEXT(ROW()-6,"00000"))</f>
        <v/>
      </c>
      <c r="C483" s="107" t="n"/>
      <c r="D483" s="113">
        <f>IF($C483="","",IFERROR(INDEX(MUSTERILER!$C$7:$C$106,MATCH($C483,MUSTERILER!$B$7:$B$106,0)),"TANIMSIZ MÜŞTERİ"))</f>
        <v/>
      </c>
      <c r="E483" s="114" t="n"/>
      <c r="F483" s="115" t="n"/>
      <c r="G483" s="107" t="n"/>
      <c r="H483" s="107" t="n"/>
      <c r="I483" s="108" t="n"/>
      <c r="J483" s="108" t="n"/>
      <c r="K483" s="108" t="n"/>
      <c r="L483" s="119">
        <f>IF($E483="","",DATE(YEAR($E483),MONTH($E483),1))</f>
        <v/>
      </c>
      <c r="M483" s="112">
        <f>IF($C483="","",IF($D483="TANIMSIZ MÜŞTERİ","HATA",IF(OR($E483="",$F483&lt;=0,$G483=""),"EKSİK",IF($E483&gt;TODAY(),"İLERİ TARİH","UYGUN"))))</f>
        <v/>
      </c>
      <c r="N483" s="6" t="n"/>
      <c r="O483" s="6" t="n"/>
    </row>
    <row r="484">
      <c r="A484" s="6" t="n"/>
      <c r="B484" s="112">
        <f>IF($C484="","","T"&amp;TEXT(ROW()-6,"00000"))</f>
        <v/>
      </c>
      <c r="C484" s="107" t="n"/>
      <c r="D484" s="113">
        <f>IF($C484="","",IFERROR(INDEX(MUSTERILER!$C$7:$C$106,MATCH($C484,MUSTERILER!$B$7:$B$106,0)),"TANIMSIZ MÜŞTERİ"))</f>
        <v/>
      </c>
      <c r="E484" s="114" t="n"/>
      <c r="F484" s="115" t="n"/>
      <c r="G484" s="107" t="n"/>
      <c r="H484" s="107" t="n"/>
      <c r="I484" s="108" t="n"/>
      <c r="J484" s="108" t="n"/>
      <c r="K484" s="108" t="n"/>
      <c r="L484" s="119">
        <f>IF($E484="","",DATE(YEAR($E484),MONTH($E484),1))</f>
        <v/>
      </c>
      <c r="M484" s="112">
        <f>IF($C484="","",IF($D484="TANIMSIZ MÜŞTERİ","HATA",IF(OR($E484="",$F484&lt;=0,$G484=""),"EKSİK",IF($E484&gt;TODAY(),"İLERİ TARİH","UYGUN"))))</f>
        <v/>
      </c>
      <c r="N484" s="6" t="n"/>
      <c r="O484" s="6" t="n"/>
    </row>
    <row r="485">
      <c r="A485" s="6" t="n"/>
      <c r="B485" s="112">
        <f>IF($C485="","","T"&amp;TEXT(ROW()-6,"00000"))</f>
        <v/>
      </c>
      <c r="C485" s="107" t="n"/>
      <c r="D485" s="113">
        <f>IF($C485="","",IFERROR(INDEX(MUSTERILER!$C$7:$C$106,MATCH($C485,MUSTERILER!$B$7:$B$106,0)),"TANIMSIZ MÜŞTERİ"))</f>
        <v/>
      </c>
      <c r="E485" s="114" t="n"/>
      <c r="F485" s="115" t="n"/>
      <c r="G485" s="107" t="n"/>
      <c r="H485" s="107" t="n"/>
      <c r="I485" s="108" t="n"/>
      <c r="J485" s="108" t="n"/>
      <c r="K485" s="108" t="n"/>
      <c r="L485" s="119">
        <f>IF($E485="","",DATE(YEAR($E485),MONTH($E485),1))</f>
        <v/>
      </c>
      <c r="M485" s="112">
        <f>IF($C485="","",IF($D485="TANIMSIZ MÜŞTERİ","HATA",IF(OR($E485="",$F485&lt;=0,$G485=""),"EKSİK",IF($E485&gt;TODAY(),"İLERİ TARİH","UYGUN"))))</f>
        <v/>
      </c>
      <c r="N485" s="6" t="n"/>
      <c r="O485" s="6" t="n"/>
    </row>
    <row r="486">
      <c r="A486" s="6" t="n"/>
      <c r="B486" s="112">
        <f>IF($C486="","","T"&amp;TEXT(ROW()-6,"00000"))</f>
        <v/>
      </c>
      <c r="C486" s="107" t="n"/>
      <c r="D486" s="113">
        <f>IF($C486="","",IFERROR(INDEX(MUSTERILER!$C$7:$C$106,MATCH($C486,MUSTERILER!$B$7:$B$106,0)),"TANIMSIZ MÜŞTERİ"))</f>
        <v/>
      </c>
      <c r="E486" s="114" t="n"/>
      <c r="F486" s="115" t="n"/>
      <c r="G486" s="107" t="n"/>
      <c r="H486" s="107" t="n"/>
      <c r="I486" s="108" t="n"/>
      <c r="J486" s="108" t="n"/>
      <c r="K486" s="108" t="n"/>
      <c r="L486" s="119">
        <f>IF($E486="","",DATE(YEAR($E486),MONTH($E486),1))</f>
        <v/>
      </c>
      <c r="M486" s="112">
        <f>IF($C486="","",IF($D486="TANIMSIZ MÜŞTERİ","HATA",IF(OR($E486="",$F486&lt;=0,$G486=""),"EKSİK",IF($E486&gt;TODAY(),"İLERİ TARİH","UYGUN"))))</f>
        <v/>
      </c>
      <c r="N486" s="6" t="n"/>
      <c r="O486" s="6" t="n"/>
    </row>
    <row r="487">
      <c r="A487" s="6" t="n"/>
      <c r="B487" s="112">
        <f>IF($C487="","","T"&amp;TEXT(ROW()-6,"00000"))</f>
        <v/>
      </c>
      <c r="C487" s="107" t="n"/>
      <c r="D487" s="113">
        <f>IF($C487="","",IFERROR(INDEX(MUSTERILER!$C$7:$C$106,MATCH($C487,MUSTERILER!$B$7:$B$106,0)),"TANIMSIZ MÜŞTERİ"))</f>
        <v/>
      </c>
      <c r="E487" s="114" t="n"/>
      <c r="F487" s="115" t="n"/>
      <c r="G487" s="107" t="n"/>
      <c r="H487" s="107" t="n"/>
      <c r="I487" s="108" t="n"/>
      <c r="J487" s="108" t="n"/>
      <c r="K487" s="108" t="n"/>
      <c r="L487" s="119">
        <f>IF($E487="","",DATE(YEAR($E487),MONTH($E487),1))</f>
        <v/>
      </c>
      <c r="M487" s="112">
        <f>IF($C487="","",IF($D487="TANIMSIZ MÜŞTERİ","HATA",IF(OR($E487="",$F487&lt;=0,$G487=""),"EKSİK",IF($E487&gt;TODAY(),"İLERİ TARİH","UYGUN"))))</f>
        <v/>
      </c>
      <c r="N487" s="6" t="n"/>
      <c r="O487" s="6" t="n"/>
    </row>
    <row r="488">
      <c r="A488" s="6" t="n"/>
      <c r="B488" s="112">
        <f>IF($C488="","","T"&amp;TEXT(ROW()-6,"00000"))</f>
        <v/>
      </c>
      <c r="C488" s="107" t="n"/>
      <c r="D488" s="113">
        <f>IF($C488="","",IFERROR(INDEX(MUSTERILER!$C$7:$C$106,MATCH($C488,MUSTERILER!$B$7:$B$106,0)),"TANIMSIZ MÜŞTERİ"))</f>
        <v/>
      </c>
      <c r="E488" s="114" t="n"/>
      <c r="F488" s="115" t="n"/>
      <c r="G488" s="107" t="n"/>
      <c r="H488" s="107" t="n"/>
      <c r="I488" s="108" t="n"/>
      <c r="J488" s="108" t="n"/>
      <c r="K488" s="108" t="n"/>
      <c r="L488" s="119">
        <f>IF($E488="","",DATE(YEAR($E488),MONTH($E488),1))</f>
        <v/>
      </c>
      <c r="M488" s="112">
        <f>IF($C488="","",IF($D488="TANIMSIZ MÜŞTERİ","HATA",IF(OR($E488="",$F488&lt;=0,$G488=""),"EKSİK",IF($E488&gt;TODAY(),"İLERİ TARİH","UYGUN"))))</f>
        <v/>
      </c>
      <c r="N488" s="6" t="n"/>
      <c r="O488" s="6" t="n"/>
    </row>
    <row r="489">
      <c r="A489" s="6" t="n"/>
      <c r="B489" s="112">
        <f>IF($C489="","","T"&amp;TEXT(ROW()-6,"00000"))</f>
        <v/>
      </c>
      <c r="C489" s="107" t="n"/>
      <c r="D489" s="113">
        <f>IF($C489="","",IFERROR(INDEX(MUSTERILER!$C$7:$C$106,MATCH($C489,MUSTERILER!$B$7:$B$106,0)),"TANIMSIZ MÜŞTERİ"))</f>
        <v/>
      </c>
      <c r="E489" s="114" t="n"/>
      <c r="F489" s="115" t="n"/>
      <c r="G489" s="107" t="n"/>
      <c r="H489" s="107" t="n"/>
      <c r="I489" s="108" t="n"/>
      <c r="J489" s="108" t="n"/>
      <c r="K489" s="108" t="n"/>
      <c r="L489" s="119">
        <f>IF($E489="","",DATE(YEAR($E489),MONTH($E489),1))</f>
        <v/>
      </c>
      <c r="M489" s="112">
        <f>IF($C489="","",IF($D489="TANIMSIZ MÜŞTERİ","HATA",IF(OR($E489="",$F489&lt;=0,$G489=""),"EKSİK",IF($E489&gt;TODAY(),"İLERİ TARİH","UYGUN"))))</f>
        <v/>
      </c>
      <c r="N489" s="6" t="n"/>
      <c r="O489" s="6" t="n"/>
    </row>
    <row r="490">
      <c r="A490" s="6" t="n"/>
      <c r="B490" s="112">
        <f>IF($C490="","","T"&amp;TEXT(ROW()-6,"00000"))</f>
        <v/>
      </c>
      <c r="C490" s="107" t="n"/>
      <c r="D490" s="113">
        <f>IF($C490="","",IFERROR(INDEX(MUSTERILER!$C$7:$C$106,MATCH($C490,MUSTERILER!$B$7:$B$106,0)),"TANIMSIZ MÜŞTERİ"))</f>
        <v/>
      </c>
      <c r="E490" s="114" t="n"/>
      <c r="F490" s="115" t="n"/>
      <c r="G490" s="107" t="n"/>
      <c r="H490" s="107" t="n"/>
      <c r="I490" s="108" t="n"/>
      <c r="J490" s="108" t="n"/>
      <c r="K490" s="108" t="n"/>
      <c r="L490" s="119">
        <f>IF($E490="","",DATE(YEAR($E490),MONTH($E490),1))</f>
        <v/>
      </c>
      <c r="M490" s="112">
        <f>IF($C490="","",IF($D490="TANIMSIZ MÜŞTERİ","HATA",IF(OR($E490="",$F490&lt;=0,$G490=""),"EKSİK",IF($E490&gt;TODAY(),"İLERİ TARİH","UYGUN"))))</f>
        <v/>
      </c>
      <c r="N490" s="6" t="n"/>
      <c r="O490" s="6" t="n"/>
    </row>
    <row r="491">
      <c r="A491" s="6" t="n"/>
      <c r="B491" s="112">
        <f>IF($C491="","","T"&amp;TEXT(ROW()-6,"00000"))</f>
        <v/>
      </c>
      <c r="C491" s="107" t="n"/>
      <c r="D491" s="113">
        <f>IF($C491="","",IFERROR(INDEX(MUSTERILER!$C$7:$C$106,MATCH($C491,MUSTERILER!$B$7:$B$106,0)),"TANIMSIZ MÜŞTERİ"))</f>
        <v/>
      </c>
      <c r="E491" s="114" t="n"/>
      <c r="F491" s="115" t="n"/>
      <c r="G491" s="107" t="n"/>
      <c r="H491" s="107" t="n"/>
      <c r="I491" s="108" t="n"/>
      <c r="J491" s="108" t="n"/>
      <c r="K491" s="108" t="n"/>
      <c r="L491" s="119">
        <f>IF($E491="","",DATE(YEAR($E491),MONTH($E491),1))</f>
        <v/>
      </c>
      <c r="M491" s="112">
        <f>IF($C491="","",IF($D491="TANIMSIZ MÜŞTERİ","HATA",IF(OR($E491="",$F491&lt;=0,$G491=""),"EKSİK",IF($E491&gt;TODAY(),"İLERİ TARİH","UYGUN"))))</f>
        <v/>
      </c>
      <c r="N491" s="6" t="n"/>
      <c r="O491" s="6" t="n"/>
    </row>
    <row r="492">
      <c r="A492" s="6" t="n"/>
      <c r="B492" s="112">
        <f>IF($C492="","","T"&amp;TEXT(ROW()-6,"00000"))</f>
        <v/>
      </c>
      <c r="C492" s="107" t="n"/>
      <c r="D492" s="113">
        <f>IF($C492="","",IFERROR(INDEX(MUSTERILER!$C$7:$C$106,MATCH($C492,MUSTERILER!$B$7:$B$106,0)),"TANIMSIZ MÜŞTERİ"))</f>
        <v/>
      </c>
      <c r="E492" s="114" t="n"/>
      <c r="F492" s="115" t="n"/>
      <c r="G492" s="107" t="n"/>
      <c r="H492" s="107" t="n"/>
      <c r="I492" s="108" t="n"/>
      <c r="J492" s="108" t="n"/>
      <c r="K492" s="108" t="n"/>
      <c r="L492" s="119">
        <f>IF($E492="","",DATE(YEAR($E492),MONTH($E492),1))</f>
        <v/>
      </c>
      <c r="M492" s="112">
        <f>IF($C492="","",IF($D492="TANIMSIZ MÜŞTERİ","HATA",IF(OR($E492="",$F492&lt;=0,$G492=""),"EKSİK",IF($E492&gt;TODAY(),"İLERİ TARİH","UYGUN"))))</f>
        <v/>
      </c>
      <c r="N492" s="6" t="n"/>
      <c r="O492" s="6" t="n"/>
    </row>
    <row r="493">
      <c r="A493" s="6" t="n"/>
      <c r="B493" s="112">
        <f>IF($C493="","","T"&amp;TEXT(ROW()-6,"00000"))</f>
        <v/>
      </c>
      <c r="C493" s="107" t="n"/>
      <c r="D493" s="113">
        <f>IF($C493="","",IFERROR(INDEX(MUSTERILER!$C$7:$C$106,MATCH($C493,MUSTERILER!$B$7:$B$106,0)),"TANIMSIZ MÜŞTERİ"))</f>
        <v/>
      </c>
      <c r="E493" s="114" t="n"/>
      <c r="F493" s="115" t="n"/>
      <c r="G493" s="107" t="n"/>
      <c r="H493" s="107" t="n"/>
      <c r="I493" s="108" t="n"/>
      <c r="J493" s="108" t="n"/>
      <c r="K493" s="108" t="n"/>
      <c r="L493" s="119">
        <f>IF($E493="","",DATE(YEAR($E493),MONTH($E493),1))</f>
        <v/>
      </c>
      <c r="M493" s="112">
        <f>IF($C493="","",IF($D493="TANIMSIZ MÜŞTERİ","HATA",IF(OR($E493="",$F493&lt;=0,$G493=""),"EKSİK",IF($E493&gt;TODAY(),"İLERİ TARİH","UYGUN"))))</f>
        <v/>
      </c>
      <c r="N493" s="6" t="n"/>
      <c r="O493" s="6" t="n"/>
    </row>
    <row r="494">
      <c r="A494" s="6" t="n"/>
      <c r="B494" s="112">
        <f>IF($C494="","","T"&amp;TEXT(ROW()-6,"00000"))</f>
        <v/>
      </c>
      <c r="C494" s="107" t="n"/>
      <c r="D494" s="113">
        <f>IF($C494="","",IFERROR(INDEX(MUSTERILER!$C$7:$C$106,MATCH($C494,MUSTERILER!$B$7:$B$106,0)),"TANIMSIZ MÜŞTERİ"))</f>
        <v/>
      </c>
      <c r="E494" s="114" t="n"/>
      <c r="F494" s="115" t="n"/>
      <c r="G494" s="107" t="n"/>
      <c r="H494" s="107" t="n"/>
      <c r="I494" s="108" t="n"/>
      <c r="J494" s="108" t="n"/>
      <c r="K494" s="108" t="n"/>
      <c r="L494" s="119">
        <f>IF($E494="","",DATE(YEAR($E494),MONTH($E494),1))</f>
        <v/>
      </c>
      <c r="M494" s="112">
        <f>IF($C494="","",IF($D494="TANIMSIZ MÜŞTERİ","HATA",IF(OR($E494="",$F494&lt;=0,$G494=""),"EKSİK",IF($E494&gt;TODAY(),"İLERİ TARİH","UYGUN"))))</f>
        <v/>
      </c>
      <c r="N494" s="6" t="n"/>
      <c r="O494" s="6" t="n"/>
    </row>
    <row r="495">
      <c r="A495" s="6" t="n"/>
      <c r="B495" s="112">
        <f>IF($C495="","","T"&amp;TEXT(ROW()-6,"00000"))</f>
        <v/>
      </c>
      <c r="C495" s="107" t="n"/>
      <c r="D495" s="113">
        <f>IF($C495="","",IFERROR(INDEX(MUSTERILER!$C$7:$C$106,MATCH($C495,MUSTERILER!$B$7:$B$106,0)),"TANIMSIZ MÜŞTERİ"))</f>
        <v/>
      </c>
      <c r="E495" s="114" t="n"/>
      <c r="F495" s="115" t="n"/>
      <c r="G495" s="107" t="n"/>
      <c r="H495" s="107" t="n"/>
      <c r="I495" s="108" t="n"/>
      <c r="J495" s="108" t="n"/>
      <c r="K495" s="108" t="n"/>
      <c r="L495" s="119">
        <f>IF($E495="","",DATE(YEAR($E495),MONTH($E495),1))</f>
        <v/>
      </c>
      <c r="M495" s="112">
        <f>IF($C495="","",IF($D495="TANIMSIZ MÜŞTERİ","HATA",IF(OR($E495="",$F495&lt;=0,$G495=""),"EKSİK",IF($E495&gt;TODAY(),"İLERİ TARİH","UYGUN"))))</f>
        <v/>
      </c>
      <c r="N495" s="6" t="n"/>
      <c r="O495" s="6" t="n"/>
    </row>
    <row r="496">
      <c r="A496" s="6" t="n"/>
      <c r="B496" s="112">
        <f>IF($C496="","","T"&amp;TEXT(ROW()-6,"00000"))</f>
        <v/>
      </c>
      <c r="C496" s="107" t="n"/>
      <c r="D496" s="113">
        <f>IF($C496="","",IFERROR(INDEX(MUSTERILER!$C$7:$C$106,MATCH($C496,MUSTERILER!$B$7:$B$106,0)),"TANIMSIZ MÜŞTERİ"))</f>
        <v/>
      </c>
      <c r="E496" s="114" t="n"/>
      <c r="F496" s="115" t="n"/>
      <c r="G496" s="107" t="n"/>
      <c r="H496" s="107" t="n"/>
      <c r="I496" s="108" t="n"/>
      <c r="J496" s="108" t="n"/>
      <c r="K496" s="108" t="n"/>
      <c r="L496" s="119">
        <f>IF($E496="","",DATE(YEAR($E496),MONTH($E496),1))</f>
        <v/>
      </c>
      <c r="M496" s="112">
        <f>IF($C496="","",IF($D496="TANIMSIZ MÜŞTERİ","HATA",IF(OR($E496="",$F496&lt;=0,$G496=""),"EKSİK",IF($E496&gt;TODAY(),"İLERİ TARİH","UYGUN"))))</f>
        <v/>
      </c>
      <c r="N496" s="6" t="n"/>
      <c r="O496" s="6" t="n"/>
    </row>
    <row r="497">
      <c r="A497" s="6" t="n"/>
      <c r="B497" s="112">
        <f>IF($C497="","","T"&amp;TEXT(ROW()-6,"00000"))</f>
        <v/>
      </c>
      <c r="C497" s="107" t="n"/>
      <c r="D497" s="113">
        <f>IF($C497="","",IFERROR(INDEX(MUSTERILER!$C$7:$C$106,MATCH($C497,MUSTERILER!$B$7:$B$106,0)),"TANIMSIZ MÜŞTERİ"))</f>
        <v/>
      </c>
      <c r="E497" s="114" t="n"/>
      <c r="F497" s="115" t="n"/>
      <c r="G497" s="107" t="n"/>
      <c r="H497" s="107" t="n"/>
      <c r="I497" s="108" t="n"/>
      <c r="J497" s="108" t="n"/>
      <c r="K497" s="108" t="n"/>
      <c r="L497" s="119">
        <f>IF($E497="","",DATE(YEAR($E497),MONTH($E497),1))</f>
        <v/>
      </c>
      <c r="M497" s="112">
        <f>IF($C497="","",IF($D497="TANIMSIZ MÜŞTERİ","HATA",IF(OR($E497="",$F497&lt;=0,$G497=""),"EKSİK",IF($E497&gt;TODAY(),"İLERİ TARİH","UYGUN"))))</f>
        <v/>
      </c>
      <c r="N497" s="6" t="n"/>
      <c r="O497" s="6" t="n"/>
    </row>
    <row r="498">
      <c r="A498" s="6" t="n"/>
      <c r="B498" s="112">
        <f>IF($C498="","","T"&amp;TEXT(ROW()-6,"00000"))</f>
        <v/>
      </c>
      <c r="C498" s="107" t="n"/>
      <c r="D498" s="113">
        <f>IF($C498="","",IFERROR(INDEX(MUSTERILER!$C$7:$C$106,MATCH($C498,MUSTERILER!$B$7:$B$106,0)),"TANIMSIZ MÜŞTERİ"))</f>
        <v/>
      </c>
      <c r="E498" s="114" t="n"/>
      <c r="F498" s="115" t="n"/>
      <c r="G498" s="107" t="n"/>
      <c r="H498" s="107" t="n"/>
      <c r="I498" s="108" t="n"/>
      <c r="J498" s="108" t="n"/>
      <c r="K498" s="108" t="n"/>
      <c r="L498" s="119">
        <f>IF($E498="","",DATE(YEAR($E498),MONTH($E498),1))</f>
        <v/>
      </c>
      <c r="M498" s="112">
        <f>IF($C498="","",IF($D498="TANIMSIZ MÜŞTERİ","HATA",IF(OR($E498="",$F498&lt;=0,$G498=""),"EKSİK",IF($E498&gt;TODAY(),"İLERİ TARİH","UYGUN"))))</f>
        <v/>
      </c>
      <c r="N498" s="6" t="n"/>
      <c r="O498" s="6" t="n"/>
    </row>
    <row r="499">
      <c r="A499" s="6" t="n"/>
      <c r="B499" s="112">
        <f>IF($C499="","","T"&amp;TEXT(ROW()-6,"00000"))</f>
        <v/>
      </c>
      <c r="C499" s="107" t="n"/>
      <c r="D499" s="113">
        <f>IF($C499="","",IFERROR(INDEX(MUSTERILER!$C$7:$C$106,MATCH($C499,MUSTERILER!$B$7:$B$106,0)),"TANIMSIZ MÜŞTERİ"))</f>
        <v/>
      </c>
      <c r="E499" s="114" t="n"/>
      <c r="F499" s="115" t="n"/>
      <c r="G499" s="107" t="n"/>
      <c r="H499" s="107" t="n"/>
      <c r="I499" s="108" t="n"/>
      <c r="J499" s="108" t="n"/>
      <c r="K499" s="108" t="n"/>
      <c r="L499" s="119">
        <f>IF($E499="","",DATE(YEAR($E499),MONTH($E499),1))</f>
        <v/>
      </c>
      <c r="M499" s="112">
        <f>IF($C499="","",IF($D499="TANIMSIZ MÜŞTERİ","HATA",IF(OR($E499="",$F499&lt;=0,$G499=""),"EKSİK",IF($E499&gt;TODAY(),"İLERİ TARİH","UYGUN"))))</f>
        <v/>
      </c>
      <c r="N499" s="6" t="n"/>
      <c r="O499" s="6" t="n"/>
    </row>
    <row r="500">
      <c r="A500" s="6" t="n"/>
      <c r="B500" s="112">
        <f>IF($C500="","","T"&amp;TEXT(ROW()-6,"00000"))</f>
        <v/>
      </c>
      <c r="C500" s="107" t="n"/>
      <c r="D500" s="113">
        <f>IF($C500="","",IFERROR(INDEX(MUSTERILER!$C$7:$C$106,MATCH($C500,MUSTERILER!$B$7:$B$106,0)),"TANIMSIZ MÜŞTERİ"))</f>
        <v/>
      </c>
      <c r="E500" s="114" t="n"/>
      <c r="F500" s="115" t="n"/>
      <c r="G500" s="107" t="n"/>
      <c r="H500" s="107" t="n"/>
      <c r="I500" s="108" t="n"/>
      <c r="J500" s="108" t="n"/>
      <c r="K500" s="108" t="n"/>
      <c r="L500" s="119">
        <f>IF($E500="","",DATE(YEAR($E500),MONTH($E500),1))</f>
        <v/>
      </c>
      <c r="M500" s="112">
        <f>IF($C500="","",IF($D500="TANIMSIZ MÜŞTERİ","HATA",IF(OR($E500="",$F500&lt;=0,$G500=""),"EKSİK",IF($E500&gt;TODAY(),"İLERİ TARİH","UYGUN"))))</f>
        <v/>
      </c>
      <c r="N500" s="6" t="n"/>
      <c r="O500" s="6" t="n"/>
    </row>
    <row r="501">
      <c r="A501" s="6" t="n"/>
      <c r="B501" s="112">
        <f>IF($C501="","","T"&amp;TEXT(ROW()-6,"00000"))</f>
        <v/>
      </c>
      <c r="C501" s="107" t="n"/>
      <c r="D501" s="113">
        <f>IF($C501="","",IFERROR(INDEX(MUSTERILER!$C$7:$C$106,MATCH($C501,MUSTERILER!$B$7:$B$106,0)),"TANIMSIZ MÜŞTERİ"))</f>
        <v/>
      </c>
      <c r="E501" s="114" t="n"/>
      <c r="F501" s="115" t="n"/>
      <c r="G501" s="107" t="n"/>
      <c r="H501" s="107" t="n"/>
      <c r="I501" s="108" t="n"/>
      <c r="J501" s="108" t="n"/>
      <c r="K501" s="108" t="n"/>
      <c r="L501" s="119">
        <f>IF($E501="","",DATE(YEAR($E501),MONTH($E501),1))</f>
        <v/>
      </c>
      <c r="M501" s="112">
        <f>IF($C501="","",IF($D501="TANIMSIZ MÜŞTERİ","HATA",IF(OR($E501="",$F501&lt;=0,$G501=""),"EKSİK",IF($E501&gt;TODAY(),"İLERİ TARİH","UYGUN"))))</f>
        <v/>
      </c>
      <c r="N501" s="6" t="n"/>
      <c r="O501" s="6" t="n"/>
    </row>
    <row r="502">
      <c r="A502" s="6" t="n"/>
      <c r="B502" s="112">
        <f>IF($C502="","","T"&amp;TEXT(ROW()-6,"00000"))</f>
        <v/>
      </c>
      <c r="C502" s="107" t="n"/>
      <c r="D502" s="113">
        <f>IF($C502="","",IFERROR(INDEX(MUSTERILER!$C$7:$C$106,MATCH($C502,MUSTERILER!$B$7:$B$106,0)),"TANIMSIZ MÜŞTERİ"))</f>
        <v/>
      </c>
      <c r="E502" s="114" t="n"/>
      <c r="F502" s="115" t="n"/>
      <c r="G502" s="107" t="n"/>
      <c r="H502" s="107" t="n"/>
      <c r="I502" s="108" t="n"/>
      <c r="J502" s="108" t="n"/>
      <c r="K502" s="108" t="n"/>
      <c r="L502" s="119">
        <f>IF($E502="","",DATE(YEAR($E502),MONTH($E502),1))</f>
        <v/>
      </c>
      <c r="M502" s="112">
        <f>IF($C502="","",IF($D502="TANIMSIZ MÜŞTERİ","HATA",IF(OR($E502="",$F502&lt;=0,$G502=""),"EKSİK",IF($E502&gt;TODAY(),"İLERİ TARİH","UYGUN"))))</f>
        <v/>
      </c>
      <c r="N502" s="6" t="n"/>
      <c r="O502" s="6" t="n"/>
    </row>
    <row r="503">
      <c r="A503" s="6" t="n"/>
      <c r="B503" s="112">
        <f>IF($C503="","","T"&amp;TEXT(ROW()-6,"00000"))</f>
        <v/>
      </c>
      <c r="C503" s="107" t="n"/>
      <c r="D503" s="113">
        <f>IF($C503="","",IFERROR(INDEX(MUSTERILER!$C$7:$C$106,MATCH($C503,MUSTERILER!$B$7:$B$106,0)),"TANIMSIZ MÜŞTERİ"))</f>
        <v/>
      </c>
      <c r="E503" s="114" t="n"/>
      <c r="F503" s="115" t="n"/>
      <c r="G503" s="107" t="n"/>
      <c r="H503" s="107" t="n"/>
      <c r="I503" s="108" t="n"/>
      <c r="J503" s="108" t="n"/>
      <c r="K503" s="108" t="n"/>
      <c r="L503" s="119">
        <f>IF($E503="","",DATE(YEAR($E503),MONTH($E503),1))</f>
        <v/>
      </c>
      <c r="M503" s="112">
        <f>IF($C503="","",IF($D503="TANIMSIZ MÜŞTERİ","HATA",IF(OR($E503="",$F503&lt;=0,$G503=""),"EKSİK",IF($E503&gt;TODAY(),"İLERİ TARİH","UYGUN"))))</f>
        <v/>
      </c>
      <c r="N503" s="6" t="n"/>
      <c r="O503" s="6" t="n"/>
    </row>
    <row r="504">
      <c r="A504" s="6" t="n"/>
      <c r="B504" s="112">
        <f>IF($C504="","","T"&amp;TEXT(ROW()-6,"00000"))</f>
        <v/>
      </c>
      <c r="C504" s="107" t="n"/>
      <c r="D504" s="113">
        <f>IF($C504="","",IFERROR(INDEX(MUSTERILER!$C$7:$C$106,MATCH($C504,MUSTERILER!$B$7:$B$106,0)),"TANIMSIZ MÜŞTERİ"))</f>
        <v/>
      </c>
      <c r="E504" s="114" t="n"/>
      <c r="F504" s="115" t="n"/>
      <c r="G504" s="107" t="n"/>
      <c r="H504" s="107" t="n"/>
      <c r="I504" s="108" t="n"/>
      <c r="J504" s="108" t="n"/>
      <c r="K504" s="108" t="n"/>
      <c r="L504" s="119">
        <f>IF($E504="","",DATE(YEAR($E504),MONTH($E504),1))</f>
        <v/>
      </c>
      <c r="M504" s="112">
        <f>IF($C504="","",IF($D504="TANIMSIZ MÜŞTERİ","HATA",IF(OR($E504="",$F504&lt;=0,$G504=""),"EKSİK",IF($E504&gt;TODAY(),"İLERİ TARİH","UYGUN"))))</f>
        <v/>
      </c>
      <c r="N504" s="6" t="n"/>
      <c r="O504" s="6" t="n"/>
    </row>
    <row r="505">
      <c r="A505" s="6" t="n"/>
      <c r="B505" s="112">
        <f>IF($C505="","","T"&amp;TEXT(ROW()-6,"00000"))</f>
        <v/>
      </c>
      <c r="C505" s="107" t="n"/>
      <c r="D505" s="113">
        <f>IF($C505="","",IFERROR(INDEX(MUSTERILER!$C$7:$C$106,MATCH($C505,MUSTERILER!$B$7:$B$106,0)),"TANIMSIZ MÜŞTERİ"))</f>
        <v/>
      </c>
      <c r="E505" s="114" t="n"/>
      <c r="F505" s="115" t="n"/>
      <c r="G505" s="107" t="n"/>
      <c r="H505" s="107" t="n"/>
      <c r="I505" s="108" t="n"/>
      <c r="J505" s="108" t="n"/>
      <c r="K505" s="108" t="n"/>
      <c r="L505" s="119">
        <f>IF($E505="","",DATE(YEAR($E505),MONTH($E505),1))</f>
        <v/>
      </c>
      <c r="M505" s="112">
        <f>IF($C505="","",IF($D505="TANIMSIZ MÜŞTERİ","HATA",IF(OR($E505="",$F505&lt;=0,$G505=""),"EKSİK",IF($E505&gt;TODAY(),"İLERİ TARİH","UYGUN"))))</f>
        <v/>
      </c>
      <c r="N505" s="6" t="n"/>
      <c r="O505" s="6" t="n"/>
    </row>
    <row r="506">
      <c r="A506" s="6" t="n"/>
      <c r="B506" s="112">
        <f>IF($C506="","","T"&amp;TEXT(ROW()-6,"00000"))</f>
        <v/>
      </c>
      <c r="C506" s="107" t="n"/>
      <c r="D506" s="113">
        <f>IF($C506="","",IFERROR(INDEX(MUSTERILER!$C$7:$C$106,MATCH($C506,MUSTERILER!$B$7:$B$106,0)),"TANIMSIZ MÜŞTERİ"))</f>
        <v/>
      </c>
      <c r="E506" s="114" t="n"/>
      <c r="F506" s="115" t="n"/>
      <c r="G506" s="107" t="n"/>
      <c r="H506" s="107" t="n"/>
      <c r="I506" s="108" t="n"/>
      <c r="J506" s="108" t="n"/>
      <c r="K506" s="108" t="n"/>
      <c r="L506" s="119">
        <f>IF($E506="","",DATE(YEAR($E506),MONTH($E506),1))</f>
        <v/>
      </c>
      <c r="M506" s="112">
        <f>IF($C506="","",IF($D506="TANIMSIZ MÜŞTERİ","HATA",IF(OR($E506="",$F506&lt;=0,$G506=""),"EKSİK",IF($E506&gt;TODAY(),"İLERİ TARİH","UYGUN"))))</f>
        <v/>
      </c>
      <c r="N506" s="6" t="n"/>
      <c r="O506" s="6" t="n"/>
    </row>
    <row r="507">
      <c r="A507" s="6" t="n"/>
      <c r="B507" s="112">
        <f>IF($C507="","","T"&amp;TEXT(ROW()-6,"00000"))</f>
        <v/>
      </c>
      <c r="C507" s="107" t="n"/>
      <c r="D507" s="113">
        <f>IF($C507="","",IFERROR(INDEX(MUSTERILER!$C$7:$C$106,MATCH($C507,MUSTERILER!$B$7:$B$106,0)),"TANIMSIZ MÜŞTERİ"))</f>
        <v/>
      </c>
      <c r="E507" s="114" t="n"/>
      <c r="F507" s="115" t="n"/>
      <c r="G507" s="107" t="n"/>
      <c r="H507" s="107" t="n"/>
      <c r="I507" s="108" t="n"/>
      <c r="J507" s="108" t="n"/>
      <c r="K507" s="108" t="n"/>
      <c r="L507" s="119">
        <f>IF($E507="","",DATE(YEAR($E507),MONTH($E507),1))</f>
        <v/>
      </c>
      <c r="M507" s="112">
        <f>IF($C507="","",IF($D507="TANIMSIZ MÜŞTERİ","HATA",IF(OR($E507="",$F507&lt;=0,$G507=""),"EKSİK",IF($E507&gt;TODAY(),"İLERİ TARİH","UYGUN"))))</f>
        <v/>
      </c>
      <c r="N507" s="6" t="n"/>
      <c r="O507" s="6" t="n"/>
    </row>
    <row r="508">
      <c r="A508" s="6" t="n"/>
      <c r="B508" s="112">
        <f>IF($C508="","","T"&amp;TEXT(ROW()-6,"00000"))</f>
        <v/>
      </c>
      <c r="C508" s="107" t="n"/>
      <c r="D508" s="113">
        <f>IF($C508="","",IFERROR(INDEX(MUSTERILER!$C$7:$C$106,MATCH($C508,MUSTERILER!$B$7:$B$106,0)),"TANIMSIZ MÜŞTERİ"))</f>
        <v/>
      </c>
      <c r="E508" s="114" t="n"/>
      <c r="F508" s="115" t="n"/>
      <c r="G508" s="107" t="n"/>
      <c r="H508" s="107" t="n"/>
      <c r="I508" s="108" t="n"/>
      <c r="J508" s="108" t="n"/>
      <c r="K508" s="108" t="n"/>
      <c r="L508" s="119">
        <f>IF($E508="","",DATE(YEAR($E508),MONTH($E508),1))</f>
        <v/>
      </c>
      <c r="M508" s="112">
        <f>IF($C508="","",IF($D508="TANIMSIZ MÜŞTERİ","HATA",IF(OR($E508="",$F508&lt;=0,$G508=""),"EKSİK",IF($E508&gt;TODAY(),"İLERİ TARİH","UYGUN"))))</f>
        <v/>
      </c>
      <c r="N508" s="6" t="n"/>
      <c r="O508" s="6" t="n"/>
    </row>
    <row r="509">
      <c r="A509" s="6" t="n"/>
      <c r="B509" s="112">
        <f>IF($C509="","","T"&amp;TEXT(ROW()-6,"00000"))</f>
        <v/>
      </c>
      <c r="C509" s="107" t="n"/>
      <c r="D509" s="113">
        <f>IF($C509="","",IFERROR(INDEX(MUSTERILER!$C$7:$C$106,MATCH($C509,MUSTERILER!$B$7:$B$106,0)),"TANIMSIZ MÜŞTERİ"))</f>
        <v/>
      </c>
      <c r="E509" s="114" t="n"/>
      <c r="F509" s="115" t="n"/>
      <c r="G509" s="107" t="n"/>
      <c r="H509" s="107" t="n"/>
      <c r="I509" s="108" t="n"/>
      <c r="J509" s="108" t="n"/>
      <c r="K509" s="108" t="n"/>
      <c r="L509" s="119">
        <f>IF($E509="","",DATE(YEAR($E509),MONTH($E509),1))</f>
        <v/>
      </c>
      <c r="M509" s="112">
        <f>IF($C509="","",IF($D509="TANIMSIZ MÜŞTERİ","HATA",IF(OR($E509="",$F509&lt;=0,$G509=""),"EKSİK",IF($E509&gt;TODAY(),"İLERİ TARİH","UYGUN"))))</f>
        <v/>
      </c>
      <c r="N509" s="6" t="n"/>
      <c r="O509" s="6" t="n"/>
    </row>
    <row r="510">
      <c r="A510" s="6" t="n"/>
      <c r="B510" s="112">
        <f>IF($C510="","","T"&amp;TEXT(ROW()-6,"00000"))</f>
        <v/>
      </c>
      <c r="C510" s="107" t="n"/>
      <c r="D510" s="113">
        <f>IF($C510="","",IFERROR(INDEX(MUSTERILER!$C$7:$C$106,MATCH($C510,MUSTERILER!$B$7:$B$106,0)),"TANIMSIZ MÜŞTERİ"))</f>
        <v/>
      </c>
      <c r="E510" s="114" t="n"/>
      <c r="F510" s="115" t="n"/>
      <c r="G510" s="107" t="n"/>
      <c r="H510" s="107" t="n"/>
      <c r="I510" s="108" t="n"/>
      <c r="J510" s="108" t="n"/>
      <c r="K510" s="108" t="n"/>
      <c r="L510" s="119">
        <f>IF($E510="","",DATE(YEAR($E510),MONTH($E510),1))</f>
        <v/>
      </c>
      <c r="M510" s="112">
        <f>IF($C510="","",IF($D510="TANIMSIZ MÜŞTERİ","HATA",IF(OR($E510="",$F510&lt;=0,$G510=""),"EKSİK",IF($E510&gt;TODAY(),"İLERİ TARİH","UYGUN"))))</f>
        <v/>
      </c>
      <c r="N510" s="6" t="n"/>
      <c r="O510" s="6" t="n"/>
    </row>
    <row r="511">
      <c r="A511" s="6" t="n"/>
      <c r="B511" s="112">
        <f>IF($C511="","","T"&amp;TEXT(ROW()-6,"00000"))</f>
        <v/>
      </c>
      <c r="C511" s="107" t="n"/>
      <c r="D511" s="113">
        <f>IF($C511="","",IFERROR(INDEX(MUSTERILER!$C$7:$C$106,MATCH($C511,MUSTERILER!$B$7:$B$106,0)),"TANIMSIZ MÜŞTERİ"))</f>
        <v/>
      </c>
      <c r="E511" s="114" t="n"/>
      <c r="F511" s="115" t="n"/>
      <c r="G511" s="107" t="n"/>
      <c r="H511" s="107" t="n"/>
      <c r="I511" s="108" t="n"/>
      <c r="J511" s="108" t="n"/>
      <c r="K511" s="108" t="n"/>
      <c r="L511" s="119">
        <f>IF($E511="","",DATE(YEAR($E511),MONTH($E511),1))</f>
        <v/>
      </c>
      <c r="M511" s="112">
        <f>IF($C511="","",IF($D511="TANIMSIZ MÜŞTERİ","HATA",IF(OR($E511="",$F511&lt;=0,$G511=""),"EKSİK",IF($E511&gt;TODAY(),"İLERİ TARİH","UYGUN"))))</f>
        <v/>
      </c>
      <c r="N511" s="6" t="n"/>
      <c r="O511" s="6" t="n"/>
    </row>
    <row r="512">
      <c r="A512" s="6" t="n"/>
      <c r="B512" s="112">
        <f>IF($C512="","","T"&amp;TEXT(ROW()-6,"00000"))</f>
        <v/>
      </c>
      <c r="C512" s="107" t="n"/>
      <c r="D512" s="113">
        <f>IF($C512="","",IFERROR(INDEX(MUSTERILER!$C$7:$C$106,MATCH($C512,MUSTERILER!$B$7:$B$106,0)),"TANIMSIZ MÜŞTERİ"))</f>
        <v/>
      </c>
      <c r="E512" s="114" t="n"/>
      <c r="F512" s="115" t="n"/>
      <c r="G512" s="107" t="n"/>
      <c r="H512" s="107" t="n"/>
      <c r="I512" s="108" t="n"/>
      <c r="J512" s="108" t="n"/>
      <c r="K512" s="108" t="n"/>
      <c r="L512" s="119">
        <f>IF($E512="","",DATE(YEAR($E512),MONTH($E512),1))</f>
        <v/>
      </c>
      <c r="M512" s="112">
        <f>IF($C512="","",IF($D512="TANIMSIZ MÜŞTERİ","HATA",IF(OR($E512="",$F512&lt;=0,$G512=""),"EKSİK",IF($E512&gt;TODAY(),"İLERİ TARİH","UYGUN"))))</f>
        <v/>
      </c>
      <c r="N512" s="6" t="n"/>
      <c r="O512" s="6" t="n"/>
    </row>
    <row r="513">
      <c r="A513" s="6" t="n"/>
      <c r="B513" s="112">
        <f>IF($C513="","","T"&amp;TEXT(ROW()-6,"00000"))</f>
        <v/>
      </c>
      <c r="C513" s="107" t="n"/>
      <c r="D513" s="113">
        <f>IF($C513="","",IFERROR(INDEX(MUSTERILER!$C$7:$C$106,MATCH($C513,MUSTERILER!$B$7:$B$106,0)),"TANIMSIZ MÜŞTERİ"))</f>
        <v/>
      </c>
      <c r="E513" s="114" t="n"/>
      <c r="F513" s="115" t="n"/>
      <c r="G513" s="107" t="n"/>
      <c r="H513" s="107" t="n"/>
      <c r="I513" s="108" t="n"/>
      <c r="J513" s="108" t="n"/>
      <c r="K513" s="108" t="n"/>
      <c r="L513" s="119">
        <f>IF($E513="","",DATE(YEAR($E513),MONTH($E513),1))</f>
        <v/>
      </c>
      <c r="M513" s="112">
        <f>IF($C513="","",IF($D513="TANIMSIZ MÜŞTERİ","HATA",IF(OR($E513="",$F513&lt;=0,$G513=""),"EKSİK",IF($E513&gt;TODAY(),"İLERİ TARİH","UYGUN"))))</f>
        <v/>
      </c>
      <c r="N513" s="6" t="n"/>
      <c r="O513" s="6" t="n"/>
    </row>
    <row r="514">
      <c r="A514" s="6" t="n"/>
      <c r="B514" s="112">
        <f>IF($C514="","","T"&amp;TEXT(ROW()-6,"00000"))</f>
        <v/>
      </c>
      <c r="C514" s="107" t="n"/>
      <c r="D514" s="113">
        <f>IF($C514="","",IFERROR(INDEX(MUSTERILER!$C$7:$C$106,MATCH($C514,MUSTERILER!$B$7:$B$106,0)),"TANIMSIZ MÜŞTERİ"))</f>
        <v/>
      </c>
      <c r="E514" s="114" t="n"/>
      <c r="F514" s="115" t="n"/>
      <c r="G514" s="107" t="n"/>
      <c r="H514" s="107" t="n"/>
      <c r="I514" s="108" t="n"/>
      <c r="J514" s="108" t="n"/>
      <c r="K514" s="108" t="n"/>
      <c r="L514" s="119">
        <f>IF($E514="","",DATE(YEAR($E514),MONTH($E514),1))</f>
        <v/>
      </c>
      <c r="M514" s="112">
        <f>IF($C514="","",IF($D514="TANIMSIZ MÜŞTERİ","HATA",IF(OR($E514="",$F514&lt;=0,$G514=""),"EKSİK",IF($E514&gt;TODAY(),"İLERİ TARİH","UYGUN"))))</f>
        <v/>
      </c>
      <c r="N514" s="6" t="n"/>
      <c r="O514" s="6" t="n"/>
    </row>
    <row r="515">
      <c r="A515" s="6" t="n"/>
      <c r="B515" s="112">
        <f>IF($C515="","","T"&amp;TEXT(ROW()-6,"00000"))</f>
        <v/>
      </c>
      <c r="C515" s="107" t="n"/>
      <c r="D515" s="113">
        <f>IF($C515="","",IFERROR(INDEX(MUSTERILER!$C$7:$C$106,MATCH($C515,MUSTERILER!$B$7:$B$106,0)),"TANIMSIZ MÜŞTERİ"))</f>
        <v/>
      </c>
      <c r="E515" s="114" t="n"/>
      <c r="F515" s="115" t="n"/>
      <c r="G515" s="107" t="n"/>
      <c r="H515" s="107" t="n"/>
      <c r="I515" s="108" t="n"/>
      <c r="J515" s="108" t="n"/>
      <c r="K515" s="108" t="n"/>
      <c r="L515" s="119">
        <f>IF($E515="","",DATE(YEAR($E515),MONTH($E515),1))</f>
        <v/>
      </c>
      <c r="M515" s="112">
        <f>IF($C515="","",IF($D515="TANIMSIZ MÜŞTERİ","HATA",IF(OR($E515="",$F515&lt;=0,$G515=""),"EKSİK",IF($E515&gt;TODAY(),"İLERİ TARİH","UYGUN"))))</f>
        <v/>
      </c>
      <c r="N515" s="6" t="n"/>
      <c r="O515" s="6" t="n"/>
    </row>
    <row r="516">
      <c r="A516" s="6" t="n"/>
      <c r="B516" s="112">
        <f>IF($C516="","","T"&amp;TEXT(ROW()-6,"00000"))</f>
        <v/>
      </c>
      <c r="C516" s="107" t="n"/>
      <c r="D516" s="113">
        <f>IF($C516="","",IFERROR(INDEX(MUSTERILER!$C$7:$C$106,MATCH($C516,MUSTERILER!$B$7:$B$106,0)),"TANIMSIZ MÜŞTERİ"))</f>
        <v/>
      </c>
      <c r="E516" s="114" t="n"/>
      <c r="F516" s="115" t="n"/>
      <c r="G516" s="107" t="n"/>
      <c r="H516" s="107" t="n"/>
      <c r="I516" s="108" t="n"/>
      <c r="J516" s="108" t="n"/>
      <c r="K516" s="108" t="n"/>
      <c r="L516" s="119">
        <f>IF($E516="","",DATE(YEAR($E516),MONTH($E516),1))</f>
        <v/>
      </c>
      <c r="M516" s="112">
        <f>IF($C516="","",IF($D516="TANIMSIZ MÜŞTERİ","HATA",IF(OR($E516="",$F516&lt;=0,$G516=""),"EKSİK",IF($E516&gt;TODAY(),"İLERİ TARİH","UYGUN"))))</f>
        <v/>
      </c>
      <c r="N516" s="6" t="n"/>
      <c r="O516" s="6" t="n"/>
    </row>
    <row r="517">
      <c r="A517" s="6" t="n"/>
      <c r="B517" s="112">
        <f>IF($C517="","","T"&amp;TEXT(ROW()-6,"00000"))</f>
        <v/>
      </c>
      <c r="C517" s="107" t="n"/>
      <c r="D517" s="113">
        <f>IF($C517="","",IFERROR(INDEX(MUSTERILER!$C$7:$C$106,MATCH($C517,MUSTERILER!$B$7:$B$106,0)),"TANIMSIZ MÜŞTERİ"))</f>
        <v/>
      </c>
      <c r="E517" s="114" t="n"/>
      <c r="F517" s="115" t="n"/>
      <c r="G517" s="107" t="n"/>
      <c r="H517" s="107" t="n"/>
      <c r="I517" s="108" t="n"/>
      <c r="J517" s="108" t="n"/>
      <c r="K517" s="108" t="n"/>
      <c r="L517" s="119">
        <f>IF($E517="","",DATE(YEAR($E517),MONTH($E517),1))</f>
        <v/>
      </c>
      <c r="M517" s="112">
        <f>IF($C517="","",IF($D517="TANIMSIZ MÜŞTERİ","HATA",IF(OR($E517="",$F517&lt;=0,$G517=""),"EKSİK",IF($E517&gt;TODAY(),"İLERİ TARİH","UYGUN"))))</f>
        <v/>
      </c>
      <c r="N517" s="6" t="n"/>
      <c r="O517" s="6" t="n"/>
    </row>
    <row r="518">
      <c r="A518" s="6" t="n"/>
      <c r="B518" s="112">
        <f>IF($C518="","","T"&amp;TEXT(ROW()-6,"00000"))</f>
        <v/>
      </c>
      <c r="C518" s="107" t="n"/>
      <c r="D518" s="113">
        <f>IF($C518="","",IFERROR(INDEX(MUSTERILER!$C$7:$C$106,MATCH($C518,MUSTERILER!$B$7:$B$106,0)),"TANIMSIZ MÜŞTERİ"))</f>
        <v/>
      </c>
      <c r="E518" s="114" t="n"/>
      <c r="F518" s="115" t="n"/>
      <c r="G518" s="107" t="n"/>
      <c r="H518" s="107" t="n"/>
      <c r="I518" s="108" t="n"/>
      <c r="J518" s="108" t="n"/>
      <c r="K518" s="108" t="n"/>
      <c r="L518" s="119">
        <f>IF($E518="","",DATE(YEAR($E518),MONTH($E518),1))</f>
        <v/>
      </c>
      <c r="M518" s="112">
        <f>IF($C518="","",IF($D518="TANIMSIZ MÜŞTERİ","HATA",IF(OR($E518="",$F518&lt;=0,$G518=""),"EKSİK",IF($E518&gt;TODAY(),"İLERİ TARİH","UYGUN"))))</f>
        <v/>
      </c>
      <c r="N518" s="6" t="n"/>
      <c r="O518" s="6" t="n"/>
    </row>
    <row r="519">
      <c r="A519" s="6" t="n"/>
      <c r="B519" s="112">
        <f>IF($C519="","","T"&amp;TEXT(ROW()-6,"00000"))</f>
        <v/>
      </c>
      <c r="C519" s="107" t="n"/>
      <c r="D519" s="113">
        <f>IF($C519="","",IFERROR(INDEX(MUSTERILER!$C$7:$C$106,MATCH($C519,MUSTERILER!$B$7:$B$106,0)),"TANIMSIZ MÜŞTERİ"))</f>
        <v/>
      </c>
      <c r="E519" s="114" t="n"/>
      <c r="F519" s="115" t="n"/>
      <c r="G519" s="107" t="n"/>
      <c r="H519" s="107" t="n"/>
      <c r="I519" s="108" t="n"/>
      <c r="J519" s="108" t="n"/>
      <c r="K519" s="108" t="n"/>
      <c r="L519" s="119">
        <f>IF($E519="","",DATE(YEAR($E519),MONTH($E519),1))</f>
        <v/>
      </c>
      <c r="M519" s="112">
        <f>IF($C519="","",IF($D519="TANIMSIZ MÜŞTERİ","HATA",IF(OR($E519="",$F519&lt;=0,$G519=""),"EKSİK",IF($E519&gt;TODAY(),"İLERİ TARİH","UYGUN"))))</f>
        <v/>
      </c>
      <c r="N519" s="6" t="n"/>
      <c r="O519" s="6" t="n"/>
    </row>
    <row r="520">
      <c r="A520" s="6" t="n"/>
      <c r="B520" s="112">
        <f>IF($C520="","","T"&amp;TEXT(ROW()-6,"00000"))</f>
        <v/>
      </c>
      <c r="C520" s="107" t="n"/>
      <c r="D520" s="113">
        <f>IF($C520="","",IFERROR(INDEX(MUSTERILER!$C$7:$C$106,MATCH($C520,MUSTERILER!$B$7:$B$106,0)),"TANIMSIZ MÜŞTERİ"))</f>
        <v/>
      </c>
      <c r="E520" s="114" t="n"/>
      <c r="F520" s="115" t="n"/>
      <c r="G520" s="107" t="n"/>
      <c r="H520" s="107" t="n"/>
      <c r="I520" s="108" t="n"/>
      <c r="J520" s="108" t="n"/>
      <c r="K520" s="108" t="n"/>
      <c r="L520" s="119">
        <f>IF($E520="","",DATE(YEAR($E520),MONTH($E520),1))</f>
        <v/>
      </c>
      <c r="M520" s="112">
        <f>IF($C520="","",IF($D520="TANIMSIZ MÜŞTERİ","HATA",IF(OR($E520="",$F520&lt;=0,$G520=""),"EKSİK",IF($E520&gt;TODAY(),"İLERİ TARİH","UYGUN"))))</f>
        <v/>
      </c>
      <c r="N520" s="6" t="n"/>
      <c r="O520" s="6" t="n"/>
    </row>
    <row r="521">
      <c r="A521" s="6" t="n"/>
      <c r="B521" s="112">
        <f>IF($C521="","","T"&amp;TEXT(ROW()-6,"00000"))</f>
        <v/>
      </c>
      <c r="C521" s="107" t="n"/>
      <c r="D521" s="113">
        <f>IF($C521="","",IFERROR(INDEX(MUSTERILER!$C$7:$C$106,MATCH($C521,MUSTERILER!$B$7:$B$106,0)),"TANIMSIZ MÜŞTERİ"))</f>
        <v/>
      </c>
      <c r="E521" s="114" t="n"/>
      <c r="F521" s="115" t="n"/>
      <c r="G521" s="107" t="n"/>
      <c r="H521" s="107" t="n"/>
      <c r="I521" s="108" t="n"/>
      <c r="J521" s="108" t="n"/>
      <c r="K521" s="108" t="n"/>
      <c r="L521" s="119">
        <f>IF($E521="","",DATE(YEAR($E521),MONTH($E521),1))</f>
        <v/>
      </c>
      <c r="M521" s="112">
        <f>IF($C521="","",IF($D521="TANIMSIZ MÜŞTERİ","HATA",IF(OR($E521="",$F521&lt;=0,$G521=""),"EKSİK",IF($E521&gt;TODAY(),"İLERİ TARİH","UYGUN"))))</f>
        <v/>
      </c>
      <c r="N521" s="6" t="n"/>
      <c r="O521" s="6" t="n"/>
    </row>
    <row r="522">
      <c r="A522" s="6" t="n"/>
      <c r="B522" s="112">
        <f>IF($C522="","","T"&amp;TEXT(ROW()-6,"00000"))</f>
        <v/>
      </c>
      <c r="C522" s="107" t="n"/>
      <c r="D522" s="113">
        <f>IF($C522="","",IFERROR(INDEX(MUSTERILER!$C$7:$C$106,MATCH($C522,MUSTERILER!$B$7:$B$106,0)),"TANIMSIZ MÜŞTERİ"))</f>
        <v/>
      </c>
      <c r="E522" s="114" t="n"/>
      <c r="F522" s="115" t="n"/>
      <c r="G522" s="107" t="n"/>
      <c r="H522" s="107" t="n"/>
      <c r="I522" s="108" t="n"/>
      <c r="J522" s="108" t="n"/>
      <c r="K522" s="108" t="n"/>
      <c r="L522" s="119">
        <f>IF($E522="","",DATE(YEAR($E522),MONTH($E522),1))</f>
        <v/>
      </c>
      <c r="M522" s="112">
        <f>IF($C522="","",IF($D522="TANIMSIZ MÜŞTERİ","HATA",IF(OR($E522="",$F522&lt;=0,$G522=""),"EKSİK",IF($E522&gt;TODAY(),"İLERİ TARİH","UYGUN"))))</f>
        <v/>
      </c>
      <c r="N522" s="6" t="n"/>
      <c r="O522" s="6" t="n"/>
    </row>
    <row r="523">
      <c r="A523" s="6" t="n"/>
      <c r="B523" s="112">
        <f>IF($C523="","","T"&amp;TEXT(ROW()-6,"00000"))</f>
        <v/>
      </c>
      <c r="C523" s="107" t="n"/>
      <c r="D523" s="113">
        <f>IF($C523="","",IFERROR(INDEX(MUSTERILER!$C$7:$C$106,MATCH($C523,MUSTERILER!$B$7:$B$106,0)),"TANIMSIZ MÜŞTERİ"))</f>
        <v/>
      </c>
      <c r="E523" s="114" t="n"/>
      <c r="F523" s="115" t="n"/>
      <c r="G523" s="107" t="n"/>
      <c r="H523" s="107" t="n"/>
      <c r="I523" s="108" t="n"/>
      <c r="J523" s="108" t="n"/>
      <c r="K523" s="108" t="n"/>
      <c r="L523" s="119">
        <f>IF($E523="","",DATE(YEAR($E523),MONTH($E523),1))</f>
        <v/>
      </c>
      <c r="M523" s="112">
        <f>IF($C523="","",IF($D523="TANIMSIZ MÜŞTERİ","HATA",IF(OR($E523="",$F523&lt;=0,$G523=""),"EKSİK",IF($E523&gt;TODAY(),"İLERİ TARİH","UYGUN"))))</f>
        <v/>
      </c>
      <c r="N523" s="6" t="n"/>
      <c r="O523" s="6" t="n"/>
    </row>
    <row r="524">
      <c r="A524" s="6" t="n"/>
      <c r="B524" s="112">
        <f>IF($C524="","","T"&amp;TEXT(ROW()-6,"00000"))</f>
        <v/>
      </c>
      <c r="C524" s="107" t="n"/>
      <c r="D524" s="113">
        <f>IF($C524="","",IFERROR(INDEX(MUSTERILER!$C$7:$C$106,MATCH($C524,MUSTERILER!$B$7:$B$106,0)),"TANIMSIZ MÜŞTERİ"))</f>
        <v/>
      </c>
      <c r="E524" s="114" t="n"/>
      <c r="F524" s="115" t="n"/>
      <c r="G524" s="107" t="n"/>
      <c r="H524" s="107" t="n"/>
      <c r="I524" s="108" t="n"/>
      <c r="J524" s="108" t="n"/>
      <c r="K524" s="108" t="n"/>
      <c r="L524" s="119">
        <f>IF($E524="","",DATE(YEAR($E524),MONTH($E524),1))</f>
        <v/>
      </c>
      <c r="M524" s="112">
        <f>IF($C524="","",IF($D524="TANIMSIZ MÜŞTERİ","HATA",IF(OR($E524="",$F524&lt;=0,$G524=""),"EKSİK",IF($E524&gt;TODAY(),"İLERİ TARİH","UYGUN"))))</f>
        <v/>
      </c>
      <c r="N524" s="6" t="n"/>
      <c r="O524" s="6" t="n"/>
    </row>
    <row r="525">
      <c r="A525" s="6" t="n"/>
      <c r="B525" s="112">
        <f>IF($C525="","","T"&amp;TEXT(ROW()-6,"00000"))</f>
        <v/>
      </c>
      <c r="C525" s="107" t="n"/>
      <c r="D525" s="113">
        <f>IF($C525="","",IFERROR(INDEX(MUSTERILER!$C$7:$C$106,MATCH($C525,MUSTERILER!$B$7:$B$106,0)),"TANIMSIZ MÜŞTERİ"))</f>
        <v/>
      </c>
      <c r="E525" s="114" t="n"/>
      <c r="F525" s="115" t="n"/>
      <c r="G525" s="107" t="n"/>
      <c r="H525" s="107" t="n"/>
      <c r="I525" s="108" t="n"/>
      <c r="J525" s="108" t="n"/>
      <c r="K525" s="108" t="n"/>
      <c r="L525" s="119">
        <f>IF($E525="","",DATE(YEAR($E525),MONTH($E525),1))</f>
        <v/>
      </c>
      <c r="M525" s="112">
        <f>IF($C525="","",IF($D525="TANIMSIZ MÜŞTERİ","HATA",IF(OR($E525="",$F525&lt;=0,$G525=""),"EKSİK",IF($E525&gt;TODAY(),"İLERİ TARİH","UYGUN"))))</f>
        <v/>
      </c>
      <c r="N525" s="6" t="n"/>
      <c r="O525" s="6" t="n"/>
    </row>
    <row r="526">
      <c r="A526" s="6" t="n"/>
      <c r="B526" s="112">
        <f>IF($C526="","","T"&amp;TEXT(ROW()-6,"00000"))</f>
        <v/>
      </c>
      <c r="C526" s="107" t="n"/>
      <c r="D526" s="113">
        <f>IF($C526="","",IFERROR(INDEX(MUSTERILER!$C$7:$C$106,MATCH($C526,MUSTERILER!$B$7:$B$106,0)),"TANIMSIZ MÜŞTERİ"))</f>
        <v/>
      </c>
      <c r="E526" s="114" t="n"/>
      <c r="F526" s="115" t="n"/>
      <c r="G526" s="107" t="n"/>
      <c r="H526" s="107" t="n"/>
      <c r="I526" s="108" t="n"/>
      <c r="J526" s="108" t="n"/>
      <c r="K526" s="108" t="n"/>
      <c r="L526" s="119">
        <f>IF($E526="","",DATE(YEAR($E526),MONTH($E526),1))</f>
        <v/>
      </c>
      <c r="M526" s="112">
        <f>IF($C526="","",IF($D526="TANIMSIZ MÜŞTERİ","HATA",IF(OR($E526="",$F526&lt;=0,$G526=""),"EKSİK",IF($E526&gt;TODAY(),"İLERİ TARİH","UYGUN"))))</f>
        <v/>
      </c>
      <c r="N526" s="6" t="n"/>
      <c r="O526" s="6" t="n"/>
    </row>
    <row r="527">
      <c r="A527" s="6" t="n"/>
      <c r="B527" s="112">
        <f>IF($C527="","","T"&amp;TEXT(ROW()-6,"00000"))</f>
        <v/>
      </c>
      <c r="C527" s="107" t="n"/>
      <c r="D527" s="113">
        <f>IF($C527="","",IFERROR(INDEX(MUSTERILER!$C$7:$C$106,MATCH($C527,MUSTERILER!$B$7:$B$106,0)),"TANIMSIZ MÜŞTERİ"))</f>
        <v/>
      </c>
      <c r="E527" s="114" t="n"/>
      <c r="F527" s="115" t="n"/>
      <c r="G527" s="107" t="n"/>
      <c r="H527" s="107" t="n"/>
      <c r="I527" s="108" t="n"/>
      <c r="J527" s="108" t="n"/>
      <c r="K527" s="108" t="n"/>
      <c r="L527" s="119">
        <f>IF($E527="","",DATE(YEAR($E527),MONTH($E527),1))</f>
        <v/>
      </c>
      <c r="M527" s="112">
        <f>IF($C527="","",IF($D527="TANIMSIZ MÜŞTERİ","HATA",IF(OR($E527="",$F527&lt;=0,$G527=""),"EKSİK",IF($E527&gt;TODAY(),"İLERİ TARİH","UYGUN"))))</f>
        <v/>
      </c>
      <c r="N527" s="6" t="n"/>
      <c r="O527" s="6" t="n"/>
    </row>
    <row r="528">
      <c r="A528" s="6" t="n"/>
      <c r="B528" s="112">
        <f>IF($C528="","","T"&amp;TEXT(ROW()-6,"00000"))</f>
        <v/>
      </c>
      <c r="C528" s="107" t="n"/>
      <c r="D528" s="113">
        <f>IF($C528="","",IFERROR(INDEX(MUSTERILER!$C$7:$C$106,MATCH($C528,MUSTERILER!$B$7:$B$106,0)),"TANIMSIZ MÜŞTERİ"))</f>
        <v/>
      </c>
      <c r="E528" s="114" t="n"/>
      <c r="F528" s="115" t="n"/>
      <c r="G528" s="107" t="n"/>
      <c r="H528" s="107" t="n"/>
      <c r="I528" s="108" t="n"/>
      <c r="J528" s="108" t="n"/>
      <c r="K528" s="108" t="n"/>
      <c r="L528" s="119">
        <f>IF($E528="","",DATE(YEAR($E528),MONTH($E528),1))</f>
        <v/>
      </c>
      <c r="M528" s="112">
        <f>IF($C528="","",IF($D528="TANIMSIZ MÜŞTERİ","HATA",IF(OR($E528="",$F528&lt;=0,$G528=""),"EKSİK",IF($E528&gt;TODAY(),"İLERİ TARİH","UYGUN"))))</f>
        <v/>
      </c>
      <c r="N528" s="6" t="n"/>
      <c r="O528" s="6" t="n"/>
    </row>
    <row r="529">
      <c r="A529" s="6" t="n"/>
      <c r="B529" s="112">
        <f>IF($C529="","","T"&amp;TEXT(ROW()-6,"00000"))</f>
        <v/>
      </c>
      <c r="C529" s="107" t="n"/>
      <c r="D529" s="113">
        <f>IF($C529="","",IFERROR(INDEX(MUSTERILER!$C$7:$C$106,MATCH($C529,MUSTERILER!$B$7:$B$106,0)),"TANIMSIZ MÜŞTERİ"))</f>
        <v/>
      </c>
      <c r="E529" s="114" t="n"/>
      <c r="F529" s="115" t="n"/>
      <c r="G529" s="107" t="n"/>
      <c r="H529" s="107" t="n"/>
      <c r="I529" s="108" t="n"/>
      <c r="J529" s="108" t="n"/>
      <c r="K529" s="108" t="n"/>
      <c r="L529" s="119">
        <f>IF($E529="","",DATE(YEAR($E529),MONTH($E529),1))</f>
        <v/>
      </c>
      <c r="M529" s="112">
        <f>IF($C529="","",IF($D529="TANIMSIZ MÜŞTERİ","HATA",IF(OR($E529="",$F529&lt;=0,$G529=""),"EKSİK",IF($E529&gt;TODAY(),"İLERİ TARİH","UYGUN"))))</f>
        <v/>
      </c>
      <c r="N529" s="6" t="n"/>
      <c r="O529" s="6" t="n"/>
    </row>
    <row r="530">
      <c r="A530" s="6" t="n"/>
      <c r="B530" s="112">
        <f>IF($C530="","","T"&amp;TEXT(ROW()-6,"00000"))</f>
        <v/>
      </c>
      <c r="C530" s="107" t="n"/>
      <c r="D530" s="113">
        <f>IF($C530="","",IFERROR(INDEX(MUSTERILER!$C$7:$C$106,MATCH($C530,MUSTERILER!$B$7:$B$106,0)),"TANIMSIZ MÜŞTERİ"))</f>
        <v/>
      </c>
      <c r="E530" s="114" t="n"/>
      <c r="F530" s="115" t="n"/>
      <c r="G530" s="107" t="n"/>
      <c r="H530" s="107" t="n"/>
      <c r="I530" s="108" t="n"/>
      <c r="J530" s="108" t="n"/>
      <c r="K530" s="108" t="n"/>
      <c r="L530" s="119">
        <f>IF($E530="","",DATE(YEAR($E530),MONTH($E530),1))</f>
        <v/>
      </c>
      <c r="M530" s="112">
        <f>IF($C530="","",IF($D530="TANIMSIZ MÜŞTERİ","HATA",IF(OR($E530="",$F530&lt;=0,$G530=""),"EKSİK",IF($E530&gt;TODAY(),"İLERİ TARİH","UYGUN"))))</f>
        <v/>
      </c>
      <c r="N530" s="6" t="n"/>
      <c r="O530" s="6" t="n"/>
    </row>
    <row r="531">
      <c r="A531" s="6" t="n"/>
      <c r="B531" s="112">
        <f>IF($C531="","","T"&amp;TEXT(ROW()-6,"00000"))</f>
        <v/>
      </c>
      <c r="C531" s="107" t="n"/>
      <c r="D531" s="113">
        <f>IF($C531="","",IFERROR(INDEX(MUSTERILER!$C$7:$C$106,MATCH($C531,MUSTERILER!$B$7:$B$106,0)),"TANIMSIZ MÜŞTERİ"))</f>
        <v/>
      </c>
      <c r="E531" s="114" t="n"/>
      <c r="F531" s="115" t="n"/>
      <c r="G531" s="107" t="n"/>
      <c r="H531" s="107" t="n"/>
      <c r="I531" s="108" t="n"/>
      <c r="J531" s="108" t="n"/>
      <c r="K531" s="108" t="n"/>
      <c r="L531" s="119">
        <f>IF($E531="","",DATE(YEAR($E531),MONTH($E531),1))</f>
        <v/>
      </c>
      <c r="M531" s="112">
        <f>IF($C531="","",IF($D531="TANIMSIZ MÜŞTERİ","HATA",IF(OR($E531="",$F531&lt;=0,$G531=""),"EKSİK",IF($E531&gt;TODAY(),"İLERİ TARİH","UYGUN"))))</f>
        <v/>
      </c>
      <c r="N531" s="6" t="n"/>
      <c r="O531" s="6" t="n"/>
    </row>
    <row r="532">
      <c r="A532" s="6" t="n"/>
      <c r="B532" s="112">
        <f>IF($C532="","","T"&amp;TEXT(ROW()-6,"00000"))</f>
        <v/>
      </c>
      <c r="C532" s="107" t="n"/>
      <c r="D532" s="113">
        <f>IF($C532="","",IFERROR(INDEX(MUSTERILER!$C$7:$C$106,MATCH($C532,MUSTERILER!$B$7:$B$106,0)),"TANIMSIZ MÜŞTERİ"))</f>
        <v/>
      </c>
      <c r="E532" s="114" t="n"/>
      <c r="F532" s="115" t="n"/>
      <c r="G532" s="107" t="n"/>
      <c r="H532" s="107" t="n"/>
      <c r="I532" s="108" t="n"/>
      <c r="J532" s="108" t="n"/>
      <c r="K532" s="108" t="n"/>
      <c r="L532" s="119">
        <f>IF($E532="","",DATE(YEAR($E532),MONTH($E532),1))</f>
        <v/>
      </c>
      <c r="M532" s="112">
        <f>IF($C532="","",IF($D532="TANIMSIZ MÜŞTERİ","HATA",IF(OR($E532="",$F532&lt;=0,$G532=""),"EKSİK",IF($E532&gt;TODAY(),"İLERİ TARİH","UYGUN"))))</f>
        <v/>
      </c>
      <c r="N532" s="6" t="n"/>
      <c r="O532" s="6" t="n"/>
    </row>
    <row r="533">
      <c r="A533" s="6" t="n"/>
      <c r="B533" s="112">
        <f>IF($C533="","","T"&amp;TEXT(ROW()-6,"00000"))</f>
        <v/>
      </c>
      <c r="C533" s="107" t="n"/>
      <c r="D533" s="113">
        <f>IF($C533="","",IFERROR(INDEX(MUSTERILER!$C$7:$C$106,MATCH($C533,MUSTERILER!$B$7:$B$106,0)),"TANIMSIZ MÜŞTERİ"))</f>
        <v/>
      </c>
      <c r="E533" s="114" t="n"/>
      <c r="F533" s="115" t="n"/>
      <c r="G533" s="107" t="n"/>
      <c r="H533" s="107" t="n"/>
      <c r="I533" s="108" t="n"/>
      <c r="J533" s="108" t="n"/>
      <c r="K533" s="108" t="n"/>
      <c r="L533" s="119">
        <f>IF($E533="","",DATE(YEAR($E533),MONTH($E533),1))</f>
        <v/>
      </c>
      <c r="M533" s="112">
        <f>IF($C533="","",IF($D533="TANIMSIZ MÜŞTERİ","HATA",IF(OR($E533="",$F533&lt;=0,$G533=""),"EKSİK",IF($E533&gt;TODAY(),"İLERİ TARİH","UYGUN"))))</f>
        <v/>
      </c>
      <c r="N533" s="6" t="n"/>
      <c r="O533" s="6" t="n"/>
    </row>
    <row r="534">
      <c r="A534" s="6" t="n"/>
      <c r="B534" s="112">
        <f>IF($C534="","","T"&amp;TEXT(ROW()-6,"00000"))</f>
        <v/>
      </c>
      <c r="C534" s="107" t="n"/>
      <c r="D534" s="113">
        <f>IF($C534="","",IFERROR(INDEX(MUSTERILER!$C$7:$C$106,MATCH($C534,MUSTERILER!$B$7:$B$106,0)),"TANIMSIZ MÜŞTERİ"))</f>
        <v/>
      </c>
      <c r="E534" s="114" t="n"/>
      <c r="F534" s="115" t="n"/>
      <c r="G534" s="107" t="n"/>
      <c r="H534" s="107" t="n"/>
      <c r="I534" s="108" t="n"/>
      <c r="J534" s="108" t="n"/>
      <c r="K534" s="108" t="n"/>
      <c r="L534" s="119">
        <f>IF($E534="","",DATE(YEAR($E534),MONTH($E534),1))</f>
        <v/>
      </c>
      <c r="M534" s="112">
        <f>IF($C534="","",IF($D534="TANIMSIZ MÜŞTERİ","HATA",IF(OR($E534="",$F534&lt;=0,$G534=""),"EKSİK",IF($E534&gt;TODAY(),"İLERİ TARİH","UYGUN"))))</f>
        <v/>
      </c>
      <c r="N534" s="6" t="n"/>
      <c r="O534" s="6" t="n"/>
    </row>
    <row r="535">
      <c r="A535" s="6" t="n"/>
      <c r="B535" s="112">
        <f>IF($C535="","","T"&amp;TEXT(ROW()-6,"00000"))</f>
        <v/>
      </c>
      <c r="C535" s="107" t="n"/>
      <c r="D535" s="113">
        <f>IF($C535="","",IFERROR(INDEX(MUSTERILER!$C$7:$C$106,MATCH($C535,MUSTERILER!$B$7:$B$106,0)),"TANIMSIZ MÜŞTERİ"))</f>
        <v/>
      </c>
      <c r="E535" s="114" t="n"/>
      <c r="F535" s="115" t="n"/>
      <c r="G535" s="107" t="n"/>
      <c r="H535" s="107" t="n"/>
      <c r="I535" s="108" t="n"/>
      <c r="J535" s="108" t="n"/>
      <c r="K535" s="108" t="n"/>
      <c r="L535" s="119">
        <f>IF($E535="","",DATE(YEAR($E535),MONTH($E535),1))</f>
        <v/>
      </c>
      <c r="M535" s="112">
        <f>IF($C535="","",IF($D535="TANIMSIZ MÜŞTERİ","HATA",IF(OR($E535="",$F535&lt;=0,$G535=""),"EKSİK",IF($E535&gt;TODAY(),"İLERİ TARİH","UYGUN"))))</f>
        <v/>
      </c>
      <c r="N535" s="6" t="n"/>
      <c r="O535" s="6" t="n"/>
    </row>
    <row r="536">
      <c r="A536" s="6" t="n"/>
      <c r="B536" s="112">
        <f>IF($C536="","","T"&amp;TEXT(ROW()-6,"00000"))</f>
        <v/>
      </c>
      <c r="C536" s="107" t="n"/>
      <c r="D536" s="113">
        <f>IF($C536="","",IFERROR(INDEX(MUSTERILER!$C$7:$C$106,MATCH($C536,MUSTERILER!$B$7:$B$106,0)),"TANIMSIZ MÜŞTERİ"))</f>
        <v/>
      </c>
      <c r="E536" s="114" t="n"/>
      <c r="F536" s="115" t="n"/>
      <c r="G536" s="107" t="n"/>
      <c r="H536" s="107" t="n"/>
      <c r="I536" s="108" t="n"/>
      <c r="J536" s="108" t="n"/>
      <c r="K536" s="108" t="n"/>
      <c r="L536" s="119">
        <f>IF($E536="","",DATE(YEAR($E536),MONTH($E536),1))</f>
        <v/>
      </c>
      <c r="M536" s="112">
        <f>IF($C536="","",IF($D536="TANIMSIZ MÜŞTERİ","HATA",IF(OR($E536="",$F536&lt;=0,$G536=""),"EKSİK",IF($E536&gt;TODAY(),"İLERİ TARİH","UYGUN"))))</f>
        <v/>
      </c>
      <c r="N536" s="6" t="n"/>
      <c r="O536" s="6" t="n"/>
    </row>
    <row r="537">
      <c r="A537" s="6" t="n"/>
      <c r="B537" s="112">
        <f>IF($C537="","","T"&amp;TEXT(ROW()-6,"00000"))</f>
        <v/>
      </c>
      <c r="C537" s="107" t="n"/>
      <c r="D537" s="113">
        <f>IF($C537="","",IFERROR(INDEX(MUSTERILER!$C$7:$C$106,MATCH($C537,MUSTERILER!$B$7:$B$106,0)),"TANIMSIZ MÜŞTERİ"))</f>
        <v/>
      </c>
      <c r="E537" s="114" t="n"/>
      <c r="F537" s="115" t="n"/>
      <c r="G537" s="107" t="n"/>
      <c r="H537" s="107" t="n"/>
      <c r="I537" s="108" t="n"/>
      <c r="J537" s="108" t="n"/>
      <c r="K537" s="108" t="n"/>
      <c r="L537" s="119">
        <f>IF($E537="","",DATE(YEAR($E537),MONTH($E537),1))</f>
        <v/>
      </c>
      <c r="M537" s="112">
        <f>IF($C537="","",IF($D537="TANIMSIZ MÜŞTERİ","HATA",IF(OR($E537="",$F537&lt;=0,$G537=""),"EKSİK",IF($E537&gt;TODAY(),"İLERİ TARİH","UYGUN"))))</f>
        <v/>
      </c>
      <c r="N537" s="6" t="n"/>
      <c r="O537" s="6" t="n"/>
    </row>
    <row r="538">
      <c r="A538" s="6" t="n"/>
      <c r="B538" s="112">
        <f>IF($C538="","","T"&amp;TEXT(ROW()-6,"00000"))</f>
        <v/>
      </c>
      <c r="C538" s="107" t="n"/>
      <c r="D538" s="113">
        <f>IF($C538="","",IFERROR(INDEX(MUSTERILER!$C$7:$C$106,MATCH($C538,MUSTERILER!$B$7:$B$106,0)),"TANIMSIZ MÜŞTERİ"))</f>
        <v/>
      </c>
      <c r="E538" s="114" t="n"/>
      <c r="F538" s="115" t="n"/>
      <c r="G538" s="107" t="n"/>
      <c r="H538" s="107" t="n"/>
      <c r="I538" s="108" t="n"/>
      <c r="J538" s="108" t="n"/>
      <c r="K538" s="108" t="n"/>
      <c r="L538" s="119">
        <f>IF($E538="","",DATE(YEAR($E538),MONTH($E538),1))</f>
        <v/>
      </c>
      <c r="M538" s="112">
        <f>IF($C538="","",IF($D538="TANIMSIZ MÜŞTERİ","HATA",IF(OR($E538="",$F538&lt;=0,$G538=""),"EKSİK",IF($E538&gt;TODAY(),"İLERİ TARİH","UYGUN"))))</f>
        <v/>
      </c>
      <c r="N538" s="6" t="n"/>
      <c r="O538" s="6" t="n"/>
    </row>
    <row r="539">
      <c r="A539" s="6" t="n"/>
      <c r="B539" s="112">
        <f>IF($C539="","","T"&amp;TEXT(ROW()-6,"00000"))</f>
        <v/>
      </c>
      <c r="C539" s="107" t="n"/>
      <c r="D539" s="113">
        <f>IF($C539="","",IFERROR(INDEX(MUSTERILER!$C$7:$C$106,MATCH($C539,MUSTERILER!$B$7:$B$106,0)),"TANIMSIZ MÜŞTERİ"))</f>
        <v/>
      </c>
      <c r="E539" s="114" t="n"/>
      <c r="F539" s="115" t="n"/>
      <c r="G539" s="107" t="n"/>
      <c r="H539" s="107" t="n"/>
      <c r="I539" s="108" t="n"/>
      <c r="J539" s="108" t="n"/>
      <c r="K539" s="108" t="n"/>
      <c r="L539" s="119">
        <f>IF($E539="","",DATE(YEAR($E539),MONTH($E539),1))</f>
        <v/>
      </c>
      <c r="M539" s="112">
        <f>IF($C539="","",IF($D539="TANIMSIZ MÜŞTERİ","HATA",IF(OR($E539="",$F539&lt;=0,$G539=""),"EKSİK",IF($E539&gt;TODAY(),"İLERİ TARİH","UYGUN"))))</f>
        <v/>
      </c>
      <c r="N539" s="6" t="n"/>
      <c r="O539" s="6" t="n"/>
    </row>
    <row r="540">
      <c r="A540" s="6" t="n"/>
      <c r="B540" s="112">
        <f>IF($C540="","","T"&amp;TEXT(ROW()-6,"00000"))</f>
        <v/>
      </c>
      <c r="C540" s="107" t="n"/>
      <c r="D540" s="113">
        <f>IF($C540="","",IFERROR(INDEX(MUSTERILER!$C$7:$C$106,MATCH($C540,MUSTERILER!$B$7:$B$106,0)),"TANIMSIZ MÜŞTERİ"))</f>
        <v/>
      </c>
      <c r="E540" s="114" t="n"/>
      <c r="F540" s="115" t="n"/>
      <c r="G540" s="107" t="n"/>
      <c r="H540" s="107" t="n"/>
      <c r="I540" s="108" t="n"/>
      <c r="J540" s="108" t="n"/>
      <c r="K540" s="108" t="n"/>
      <c r="L540" s="119">
        <f>IF($E540="","",DATE(YEAR($E540),MONTH($E540),1))</f>
        <v/>
      </c>
      <c r="M540" s="112">
        <f>IF($C540="","",IF($D540="TANIMSIZ MÜŞTERİ","HATA",IF(OR($E540="",$F540&lt;=0,$G540=""),"EKSİK",IF($E540&gt;TODAY(),"İLERİ TARİH","UYGUN"))))</f>
        <v/>
      </c>
      <c r="N540" s="6" t="n"/>
      <c r="O540" s="6" t="n"/>
    </row>
    <row r="541">
      <c r="A541" s="6" t="n"/>
      <c r="B541" s="112">
        <f>IF($C541="","","T"&amp;TEXT(ROW()-6,"00000"))</f>
        <v/>
      </c>
      <c r="C541" s="107" t="n"/>
      <c r="D541" s="113">
        <f>IF($C541="","",IFERROR(INDEX(MUSTERILER!$C$7:$C$106,MATCH($C541,MUSTERILER!$B$7:$B$106,0)),"TANIMSIZ MÜŞTERİ"))</f>
        <v/>
      </c>
      <c r="E541" s="114" t="n"/>
      <c r="F541" s="115" t="n"/>
      <c r="G541" s="107" t="n"/>
      <c r="H541" s="107" t="n"/>
      <c r="I541" s="108" t="n"/>
      <c r="J541" s="108" t="n"/>
      <c r="K541" s="108" t="n"/>
      <c r="L541" s="119">
        <f>IF($E541="","",DATE(YEAR($E541),MONTH($E541),1))</f>
        <v/>
      </c>
      <c r="M541" s="112">
        <f>IF($C541="","",IF($D541="TANIMSIZ MÜŞTERİ","HATA",IF(OR($E541="",$F541&lt;=0,$G541=""),"EKSİK",IF($E541&gt;TODAY(),"İLERİ TARİH","UYGUN"))))</f>
        <v/>
      </c>
      <c r="N541" s="6" t="n"/>
      <c r="O541" s="6" t="n"/>
    </row>
    <row r="542">
      <c r="A542" s="6" t="n"/>
      <c r="B542" s="112">
        <f>IF($C542="","","T"&amp;TEXT(ROW()-6,"00000"))</f>
        <v/>
      </c>
      <c r="C542" s="107" t="n"/>
      <c r="D542" s="113">
        <f>IF($C542="","",IFERROR(INDEX(MUSTERILER!$C$7:$C$106,MATCH($C542,MUSTERILER!$B$7:$B$106,0)),"TANIMSIZ MÜŞTERİ"))</f>
        <v/>
      </c>
      <c r="E542" s="114" t="n"/>
      <c r="F542" s="115" t="n"/>
      <c r="G542" s="107" t="n"/>
      <c r="H542" s="107" t="n"/>
      <c r="I542" s="108" t="n"/>
      <c r="J542" s="108" t="n"/>
      <c r="K542" s="108" t="n"/>
      <c r="L542" s="119">
        <f>IF($E542="","",DATE(YEAR($E542),MONTH($E542),1))</f>
        <v/>
      </c>
      <c r="M542" s="112">
        <f>IF($C542="","",IF($D542="TANIMSIZ MÜŞTERİ","HATA",IF(OR($E542="",$F542&lt;=0,$G542=""),"EKSİK",IF($E542&gt;TODAY(),"İLERİ TARİH","UYGUN"))))</f>
        <v/>
      </c>
      <c r="N542" s="6" t="n"/>
      <c r="O542" s="6" t="n"/>
    </row>
    <row r="543">
      <c r="A543" s="6" t="n"/>
      <c r="B543" s="112">
        <f>IF($C543="","","T"&amp;TEXT(ROW()-6,"00000"))</f>
        <v/>
      </c>
      <c r="C543" s="107" t="n"/>
      <c r="D543" s="113">
        <f>IF($C543="","",IFERROR(INDEX(MUSTERILER!$C$7:$C$106,MATCH($C543,MUSTERILER!$B$7:$B$106,0)),"TANIMSIZ MÜŞTERİ"))</f>
        <v/>
      </c>
      <c r="E543" s="114" t="n"/>
      <c r="F543" s="115" t="n"/>
      <c r="G543" s="107" t="n"/>
      <c r="H543" s="107" t="n"/>
      <c r="I543" s="108" t="n"/>
      <c r="J543" s="108" t="n"/>
      <c r="K543" s="108" t="n"/>
      <c r="L543" s="119">
        <f>IF($E543="","",DATE(YEAR($E543),MONTH($E543),1))</f>
        <v/>
      </c>
      <c r="M543" s="112">
        <f>IF($C543="","",IF($D543="TANIMSIZ MÜŞTERİ","HATA",IF(OR($E543="",$F543&lt;=0,$G543=""),"EKSİK",IF($E543&gt;TODAY(),"İLERİ TARİH","UYGUN"))))</f>
        <v/>
      </c>
      <c r="N543" s="6" t="n"/>
      <c r="O543" s="6" t="n"/>
    </row>
    <row r="544">
      <c r="A544" s="6" t="n"/>
      <c r="B544" s="112">
        <f>IF($C544="","","T"&amp;TEXT(ROW()-6,"00000"))</f>
        <v/>
      </c>
      <c r="C544" s="107" t="n"/>
      <c r="D544" s="113">
        <f>IF($C544="","",IFERROR(INDEX(MUSTERILER!$C$7:$C$106,MATCH($C544,MUSTERILER!$B$7:$B$106,0)),"TANIMSIZ MÜŞTERİ"))</f>
        <v/>
      </c>
      <c r="E544" s="114" t="n"/>
      <c r="F544" s="115" t="n"/>
      <c r="G544" s="107" t="n"/>
      <c r="H544" s="107" t="n"/>
      <c r="I544" s="108" t="n"/>
      <c r="J544" s="108" t="n"/>
      <c r="K544" s="108" t="n"/>
      <c r="L544" s="119">
        <f>IF($E544="","",DATE(YEAR($E544),MONTH($E544),1))</f>
        <v/>
      </c>
      <c r="M544" s="112">
        <f>IF($C544="","",IF($D544="TANIMSIZ MÜŞTERİ","HATA",IF(OR($E544="",$F544&lt;=0,$G544=""),"EKSİK",IF($E544&gt;TODAY(),"İLERİ TARİH","UYGUN"))))</f>
        <v/>
      </c>
      <c r="N544" s="6" t="n"/>
      <c r="O544" s="6" t="n"/>
    </row>
    <row r="545">
      <c r="A545" s="6" t="n"/>
      <c r="B545" s="112">
        <f>IF($C545="","","T"&amp;TEXT(ROW()-6,"00000"))</f>
        <v/>
      </c>
      <c r="C545" s="107" t="n"/>
      <c r="D545" s="113">
        <f>IF($C545="","",IFERROR(INDEX(MUSTERILER!$C$7:$C$106,MATCH($C545,MUSTERILER!$B$7:$B$106,0)),"TANIMSIZ MÜŞTERİ"))</f>
        <v/>
      </c>
      <c r="E545" s="114" t="n"/>
      <c r="F545" s="115" t="n"/>
      <c r="G545" s="107" t="n"/>
      <c r="H545" s="107" t="n"/>
      <c r="I545" s="108" t="n"/>
      <c r="J545" s="108" t="n"/>
      <c r="K545" s="108" t="n"/>
      <c r="L545" s="119">
        <f>IF($E545="","",DATE(YEAR($E545),MONTH($E545),1))</f>
        <v/>
      </c>
      <c r="M545" s="112">
        <f>IF($C545="","",IF($D545="TANIMSIZ MÜŞTERİ","HATA",IF(OR($E545="",$F545&lt;=0,$G545=""),"EKSİK",IF($E545&gt;TODAY(),"İLERİ TARİH","UYGUN"))))</f>
        <v/>
      </c>
      <c r="N545" s="6" t="n"/>
      <c r="O545" s="6" t="n"/>
    </row>
    <row r="546">
      <c r="A546" s="6" t="n"/>
      <c r="B546" s="112">
        <f>IF($C546="","","T"&amp;TEXT(ROW()-6,"00000"))</f>
        <v/>
      </c>
      <c r="C546" s="107" t="n"/>
      <c r="D546" s="113">
        <f>IF($C546="","",IFERROR(INDEX(MUSTERILER!$C$7:$C$106,MATCH($C546,MUSTERILER!$B$7:$B$106,0)),"TANIMSIZ MÜŞTERİ"))</f>
        <v/>
      </c>
      <c r="E546" s="114" t="n"/>
      <c r="F546" s="115" t="n"/>
      <c r="G546" s="107" t="n"/>
      <c r="H546" s="107" t="n"/>
      <c r="I546" s="108" t="n"/>
      <c r="J546" s="108" t="n"/>
      <c r="K546" s="108" t="n"/>
      <c r="L546" s="119">
        <f>IF($E546="","",DATE(YEAR($E546),MONTH($E546),1))</f>
        <v/>
      </c>
      <c r="M546" s="112">
        <f>IF($C546="","",IF($D546="TANIMSIZ MÜŞTERİ","HATA",IF(OR($E546="",$F546&lt;=0,$G546=""),"EKSİK",IF($E546&gt;TODAY(),"İLERİ TARİH","UYGUN"))))</f>
        <v/>
      </c>
      <c r="N546" s="6" t="n"/>
      <c r="O546" s="6" t="n"/>
    </row>
    <row r="547">
      <c r="A547" s="6" t="n"/>
      <c r="B547" s="112">
        <f>IF($C547="","","T"&amp;TEXT(ROW()-6,"00000"))</f>
        <v/>
      </c>
      <c r="C547" s="107" t="n"/>
      <c r="D547" s="113">
        <f>IF($C547="","",IFERROR(INDEX(MUSTERILER!$C$7:$C$106,MATCH($C547,MUSTERILER!$B$7:$B$106,0)),"TANIMSIZ MÜŞTERİ"))</f>
        <v/>
      </c>
      <c r="E547" s="114" t="n"/>
      <c r="F547" s="115" t="n"/>
      <c r="G547" s="107" t="n"/>
      <c r="H547" s="107" t="n"/>
      <c r="I547" s="108" t="n"/>
      <c r="J547" s="108" t="n"/>
      <c r="K547" s="108" t="n"/>
      <c r="L547" s="119">
        <f>IF($E547="","",DATE(YEAR($E547),MONTH($E547),1))</f>
        <v/>
      </c>
      <c r="M547" s="112">
        <f>IF($C547="","",IF($D547="TANIMSIZ MÜŞTERİ","HATA",IF(OR($E547="",$F547&lt;=0,$G547=""),"EKSİK",IF($E547&gt;TODAY(),"İLERİ TARİH","UYGUN"))))</f>
        <v/>
      </c>
      <c r="N547" s="6" t="n"/>
      <c r="O547" s="6" t="n"/>
    </row>
    <row r="548">
      <c r="A548" s="6" t="n"/>
      <c r="B548" s="112">
        <f>IF($C548="","","T"&amp;TEXT(ROW()-6,"00000"))</f>
        <v/>
      </c>
      <c r="C548" s="107" t="n"/>
      <c r="D548" s="113">
        <f>IF($C548="","",IFERROR(INDEX(MUSTERILER!$C$7:$C$106,MATCH($C548,MUSTERILER!$B$7:$B$106,0)),"TANIMSIZ MÜŞTERİ"))</f>
        <v/>
      </c>
      <c r="E548" s="114" t="n"/>
      <c r="F548" s="115" t="n"/>
      <c r="G548" s="107" t="n"/>
      <c r="H548" s="107" t="n"/>
      <c r="I548" s="108" t="n"/>
      <c r="J548" s="108" t="n"/>
      <c r="K548" s="108" t="n"/>
      <c r="L548" s="119">
        <f>IF($E548="","",DATE(YEAR($E548),MONTH($E548),1))</f>
        <v/>
      </c>
      <c r="M548" s="112">
        <f>IF($C548="","",IF($D548="TANIMSIZ MÜŞTERİ","HATA",IF(OR($E548="",$F548&lt;=0,$G548=""),"EKSİK",IF($E548&gt;TODAY(),"İLERİ TARİH","UYGUN"))))</f>
        <v/>
      </c>
      <c r="N548" s="6" t="n"/>
      <c r="O548" s="6" t="n"/>
    </row>
    <row r="549">
      <c r="A549" s="6" t="n"/>
      <c r="B549" s="112">
        <f>IF($C549="","","T"&amp;TEXT(ROW()-6,"00000"))</f>
        <v/>
      </c>
      <c r="C549" s="107" t="n"/>
      <c r="D549" s="113">
        <f>IF($C549="","",IFERROR(INDEX(MUSTERILER!$C$7:$C$106,MATCH($C549,MUSTERILER!$B$7:$B$106,0)),"TANIMSIZ MÜŞTERİ"))</f>
        <v/>
      </c>
      <c r="E549" s="114" t="n"/>
      <c r="F549" s="115" t="n"/>
      <c r="G549" s="107" t="n"/>
      <c r="H549" s="107" t="n"/>
      <c r="I549" s="108" t="n"/>
      <c r="J549" s="108" t="n"/>
      <c r="K549" s="108" t="n"/>
      <c r="L549" s="119">
        <f>IF($E549="","",DATE(YEAR($E549),MONTH($E549),1))</f>
        <v/>
      </c>
      <c r="M549" s="112">
        <f>IF($C549="","",IF($D549="TANIMSIZ MÜŞTERİ","HATA",IF(OR($E549="",$F549&lt;=0,$G549=""),"EKSİK",IF($E549&gt;TODAY(),"İLERİ TARİH","UYGUN"))))</f>
        <v/>
      </c>
      <c r="N549" s="6" t="n"/>
      <c r="O549" s="6" t="n"/>
    </row>
    <row r="550">
      <c r="A550" s="6" t="n"/>
      <c r="B550" s="112">
        <f>IF($C550="","","T"&amp;TEXT(ROW()-6,"00000"))</f>
        <v/>
      </c>
      <c r="C550" s="107" t="n"/>
      <c r="D550" s="113">
        <f>IF($C550="","",IFERROR(INDEX(MUSTERILER!$C$7:$C$106,MATCH($C550,MUSTERILER!$B$7:$B$106,0)),"TANIMSIZ MÜŞTERİ"))</f>
        <v/>
      </c>
      <c r="E550" s="114" t="n"/>
      <c r="F550" s="115" t="n"/>
      <c r="G550" s="107" t="n"/>
      <c r="H550" s="107" t="n"/>
      <c r="I550" s="108" t="n"/>
      <c r="J550" s="108" t="n"/>
      <c r="K550" s="108" t="n"/>
      <c r="L550" s="119">
        <f>IF($E550="","",DATE(YEAR($E550),MONTH($E550),1))</f>
        <v/>
      </c>
      <c r="M550" s="112">
        <f>IF($C550="","",IF($D550="TANIMSIZ MÜŞTERİ","HATA",IF(OR($E550="",$F550&lt;=0,$G550=""),"EKSİK",IF($E550&gt;TODAY(),"İLERİ TARİH","UYGUN"))))</f>
        <v/>
      </c>
      <c r="N550" s="6" t="n"/>
      <c r="O550" s="6" t="n"/>
    </row>
    <row r="551">
      <c r="A551" s="6" t="n"/>
      <c r="B551" s="112">
        <f>IF($C551="","","T"&amp;TEXT(ROW()-6,"00000"))</f>
        <v/>
      </c>
      <c r="C551" s="107" t="n"/>
      <c r="D551" s="113">
        <f>IF($C551="","",IFERROR(INDEX(MUSTERILER!$C$7:$C$106,MATCH($C551,MUSTERILER!$B$7:$B$106,0)),"TANIMSIZ MÜŞTERİ"))</f>
        <v/>
      </c>
      <c r="E551" s="114" t="n"/>
      <c r="F551" s="115" t="n"/>
      <c r="G551" s="107" t="n"/>
      <c r="H551" s="107" t="n"/>
      <c r="I551" s="108" t="n"/>
      <c r="J551" s="108" t="n"/>
      <c r="K551" s="108" t="n"/>
      <c r="L551" s="119">
        <f>IF($E551="","",DATE(YEAR($E551),MONTH($E551),1))</f>
        <v/>
      </c>
      <c r="M551" s="112">
        <f>IF($C551="","",IF($D551="TANIMSIZ MÜŞTERİ","HATA",IF(OR($E551="",$F551&lt;=0,$G551=""),"EKSİK",IF($E551&gt;TODAY(),"İLERİ TARİH","UYGUN"))))</f>
        <v/>
      </c>
      <c r="N551" s="6" t="n"/>
      <c r="O551" s="6" t="n"/>
    </row>
    <row r="552">
      <c r="A552" s="6" t="n"/>
      <c r="B552" s="112">
        <f>IF($C552="","","T"&amp;TEXT(ROW()-6,"00000"))</f>
        <v/>
      </c>
      <c r="C552" s="107" t="n"/>
      <c r="D552" s="113">
        <f>IF($C552="","",IFERROR(INDEX(MUSTERILER!$C$7:$C$106,MATCH($C552,MUSTERILER!$B$7:$B$106,0)),"TANIMSIZ MÜŞTERİ"))</f>
        <v/>
      </c>
      <c r="E552" s="114" t="n"/>
      <c r="F552" s="115" t="n"/>
      <c r="G552" s="107" t="n"/>
      <c r="H552" s="107" t="n"/>
      <c r="I552" s="108" t="n"/>
      <c r="J552" s="108" t="n"/>
      <c r="K552" s="108" t="n"/>
      <c r="L552" s="119">
        <f>IF($E552="","",DATE(YEAR($E552),MONTH($E552),1))</f>
        <v/>
      </c>
      <c r="M552" s="112">
        <f>IF($C552="","",IF($D552="TANIMSIZ MÜŞTERİ","HATA",IF(OR($E552="",$F552&lt;=0,$G552=""),"EKSİK",IF($E552&gt;TODAY(),"İLERİ TARİH","UYGUN"))))</f>
        <v/>
      </c>
      <c r="N552" s="6" t="n"/>
      <c r="O552" s="6" t="n"/>
    </row>
    <row r="553">
      <c r="A553" s="6" t="n"/>
      <c r="B553" s="112">
        <f>IF($C553="","","T"&amp;TEXT(ROW()-6,"00000"))</f>
        <v/>
      </c>
      <c r="C553" s="107" t="n"/>
      <c r="D553" s="113">
        <f>IF($C553="","",IFERROR(INDEX(MUSTERILER!$C$7:$C$106,MATCH($C553,MUSTERILER!$B$7:$B$106,0)),"TANIMSIZ MÜŞTERİ"))</f>
        <v/>
      </c>
      <c r="E553" s="114" t="n"/>
      <c r="F553" s="115" t="n"/>
      <c r="G553" s="107" t="n"/>
      <c r="H553" s="107" t="n"/>
      <c r="I553" s="108" t="n"/>
      <c r="J553" s="108" t="n"/>
      <c r="K553" s="108" t="n"/>
      <c r="L553" s="119">
        <f>IF($E553="","",DATE(YEAR($E553),MONTH($E553),1))</f>
        <v/>
      </c>
      <c r="M553" s="112">
        <f>IF($C553="","",IF($D553="TANIMSIZ MÜŞTERİ","HATA",IF(OR($E553="",$F553&lt;=0,$G553=""),"EKSİK",IF($E553&gt;TODAY(),"İLERİ TARİH","UYGUN"))))</f>
        <v/>
      </c>
      <c r="N553" s="6" t="n"/>
      <c r="O553" s="6" t="n"/>
    </row>
    <row r="554">
      <c r="A554" s="6" t="n"/>
      <c r="B554" s="112">
        <f>IF($C554="","","T"&amp;TEXT(ROW()-6,"00000"))</f>
        <v/>
      </c>
      <c r="C554" s="107" t="n"/>
      <c r="D554" s="113">
        <f>IF($C554="","",IFERROR(INDEX(MUSTERILER!$C$7:$C$106,MATCH($C554,MUSTERILER!$B$7:$B$106,0)),"TANIMSIZ MÜŞTERİ"))</f>
        <v/>
      </c>
      <c r="E554" s="114" t="n"/>
      <c r="F554" s="115" t="n"/>
      <c r="G554" s="107" t="n"/>
      <c r="H554" s="107" t="n"/>
      <c r="I554" s="108" t="n"/>
      <c r="J554" s="108" t="n"/>
      <c r="K554" s="108" t="n"/>
      <c r="L554" s="119">
        <f>IF($E554="","",DATE(YEAR($E554),MONTH($E554),1))</f>
        <v/>
      </c>
      <c r="M554" s="112">
        <f>IF($C554="","",IF($D554="TANIMSIZ MÜŞTERİ","HATA",IF(OR($E554="",$F554&lt;=0,$G554=""),"EKSİK",IF($E554&gt;TODAY(),"İLERİ TARİH","UYGUN"))))</f>
        <v/>
      </c>
      <c r="N554" s="6" t="n"/>
      <c r="O554" s="6" t="n"/>
    </row>
    <row r="555">
      <c r="A555" s="6" t="n"/>
      <c r="B555" s="112">
        <f>IF($C555="","","T"&amp;TEXT(ROW()-6,"00000"))</f>
        <v/>
      </c>
      <c r="C555" s="107" t="n"/>
      <c r="D555" s="113">
        <f>IF($C555="","",IFERROR(INDEX(MUSTERILER!$C$7:$C$106,MATCH($C555,MUSTERILER!$B$7:$B$106,0)),"TANIMSIZ MÜŞTERİ"))</f>
        <v/>
      </c>
      <c r="E555" s="114" t="n"/>
      <c r="F555" s="115" t="n"/>
      <c r="G555" s="107" t="n"/>
      <c r="H555" s="107" t="n"/>
      <c r="I555" s="108" t="n"/>
      <c r="J555" s="108" t="n"/>
      <c r="K555" s="108" t="n"/>
      <c r="L555" s="119">
        <f>IF($E555="","",DATE(YEAR($E555),MONTH($E555),1))</f>
        <v/>
      </c>
      <c r="M555" s="112">
        <f>IF($C555="","",IF($D555="TANIMSIZ MÜŞTERİ","HATA",IF(OR($E555="",$F555&lt;=0,$G555=""),"EKSİK",IF($E555&gt;TODAY(),"İLERİ TARİH","UYGUN"))))</f>
        <v/>
      </c>
      <c r="N555" s="6" t="n"/>
      <c r="O555" s="6" t="n"/>
    </row>
    <row r="556">
      <c r="A556" s="6" t="n"/>
      <c r="B556" s="112">
        <f>IF($C556="","","T"&amp;TEXT(ROW()-6,"00000"))</f>
        <v/>
      </c>
      <c r="C556" s="107" t="n"/>
      <c r="D556" s="113">
        <f>IF($C556="","",IFERROR(INDEX(MUSTERILER!$C$7:$C$106,MATCH($C556,MUSTERILER!$B$7:$B$106,0)),"TANIMSIZ MÜŞTERİ"))</f>
        <v/>
      </c>
      <c r="E556" s="114" t="n"/>
      <c r="F556" s="115" t="n"/>
      <c r="G556" s="107" t="n"/>
      <c r="H556" s="107" t="n"/>
      <c r="I556" s="108" t="n"/>
      <c r="J556" s="108" t="n"/>
      <c r="K556" s="108" t="n"/>
      <c r="L556" s="119">
        <f>IF($E556="","",DATE(YEAR($E556),MONTH($E556),1))</f>
        <v/>
      </c>
      <c r="M556" s="112">
        <f>IF($C556="","",IF($D556="TANIMSIZ MÜŞTERİ","HATA",IF(OR($E556="",$F556&lt;=0,$G556=""),"EKSİK",IF($E556&gt;TODAY(),"İLERİ TARİH","UYGUN"))))</f>
        <v/>
      </c>
      <c r="N556" s="6" t="n"/>
      <c r="O556" s="6" t="n"/>
    </row>
    <row r="557">
      <c r="A557" s="6" t="n"/>
      <c r="B557" s="112">
        <f>IF($C557="","","T"&amp;TEXT(ROW()-6,"00000"))</f>
        <v/>
      </c>
      <c r="C557" s="107" t="n"/>
      <c r="D557" s="113">
        <f>IF($C557="","",IFERROR(INDEX(MUSTERILER!$C$7:$C$106,MATCH($C557,MUSTERILER!$B$7:$B$106,0)),"TANIMSIZ MÜŞTERİ"))</f>
        <v/>
      </c>
      <c r="E557" s="114" t="n"/>
      <c r="F557" s="115" t="n"/>
      <c r="G557" s="107" t="n"/>
      <c r="H557" s="107" t="n"/>
      <c r="I557" s="108" t="n"/>
      <c r="J557" s="108" t="n"/>
      <c r="K557" s="108" t="n"/>
      <c r="L557" s="119">
        <f>IF($E557="","",DATE(YEAR($E557),MONTH($E557),1))</f>
        <v/>
      </c>
      <c r="M557" s="112">
        <f>IF($C557="","",IF($D557="TANIMSIZ MÜŞTERİ","HATA",IF(OR($E557="",$F557&lt;=0,$G557=""),"EKSİK",IF($E557&gt;TODAY(),"İLERİ TARİH","UYGUN"))))</f>
        <v/>
      </c>
      <c r="N557" s="6" t="n"/>
      <c r="O557" s="6" t="n"/>
    </row>
    <row r="558">
      <c r="A558" s="6" t="n"/>
      <c r="B558" s="112">
        <f>IF($C558="","","T"&amp;TEXT(ROW()-6,"00000"))</f>
        <v/>
      </c>
      <c r="C558" s="107" t="n"/>
      <c r="D558" s="113">
        <f>IF($C558="","",IFERROR(INDEX(MUSTERILER!$C$7:$C$106,MATCH($C558,MUSTERILER!$B$7:$B$106,0)),"TANIMSIZ MÜŞTERİ"))</f>
        <v/>
      </c>
      <c r="E558" s="114" t="n"/>
      <c r="F558" s="115" t="n"/>
      <c r="G558" s="107" t="n"/>
      <c r="H558" s="107" t="n"/>
      <c r="I558" s="108" t="n"/>
      <c r="J558" s="108" t="n"/>
      <c r="K558" s="108" t="n"/>
      <c r="L558" s="119">
        <f>IF($E558="","",DATE(YEAR($E558),MONTH($E558),1))</f>
        <v/>
      </c>
      <c r="M558" s="112">
        <f>IF($C558="","",IF($D558="TANIMSIZ MÜŞTERİ","HATA",IF(OR($E558="",$F558&lt;=0,$G558=""),"EKSİK",IF($E558&gt;TODAY(),"İLERİ TARİH","UYGUN"))))</f>
        <v/>
      </c>
      <c r="N558" s="6" t="n"/>
      <c r="O558" s="6" t="n"/>
    </row>
    <row r="559">
      <c r="A559" s="6" t="n"/>
      <c r="B559" s="112">
        <f>IF($C559="","","T"&amp;TEXT(ROW()-6,"00000"))</f>
        <v/>
      </c>
      <c r="C559" s="107" t="n"/>
      <c r="D559" s="113">
        <f>IF($C559="","",IFERROR(INDEX(MUSTERILER!$C$7:$C$106,MATCH($C559,MUSTERILER!$B$7:$B$106,0)),"TANIMSIZ MÜŞTERİ"))</f>
        <v/>
      </c>
      <c r="E559" s="114" t="n"/>
      <c r="F559" s="115" t="n"/>
      <c r="G559" s="107" t="n"/>
      <c r="H559" s="107" t="n"/>
      <c r="I559" s="108" t="n"/>
      <c r="J559" s="108" t="n"/>
      <c r="K559" s="108" t="n"/>
      <c r="L559" s="119">
        <f>IF($E559="","",DATE(YEAR($E559),MONTH($E559),1))</f>
        <v/>
      </c>
      <c r="M559" s="112">
        <f>IF($C559="","",IF($D559="TANIMSIZ MÜŞTERİ","HATA",IF(OR($E559="",$F559&lt;=0,$G559=""),"EKSİK",IF($E559&gt;TODAY(),"İLERİ TARİH","UYGUN"))))</f>
        <v/>
      </c>
      <c r="N559" s="6" t="n"/>
      <c r="O559" s="6" t="n"/>
    </row>
    <row r="560">
      <c r="A560" s="6" t="n"/>
      <c r="B560" s="112">
        <f>IF($C560="","","T"&amp;TEXT(ROW()-6,"00000"))</f>
        <v/>
      </c>
      <c r="C560" s="107" t="n"/>
      <c r="D560" s="113">
        <f>IF($C560="","",IFERROR(INDEX(MUSTERILER!$C$7:$C$106,MATCH($C560,MUSTERILER!$B$7:$B$106,0)),"TANIMSIZ MÜŞTERİ"))</f>
        <v/>
      </c>
      <c r="E560" s="114" t="n"/>
      <c r="F560" s="115" t="n"/>
      <c r="G560" s="107" t="n"/>
      <c r="H560" s="107" t="n"/>
      <c r="I560" s="108" t="n"/>
      <c r="J560" s="108" t="n"/>
      <c r="K560" s="108" t="n"/>
      <c r="L560" s="119">
        <f>IF($E560="","",DATE(YEAR($E560),MONTH($E560),1))</f>
        <v/>
      </c>
      <c r="M560" s="112">
        <f>IF($C560="","",IF($D560="TANIMSIZ MÜŞTERİ","HATA",IF(OR($E560="",$F560&lt;=0,$G560=""),"EKSİK",IF($E560&gt;TODAY(),"İLERİ TARİH","UYGUN"))))</f>
        <v/>
      </c>
      <c r="N560" s="6" t="n"/>
      <c r="O560" s="6" t="n"/>
    </row>
    <row r="561">
      <c r="A561" s="6" t="n"/>
      <c r="B561" s="112">
        <f>IF($C561="","","T"&amp;TEXT(ROW()-6,"00000"))</f>
        <v/>
      </c>
      <c r="C561" s="107" t="n"/>
      <c r="D561" s="113">
        <f>IF($C561="","",IFERROR(INDEX(MUSTERILER!$C$7:$C$106,MATCH($C561,MUSTERILER!$B$7:$B$106,0)),"TANIMSIZ MÜŞTERİ"))</f>
        <v/>
      </c>
      <c r="E561" s="114" t="n"/>
      <c r="F561" s="115" t="n"/>
      <c r="G561" s="107" t="n"/>
      <c r="H561" s="107" t="n"/>
      <c r="I561" s="108" t="n"/>
      <c r="J561" s="108" t="n"/>
      <c r="K561" s="108" t="n"/>
      <c r="L561" s="119">
        <f>IF($E561="","",DATE(YEAR($E561),MONTH($E561),1))</f>
        <v/>
      </c>
      <c r="M561" s="112">
        <f>IF($C561="","",IF($D561="TANIMSIZ MÜŞTERİ","HATA",IF(OR($E561="",$F561&lt;=0,$G561=""),"EKSİK",IF($E561&gt;TODAY(),"İLERİ TARİH","UYGUN"))))</f>
        <v/>
      </c>
      <c r="N561" s="6" t="n"/>
      <c r="O561" s="6" t="n"/>
    </row>
    <row r="562">
      <c r="A562" s="6" t="n"/>
      <c r="B562" s="112">
        <f>IF($C562="","","T"&amp;TEXT(ROW()-6,"00000"))</f>
        <v/>
      </c>
      <c r="C562" s="107" t="n"/>
      <c r="D562" s="113">
        <f>IF($C562="","",IFERROR(INDEX(MUSTERILER!$C$7:$C$106,MATCH($C562,MUSTERILER!$B$7:$B$106,0)),"TANIMSIZ MÜŞTERİ"))</f>
        <v/>
      </c>
      <c r="E562" s="114" t="n"/>
      <c r="F562" s="115" t="n"/>
      <c r="G562" s="107" t="n"/>
      <c r="H562" s="107" t="n"/>
      <c r="I562" s="108" t="n"/>
      <c r="J562" s="108" t="n"/>
      <c r="K562" s="108" t="n"/>
      <c r="L562" s="119">
        <f>IF($E562="","",DATE(YEAR($E562),MONTH($E562),1))</f>
        <v/>
      </c>
      <c r="M562" s="112">
        <f>IF($C562="","",IF($D562="TANIMSIZ MÜŞTERİ","HATA",IF(OR($E562="",$F562&lt;=0,$G562=""),"EKSİK",IF($E562&gt;TODAY(),"İLERİ TARİH","UYGUN"))))</f>
        <v/>
      </c>
      <c r="N562" s="6" t="n"/>
      <c r="O562" s="6" t="n"/>
    </row>
    <row r="563">
      <c r="A563" s="6" t="n"/>
      <c r="B563" s="112">
        <f>IF($C563="","","T"&amp;TEXT(ROW()-6,"00000"))</f>
        <v/>
      </c>
      <c r="C563" s="107" t="n"/>
      <c r="D563" s="113">
        <f>IF($C563="","",IFERROR(INDEX(MUSTERILER!$C$7:$C$106,MATCH($C563,MUSTERILER!$B$7:$B$106,0)),"TANIMSIZ MÜŞTERİ"))</f>
        <v/>
      </c>
      <c r="E563" s="114" t="n"/>
      <c r="F563" s="115" t="n"/>
      <c r="G563" s="107" t="n"/>
      <c r="H563" s="107" t="n"/>
      <c r="I563" s="108" t="n"/>
      <c r="J563" s="108" t="n"/>
      <c r="K563" s="108" t="n"/>
      <c r="L563" s="119">
        <f>IF($E563="","",DATE(YEAR($E563),MONTH($E563),1))</f>
        <v/>
      </c>
      <c r="M563" s="112">
        <f>IF($C563="","",IF($D563="TANIMSIZ MÜŞTERİ","HATA",IF(OR($E563="",$F563&lt;=0,$G563=""),"EKSİK",IF($E563&gt;TODAY(),"İLERİ TARİH","UYGUN"))))</f>
        <v/>
      </c>
      <c r="N563" s="6" t="n"/>
      <c r="O563" s="6" t="n"/>
    </row>
    <row r="564">
      <c r="A564" s="6" t="n"/>
      <c r="B564" s="112">
        <f>IF($C564="","","T"&amp;TEXT(ROW()-6,"00000"))</f>
        <v/>
      </c>
      <c r="C564" s="107" t="n"/>
      <c r="D564" s="113">
        <f>IF($C564="","",IFERROR(INDEX(MUSTERILER!$C$7:$C$106,MATCH($C564,MUSTERILER!$B$7:$B$106,0)),"TANIMSIZ MÜŞTERİ"))</f>
        <v/>
      </c>
      <c r="E564" s="114" t="n"/>
      <c r="F564" s="115" t="n"/>
      <c r="G564" s="107" t="n"/>
      <c r="H564" s="107" t="n"/>
      <c r="I564" s="108" t="n"/>
      <c r="J564" s="108" t="n"/>
      <c r="K564" s="108" t="n"/>
      <c r="L564" s="119">
        <f>IF($E564="","",DATE(YEAR($E564),MONTH($E564),1))</f>
        <v/>
      </c>
      <c r="M564" s="112">
        <f>IF($C564="","",IF($D564="TANIMSIZ MÜŞTERİ","HATA",IF(OR($E564="",$F564&lt;=0,$G564=""),"EKSİK",IF($E564&gt;TODAY(),"İLERİ TARİH","UYGUN"))))</f>
        <v/>
      </c>
      <c r="N564" s="6" t="n"/>
      <c r="O564" s="6" t="n"/>
    </row>
    <row r="565">
      <c r="A565" s="6" t="n"/>
      <c r="B565" s="112">
        <f>IF($C565="","","T"&amp;TEXT(ROW()-6,"00000"))</f>
        <v/>
      </c>
      <c r="C565" s="107" t="n"/>
      <c r="D565" s="113">
        <f>IF($C565="","",IFERROR(INDEX(MUSTERILER!$C$7:$C$106,MATCH($C565,MUSTERILER!$B$7:$B$106,0)),"TANIMSIZ MÜŞTERİ"))</f>
        <v/>
      </c>
      <c r="E565" s="114" t="n"/>
      <c r="F565" s="115" t="n"/>
      <c r="G565" s="107" t="n"/>
      <c r="H565" s="107" t="n"/>
      <c r="I565" s="108" t="n"/>
      <c r="J565" s="108" t="n"/>
      <c r="K565" s="108" t="n"/>
      <c r="L565" s="119">
        <f>IF($E565="","",DATE(YEAR($E565),MONTH($E565),1))</f>
        <v/>
      </c>
      <c r="M565" s="112">
        <f>IF($C565="","",IF($D565="TANIMSIZ MÜŞTERİ","HATA",IF(OR($E565="",$F565&lt;=0,$G565=""),"EKSİK",IF($E565&gt;TODAY(),"İLERİ TARİH","UYGUN"))))</f>
        <v/>
      </c>
      <c r="N565" s="6" t="n"/>
      <c r="O565" s="6" t="n"/>
    </row>
    <row r="566">
      <c r="A566" s="6" t="n"/>
      <c r="B566" s="112">
        <f>IF($C566="","","T"&amp;TEXT(ROW()-6,"00000"))</f>
        <v/>
      </c>
      <c r="C566" s="107" t="n"/>
      <c r="D566" s="113">
        <f>IF($C566="","",IFERROR(INDEX(MUSTERILER!$C$7:$C$106,MATCH($C566,MUSTERILER!$B$7:$B$106,0)),"TANIMSIZ MÜŞTERİ"))</f>
        <v/>
      </c>
      <c r="E566" s="114" t="n"/>
      <c r="F566" s="115" t="n"/>
      <c r="G566" s="107" t="n"/>
      <c r="H566" s="107" t="n"/>
      <c r="I566" s="108" t="n"/>
      <c r="J566" s="108" t="n"/>
      <c r="K566" s="108" t="n"/>
      <c r="L566" s="119">
        <f>IF($E566="","",DATE(YEAR($E566),MONTH($E566),1))</f>
        <v/>
      </c>
      <c r="M566" s="112">
        <f>IF($C566="","",IF($D566="TANIMSIZ MÜŞTERİ","HATA",IF(OR($E566="",$F566&lt;=0,$G566=""),"EKSİK",IF($E566&gt;TODAY(),"İLERİ TARİH","UYGUN"))))</f>
        <v/>
      </c>
      <c r="N566" s="6" t="n"/>
      <c r="O566" s="6" t="n"/>
    </row>
    <row r="567">
      <c r="A567" s="6" t="n"/>
      <c r="B567" s="112">
        <f>IF($C567="","","T"&amp;TEXT(ROW()-6,"00000"))</f>
        <v/>
      </c>
      <c r="C567" s="107" t="n"/>
      <c r="D567" s="113">
        <f>IF($C567="","",IFERROR(INDEX(MUSTERILER!$C$7:$C$106,MATCH($C567,MUSTERILER!$B$7:$B$106,0)),"TANIMSIZ MÜŞTERİ"))</f>
        <v/>
      </c>
      <c r="E567" s="114" t="n"/>
      <c r="F567" s="115" t="n"/>
      <c r="G567" s="107" t="n"/>
      <c r="H567" s="107" t="n"/>
      <c r="I567" s="108" t="n"/>
      <c r="J567" s="108" t="n"/>
      <c r="K567" s="108" t="n"/>
      <c r="L567" s="119">
        <f>IF($E567="","",DATE(YEAR($E567),MONTH($E567),1))</f>
        <v/>
      </c>
      <c r="M567" s="112">
        <f>IF($C567="","",IF($D567="TANIMSIZ MÜŞTERİ","HATA",IF(OR($E567="",$F567&lt;=0,$G567=""),"EKSİK",IF($E567&gt;TODAY(),"İLERİ TARİH","UYGUN"))))</f>
        <v/>
      </c>
      <c r="N567" s="6" t="n"/>
      <c r="O567" s="6" t="n"/>
    </row>
    <row r="568">
      <c r="A568" s="6" t="n"/>
      <c r="B568" s="112">
        <f>IF($C568="","","T"&amp;TEXT(ROW()-6,"00000"))</f>
        <v/>
      </c>
      <c r="C568" s="107" t="n"/>
      <c r="D568" s="113">
        <f>IF($C568="","",IFERROR(INDEX(MUSTERILER!$C$7:$C$106,MATCH($C568,MUSTERILER!$B$7:$B$106,0)),"TANIMSIZ MÜŞTERİ"))</f>
        <v/>
      </c>
      <c r="E568" s="114" t="n"/>
      <c r="F568" s="115" t="n"/>
      <c r="G568" s="107" t="n"/>
      <c r="H568" s="107" t="n"/>
      <c r="I568" s="108" t="n"/>
      <c r="J568" s="108" t="n"/>
      <c r="K568" s="108" t="n"/>
      <c r="L568" s="119">
        <f>IF($E568="","",DATE(YEAR($E568),MONTH($E568),1))</f>
        <v/>
      </c>
      <c r="M568" s="112">
        <f>IF($C568="","",IF($D568="TANIMSIZ MÜŞTERİ","HATA",IF(OR($E568="",$F568&lt;=0,$G568=""),"EKSİK",IF($E568&gt;TODAY(),"İLERİ TARİH","UYGUN"))))</f>
        <v/>
      </c>
      <c r="N568" s="6" t="n"/>
      <c r="O568" s="6" t="n"/>
    </row>
    <row r="569">
      <c r="A569" s="6" t="n"/>
      <c r="B569" s="112">
        <f>IF($C569="","","T"&amp;TEXT(ROW()-6,"00000"))</f>
        <v/>
      </c>
      <c r="C569" s="107" t="n"/>
      <c r="D569" s="113">
        <f>IF($C569="","",IFERROR(INDEX(MUSTERILER!$C$7:$C$106,MATCH($C569,MUSTERILER!$B$7:$B$106,0)),"TANIMSIZ MÜŞTERİ"))</f>
        <v/>
      </c>
      <c r="E569" s="114" t="n"/>
      <c r="F569" s="115" t="n"/>
      <c r="G569" s="107" t="n"/>
      <c r="H569" s="107" t="n"/>
      <c r="I569" s="108" t="n"/>
      <c r="J569" s="108" t="n"/>
      <c r="K569" s="108" t="n"/>
      <c r="L569" s="119">
        <f>IF($E569="","",DATE(YEAR($E569),MONTH($E569),1))</f>
        <v/>
      </c>
      <c r="M569" s="112">
        <f>IF($C569="","",IF($D569="TANIMSIZ MÜŞTERİ","HATA",IF(OR($E569="",$F569&lt;=0,$G569=""),"EKSİK",IF($E569&gt;TODAY(),"İLERİ TARİH","UYGUN"))))</f>
        <v/>
      </c>
      <c r="N569" s="6" t="n"/>
      <c r="O569" s="6" t="n"/>
    </row>
    <row r="570">
      <c r="A570" s="6" t="n"/>
      <c r="B570" s="112">
        <f>IF($C570="","","T"&amp;TEXT(ROW()-6,"00000"))</f>
        <v/>
      </c>
      <c r="C570" s="107" t="n"/>
      <c r="D570" s="113">
        <f>IF($C570="","",IFERROR(INDEX(MUSTERILER!$C$7:$C$106,MATCH($C570,MUSTERILER!$B$7:$B$106,0)),"TANIMSIZ MÜŞTERİ"))</f>
        <v/>
      </c>
      <c r="E570" s="114" t="n"/>
      <c r="F570" s="115" t="n"/>
      <c r="G570" s="107" t="n"/>
      <c r="H570" s="107" t="n"/>
      <c r="I570" s="108" t="n"/>
      <c r="J570" s="108" t="n"/>
      <c r="K570" s="108" t="n"/>
      <c r="L570" s="119">
        <f>IF($E570="","",DATE(YEAR($E570),MONTH($E570),1))</f>
        <v/>
      </c>
      <c r="M570" s="112">
        <f>IF($C570="","",IF($D570="TANIMSIZ MÜŞTERİ","HATA",IF(OR($E570="",$F570&lt;=0,$G570=""),"EKSİK",IF($E570&gt;TODAY(),"İLERİ TARİH","UYGUN"))))</f>
        <v/>
      </c>
      <c r="N570" s="6" t="n"/>
      <c r="O570" s="6" t="n"/>
    </row>
    <row r="571">
      <c r="A571" s="6" t="n"/>
      <c r="B571" s="112">
        <f>IF($C571="","","T"&amp;TEXT(ROW()-6,"00000"))</f>
        <v/>
      </c>
      <c r="C571" s="107" t="n"/>
      <c r="D571" s="113">
        <f>IF($C571="","",IFERROR(INDEX(MUSTERILER!$C$7:$C$106,MATCH($C571,MUSTERILER!$B$7:$B$106,0)),"TANIMSIZ MÜŞTERİ"))</f>
        <v/>
      </c>
      <c r="E571" s="114" t="n"/>
      <c r="F571" s="115" t="n"/>
      <c r="G571" s="107" t="n"/>
      <c r="H571" s="107" t="n"/>
      <c r="I571" s="108" t="n"/>
      <c r="J571" s="108" t="n"/>
      <c r="K571" s="108" t="n"/>
      <c r="L571" s="119">
        <f>IF($E571="","",DATE(YEAR($E571),MONTH($E571),1))</f>
        <v/>
      </c>
      <c r="M571" s="112">
        <f>IF($C571="","",IF($D571="TANIMSIZ MÜŞTERİ","HATA",IF(OR($E571="",$F571&lt;=0,$G571=""),"EKSİK",IF($E571&gt;TODAY(),"İLERİ TARİH","UYGUN"))))</f>
        <v/>
      </c>
      <c r="N571" s="6" t="n"/>
      <c r="O571" s="6" t="n"/>
    </row>
    <row r="572">
      <c r="A572" s="6" t="n"/>
      <c r="B572" s="112">
        <f>IF($C572="","","T"&amp;TEXT(ROW()-6,"00000"))</f>
        <v/>
      </c>
      <c r="C572" s="107" t="n"/>
      <c r="D572" s="113">
        <f>IF($C572="","",IFERROR(INDEX(MUSTERILER!$C$7:$C$106,MATCH($C572,MUSTERILER!$B$7:$B$106,0)),"TANIMSIZ MÜŞTERİ"))</f>
        <v/>
      </c>
      <c r="E572" s="114" t="n"/>
      <c r="F572" s="115" t="n"/>
      <c r="G572" s="107" t="n"/>
      <c r="H572" s="107" t="n"/>
      <c r="I572" s="108" t="n"/>
      <c r="J572" s="108" t="n"/>
      <c r="K572" s="108" t="n"/>
      <c r="L572" s="119">
        <f>IF($E572="","",DATE(YEAR($E572),MONTH($E572),1))</f>
        <v/>
      </c>
      <c r="M572" s="112">
        <f>IF($C572="","",IF($D572="TANIMSIZ MÜŞTERİ","HATA",IF(OR($E572="",$F572&lt;=0,$G572=""),"EKSİK",IF($E572&gt;TODAY(),"İLERİ TARİH","UYGUN"))))</f>
        <v/>
      </c>
      <c r="N572" s="6" t="n"/>
      <c r="O572" s="6" t="n"/>
    </row>
    <row r="573">
      <c r="A573" s="6" t="n"/>
      <c r="B573" s="112">
        <f>IF($C573="","","T"&amp;TEXT(ROW()-6,"00000"))</f>
        <v/>
      </c>
      <c r="C573" s="107" t="n"/>
      <c r="D573" s="113">
        <f>IF($C573="","",IFERROR(INDEX(MUSTERILER!$C$7:$C$106,MATCH($C573,MUSTERILER!$B$7:$B$106,0)),"TANIMSIZ MÜŞTERİ"))</f>
        <v/>
      </c>
      <c r="E573" s="114" t="n"/>
      <c r="F573" s="115" t="n"/>
      <c r="G573" s="107" t="n"/>
      <c r="H573" s="107" t="n"/>
      <c r="I573" s="108" t="n"/>
      <c r="J573" s="108" t="n"/>
      <c r="K573" s="108" t="n"/>
      <c r="L573" s="119">
        <f>IF($E573="","",DATE(YEAR($E573),MONTH($E573),1))</f>
        <v/>
      </c>
      <c r="M573" s="112">
        <f>IF($C573="","",IF($D573="TANIMSIZ MÜŞTERİ","HATA",IF(OR($E573="",$F573&lt;=0,$G573=""),"EKSİK",IF($E573&gt;TODAY(),"İLERİ TARİH","UYGUN"))))</f>
        <v/>
      </c>
      <c r="N573" s="6" t="n"/>
      <c r="O573" s="6" t="n"/>
    </row>
    <row r="574">
      <c r="A574" s="6" t="n"/>
      <c r="B574" s="112">
        <f>IF($C574="","","T"&amp;TEXT(ROW()-6,"00000"))</f>
        <v/>
      </c>
      <c r="C574" s="107" t="n"/>
      <c r="D574" s="113">
        <f>IF($C574="","",IFERROR(INDEX(MUSTERILER!$C$7:$C$106,MATCH($C574,MUSTERILER!$B$7:$B$106,0)),"TANIMSIZ MÜŞTERİ"))</f>
        <v/>
      </c>
      <c r="E574" s="114" t="n"/>
      <c r="F574" s="115" t="n"/>
      <c r="G574" s="107" t="n"/>
      <c r="H574" s="107" t="n"/>
      <c r="I574" s="108" t="n"/>
      <c r="J574" s="108" t="n"/>
      <c r="K574" s="108" t="n"/>
      <c r="L574" s="119">
        <f>IF($E574="","",DATE(YEAR($E574),MONTH($E574),1))</f>
        <v/>
      </c>
      <c r="M574" s="112">
        <f>IF($C574="","",IF($D574="TANIMSIZ MÜŞTERİ","HATA",IF(OR($E574="",$F574&lt;=0,$G574=""),"EKSİK",IF($E574&gt;TODAY(),"İLERİ TARİH","UYGUN"))))</f>
        <v/>
      </c>
      <c r="N574" s="6" t="n"/>
      <c r="O574" s="6" t="n"/>
    </row>
    <row r="575">
      <c r="A575" s="6" t="n"/>
      <c r="B575" s="112">
        <f>IF($C575="","","T"&amp;TEXT(ROW()-6,"00000"))</f>
        <v/>
      </c>
      <c r="C575" s="107" t="n"/>
      <c r="D575" s="113">
        <f>IF($C575="","",IFERROR(INDEX(MUSTERILER!$C$7:$C$106,MATCH($C575,MUSTERILER!$B$7:$B$106,0)),"TANIMSIZ MÜŞTERİ"))</f>
        <v/>
      </c>
      <c r="E575" s="114" t="n"/>
      <c r="F575" s="115" t="n"/>
      <c r="G575" s="107" t="n"/>
      <c r="H575" s="107" t="n"/>
      <c r="I575" s="108" t="n"/>
      <c r="J575" s="108" t="n"/>
      <c r="K575" s="108" t="n"/>
      <c r="L575" s="119">
        <f>IF($E575="","",DATE(YEAR($E575),MONTH($E575),1))</f>
        <v/>
      </c>
      <c r="M575" s="112">
        <f>IF($C575="","",IF($D575="TANIMSIZ MÜŞTERİ","HATA",IF(OR($E575="",$F575&lt;=0,$G575=""),"EKSİK",IF($E575&gt;TODAY(),"İLERİ TARİH","UYGUN"))))</f>
        <v/>
      </c>
      <c r="N575" s="6" t="n"/>
      <c r="O575" s="6" t="n"/>
    </row>
    <row r="576">
      <c r="A576" s="6" t="n"/>
      <c r="B576" s="112">
        <f>IF($C576="","","T"&amp;TEXT(ROW()-6,"00000"))</f>
        <v/>
      </c>
      <c r="C576" s="107" t="n"/>
      <c r="D576" s="113">
        <f>IF($C576="","",IFERROR(INDEX(MUSTERILER!$C$7:$C$106,MATCH($C576,MUSTERILER!$B$7:$B$106,0)),"TANIMSIZ MÜŞTERİ"))</f>
        <v/>
      </c>
      <c r="E576" s="114" t="n"/>
      <c r="F576" s="115" t="n"/>
      <c r="G576" s="107" t="n"/>
      <c r="H576" s="107" t="n"/>
      <c r="I576" s="108" t="n"/>
      <c r="J576" s="108" t="n"/>
      <c r="K576" s="108" t="n"/>
      <c r="L576" s="119">
        <f>IF($E576="","",DATE(YEAR($E576),MONTH($E576),1))</f>
        <v/>
      </c>
      <c r="M576" s="112">
        <f>IF($C576="","",IF($D576="TANIMSIZ MÜŞTERİ","HATA",IF(OR($E576="",$F576&lt;=0,$G576=""),"EKSİK",IF($E576&gt;TODAY(),"İLERİ TARİH","UYGUN"))))</f>
        <v/>
      </c>
      <c r="N576" s="6" t="n"/>
      <c r="O576" s="6" t="n"/>
    </row>
    <row r="577">
      <c r="A577" s="6" t="n"/>
      <c r="B577" s="112">
        <f>IF($C577="","","T"&amp;TEXT(ROW()-6,"00000"))</f>
        <v/>
      </c>
      <c r="C577" s="107" t="n"/>
      <c r="D577" s="113">
        <f>IF($C577="","",IFERROR(INDEX(MUSTERILER!$C$7:$C$106,MATCH($C577,MUSTERILER!$B$7:$B$106,0)),"TANIMSIZ MÜŞTERİ"))</f>
        <v/>
      </c>
      <c r="E577" s="114" t="n"/>
      <c r="F577" s="115" t="n"/>
      <c r="G577" s="107" t="n"/>
      <c r="H577" s="107" t="n"/>
      <c r="I577" s="108" t="n"/>
      <c r="J577" s="108" t="n"/>
      <c r="K577" s="108" t="n"/>
      <c r="L577" s="119">
        <f>IF($E577="","",DATE(YEAR($E577),MONTH($E577),1))</f>
        <v/>
      </c>
      <c r="M577" s="112">
        <f>IF($C577="","",IF($D577="TANIMSIZ MÜŞTERİ","HATA",IF(OR($E577="",$F577&lt;=0,$G577=""),"EKSİK",IF($E577&gt;TODAY(),"İLERİ TARİH","UYGUN"))))</f>
        <v/>
      </c>
      <c r="N577" s="6" t="n"/>
      <c r="O577" s="6" t="n"/>
    </row>
    <row r="578">
      <c r="A578" s="6" t="n"/>
      <c r="B578" s="112">
        <f>IF($C578="","","T"&amp;TEXT(ROW()-6,"00000"))</f>
        <v/>
      </c>
      <c r="C578" s="107" t="n"/>
      <c r="D578" s="113">
        <f>IF($C578="","",IFERROR(INDEX(MUSTERILER!$C$7:$C$106,MATCH($C578,MUSTERILER!$B$7:$B$106,0)),"TANIMSIZ MÜŞTERİ"))</f>
        <v/>
      </c>
      <c r="E578" s="114" t="n"/>
      <c r="F578" s="115" t="n"/>
      <c r="G578" s="107" t="n"/>
      <c r="H578" s="107" t="n"/>
      <c r="I578" s="108" t="n"/>
      <c r="J578" s="108" t="n"/>
      <c r="K578" s="108" t="n"/>
      <c r="L578" s="119">
        <f>IF($E578="","",DATE(YEAR($E578),MONTH($E578),1))</f>
        <v/>
      </c>
      <c r="M578" s="112">
        <f>IF($C578="","",IF($D578="TANIMSIZ MÜŞTERİ","HATA",IF(OR($E578="",$F578&lt;=0,$G578=""),"EKSİK",IF($E578&gt;TODAY(),"İLERİ TARİH","UYGUN"))))</f>
        <v/>
      </c>
      <c r="N578" s="6" t="n"/>
      <c r="O578" s="6" t="n"/>
    </row>
    <row r="579">
      <c r="A579" s="6" t="n"/>
      <c r="B579" s="112">
        <f>IF($C579="","","T"&amp;TEXT(ROW()-6,"00000"))</f>
        <v/>
      </c>
      <c r="C579" s="107" t="n"/>
      <c r="D579" s="113">
        <f>IF($C579="","",IFERROR(INDEX(MUSTERILER!$C$7:$C$106,MATCH($C579,MUSTERILER!$B$7:$B$106,0)),"TANIMSIZ MÜŞTERİ"))</f>
        <v/>
      </c>
      <c r="E579" s="114" t="n"/>
      <c r="F579" s="115" t="n"/>
      <c r="G579" s="107" t="n"/>
      <c r="H579" s="107" t="n"/>
      <c r="I579" s="108" t="n"/>
      <c r="J579" s="108" t="n"/>
      <c r="K579" s="108" t="n"/>
      <c r="L579" s="119">
        <f>IF($E579="","",DATE(YEAR($E579),MONTH($E579),1))</f>
        <v/>
      </c>
      <c r="M579" s="112">
        <f>IF($C579="","",IF($D579="TANIMSIZ MÜŞTERİ","HATA",IF(OR($E579="",$F579&lt;=0,$G579=""),"EKSİK",IF($E579&gt;TODAY(),"İLERİ TARİH","UYGUN"))))</f>
        <v/>
      </c>
      <c r="N579" s="6" t="n"/>
      <c r="O579" s="6" t="n"/>
    </row>
    <row r="580">
      <c r="A580" s="6" t="n"/>
      <c r="B580" s="112">
        <f>IF($C580="","","T"&amp;TEXT(ROW()-6,"00000"))</f>
        <v/>
      </c>
      <c r="C580" s="107" t="n"/>
      <c r="D580" s="113">
        <f>IF($C580="","",IFERROR(INDEX(MUSTERILER!$C$7:$C$106,MATCH($C580,MUSTERILER!$B$7:$B$106,0)),"TANIMSIZ MÜŞTERİ"))</f>
        <v/>
      </c>
      <c r="E580" s="114" t="n"/>
      <c r="F580" s="115" t="n"/>
      <c r="G580" s="107" t="n"/>
      <c r="H580" s="107" t="n"/>
      <c r="I580" s="108" t="n"/>
      <c r="J580" s="108" t="n"/>
      <c r="K580" s="108" t="n"/>
      <c r="L580" s="119">
        <f>IF($E580="","",DATE(YEAR($E580),MONTH($E580),1))</f>
        <v/>
      </c>
      <c r="M580" s="112">
        <f>IF($C580="","",IF($D580="TANIMSIZ MÜŞTERİ","HATA",IF(OR($E580="",$F580&lt;=0,$G580=""),"EKSİK",IF($E580&gt;TODAY(),"İLERİ TARİH","UYGUN"))))</f>
        <v/>
      </c>
      <c r="N580" s="6" t="n"/>
      <c r="O580" s="6" t="n"/>
    </row>
    <row r="581">
      <c r="A581" s="6" t="n"/>
      <c r="B581" s="112">
        <f>IF($C581="","","T"&amp;TEXT(ROW()-6,"00000"))</f>
        <v/>
      </c>
      <c r="C581" s="107" t="n"/>
      <c r="D581" s="113">
        <f>IF($C581="","",IFERROR(INDEX(MUSTERILER!$C$7:$C$106,MATCH($C581,MUSTERILER!$B$7:$B$106,0)),"TANIMSIZ MÜŞTERİ"))</f>
        <v/>
      </c>
      <c r="E581" s="114" t="n"/>
      <c r="F581" s="115" t="n"/>
      <c r="G581" s="107" t="n"/>
      <c r="H581" s="107" t="n"/>
      <c r="I581" s="108" t="n"/>
      <c r="J581" s="108" t="n"/>
      <c r="K581" s="108" t="n"/>
      <c r="L581" s="119">
        <f>IF($E581="","",DATE(YEAR($E581),MONTH($E581),1))</f>
        <v/>
      </c>
      <c r="M581" s="112">
        <f>IF($C581="","",IF($D581="TANIMSIZ MÜŞTERİ","HATA",IF(OR($E581="",$F581&lt;=0,$G581=""),"EKSİK",IF($E581&gt;TODAY(),"İLERİ TARİH","UYGUN"))))</f>
        <v/>
      </c>
      <c r="N581" s="6" t="n"/>
      <c r="O581" s="6" t="n"/>
    </row>
    <row r="582">
      <c r="A582" s="6" t="n"/>
      <c r="B582" s="112">
        <f>IF($C582="","","T"&amp;TEXT(ROW()-6,"00000"))</f>
        <v/>
      </c>
      <c r="C582" s="107" t="n"/>
      <c r="D582" s="113">
        <f>IF($C582="","",IFERROR(INDEX(MUSTERILER!$C$7:$C$106,MATCH($C582,MUSTERILER!$B$7:$B$106,0)),"TANIMSIZ MÜŞTERİ"))</f>
        <v/>
      </c>
      <c r="E582" s="114" t="n"/>
      <c r="F582" s="115" t="n"/>
      <c r="G582" s="107" t="n"/>
      <c r="H582" s="107" t="n"/>
      <c r="I582" s="108" t="n"/>
      <c r="J582" s="108" t="n"/>
      <c r="K582" s="108" t="n"/>
      <c r="L582" s="119">
        <f>IF($E582="","",DATE(YEAR($E582),MONTH($E582),1))</f>
        <v/>
      </c>
      <c r="M582" s="112">
        <f>IF($C582="","",IF($D582="TANIMSIZ MÜŞTERİ","HATA",IF(OR($E582="",$F582&lt;=0,$G582=""),"EKSİK",IF($E582&gt;TODAY(),"İLERİ TARİH","UYGUN"))))</f>
        <v/>
      </c>
      <c r="N582" s="6" t="n"/>
      <c r="O582" s="6" t="n"/>
    </row>
    <row r="583">
      <c r="A583" s="6" t="n"/>
      <c r="B583" s="112">
        <f>IF($C583="","","T"&amp;TEXT(ROW()-6,"00000"))</f>
        <v/>
      </c>
      <c r="C583" s="107" t="n"/>
      <c r="D583" s="113">
        <f>IF($C583="","",IFERROR(INDEX(MUSTERILER!$C$7:$C$106,MATCH($C583,MUSTERILER!$B$7:$B$106,0)),"TANIMSIZ MÜŞTERİ"))</f>
        <v/>
      </c>
      <c r="E583" s="114" t="n"/>
      <c r="F583" s="115" t="n"/>
      <c r="G583" s="107" t="n"/>
      <c r="H583" s="107" t="n"/>
      <c r="I583" s="108" t="n"/>
      <c r="J583" s="108" t="n"/>
      <c r="K583" s="108" t="n"/>
      <c r="L583" s="119">
        <f>IF($E583="","",DATE(YEAR($E583),MONTH($E583),1))</f>
        <v/>
      </c>
      <c r="M583" s="112">
        <f>IF($C583="","",IF($D583="TANIMSIZ MÜŞTERİ","HATA",IF(OR($E583="",$F583&lt;=0,$G583=""),"EKSİK",IF($E583&gt;TODAY(),"İLERİ TARİH","UYGUN"))))</f>
        <v/>
      </c>
      <c r="N583" s="6" t="n"/>
      <c r="O583" s="6" t="n"/>
    </row>
    <row r="584">
      <c r="A584" s="6" t="n"/>
      <c r="B584" s="112">
        <f>IF($C584="","","T"&amp;TEXT(ROW()-6,"00000"))</f>
        <v/>
      </c>
      <c r="C584" s="107" t="n"/>
      <c r="D584" s="113">
        <f>IF($C584="","",IFERROR(INDEX(MUSTERILER!$C$7:$C$106,MATCH($C584,MUSTERILER!$B$7:$B$106,0)),"TANIMSIZ MÜŞTERİ"))</f>
        <v/>
      </c>
      <c r="E584" s="114" t="n"/>
      <c r="F584" s="115" t="n"/>
      <c r="G584" s="107" t="n"/>
      <c r="H584" s="107" t="n"/>
      <c r="I584" s="108" t="n"/>
      <c r="J584" s="108" t="n"/>
      <c r="K584" s="108" t="n"/>
      <c r="L584" s="119">
        <f>IF($E584="","",DATE(YEAR($E584),MONTH($E584),1))</f>
        <v/>
      </c>
      <c r="M584" s="112">
        <f>IF($C584="","",IF($D584="TANIMSIZ MÜŞTERİ","HATA",IF(OR($E584="",$F584&lt;=0,$G584=""),"EKSİK",IF($E584&gt;TODAY(),"İLERİ TARİH","UYGUN"))))</f>
        <v/>
      </c>
      <c r="N584" s="6" t="n"/>
      <c r="O584" s="6" t="n"/>
    </row>
    <row r="585">
      <c r="A585" s="6" t="n"/>
      <c r="B585" s="112">
        <f>IF($C585="","","T"&amp;TEXT(ROW()-6,"00000"))</f>
        <v/>
      </c>
      <c r="C585" s="107" t="n"/>
      <c r="D585" s="113">
        <f>IF($C585="","",IFERROR(INDEX(MUSTERILER!$C$7:$C$106,MATCH($C585,MUSTERILER!$B$7:$B$106,0)),"TANIMSIZ MÜŞTERİ"))</f>
        <v/>
      </c>
      <c r="E585" s="114" t="n"/>
      <c r="F585" s="115" t="n"/>
      <c r="G585" s="107" t="n"/>
      <c r="H585" s="107" t="n"/>
      <c r="I585" s="108" t="n"/>
      <c r="J585" s="108" t="n"/>
      <c r="K585" s="108" t="n"/>
      <c r="L585" s="119">
        <f>IF($E585="","",DATE(YEAR($E585),MONTH($E585),1))</f>
        <v/>
      </c>
      <c r="M585" s="112">
        <f>IF($C585="","",IF($D585="TANIMSIZ MÜŞTERİ","HATA",IF(OR($E585="",$F585&lt;=0,$G585=""),"EKSİK",IF($E585&gt;TODAY(),"İLERİ TARİH","UYGUN"))))</f>
        <v/>
      </c>
      <c r="N585" s="6" t="n"/>
      <c r="O585" s="6" t="n"/>
    </row>
    <row r="586">
      <c r="A586" s="6" t="n"/>
      <c r="B586" s="112">
        <f>IF($C586="","","T"&amp;TEXT(ROW()-6,"00000"))</f>
        <v/>
      </c>
      <c r="C586" s="107" t="n"/>
      <c r="D586" s="113">
        <f>IF($C586="","",IFERROR(INDEX(MUSTERILER!$C$7:$C$106,MATCH($C586,MUSTERILER!$B$7:$B$106,0)),"TANIMSIZ MÜŞTERİ"))</f>
        <v/>
      </c>
      <c r="E586" s="114" t="n"/>
      <c r="F586" s="115" t="n"/>
      <c r="G586" s="107" t="n"/>
      <c r="H586" s="107" t="n"/>
      <c r="I586" s="108" t="n"/>
      <c r="J586" s="108" t="n"/>
      <c r="K586" s="108" t="n"/>
      <c r="L586" s="119">
        <f>IF($E586="","",DATE(YEAR($E586),MONTH($E586),1))</f>
        <v/>
      </c>
      <c r="M586" s="112">
        <f>IF($C586="","",IF($D586="TANIMSIZ MÜŞTERİ","HATA",IF(OR($E586="",$F586&lt;=0,$G586=""),"EKSİK",IF($E586&gt;TODAY(),"İLERİ TARİH","UYGUN"))))</f>
        <v/>
      </c>
      <c r="N586" s="6" t="n"/>
      <c r="O586" s="6" t="n"/>
    </row>
    <row r="587">
      <c r="A587" s="6" t="n"/>
      <c r="B587" s="112">
        <f>IF($C587="","","T"&amp;TEXT(ROW()-6,"00000"))</f>
        <v/>
      </c>
      <c r="C587" s="107" t="n"/>
      <c r="D587" s="113">
        <f>IF($C587="","",IFERROR(INDEX(MUSTERILER!$C$7:$C$106,MATCH($C587,MUSTERILER!$B$7:$B$106,0)),"TANIMSIZ MÜŞTERİ"))</f>
        <v/>
      </c>
      <c r="E587" s="114" t="n"/>
      <c r="F587" s="115" t="n"/>
      <c r="G587" s="107" t="n"/>
      <c r="H587" s="107" t="n"/>
      <c r="I587" s="108" t="n"/>
      <c r="J587" s="108" t="n"/>
      <c r="K587" s="108" t="n"/>
      <c r="L587" s="119">
        <f>IF($E587="","",DATE(YEAR($E587),MONTH($E587),1))</f>
        <v/>
      </c>
      <c r="M587" s="112">
        <f>IF($C587="","",IF($D587="TANIMSIZ MÜŞTERİ","HATA",IF(OR($E587="",$F587&lt;=0,$G587=""),"EKSİK",IF($E587&gt;TODAY(),"İLERİ TARİH","UYGUN"))))</f>
        <v/>
      </c>
      <c r="N587" s="6" t="n"/>
      <c r="O587" s="6" t="n"/>
    </row>
    <row r="588">
      <c r="A588" s="6" t="n"/>
      <c r="B588" s="112">
        <f>IF($C588="","","T"&amp;TEXT(ROW()-6,"00000"))</f>
        <v/>
      </c>
      <c r="C588" s="107" t="n"/>
      <c r="D588" s="113">
        <f>IF($C588="","",IFERROR(INDEX(MUSTERILER!$C$7:$C$106,MATCH($C588,MUSTERILER!$B$7:$B$106,0)),"TANIMSIZ MÜŞTERİ"))</f>
        <v/>
      </c>
      <c r="E588" s="114" t="n"/>
      <c r="F588" s="115" t="n"/>
      <c r="G588" s="107" t="n"/>
      <c r="H588" s="107" t="n"/>
      <c r="I588" s="108" t="n"/>
      <c r="J588" s="108" t="n"/>
      <c r="K588" s="108" t="n"/>
      <c r="L588" s="119">
        <f>IF($E588="","",DATE(YEAR($E588),MONTH($E588),1))</f>
        <v/>
      </c>
      <c r="M588" s="112">
        <f>IF($C588="","",IF($D588="TANIMSIZ MÜŞTERİ","HATA",IF(OR($E588="",$F588&lt;=0,$G588=""),"EKSİK",IF($E588&gt;TODAY(),"İLERİ TARİH","UYGUN"))))</f>
        <v/>
      </c>
      <c r="N588" s="6" t="n"/>
      <c r="O588" s="6" t="n"/>
    </row>
    <row r="589">
      <c r="A589" s="6" t="n"/>
      <c r="B589" s="112">
        <f>IF($C589="","","T"&amp;TEXT(ROW()-6,"00000"))</f>
        <v/>
      </c>
      <c r="C589" s="107" t="n"/>
      <c r="D589" s="113">
        <f>IF($C589="","",IFERROR(INDEX(MUSTERILER!$C$7:$C$106,MATCH($C589,MUSTERILER!$B$7:$B$106,0)),"TANIMSIZ MÜŞTERİ"))</f>
        <v/>
      </c>
      <c r="E589" s="114" t="n"/>
      <c r="F589" s="115" t="n"/>
      <c r="G589" s="107" t="n"/>
      <c r="H589" s="107" t="n"/>
      <c r="I589" s="108" t="n"/>
      <c r="J589" s="108" t="n"/>
      <c r="K589" s="108" t="n"/>
      <c r="L589" s="119">
        <f>IF($E589="","",DATE(YEAR($E589),MONTH($E589),1))</f>
        <v/>
      </c>
      <c r="M589" s="112">
        <f>IF($C589="","",IF($D589="TANIMSIZ MÜŞTERİ","HATA",IF(OR($E589="",$F589&lt;=0,$G589=""),"EKSİK",IF($E589&gt;TODAY(),"İLERİ TARİH","UYGUN"))))</f>
        <v/>
      </c>
      <c r="N589" s="6" t="n"/>
      <c r="O589" s="6" t="n"/>
    </row>
    <row r="590">
      <c r="A590" s="6" t="n"/>
      <c r="B590" s="112">
        <f>IF($C590="","","T"&amp;TEXT(ROW()-6,"00000"))</f>
        <v/>
      </c>
      <c r="C590" s="107" t="n"/>
      <c r="D590" s="113">
        <f>IF($C590="","",IFERROR(INDEX(MUSTERILER!$C$7:$C$106,MATCH($C590,MUSTERILER!$B$7:$B$106,0)),"TANIMSIZ MÜŞTERİ"))</f>
        <v/>
      </c>
      <c r="E590" s="114" t="n"/>
      <c r="F590" s="115" t="n"/>
      <c r="G590" s="107" t="n"/>
      <c r="H590" s="107" t="n"/>
      <c r="I590" s="108" t="n"/>
      <c r="J590" s="108" t="n"/>
      <c r="K590" s="108" t="n"/>
      <c r="L590" s="119">
        <f>IF($E590="","",DATE(YEAR($E590),MONTH($E590),1))</f>
        <v/>
      </c>
      <c r="M590" s="112">
        <f>IF($C590="","",IF($D590="TANIMSIZ MÜŞTERİ","HATA",IF(OR($E590="",$F590&lt;=0,$G590=""),"EKSİK",IF($E590&gt;TODAY(),"İLERİ TARİH","UYGUN"))))</f>
        <v/>
      </c>
      <c r="N590" s="6" t="n"/>
      <c r="O590" s="6" t="n"/>
    </row>
    <row r="591">
      <c r="A591" s="6" t="n"/>
      <c r="B591" s="112">
        <f>IF($C591="","","T"&amp;TEXT(ROW()-6,"00000"))</f>
        <v/>
      </c>
      <c r="C591" s="107" t="n"/>
      <c r="D591" s="113">
        <f>IF($C591="","",IFERROR(INDEX(MUSTERILER!$C$7:$C$106,MATCH($C591,MUSTERILER!$B$7:$B$106,0)),"TANIMSIZ MÜŞTERİ"))</f>
        <v/>
      </c>
      <c r="E591" s="114" t="n"/>
      <c r="F591" s="115" t="n"/>
      <c r="G591" s="107" t="n"/>
      <c r="H591" s="107" t="n"/>
      <c r="I591" s="108" t="n"/>
      <c r="J591" s="108" t="n"/>
      <c r="K591" s="108" t="n"/>
      <c r="L591" s="119">
        <f>IF($E591="","",DATE(YEAR($E591),MONTH($E591),1))</f>
        <v/>
      </c>
      <c r="M591" s="112">
        <f>IF($C591="","",IF($D591="TANIMSIZ MÜŞTERİ","HATA",IF(OR($E591="",$F591&lt;=0,$G591=""),"EKSİK",IF($E591&gt;TODAY(),"İLERİ TARİH","UYGUN"))))</f>
        <v/>
      </c>
      <c r="N591" s="6" t="n"/>
      <c r="O591" s="6" t="n"/>
    </row>
    <row r="592">
      <c r="A592" s="6" t="n"/>
      <c r="B592" s="112">
        <f>IF($C592="","","T"&amp;TEXT(ROW()-6,"00000"))</f>
        <v/>
      </c>
      <c r="C592" s="107" t="n"/>
      <c r="D592" s="113">
        <f>IF($C592="","",IFERROR(INDEX(MUSTERILER!$C$7:$C$106,MATCH($C592,MUSTERILER!$B$7:$B$106,0)),"TANIMSIZ MÜŞTERİ"))</f>
        <v/>
      </c>
      <c r="E592" s="114" t="n"/>
      <c r="F592" s="115" t="n"/>
      <c r="G592" s="107" t="n"/>
      <c r="H592" s="107" t="n"/>
      <c r="I592" s="108" t="n"/>
      <c r="J592" s="108" t="n"/>
      <c r="K592" s="108" t="n"/>
      <c r="L592" s="119">
        <f>IF($E592="","",DATE(YEAR($E592),MONTH($E592),1))</f>
        <v/>
      </c>
      <c r="M592" s="112">
        <f>IF($C592="","",IF($D592="TANIMSIZ MÜŞTERİ","HATA",IF(OR($E592="",$F592&lt;=0,$G592=""),"EKSİK",IF($E592&gt;TODAY(),"İLERİ TARİH","UYGUN"))))</f>
        <v/>
      </c>
      <c r="N592" s="6" t="n"/>
      <c r="O592" s="6" t="n"/>
    </row>
    <row r="593">
      <c r="A593" s="6" t="n"/>
      <c r="B593" s="112">
        <f>IF($C593="","","T"&amp;TEXT(ROW()-6,"00000"))</f>
        <v/>
      </c>
      <c r="C593" s="107" t="n"/>
      <c r="D593" s="113">
        <f>IF($C593="","",IFERROR(INDEX(MUSTERILER!$C$7:$C$106,MATCH($C593,MUSTERILER!$B$7:$B$106,0)),"TANIMSIZ MÜŞTERİ"))</f>
        <v/>
      </c>
      <c r="E593" s="114" t="n"/>
      <c r="F593" s="115" t="n"/>
      <c r="G593" s="107" t="n"/>
      <c r="H593" s="107" t="n"/>
      <c r="I593" s="108" t="n"/>
      <c r="J593" s="108" t="n"/>
      <c r="K593" s="108" t="n"/>
      <c r="L593" s="119">
        <f>IF($E593="","",DATE(YEAR($E593),MONTH($E593),1))</f>
        <v/>
      </c>
      <c r="M593" s="112">
        <f>IF($C593="","",IF($D593="TANIMSIZ MÜŞTERİ","HATA",IF(OR($E593="",$F593&lt;=0,$G593=""),"EKSİK",IF($E593&gt;TODAY(),"İLERİ TARİH","UYGUN"))))</f>
        <v/>
      </c>
      <c r="N593" s="6" t="n"/>
      <c r="O593" s="6" t="n"/>
    </row>
    <row r="594">
      <c r="A594" s="6" t="n"/>
      <c r="B594" s="112">
        <f>IF($C594="","","T"&amp;TEXT(ROW()-6,"00000"))</f>
        <v/>
      </c>
      <c r="C594" s="107" t="n"/>
      <c r="D594" s="113">
        <f>IF($C594="","",IFERROR(INDEX(MUSTERILER!$C$7:$C$106,MATCH($C594,MUSTERILER!$B$7:$B$106,0)),"TANIMSIZ MÜŞTERİ"))</f>
        <v/>
      </c>
      <c r="E594" s="114" t="n"/>
      <c r="F594" s="115" t="n"/>
      <c r="G594" s="107" t="n"/>
      <c r="H594" s="107" t="n"/>
      <c r="I594" s="108" t="n"/>
      <c r="J594" s="108" t="n"/>
      <c r="K594" s="108" t="n"/>
      <c r="L594" s="119">
        <f>IF($E594="","",DATE(YEAR($E594),MONTH($E594),1))</f>
        <v/>
      </c>
      <c r="M594" s="112">
        <f>IF($C594="","",IF($D594="TANIMSIZ MÜŞTERİ","HATA",IF(OR($E594="",$F594&lt;=0,$G594=""),"EKSİK",IF($E594&gt;TODAY(),"İLERİ TARİH","UYGUN"))))</f>
        <v/>
      </c>
      <c r="N594" s="6" t="n"/>
      <c r="O594" s="6" t="n"/>
    </row>
    <row r="595">
      <c r="A595" s="6" t="n"/>
      <c r="B595" s="112">
        <f>IF($C595="","","T"&amp;TEXT(ROW()-6,"00000"))</f>
        <v/>
      </c>
      <c r="C595" s="107" t="n"/>
      <c r="D595" s="113">
        <f>IF($C595="","",IFERROR(INDEX(MUSTERILER!$C$7:$C$106,MATCH($C595,MUSTERILER!$B$7:$B$106,0)),"TANIMSIZ MÜŞTERİ"))</f>
        <v/>
      </c>
      <c r="E595" s="114" t="n"/>
      <c r="F595" s="115" t="n"/>
      <c r="G595" s="107" t="n"/>
      <c r="H595" s="107" t="n"/>
      <c r="I595" s="108" t="n"/>
      <c r="J595" s="108" t="n"/>
      <c r="K595" s="108" t="n"/>
      <c r="L595" s="119">
        <f>IF($E595="","",DATE(YEAR($E595),MONTH($E595),1))</f>
        <v/>
      </c>
      <c r="M595" s="112">
        <f>IF($C595="","",IF($D595="TANIMSIZ MÜŞTERİ","HATA",IF(OR($E595="",$F595&lt;=0,$G595=""),"EKSİK",IF($E595&gt;TODAY(),"İLERİ TARİH","UYGUN"))))</f>
        <v/>
      </c>
      <c r="N595" s="6" t="n"/>
      <c r="O595" s="6" t="n"/>
    </row>
    <row r="596">
      <c r="A596" s="6" t="n"/>
      <c r="B596" s="112">
        <f>IF($C596="","","T"&amp;TEXT(ROW()-6,"00000"))</f>
        <v/>
      </c>
      <c r="C596" s="107" t="n"/>
      <c r="D596" s="113">
        <f>IF($C596="","",IFERROR(INDEX(MUSTERILER!$C$7:$C$106,MATCH($C596,MUSTERILER!$B$7:$B$106,0)),"TANIMSIZ MÜŞTERİ"))</f>
        <v/>
      </c>
      <c r="E596" s="114" t="n"/>
      <c r="F596" s="115" t="n"/>
      <c r="G596" s="107" t="n"/>
      <c r="H596" s="107" t="n"/>
      <c r="I596" s="108" t="n"/>
      <c r="J596" s="108" t="n"/>
      <c r="K596" s="108" t="n"/>
      <c r="L596" s="119">
        <f>IF($E596="","",DATE(YEAR($E596),MONTH($E596),1))</f>
        <v/>
      </c>
      <c r="M596" s="112">
        <f>IF($C596="","",IF($D596="TANIMSIZ MÜŞTERİ","HATA",IF(OR($E596="",$F596&lt;=0,$G596=""),"EKSİK",IF($E596&gt;TODAY(),"İLERİ TARİH","UYGUN"))))</f>
        <v/>
      </c>
      <c r="N596" s="6" t="n"/>
      <c r="O596" s="6" t="n"/>
    </row>
    <row r="597">
      <c r="A597" s="6" t="n"/>
      <c r="B597" s="112">
        <f>IF($C597="","","T"&amp;TEXT(ROW()-6,"00000"))</f>
        <v/>
      </c>
      <c r="C597" s="107" t="n"/>
      <c r="D597" s="113">
        <f>IF($C597="","",IFERROR(INDEX(MUSTERILER!$C$7:$C$106,MATCH($C597,MUSTERILER!$B$7:$B$106,0)),"TANIMSIZ MÜŞTERİ"))</f>
        <v/>
      </c>
      <c r="E597" s="114" t="n"/>
      <c r="F597" s="115" t="n"/>
      <c r="G597" s="107" t="n"/>
      <c r="H597" s="107" t="n"/>
      <c r="I597" s="108" t="n"/>
      <c r="J597" s="108" t="n"/>
      <c r="K597" s="108" t="n"/>
      <c r="L597" s="119">
        <f>IF($E597="","",DATE(YEAR($E597),MONTH($E597),1))</f>
        <v/>
      </c>
      <c r="M597" s="112">
        <f>IF($C597="","",IF($D597="TANIMSIZ MÜŞTERİ","HATA",IF(OR($E597="",$F597&lt;=0,$G597=""),"EKSİK",IF($E597&gt;TODAY(),"İLERİ TARİH","UYGUN"))))</f>
        <v/>
      </c>
      <c r="N597" s="6" t="n"/>
      <c r="O597" s="6" t="n"/>
    </row>
    <row r="598">
      <c r="A598" s="6" t="n"/>
      <c r="B598" s="112">
        <f>IF($C598="","","T"&amp;TEXT(ROW()-6,"00000"))</f>
        <v/>
      </c>
      <c r="C598" s="107" t="n"/>
      <c r="D598" s="113">
        <f>IF($C598="","",IFERROR(INDEX(MUSTERILER!$C$7:$C$106,MATCH($C598,MUSTERILER!$B$7:$B$106,0)),"TANIMSIZ MÜŞTERİ"))</f>
        <v/>
      </c>
      <c r="E598" s="114" t="n"/>
      <c r="F598" s="115" t="n"/>
      <c r="G598" s="107" t="n"/>
      <c r="H598" s="107" t="n"/>
      <c r="I598" s="108" t="n"/>
      <c r="J598" s="108" t="n"/>
      <c r="K598" s="108" t="n"/>
      <c r="L598" s="119">
        <f>IF($E598="","",DATE(YEAR($E598),MONTH($E598),1))</f>
        <v/>
      </c>
      <c r="M598" s="112">
        <f>IF($C598="","",IF($D598="TANIMSIZ MÜŞTERİ","HATA",IF(OR($E598="",$F598&lt;=0,$G598=""),"EKSİK",IF($E598&gt;TODAY(),"İLERİ TARİH","UYGUN"))))</f>
        <v/>
      </c>
      <c r="N598" s="6" t="n"/>
      <c r="O598" s="6" t="n"/>
    </row>
    <row r="599">
      <c r="A599" s="6" t="n"/>
      <c r="B599" s="112">
        <f>IF($C599="","","T"&amp;TEXT(ROW()-6,"00000"))</f>
        <v/>
      </c>
      <c r="C599" s="107" t="n"/>
      <c r="D599" s="113">
        <f>IF($C599="","",IFERROR(INDEX(MUSTERILER!$C$7:$C$106,MATCH($C599,MUSTERILER!$B$7:$B$106,0)),"TANIMSIZ MÜŞTERİ"))</f>
        <v/>
      </c>
      <c r="E599" s="114" t="n"/>
      <c r="F599" s="115" t="n"/>
      <c r="G599" s="107" t="n"/>
      <c r="H599" s="107" t="n"/>
      <c r="I599" s="108" t="n"/>
      <c r="J599" s="108" t="n"/>
      <c r="K599" s="108" t="n"/>
      <c r="L599" s="119">
        <f>IF($E599="","",DATE(YEAR($E599),MONTH($E599),1))</f>
        <v/>
      </c>
      <c r="M599" s="112">
        <f>IF($C599="","",IF($D599="TANIMSIZ MÜŞTERİ","HATA",IF(OR($E599="",$F599&lt;=0,$G599=""),"EKSİK",IF($E599&gt;TODAY(),"İLERİ TARİH","UYGUN"))))</f>
        <v/>
      </c>
      <c r="N599" s="6" t="n"/>
      <c r="O599" s="6" t="n"/>
    </row>
    <row r="600">
      <c r="A600" s="6" t="n"/>
      <c r="B600" s="112">
        <f>IF($C600="","","T"&amp;TEXT(ROW()-6,"00000"))</f>
        <v/>
      </c>
      <c r="C600" s="107" t="n"/>
      <c r="D600" s="113">
        <f>IF($C600="","",IFERROR(INDEX(MUSTERILER!$C$7:$C$106,MATCH($C600,MUSTERILER!$B$7:$B$106,0)),"TANIMSIZ MÜŞTERİ"))</f>
        <v/>
      </c>
      <c r="E600" s="114" t="n"/>
      <c r="F600" s="115" t="n"/>
      <c r="G600" s="107" t="n"/>
      <c r="H600" s="107" t="n"/>
      <c r="I600" s="108" t="n"/>
      <c r="J600" s="108" t="n"/>
      <c r="K600" s="108" t="n"/>
      <c r="L600" s="119">
        <f>IF($E600="","",DATE(YEAR($E600),MONTH($E600),1))</f>
        <v/>
      </c>
      <c r="M600" s="112">
        <f>IF($C600="","",IF($D600="TANIMSIZ MÜŞTERİ","HATA",IF(OR($E600="",$F600&lt;=0,$G600=""),"EKSİK",IF($E600&gt;TODAY(),"İLERİ TARİH","UYGUN"))))</f>
        <v/>
      </c>
      <c r="N600" s="6" t="n"/>
      <c r="O600" s="6" t="n"/>
    </row>
    <row r="601">
      <c r="A601" s="6" t="n"/>
      <c r="B601" s="112">
        <f>IF($C601="","","T"&amp;TEXT(ROW()-6,"00000"))</f>
        <v/>
      </c>
      <c r="C601" s="107" t="n"/>
      <c r="D601" s="113">
        <f>IF($C601="","",IFERROR(INDEX(MUSTERILER!$C$7:$C$106,MATCH($C601,MUSTERILER!$B$7:$B$106,0)),"TANIMSIZ MÜŞTERİ"))</f>
        <v/>
      </c>
      <c r="E601" s="114" t="n"/>
      <c r="F601" s="115" t="n"/>
      <c r="G601" s="107" t="n"/>
      <c r="H601" s="107" t="n"/>
      <c r="I601" s="108" t="n"/>
      <c r="J601" s="108" t="n"/>
      <c r="K601" s="108" t="n"/>
      <c r="L601" s="119">
        <f>IF($E601="","",DATE(YEAR($E601),MONTH($E601),1))</f>
        <v/>
      </c>
      <c r="M601" s="112">
        <f>IF($C601="","",IF($D601="TANIMSIZ MÜŞTERİ","HATA",IF(OR($E601="",$F601&lt;=0,$G601=""),"EKSİK",IF($E601&gt;TODAY(),"İLERİ TARİH","UYGUN"))))</f>
        <v/>
      </c>
      <c r="N601" s="6" t="n"/>
      <c r="O601" s="6" t="n"/>
    </row>
    <row r="602">
      <c r="A602" s="6" t="n"/>
      <c r="B602" s="112">
        <f>IF($C602="","","T"&amp;TEXT(ROW()-6,"00000"))</f>
        <v/>
      </c>
      <c r="C602" s="107" t="n"/>
      <c r="D602" s="113">
        <f>IF($C602="","",IFERROR(INDEX(MUSTERILER!$C$7:$C$106,MATCH($C602,MUSTERILER!$B$7:$B$106,0)),"TANIMSIZ MÜŞTERİ"))</f>
        <v/>
      </c>
      <c r="E602" s="114" t="n"/>
      <c r="F602" s="115" t="n"/>
      <c r="G602" s="107" t="n"/>
      <c r="H602" s="107" t="n"/>
      <c r="I602" s="108" t="n"/>
      <c r="J602" s="108" t="n"/>
      <c r="K602" s="108" t="n"/>
      <c r="L602" s="119">
        <f>IF($E602="","",DATE(YEAR($E602),MONTH($E602),1))</f>
        <v/>
      </c>
      <c r="M602" s="112">
        <f>IF($C602="","",IF($D602="TANIMSIZ MÜŞTERİ","HATA",IF(OR($E602="",$F602&lt;=0,$G602=""),"EKSİK",IF($E602&gt;TODAY(),"İLERİ TARİH","UYGUN"))))</f>
        <v/>
      </c>
      <c r="N602" s="6" t="n"/>
      <c r="O602" s="6" t="n"/>
    </row>
    <row r="603">
      <c r="A603" s="6" t="n"/>
      <c r="B603" s="112">
        <f>IF($C603="","","T"&amp;TEXT(ROW()-6,"00000"))</f>
        <v/>
      </c>
      <c r="C603" s="107" t="n"/>
      <c r="D603" s="113">
        <f>IF($C603="","",IFERROR(INDEX(MUSTERILER!$C$7:$C$106,MATCH($C603,MUSTERILER!$B$7:$B$106,0)),"TANIMSIZ MÜŞTERİ"))</f>
        <v/>
      </c>
      <c r="E603" s="114" t="n"/>
      <c r="F603" s="115" t="n"/>
      <c r="G603" s="107" t="n"/>
      <c r="H603" s="107" t="n"/>
      <c r="I603" s="108" t="n"/>
      <c r="J603" s="108" t="n"/>
      <c r="K603" s="108" t="n"/>
      <c r="L603" s="119">
        <f>IF($E603="","",DATE(YEAR($E603),MONTH($E603),1))</f>
        <v/>
      </c>
      <c r="M603" s="112">
        <f>IF($C603="","",IF($D603="TANIMSIZ MÜŞTERİ","HATA",IF(OR($E603="",$F603&lt;=0,$G603=""),"EKSİK",IF($E603&gt;TODAY(),"İLERİ TARİH","UYGUN"))))</f>
        <v/>
      </c>
      <c r="N603" s="6" t="n"/>
      <c r="O603" s="6" t="n"/>
    </row>
    <row r="604">
      <c r="A604" s="6" t="n"/>
      <c r="B604" s="112">
        <f>IF($C604="","","T"&amp;TEXT(ROW()-6,"00000"))</f>
        <v/>
      </c>
      <c r="C604" s="107" t="n"/>
      <c r="D604" s="113">
        <f>IF($C604="","",IFERROR(INDEX(MUSTERILER!$C$7:$C$106,MATCH($C604,MUSTERILER!$B$7:$B$106,0)),"TANIMSIZ MÜŞTERİ"))</f>
        <v/>
      </c>
      <c r="E604" s="114" t="n"/>
      <c r="F604" s="115" t="n"/>
      <c r="G604" s="107" t="n"/>
      <c r="H604" s="107" t="n"/>
      <c r="I604" s="108" t="n"/>
      <c r="J604" s="108" t="n"/>
      <c r="K604" s="108" t="n"/>
      <c r="L604" s="119">
        <f>IF($E604="","",DATE(YEAR($E604),MONTH($E604),1))</f>
        <v/>
      </c>
      <c r="M604" s="112">
        <f>IF($C604="","",IF($D604="TANIMSIZ MÜŞTERİ","HATA",IF(OR($E604="",$F604&lt;=0,$G604=""),"EKSİK",IF($E604&gt;TODAY(),"İLERİ TARİH","UYGUN"))))</f>
        <v/>
      </c>
      <c r="N604" s="6" t="n"/>
      <c r="O604" s="6" t="n"/>
    </row>
    <row r="605">
      <c r="A605" s="6" t="n"/>
      <c r="B605" s="112">
        <f>IF($C605="","","T"&amp;TEXT(ROW()-6,"00000"))</f>
        <v/>
      </c>
      <c r="C605" s="107" t="n"/>
      <c r="D605" s="113">
        <f>IF($C605="","",IFERROR(INDEX(MUSTERILER!$C$7:$C$106,MATCH($C605,MUSTERILER!$B$7:$B$106,0)),"TANIMSIZ MÜŞTERİ"))</f>
        <v/>
      </c>
      <c r="E605" s="114" t="n"/>
      <c r="F605" s="115" t="n"/>
      <c r="G605" s="107" t="n"/>
      <c r="H605" s="107" t="n"/>
      <c r="I605" s="108" t="n"/>
      <c r="J605" s="108" t="n"/>
      <c r="K605" s="108" t="n"/>
      <c r="L605" s="119">
        <f>IF($E605="","",DATE(YEAR($E605),MONTH($E605),1))</f>
        <v/>
      </c>
      <c r="M605" s="112">
        <f>IF($C605="","",IF($D605="TANIMSIZ MÜŞTERİ","HATA",IF(OR($E605="",$F605&lt;=0,$G605=""),"EKSİK",IF($E605&gt;TODAY(),"İLERİ TARİH","UYGUN"))))</f>
        <v/>
      </c>
      <c r="N605" s="6" t="n"/>
      <c r="O605" s="6" t="n"/>
    </row>
    <row r="606">
      <c r="A606" s="6" t="n"/>
      <c r="B606" s="112">
        <f>IF($C606="","","T"&amp;TEXT(ROW()-6,"00000"))</f>
        <v/>
      </c>
      <c r="C606" s="107" t="n"/>
      <c r="D606" s="113">
        <f>IF($C606="","",IFERROR(INDEX(MUSTERILER!$C$7:$C$106,MATCH($C606,MUSTERILER!$B$7:$B$106,0)),"TANIMSIZ MÜŞTERİ"))</f>
        <v/>
      </c>
      <c r="E606" s="114" t="n"/>
      <c r="F606" s="115" t="n"/>
      <c r="G606" s="107" t="n"/>
      <c r="H606" s="107" t="n"/>
      <c r="I606" s="108" t="n"/>
      <c r="J606" s="108" t="n"/>
      <c r="K606" s="108" t="n"/>
      <c r="L606" s="119">
        <f>IF($E606="","",DATE(YEAR($E606),MONTH($E606),1))</f>
        <v/>
      </c>
      <c r="M606" s="112">
        <f>IF($C606="","",IF($D606="TANIMSIZ MÜŞTERİ","HATA",IF(OR($E606="",$F606&lt;=0,$G606=""),"EKSİK",IF($E606&gt;TODAY(),"İLERİ TARİH","UYGUN"))))</f>
        <v/>
      </c>
      <c r="N606" s="6" t="n"/>
      <c r="O606" s="6" t="n"/>
    </row>
    <row r="607">
      <c r="A607" s="6" t="n"/>
      <c r="B607" s="112">
        <f>IF($C607="","","T"&amp;TEXT(ROW()-6,"00000"))</f>
        <v/>
      </c>
      <c r="C607" s="107" t="n"/>
      <c r="D607" s="113">
        <f>IF($C607="","",IFERROR(INDEX(MUSTERILER!$C$7:$C$106,MATCH($C607,MUSTERILER!$B$7:$B$106,0)),"TANIMSIZ MÜŞTERİ"))</f>
        <v/>
      </c>
      <c r="E607" s="114" t="n"/>
      <c r="F607" s="115" t="n"/>
      <c r="G607" s="107" t="n"/>
      <c r="H607" s="107" t="n"/>
      <c r="I607" s="108" t="n"/>
      <c r="J607" s="108" t="n"/>
      <c r="K607" s="108" t="n"/>
      <c r="L607" s="119">
        <f>IF($E607="","",DATE(YEAR($E607),MONTH($E607),1))</f>
        <v/>
      </c>
      <c r="M607" s="112">
        <f>IF($C607="","",IF($D607="TANIMSIZ MÜŞTERİ","HATA",IF(OR($E607="",$F607&lt;=0,$G607=""),"EKSİK",IF($E607&gt;TODAY(),"İLERİ TARİH","UYGUN"))))</f>
        <v/>
      </c>
      <c r="N607" s="6" t="n"/>
      <c r="O607" s="6" t="n"/>
    </row>
    <row r="608">
      <c r="A608" s="6" t="n"/>
      <c r="B608" s="112">
        <f>IF($C608="","","T"&amp;TEXT(ROW()-6,"00000"))</f>
        <v/>
      </c>
      <c r="C608" s="107" t="n"/>
      <c r="D608" s="113">
        <f>IF($C608="","",IFERROR(INDEX(MUSTERILER!$C$7:$C$106,MATCH($C608,MUSTERILER!$B$7:$B$106,0)),"TANIMSIZ MÜŞTERİ"))</f>
        <v/>
      </c>
      <c r="E608" s="114" t="n"/>
      <c r="F608" s="115" t="n"/>
      <c r="G608" s="107" t="n"/>
      <c r="H608" s="107" t="n"/>
      <c r="I608" s="108" t="n"/>
      <c r="J608" s="108" t="n"/>
      <c r="K608" s="108" t="n"/>
      <c r="L608" s="119">
        <f>IF($E608="","",DATE(YEAR($E608),MONTH($E608),1))</f>
        <v/>
      </c>
      <c r="M608" s="112">
        <f>IF($C608="","",IF($D608="TANIMSIZ MÜŞTERİ","HATA",IF(OR($E608="",$F608&lt;=0,$G608=""),"EKSİK",IF($E608&gt;TODAY(),"İLERİ TARİH","UYGUN"))))</f>
        <v/>
      </c>
      <c r="N608" s="6" t="n"/>
      <c r="O608" s="6" t="n"/>
    </row>
    <row r="609">
      <c r="A609" s="6" t="n"/>
      <c r="B609" s="112">
        <f>IF($C609="","","T"&amp;TEXT(ROW()-6,"00000"))</f>
        <v/>
      </c>
      <c r="C609" s="107" t="n"/>
      <c r="D609" s="113">
        <f>IF($C609="","",IFERROR(INDEX(MUSTERILER!$C$7:$C$106,MATCH($C609,MUSTERILER!$B$7:$B$106,0)),"TANIMSIZ MÜŞTERİ"))</f>
        <v/>
      </c>
      <c r="E609" s="114" t="n"/>
      <c r="F609" s="115" t="n"/>
      <c r="G609" s="107" t="n"/>
      <c r="H609" s="107" t="n"/>
      <c r="I609" s="108" t="n"/>
      <c r="J609" s="108" t="n"/>
      <c r="K609" s="108" t="n"/>
      <c r="L609" s="119">
        <f>IF($E609="","",DATE(YEAR($E609),MONTH($E609),1))</f>
        <v/>
      </c>
      <c r="M609" s="112">
        <f>IF($C609="","",IF($D609="TANIMSIZ MÜŞTERİ","HATA",IF(OR($E609="",$F609&lt;=0,$G609=""),"EKSİK",IF($E609&gt;TODAY(),"İLERİ TARİH","UYGUN"))))</f>
        <v/>
      </c>
      <c r="N609" s="6" t="n"/>
      <c r="O609" s="6" t="n"/>
    </row>
    <row r="610">
      <c r="A610" s="6" t="n"/>
      <c r="B610" s="112">
        <f>IF($C610="","","T"&amp;TEXT(ROW()-6,"00000"))</f>
        <v/>
      </c>
      <c r="C610" s="107" t="n"/>
      <c r="D610" s="113">
        <f>IF($C610="","",IFERROR(INDEX(MUSTERILER!$C$7:$C$106,MATCH($C610,MUSTERILER!$B$7:$B$106,0)),"TANIMSIZ MÜŞTERİ"))</f>
        <v/>
      </c>
      <c r="E610" s="114" t="n"/>
      <c r="F610" s="115" t="n"/>
      <c r="G610" s="107" t="n"/>
      <c r="H610" s="107" t="n"/>
      <c r="I610" s="108" t="n"/>
      <c r="J610" s="108" t="n"/>
      <c r="K610" s="108" t="n"/>
      <c r="L610" s="119">
        <f>IF($E610="","",DATE(YEAR($E610),MONTH($E610),1))</f>
        <v/>
      </c>
      <c r="M610" s="112">
        <f>IF($C610="","",IF($D610="TANIMSIZ MÜŞTERİ","HATA",IF(OR($E610="",$F610&lt;=0,$G610=""),"EKSİK",IF($E610&gt;TODAY(),"İLERİ TARİH","UYGUN"))))</f>
        <v/>
      </c>
      <c r="N610" s="6" t="n"/>
      <c r="O610" s="6" t="n"/>
    </row>
    <row r="611">
      <c r="A611" s="6" t="n"/>
      <c r="B611" s="112">
        <f>IF($C611="","","T"&amp;TEXT(ROW()-6,"00000"))</f>
        <v/>
      </c>
      <c r="C611" s="107" t="n"/>
      <c r="D611" s="113">
        <f>IF($C611="","",IFERROR(INDEX(MUSTERILER!$C$7:$C$106,MATCH($C611,MUSTERILER!$B$7:$B$106,0)),"TANIMSIZ MÜŞTERİ"))</f>
        <v/>
      </c>
      <c r="E611" s="114" t="n"/>
      <c r="F611" s="115" t="n"/>
      <c r="G611" s="107" t="n"/>
      <c r="H611" s="107" t="n"/>
      <c r="I611" s="108" t="n"/>
      <c r="J611" s="108" t="n"/>
      <c r="K611" s="108" t="n"/>
      <c r="L611" s="119">
        <f>IF($E611="","",DATE(YEAR($E611),MONTH($E611),1))</f>
        <v/>
      </c>
      <c r="M611" s="112">
        <f>IF($C611="","",IF($D611="TANIMSIZ MÜŞTERİ","HATA",IF(OR($E611="",$F611&lt;=0,$G611=""),"EKSİK",IF($E611&gt;TODAY(),"İLERİ TARİH","UYGUN"))))</f>
        <v/>
      </c>
      <c r="N611" s="6" t="n"/>
      <c r="O611" s="6" t="n"/>
    </row>
    <row r="612">
      <c r="A612" s="6" t="n"/>
      <c r="B612" s="112">
        <f>IF($C612="","","T"&amp;TEXT(ROW()-6,"00000"))</f>
        <v/>
      </c>
      <c r="C612" s="107" t="n"/>
      <c r="D612" s="113">
        <f>IF($C612="","",IFERROR(INDEX(MUSTERILER!$C$7:$C$106,MATCH($C612,MUSTERILER!$B$7:$B$106,0)),"TANIMSIZ MÜŞTERİ"))</f>
        <v/>
      </c>
      <c r="E612" s="114" t="n"/>
      <c r="F612" s="115" t="n"/>
      <c r="G612" s="107" t="n"/>
      <c r="H612" s="107" t="n"/>
      <c r="I612" s="108" t="n"/>
      <c r="J612" s="108" t="n"/>
      <c r="K612" s="108" t="n"/>
      <c r="L612" s="119">
        <f>IF($E612="","",DATE(YEAR($E612),MONTH($E612),1))</f>
        <v/>
      </c>
      <c r="M612" s="112">
        <f>IF($C612="","",IF($D612="TANIMSIZ MÜŞTERİ","HATA",IF(OR($E612="",$F612&lt;=0,$G612=""),"EKSİK",IF($E612&gt;TODAY(),"İLERİ TARİH","UYGUN"))))</f>
        <v/>
      </c>
      <c r="N612" s="6" t="n"/>
      <c r="O612" s="6" t="n"/>
    </row>
    <row r="613">
      <c r="A613" s="6" t="n"/>
      <c r="B613" s="112">
        <f>IF($C613="","","T"&amp;TEXT(ROW()-6,"00000"))</f>
        <v/>
      </c>
      <c r="C613" s="107" t="n"/>
      <c r="D613" s="113">
        <f>IF($C613="","",IFERROR(INDEX(MUSTERILER!$C$7:$C$106,MATCH($C613,MUSTERILER!$B$7:$B$106,0)),"TANIMSIZ MÜŞTERİ"))</f>
        <v/>
      </c>
      <c r="E613" s="114" t="n"/>
      <c r="F613" s="115" t="n"/>
      <c r="G613" s="107" t="n"/>
      <c r="H613" s="107" t="n"/>
      <c r="I613" s="108" t="n"/>
      <c r="J613" s="108" t="n"/>
      <c r="K613" s="108" t="n"/>
      <c r="L613" s="119">
        <f>IF($E613="","",DATE(YEAR($E613),MONTH($E613),1))</f>
        <v/>
      </c>
      <c r="M613" s="112">
        <f>IF($C613="","",IF($D613="TANIMSIZ MÜŞTERİ","HATA",IF(OR($E613="",$F613&lt;=0,$G613=""),"EKSİK",IF($E613&gt;TODAY(),"İLERİ TARİH","UYGUN"))))</f>
        <v/>
      </c>
      <c r="N613" s="6" t="n"/>
      <c r="O613" s="6" t="n"/>
    </row>
    <row r="614">
      <c r="A614" s="6" t="n"/>
      <c r="B614" s="112">
        <f>IF($C614="","","T"&amp;TEXT(ROW()-6,"00000"))</f>
        <v/>
      </c>
      <c r="C614" s="107" t="n"/>
      <c r="D614" s="113">
        <f>IF($C614="","",IFERROR(INDEX(MUSTERILER!$C$7:$C$106,MATCH($C614,MUSTERILER!$B$7:$B$106,0)),"TANIMSIZ MÜŞTERİ"))</f>
        <v/>
      </c>
      <c r="E614" s="114" t="n"/>
      <c r="F614" s="115" t="n"/>
      <c r="G614" s="107" t="n"/>
      <c r="H614" s="107" t="n"/>
      <c r="I614" s="108" t="n"/>
      <c r="J614" s="108" t="n"/>
      <c r="K614" s="108" t="n"/>
      <c r="L614" s="119">
        <f>IF($E614="","",DATE(YEAR($E614),MONTH($E614),1))</f>
        <v/>
      </c>
      <c r="M614" s="112">
        <f>IF($C614="","",IF($D614="TANIMSIZ MÜŞTERİ","HATA",IF(OR($E614="",$F614&lt;=0,$G614=""),"EKSİK",IF($E614&gt;TODAY(),"İLERİ TARİH","UYGUN"))))</f>
        <v/>
      </c>
      <c r="N614" s="6" t="n"/>
      <c r="O614" s="6" t="n"/>
    </row>
    <row r="615">
      <c r="A615" s="6" t="n"/>
      <c r="B615" s="112">
        <f>IF($C615="","","T"&amp;TEXT(ROW()-6,"00000"))</f>
        <v/>
      </c>
      <c r="C615" s="107" t="n"/>
      <c r="D615" s="113">
        <f>IF($C615="","",IFERROR(INDEX(MUSTERILER!$C$7:$C$106,MATCH($C615,MUSTERILER!$B$7:$B$106,0)),"TANIMSIZ MÜŞTERİ"))</f>
        <v/>
      </c>
      <c r="E615" s="114" t="n"/>
      <c r="F615" s="115" t="n"/>
      <c r="G615" s="107" t="n"/>
      <c r="H615" s="107" t="n"/>
      <c r="I615" s="108" t="n"/>
      <c r="J615" s="108" t="n"/>
      <c r="K615" s="108" t="n"/>
      <c r="L615" s="119">
        <f>IF($E615="","",DATE(YEAR($E615),MONTH($E615),1))</f>
        <v/>
      </c>
      <c r="M615" s="112">
        <f>IF($C615="","",IF($D615="TANIMSIZ MÜŞTERİ","HATA",IF(OR($E615="",$F615&lt;=0,$G615=""),"EKSİK",IF($E615&gt;TODAY(),"İLERİ TARİH","UYGUN"))))</f>
        <v/>
      </c>
      <c r="N615" s="6" t="n"/>
      <c r="O615" s="6" t="n"/>
    </row>
    <row r="616">
      <c r="A616" s="6" t="n"/>
      <c r="B616" s="112">
        <f>IF($C616="","","T"&amp;TEXT(ROW()-6,"00000"))</f>
        <v/>
      </c>
      <c r="C616" s="107" t="n"/>
      <c r="D616" s="113">
        <f>IF($C616="","",IFERROR(INDEX(MUSTERILER!$C$7:$C$106,MATCH($C616,MUSTERILER!$B$7:$B$106,0)),"TANIMSIZ MÜŞTERİ"))</f>
        <v/>
      </c>
      <c r="E616" s="114" t="n"/>
      <c r="F616" s="115" t="n"/>
      <c r="G616" s="107" t="n"/>
      <c r="H616" s="107" t="n"/>
      <c r="I616" s="108" t="n"/>
      <c r="J616" s="108" t="n"/>
      <c r="K616" s="108" t="n"/>
      <c r="L616" s="119">
        <f>IF($E616="","",DATE(YEAR($E616),MONTH($E616),1))</f>
        <v/>
      </c>
      <c r="M616" s="112">
        <f>IF($C616="","",IF($D616="TANIMSIZ MÜŞTERİ","HATA",IF(OR($E616="",$F616&lt;=0,$G616=""),"EKSİK",IF($E616&gt;TODAY(),"İLERİ TARİH","UYGUN"))))</f>
        <v/>
      </c>
      <c r="N616" s="6" t="n"/>
      <c r="O616" s="6" t="n"/>
    </row>
    <row r="617">
      <c r="A617" s="6" t="n"/>
      <c r="B617" s="112">
        <f>IF($C617="","","T"&amp;TEXT(ROW()-6,"00000"))</f>
        <v/>
      </c>
      <c r="C617" s="107" t="n"/>
      <c r="D617" s="113">
        <f>IF($C617="","",IFERROR(INDEX(MUSTERILER!$C$7:$C$106,MATCH($C617,MUSTERILER!$B$7:$B$106,0)),"TANIMSIZ MÜŞTERİ"))</f>
        <v/>
      </c>
      <c r="E617" s="114" t="n"/>
      <c r="F617" s="115" t="n"/>
      <c r="G617" s="107" t="n"/>
      <c r="H617" s="107" t="n"/>
      <c r="I617" s="108" t="n"/>
      <c r="J617" s="108" t="n"/>
      <c r="K617" s="108" t="n"/>
      <c r="L617" s="119">
        <f>IF($E617="","",DATE(YEAR($E617),MONTH($E617),1))</f>
        <v/>
      </c>
      <c r="M617" s="112">
        <f>IF($C617="","",IF($D617="TANIMSIZ MÜŞTERİ","HATA",IF(OR($E617="",$F617&lt;=0,$G617=""),"EKSİK",IF($E617&gt;TODAY(),"İLERİ TARİH","UYGUN"))))</f>
        <v/>
      </c>
      <c r="N617" s="6" t="n"/>
      <c r="O617" s="6" t="n"/>
    </row>
    <row r="618">
      <c r="A618" s="6" t="n"/>
      <c r="B618" s="112">
        <f>IF($C618="","","T"&amp;TEXT(ROW()-6,"00000"))</f>
        <v/>
      </c>
      <c r="C618" s="107" t="n"/>
      <c r="D618" s="113">
        <f>IF($C618="","",IFERROR(INDEX(MUSTERILER!$C$7:$C$106,MATCH($C618,MUSTERILER!$B$7:$B$106,0)),"TANIMSIZ MÜŞTERİ"))</f>
        <v/>
      </c>
      <c r="E618" s="114" t="n"/>
      <c r="F618" s="115" t="n"/>
      <c r="G618" s="107" t="n"/>
      <c r="H618" s="107" t="n"/>
      <c r="I618" s="108" t="n"/>
      <c r="J618" s="108" t="n"/>
      <c r="K618" s="108" t="n"/>
      <c r="L618" s="119">
        <f>IF($E618="","",DATE(YEAR($E618),MONTH($E618),1))</f>
        <v/>
      </c>
      <c r="M618" s="112">
        <f>IF($C618="","",IF($D618="TANIMSIZ MÜŞTERİ","HATA",IF(OR($E618="",$F618&lt;=0,$G618=""),"EKSİK",IF($E618&gt;TODAY(),"İLERİ TARİH","UYGUN"))))</f>
        <v/>
      </c>
      <c r="N618" s="6" t="n"/>
      <c r="O618" s="6" t="n"/>
    </row>
    <row r="619">
      <c r="A619" s="6" t="n"/>
      <c r="B619" s="112">
        <f>IF($C619="","","T"&amp;TEXT(ROW()-6,"00000"))</f>
        <v/>
      </c>
      <c r="C619" s="107" t="n"/>
      <c r="D619" s="113">
        <f>IF($C619="","",IFERROR(INDEX(MUSTERILER!$C$7:$C$106,MATCH($C619,MUSTERILER!$B$7:$B$106,0)),"TANIMSIZ MÜŞTERİ"))</f>
        <v/>
      </c>
      <c r="E619" s="114" t="n"/>
      <c r="F619" s="115" t="n"/>
      <c r="G619" s="107" t="n"/>
      <c r="H619" s="107" t="n"/>
      <c r="I619" s="108" t="n"/>
      <c r="J619" s="108" t="n"/>
      <c r="K619" s="108" t="n"/>
      <c r="L619" s="119">
        <f>IF($E619="","",DATE(YEAR($E619),MONTH($E619),1))</f>
        <v/>
      </c>
      <c r="M619" s="112">
        <f>IF($C619="","",IF($D619="TANIMSIZ MÜŞTERİ","HATA",IF(OR($E619="",$F619&lt;=0,$G619=""),"EKSİK",IF($E619&gt;TODAY(),"İLERİ TARİH","UYGUN"))))</f>
        <v/>
      </c>
      <c r="N619" s="6" t="n"/>
      <c r="O619" s="6" t="n"/>
    </row>
    <row r="620">
      <c r="A620" s="6" t="n"/>
      <c r="B620" s="112">
        <f>IF($C620="","","T"&amp;TEXT(ROW()-6,"00000"))</f>
        <v/>
      </c>
      <c r="C620" s="107" t="n"/>
      <c r="D620" s="113">
        <f>IF($C620="","",IFERROR(INDEX(MUSTERILER!$C$7:$C$106,MATCH($C620,MUSTERILER!$B$7:$B$106,0)),"TANIMSIZ MÜŞTERİ"))</f>
        <v/>
      </c>
      <c r="E620" s="114" t="n"/>
      <c r="F620" s="115" t="n"/>
      <c r="G620" s="107" t="n"/>
      <c r="H620" s="107" t="n"/>
      <c r="I620" s="108" t="n"/>
      <c r="J620" s="108" t="n"/>
      <c r="K620" s="108" t="n"/>
      <c r="L620" s="119">
        <f>IF($E620="","",DATE(YEAR($E620),MONTH($E620),1))</f>
        <v/>
      </c>
      <c r="M620" s="112">
        <f>IF($C620="","",IF($D620="TANIMSIZ MÜŞTERİ","HATA",IF(OR($E620="",$F620&lt;=0,$G620=""),"EKSİK",IF($E620&gt;TODAY(),"İLERİ TARİH","UYGUN"))))</f>
        <v/>
      </c>
      <c r="N620" s="6" t="n"/>
      <c r="O620" s="6" t="n"/>
    </row>
    <row r="621">
      <c r="A621" s="6" t="n"/>
      <c r="B621" s="112">
        <f>IF($C621="","","T"&amp;TEXT(ROW()-6,"00000"))</f>
        <v/>
      </c>
      <c r="C621" s="107" t="n"/>
      <c r="D621" s="113">
        <f>IF($C621="","",IFERROR(INDEX(MUSTERILER!$C$7:$C$106,MATCH($C621,MUSTERILER!$B$7:$B$106,0)),"TANIMSIZ MÜŞTERİ"))</f>
        <v/>
      </c>
      <c r="E621" s="114" t="n"/>
      <c r="F621" s="115" t="n"/>
      <c r="G621" s="107" t="n"/>
      <c r="H621" s="107" t="n"/>
      <c r="I621" s="108" t="n"/>
      <c r="J621" s="108" t="n"/>
      <c r="K621" s="108" t="n"/>
      <c r="L621" s="119">
        <f>IF($E621="","",DATE(YEAR($E621),MONTH($E621),1))</f>
        <v/>
      </c>
      <c r="M621" s="112">
        <f>IF($C621="","",IF($D621="TANIMSIZ MÜŞTERİ","HATA",IF(OR($E621="",$F621&lt;=0,$G621=""),"EKSİK",IF($E621&gt;TODAY(),"İLERİ TARİH","UYGUN"))))</f>
        <v/>
      </c>
      <c r="N621" s="6" t="n"/>
      <c r="O621" s="6" t="n"/>
    </row>
    <row r="622">
      <c r="A622" s="6" t="n"/>
      <c r="B622" s="112">
        <f>IF($C622="","","T"&amp;TEXT(ROW()-6,"00000"))</f>
        <v/>
      </c>
      <c r="C622" s="107" t="n"/>
      <c r="D622" s="113">
        <f>IF($C622="","",IFERROR(INDEX(MUSTERILER!$C$7:$C$106,MATCH($C622,MUSTERILER!$B$7:$B$106,0)),"TANIMSIZ MÜŞTERİ"))</f>
        <v/>
      </c>
      <c r="E622" s="114" t="n"/>
      <c r="F622" s="115" t="n"/>
      <c r="G622" s="107" t="n"/>
      <c r="H622" s="107" t="n"/>
      <c r="I622" s="108" t="n"/>
      <c r="J622" s="108" t="n"/>
      <c r="K622" s="108" t="n"/>
      <c r="L622" s="119">
        <f>IF($E622="","",DATE(YEAR($E622),MONTH($E622),1))</f>
        <v/>
      </c>
      <c r="M622" s="112">
        <f>IF($C622="","",IF($D622="TANIMSIZ MÜŞTERİ","HATA",IF(OR($E622="",$F622&lt;=0,$G622=""),"EKSİK",IF($E622&gt;TODAY(),"İLERİ TARİH","UYGUN"))))</f>
        <v/>
      </c>
      <c r="N622" s="6" t="n"/>
      <c r="O622" s="6" t="n"/>
    </row>
    <row r="623">
      <c r="A623" s="6" t="n"/>
      <c r="B623" s="112">
        <f>IF($C623="","","T"&amp;TEXT(ROW()-6,"00000"))</f>
        <v/>
      </c>
      <c r="C623" s="107" t="n"/>
      <c r="D623" s="113">
        <f>IF($C623="","",IFERROR(INDEX(MUSTERILER!$C$7:$C$106,MATCH($C623,MUSTERILER!$B$7:$B$106,0)),"TANIMSIZ MÜŞTERİ"))</f>
        <v/>
      </c>
      <c r="E623" s="114" t="n"/>
      <c r="F623" s="115" t="n"/>
      <c r="G623" s="107" t="n"/>
      <c r="H623" s="107" t="n"/>
      <c r="I623" s="108" t="n"/>
      <c r="J623" s="108" t="n"/>
      <c r="K623" s="108" t="n"/>
      <c r="L623" s="119">
        <f>IF($E623="","",DATE(YEAR($E623),MONTH($E623),1))</f>
        <v/>
      </c>
      <c r="M623" s="112">
        <f>IF($C623="","",IF($D623="TANIMSIZ MÜŞTERİ","HATA",IF(OR($E623="",$F623&lt;=0,$G623=""),"EKSİK",IF($E623&gt;TODAY(),"İLERİ TARİH","UYGUN"))))</f>
        <v/>
      </c>
      <c r="N623" s="6" t="n"/>
      <c r="O623" s="6" t="n"/>
    </row>
    <row r="624">
      <c r="A624" s="6" t="n"/>
      <c r="B624" s="112">
        <f>IF($C624="","","T"&amp;TEXT(ROW()-6,"00000"))</f>
        <v/>
      </c>
      <c r="C624" s="107" t="n"/>
      <c r="D624" s="113">
        <f>IF($C624="","",IFERROR(INDEX(MUSTERILER!$C$7:$C$106,MATCH($C624,MUSTERILER!$B$7:$B$106,0)),"TANIMSIZ MÜŞTERİ"))</f>
        <v/>
      </c>
      <c r="E624" s="114" t="n"/>
      <c r="F624" s="115" t="n"/>
      <c r="G624" s="107" t="n"/>
      <c r="H624" s="107" t="n"/>
      <c r="I624" s="108" t="n"/>
      <c r="J624" s="108" t="n"/>
      <c r="K624" s="108" t="n"/>
      <c r="L624" s="119">
        <f>IF($E624="","",DATE(YEAR($E624),MONTH($E624),1))</f>
        <v/>
      </c>
      <c r="M624" s="112">
        <f>IF($C624="","",IF($D624="TANIMSIZ MÜŞTERİ","HATA",IF(OR($E624="",$F624&lt;=0,$G624=""),"EKSİK",IF($E624&gt;TODAY(),"İLERİ TARİH","UYGUN"))))</f>
        <v/>
      </c>
      <c r="N624" s="6" t="n"/>
      <c r="O624" s="6" t="n"/>
    </row>
    <row r="625">
      <c r="A625" s="6" t="n"/>
      <c r="B625" s="112">
        <f>IF($C625="","","T"&amp;TEXT(ROW()-6,"00000"))</f>
        <v/>
      </c>
      <c r="C625" s="107" t="n"/>
      <c r="D625" s="113">
        <f>IF($C625="","",IFERROR(INDEX(MUSTERILER!$C$7:$C$106,MATCH($C625,MUSTERILER!$B$7:$B$106,0)),"TANIMSIZ MÜŞTERİ"))</f>
        <v/>
      </c>
      <c r="E625" s="114" t="n"/>
      <c r="F625" s="115" t="n"/>
      <c r="G625" s="107" t="n"/>
      <c r="H625" s="107" t="n"/>
      <c r="I625" s="108" t="n"/>
      <c r="J625" s="108" t="n"/>
      <c r="K625" s="108" t="n"/>
      <c r="L625" s="119">
        <f>IF($E625="","",DATE(YEAR($E625),MONTH($E625),1))</f>
        <v/>
      </c>
      <c r="M625" s="112">
        <f>IF($C625="","",IF($D625="TANIMSIZ MÜŞTERİ","HATA",IF(OR($E625="",$F625&lt;=0,$G625=""),"EKSİK",IF($E625&gt;TODAY(),"İLERİ TARİH","UYGUN"))))</f>
        <v/>
      </c>
      <c r="N625" s="6" t="n"/>
      <c r="O625" s="6" t="n"/>
    </row>
    <row r="626">
      <c r="A626" s="6" t="n"/>
      <c r="B626" s="112">
        <f>IF($C626="","","T"&amp;TEXT(ROW()-6,"00000"))</f>
        <v/>
      </c>
      <c r="C626" s="107" t="n"/>
      <c r="D626" s="113">
        <f>IF($C626="","",IFERROR(INDEX(MUSTERILER!$C$7:$C$106,MATCH($C626,MUSTERILER!$B$7:$B$106,0)),"TANIMSIZ MÜŞTERİ"))</f>
        <v/>
      </c>
      <c r="E626" s="114" t="n"/>
      <c r="F626" s="115" t="n"/>
      <c r="G626" s="107" t="n"/>
      <c r="H626" s="107" t="n"/>
      <c r="I626" s="108" t="n"/>
      <c r="J626" s="108" t="n"/>
      <c r="K626" s="108" t="n"/>
      <c r="L626" s="119">
        <f>IF($E626="","",DATE(YEAR($E626),MONTH($E626),1))</f>
        <v/>
      </c>
      <c r="M626" s="112">
        <f>IF($C626="","",IF($D626="TANIMSIZ MÜŞTERİ","HATA",IF(OR($E626="",$F626&lt;=0,$G626=""),"EKSİK",IF($E626&gt;TODAY(),"İLERİ TARİH","UYGUN"))))</f>
        <v/>
      </c>
      <c r="N626" s="6" t="n"/>
      <c r="O626" s="6" t="n"/>
    </row>
    <row r="627">
      <c r="A627" s="6" t="n"/>
      <c r="B627" s="112">
        <f>IF($C627="","","T"&amp;TEXT(ROW()-6,"00000"))</f>
        <v/>
      </c>
      <c r="C627" s="107" t="n"/>
      <c r="D627" s="113">
        <f>IF($C627="","",IFERROR(INDEX(MUSTERILER!$C$7:$C$106,MATCH($C627,MUSTERILER!$B$7:$B$106,0)),"TANIMSIZ MÜŞTERİ"))</f>
        <v/>
      </c>
      <c r="E627" s="114" t="n"/>
      <c r="F627" s="115" t="n"/>
      <c r="G627" s="107" t="n"/>
      <c r="H627" s="107" t="n"/>
      <c r="I627" s="108" t="n"/>
      <c r="J627" s="108" t="n"/>
      <c r="K627" s="108" t="n"/>
      <c r="L627" s="119">
        <f>IF($E627="","",DATE(YEAR($E627),MONTH($E627),1))</f>
        <v/>
      </c>
      <c r="M627" s="112">
        <f>IF($C627="","",IF($D627="TANIMSIZ MÜŞTERİ","HATA",IF(OR($E627="",$F627&lt;=0,$G627=""),"EKSİK",IF($E627&gt;TODAY(),"İLERİ TARİH","UYGUN"))))</f>
        <v/>
      </c>
      <c r="N627" s="6" t="n"/>
      <c r="O627" s="6" t="n"/>
    </row>
    <row r="628">
      <c r="A628" s="6" t="n"/>
      <c r="B628" s="112">
        <f>IF($C628="","","T"&amp;TEXT(ROW()-6,"00000"))</f>
        <v/>
      </c>
      <c r="C628" s="107" t="n"/>
      <c r="D628" s="113">
        <f>IF($C628="","",IFERROR(INDEX(MUSTERILER!$C$7:$C$106,MATCH($C628,MUSTERILER!$B$7:$B$106,0)),"TANIMSIZ MÜŞTERİ"))</f>
        <v/>
      </c>
      <c r="E628" s="114" t="n"/>
      <c r="F628" s="115" t="n"/>
      <c r="G628" s="107" t="n"/>
      <c r="H628" s="107" t="n"/>
      <c r="I628" s="108" t="n"/>
      <c r="J628" s="108" t="n"/>
      <c r="K628" s="108" t="n"/>
      <c r="L628" s="119">
        <f>IF($E628="","",DATE(YEAR($E628),MONTH($E628),1))</f>
        <v/>
      </c>
      <c r="M628" s="112">
        <f>IF($C628="","",IF($D628="TANIMSIZ MÜŞTERİ","HATA",IF(OR($E628="",$F628&lt;=0,$G628=""),"EKSİK",IF($E628&gt;TODAY(),"İLERİ TARİH","UYGUN"))))</f>
        <v/>
      </c>
      <c r="N628" s="6" t="n"/>
      <c r="O628" s="6" t="n"/>
    </row>
    <row r="629">
      <c r="A629" s="6" t="n"/>
      <c r="B629" s="112">
        <f>IF($C629="","","T"&amp;TEXT(ROW()-6,"00000"))</f>
        <v/>
      </c>
      <c r="C629" s="107" t="n"/>
      <c r="D629" s="113">
        <f>IF($C629="","",IFERROR(INDEX(MUSTERILER!$C$7:$C$106,MATCH($C629,MUSTERILER!$B$7:$B$106,0)),"TANIMSIZ MÜŞTERİ"))</f>
        <v/>
      </c>
      <c r="E629" s="114" t="n"/>
      <c r="F629" s="115" t="n"/>
      <c r="G629" s="107" t="n"/>
      <c r="H629" s="107" t="n"/>
      <c r="I629" s="108" t="n"/>
      <c r="J629" s="108" t="n"/>
      <c r="K629" s="108" t="n"/>
      <c r="L629" s="119">
        <f>IF($E629="","",DATE(YEAR($E629),MONTH($E629),1))</f>
        <v/>
      </c>
      <c r="M629" s="112">
        <f>IF($C629="","",IF($D629="TANIMSIZ MÜŞTERİ","HATA",IF(OR($E629="",$F629&lt;=0,$G629=""),"EKSİK",IF($E629&gt;TODAY(),"İLERİ TARİH","UYGUN"))))</f>
        <v/>
      </c>
      <c r="N629" s="6" t="n"/>
      <c r="O629" s="6" t="n"/>
    </row>
    <row r="630">
      <c r="A630" s="6" t="n"/>
      <c r="B630" s="112">
        <f>IF($C630="","","T"&amp;TEXT(ROW()-6,"00000"))</f>
        <v/>
      </c>
      <c r="C630" s="107" t="n"/>
      <c r="D630" s="113">
        <f>IF($C630="","",IFERROR(INDEX(MUSTERILER!$C$7:$C$106,MATCH($C630,MUSTERILER!$B$7:$B$106,0)),"TANIMSIZ MÜŞTERİ"))</f>
        <v/>
      </c>
      <c r="E630" s="114" t="n"/>
      <c r="F630" s="115" t="n"/>
      <c r="G630" s="107" t="n"/>
      <c r="H630" s="107" t="n"/>
      <c r="I630" s="108" t="n"/>
      <c r="J630" s="108" t="n"/>
      <c r="K630" s="108" t="n"/>
      <c r="L630" s="119">
        <f>IF($E630="","",DATE(YEAR($E630),MONTH($E630),1))</f>
        <v/>
      </c>
      <c r="M630" s="112">
        <f>IF($C630="","",IF($D630="TANIMSIZ MÜŞTERİ","HATA",IF(OR($E630="",$F630&lt;=0,$G630=""),"EKSİK",IF($E630&gt;TODAY(),"İLERİ TARİH","UYGUN"))))</f>
        <v/>
      </c>
      <c r="N630" s="6" t="n"/>
      <c r="O630" s="6" t="n"/>
    </row>
    <row r="631">
      <c r="A631" s="6" t="n"/>
      <c r="B631" s="112">
        <f>IF($C631="","","T"&amp;TEXT(ROW()-6,"00000"))</f>
        <v/>
      </c>
      <c r="C631" s="107" t="n"/>
      <c r="D631" s="113">
        <f>IF($C631="","",IFERROR(INDEX(MUSTERILER!$C$7:$C$106,MATCH($C631,MUSTERILER!$B$7:$B$106,0)),"TANIMSIZ MÜŞTERİ"))</f>
        <v/>
      </c>
      <c r="E631" s="114" t="n"/>
      <c r="F631" s="115" t="n"/>
      <c r="G631" s="107" t="n"/>
      <c r="H631" s="107" t="n"/>
      <c r="I631" s="108" t="n"/>
      <c r="J631" s="108" t="n"/>
      <c r="K631" s="108" t="n"/>
      <c r="L631" s="119">
        <f>IF($E631="","",DATE(YEAR($E631),MONTH($E631),1))</f>
        <v/>
      </c>
      <c r="M631" s="112">
        <f>IF($C631="","",IF($D631="TANIMSIZ MÜŞTERİ","HATA",IF(OR($E631="",$F631&lt;=0,$G631=""),"EKSİK",IF($E631&gt;TODAY(),"İLERİ TARİH","UYGUN"))))</f>
        <v/>
      </c>
      <c r="N631" s="6" t="n"/>
      <c r="O631" s="6" t="n"/>
    </row>
    <row r="632">
      <c r="A632" s="6" t="n"/>
      <c r="B632" s="112">
        <f>IF($C632="","","T"&amp;TEXT(ROW()-6,"00000"))</f>
        <v/>
      </c>
      <c r="C632" s="107" t="n"/>
      <c r="D632" s="113">
        <f>IF($C632="","",IFERROR(INDEX(MUSTERILER!$C$7:$C$106,MATCH($C632,MUSTERILER!$B$7:$B$106,0)),"TANIMSIZ MÜŞTERİ"))</f>
        <v/>
      </c>
      <c r="E632" s="114" t="n"/>
      <c r="F632" s="115" t="n"/>
      <c r="G632" s="107" t="n"/>
      <c r="H632" s="107" t="n"/>
      <c r="I632" s="108" t="n"/>
      <c r="J632" s="108" t="n"/>
      <c r="K632" s="108" t="n"/>
      <c r="L632" s="119">
        <f>IF($E632="","",DATE(YEAR($E632),MONTH($E632),1))</f>
        <v/>
      </c>
      <c r="M632" s="112">
        <f>IF($C632="","",IF($D632="TANIMSIZ MÜŞTERİ","HATA",IF(OR($E632="",$F632&lt;=0,$G632=""),"EKSİK",IF($E632&gt;TODAY(),"İLERİ TARİH","UYGUN"))))</f>
        <v/>
      </c>
      <c r="N632" s="6" t="n"/>
      <c r="O632" s="6" t="n"/>
    </row>
    <row r="633">
      <c r="A633" s="6" t="n"/>
      <c r="B633" s="112">
        <f>IF($C633="","","T"&amp;TEXT(ROW()-6,"00000"))</f>
        <v/>
      </c>
      <c r="C633" s="107" t="n"/>
      <c r="D633" s="113">
        <f>IF($C633="","",IFERROR(INDEX(MUSTERILER!$C$7:$C$106,MATCH($C633,MUSTERILER!$B$7:$B$106,0)),"TANIMSIZ MÜŞTERİ"))</f>
        <v/>
      </c>
      <c r="E633" s="114" t="n"/>
      <c r="F633" s="115" t="n"/>
      <c r="G633" s="107" t="n"/>
      <c r="H633" s="107" t="n"/>
      <c r="I633" s="108" t="n"/>
      <c r="J633" s="108" t="n"/>
      <c r="K633" s="108" t="n"/>
      <c r="L633" s="119">
        <f>IF($E633="","",DATE(YEAR($E633),MONTH($E633),1))</f>
        <v/>
      </c>
      <c r="M633" s="112">
        <f>IF($C633="","",IF($D633="TANIMSIZ MÜŞTERİ","HATA",IF(OR($E633="",$F633&lt;=0,$G633=""),"EKSİK",IF($E633&gt;TODAY(),"İLERİ TARİH","UYGUN"))))</f>
        <v/>
      </c>
      <c r="N633" s="6" t="n"/>
      <c r="O633" s="6" t="n"/>
    </row>
    <row r="634">
      <c r="A634" s="6" t="n"/>
      <c r="B634" s="112">
        <f>IF($C634="","","T"&amp;TEXT(ROW()-6,"00000"))</f>
        <v/>
      </c>
      <c r="C634" s="107" t="n"/>
      <c r="D634" s="113">
        <f>IF($C634="","",IFERROR(INDEX(MUSTERILER!$C$7:$C$106,MATCH($C634,MUSTERILER!$B$7:$B$106,0)),"TANIMSIZ MÜŞTERİ"))</f>
        <v/>
      </c>
      <c r="E634" s="114" t="n"/>
      <c r="F634" s="115" t="n"/>
      <c r="G634" s="107" t="n"/>
      <c r="H634" s="107" t="n"/>
      <c r="I634" s="108" t="n"/>
      <c r="J634" s="108" t="n"/>
      <c r="K634" s="108" t="n"/>
      <c r="L634" s="119">
        <f>IF($E634="","",DATE(YEAR($E634),MONTH($E634),1))</f>
        <v/>
      </c>
      <c r="M634" s="112">
        <f>IF($C634="","",IF($D634="TANIMSIZ MÜŞTERİ","HATA",IF(OR($E634="",$F634&lt;=0,$G634=""),"EKSİK",IF($E634&gt;TODAY(),"İLERİ TARİH","UYGUN"))))</f>
        <v/>
      </c>
      <c r="N634" s="6" t="n"/>
      <c r="O634" s="6" t="n"/>
    </row>
    <row r="635">
      <c r="A635" s="6" t="n"/>
      <c r="B635" s="112">
        <f>IF($C635="","","T"&amp;TEXT(ROW()-6,"00000"))</f>
        <v/>
      </c>
      <c r="C635" s="107" t="n"/>
      <c r="D635" s="113">
        <f>IF($C635="","",IFERROR(INDEX(MUSTERILER!$C$7:$C$106,MATCH($C635,MUSTERILER!$B$7:$B$106,0)),"TANIMSIZ MÜŞTERİ"))</f>
        <v/>
      </c>
      <c r="E635" s="114" t="n"/>
      <c r="F635" s="115" t="n"/>
      <c r="G635" s="107" t="n"/>
      <c r="H635" s="107" t="n"/>
      <c r="I635" s="108" t="n"/>
      <c r="J635" s="108" t="n"/>
      <c r="K635" s="108" t="n"/>
      <c r="L635" s="119">
        <f>IF($E635="","",DATE(YEAR($E635),MONTH($E635),1))</f>
        <v/>
      </c>
      <c r="M635" s="112">
        <f>IF($C635="","",IF($D635="TANIMSIZ MÜŞTERİ","HATA",IF(OR($E635="",$F635&lt;=0,$G635=""),"EKSİK",IF($E635&gt;TODAY(),"İLERİ TARİH","UYGUN"))))</f>
        <v/>
      </c>
      <c r="N635" s="6" t="n"/>
      <c r="O635" s="6" t="n"/>
    </row>
    <row r="636">
      <c r="A636" s="6" t="n"/>
      <c r="B636" s="112">
        <f>IF($C636="","","T"&amp;TEXT(ROW()-6,"00000"))</f>
        <v/>
      </c>
      <c r="C636" s="107" t="n"/>
      <c r="D636" s="113">
        <f>IF($C636="","",IFERROR(INDEX(MUSTERILER!$C$7:$C$106,MATCH($C636,MUSTERILER!$B$7:$B$106,0)),"TANIMSIZ MÜŞTERİ"))</f>
        <v/>
      </c>
      <c r="E636" s="114" t="n"/>
      <c r="F636" s="115" t="n"/>
      <c r="G636" s="107" t="n"/>
      <c r="H636" s="107" t="n"/>
      <c r="I636" s="108" t="n"/>
      <c r="J636" s="108" t="n"/>
      <c r="K636" s="108" t="n"/>
      <c r="L636" s="119">
        <f>IF($E636="","",DATE(YEAR($E636),MONTH($E636),1))</f>
        <v/>
      </c>
      <c r="M636" s="112">
        <f>IF($C636="","",IF($D636="TANIMSIZ MÜŞTERİ","HATA",IF(OR($E636="",$F636&lt;=0,$G636=""),"EKSİK",IF($E636&gt;TODAY(),"İLERİ TARİH","UYGUN"))))</f>
        <v/>
      </c>
      <c r="N636" s="6" t="n"/>
      <c r="O636" s="6" t="n"/>
    </row>
    <row r="637">
      <c r="A637" s="6" t="n"/>
      <c r="B637" s="112">
        <f>IF($C637="","","T"&amp;TEXT(ROW()-6,"00000"))</f>
        <v/>
      </c>
      <c r="C637" s="107" t="n"/>
      <c r="D637" s="113">
        <f>IF($C637="","",IFERROR(INDEX(MUSTERILER!$C$7:$C$106,MATCH($C637,MUSTERILER!$B$7:$B$106,0)),"TANIMSIZ MÜŞTERİ"))</f>
        <v/>
      </c>
      <c r="E637" s="114" t="n"/>
      <c r="F637" s="115" t="n"/>
      <c r="G637" s="107" t="n"/>
      <c r="H637" s="107" t="n"/>
      <c r="I637" s="108" t="n"/>
      <c r="J637" s="108" t="n"/>
      <c r="K637" s="108" t="n"/>
      <c r="L637" s="119">
        <f>IF($E637="","",DATE(YEAR($E637),MONTH($E637),1))</f>
        <v/>
      </c>
      <c r="M637" s="112">
        <f>IF($C637="","",IF($D637="TANIMSIZ MÜŞTERİ","HATA",IF(OR($E637="",$F637&lt;=0,$G637=""),"EKSİK",IF($E637&gt;TODAY(),"İLERİ TARİH","UYGUN"))))</f>
        <v/>
      </c>
      <c r="N637" s="6" t="n"/>
      <c r="O637" s="6" t="n"/>
    </row>
    <row r="638">
      <c r="A638" s="6" t="n"/>
      <c r="B638" s="112">
        <f>IF($C638="","","T"&amp;TEXT(ROW()-6,"00000"))</f>
        <v/>
      </c>
      <c r="C638" s="107" t="n"/>
      <c r="D638" s="113">
        <f>IF($C638="","",IFERROR(INDEX(MUSTERILER!$C$7:$C$106,MATCH($C638,MUSTERILER!$B$7:$B$106,0)),"TANIMSIZ MÜŞTERİ"))</f>
        <v/>
      </c>
      <c r="E638" s="114" t="n"/>
      <c r="F638" s="115" t="n"/>
      <c r="G638" s="107" t="n"/>
      <c r="H638" s="107" t="n"/>
      <c r="I638" s="108" t="n"/>
      <c r="J638" s="108" t="n"/>
      <c r="K638" s="108" t="n"/>
      <c r="L638" s="119">
        <f>IF($E638="","",DATE(YEAR($E638),MONTH($E638),1))</f>
        <v/>
      </c>
      <c r="M638" s="112">
        <f>IF($C638="","",IF($D638="TANIMSIZ MÜŞTERİ","HATA",IF(OR($E638="",$F638&lt;=0,$G638=""),"EKSİK",IF($E638&gt;TODAY(),"İLERİ TARİH","UYGUN"))))</f>
        <v/>
      </c>
      <c r="N638" s="6" t="n"/>
      <c r="O638" s="6" t="n"/>
    </row>
    <row r="639">
      <c r="A639" s="6" t="n"/>
      <c r="B639" s="112">
        <f>IF($C639="","","T"&amp;TEXT(ROW()-6,"00000"))</f>
        <v/>
      </c>
      <c r="C639" s="107" t="n"/>
      <c r="D639" s="113">
        <f>IF($C639="","",IFERROR(INDEX(MUSTERILER!$C$7:$C$106,MATCH($C639,MUSTERILER!$B$7:$B$106,0)),"TANIMSIZ MÜŞTERİ"))</f>
        <v/>
      </c>
      <c r="E639" s="114" t="n"/>
      <c r="F639" s="115" t="n"/>
      <c r="G639" s="107" t="n"/>
      <c r="H639" s="107" t="n"/>
      <c r="I639" s="108" t="n"/>
      <c r="J639" s="108" t="n"/>
      <c r="K639" s="108" t="n"/>
      <c r="L639" s="119">
        <f>IF($E639="","",DATE(YEAR($E639),MONTH($E639),1))</f>
        <v/>
      </c>
      <c r="M639" s="112">
        <f>IF($C639="","",IF($D639="TANIMSIZ MÜŞTERİ","HATA",IF(OR($E639="",$F639&lt;=0,$G639=""),"EKSİK",IF($E639&gt;TODAY(),"İLERİ TARİH","UYGUN"))))</f>
        <v/>
      </c>
      <c r="N639" s="6" t="n"/>
      <c r="O639" s="6" t="n"/>
    </row>
    <row r="640">
      <c r="A640" s="6" t="n"/>
      <c r="B640" s="112">
        <f>IF($C640="","","T"&amp;TEXT(ROW()-6,"00000"))</f>
        <v/>
      </c>
      <c r="C640" s="107" t="n"/>
      <c r="D640" s="113">
        <f>IF($C640="","",IFERROR(INDEX(MUSTERILER!$C$7:$C$106,MATCH($C640,MUSTERILER!$B$7:$B$106,0)),"TANIMSIZ MÜŞTERİ"))</f>
        <v/>
      </c>
      <c r="E640" s="114" t="n"/>
      <c r="F640" s="115" t="n"/>
      <c r="G640" s="107" t="n"/>
      <c r="H640" s="107" t="n"/>
      <c r="I640" s="108" t="n"/>
      <c r="J640" s="108" t="n"/>
      <c r="K640" s="108" t="n"/>
      <c r="L640" s="119">
        <f>IF($E640="","",DATE(YEAR($E640),MONTH($E640),1))</f>
        <v/>
      </c>
      <c r="M640" s="112">
        <f>IF($C640="","",IF($D640="TANIMSIZ MÜŞTERİ","HATA",IF(OR($E640="",$F640&lt;=0,$G640=""),"EKSİK",IF($E640&gt;TODAY(),"İLERİ TARİH","UYGUN"))))</f>
        <v/>
      </c>
      <c r="N640" s="6" t="n"/>
      <c r="O640" s="6" t="n"/>
    </row>
    <row r="641">
      <c r="A641" s="6" t="n"/>
      <c r="B641" s="112">
        <f>IF($C641="","","T"&amp;TEXT(ROW()-6,"00000"))</f>
        <v/>
      </c>
      <c r="C641" s="107" t="n"/>
      <c r="D641" s="113">
        <f>IF($C641="","",IFERROR(INDEX(MUSTERILER!$C$7:$C$106,MATCH($C641,MUSTERILER!$B$7:$B$106,0)),"TANIMSIZ MÜŞTERİ"))</f>
        <v/>
      </c>
      <c r="E641" s="114" t="n"/>
      <c r="F641" s="115" t="n"/>
      <c r="G641" s="107" t="n"/>
      <c r="H641" s="107" t="n"/>
      <c r="I641" s="108" t="n"/>
      <c r="J641" s="108" t="n"/>
      <c r="K641" s="108" t="n"/>
      <c r="L641" s="119">
        <f>IF($E641="","",DATE(YEAR($E641),MONTH($E641),1))</f>
        <v/>
      </c>
      <c r="M641" s="112">
        <f>IF($C641="","",IF($D641="TANIMSIZ MÜŞTERİ","HATA",IF(OR($E641="",$F641&lt;=0,$G641=""),"EKSİK",IF($E641&gt;TODAY(),"İLERİ TARİH","UYGUN"))))</f>
        <v/>
      </c>
      <c r="N641" s="6" t="n"/>
      <c r="O641" s="6" t="n"/>
    </row>
    <row r="642">
      <c r="A642" s="6" t="n"/>
      <c r="B642" s="112">
        <f>IF($C642="","","T"&amp;TEXT(ROW()-6,"00000"))</f>
        <v/>
      </c>
      <c r="C642" s="107" t="n"/>
      <c r="D642" s="113">
        <f>IF($C642="","",IFERROR(INDEX(MUSTERILER!$C$7:$C$106,MATCH($C642,MUSTERILER!$B$7:$B$106,0)),"TANIMSIZ MÜŞTERİ"))</f>
        <v/>
      </c>
      <c r="E642" s="114" t="n"/>
      <c r="F642" s="115" t="n"/>
      <c r="G642" s="107" t="n"/>
      <c r="H642" s="107" t="n"/>
      <c r="I642" s="108" t="n"/>
      <c r="J642" s="108" t="n"/>
      <c r="K642" s="108" t="n"/>
      <c r="L642" s="119">
        <f>IF($E642="","",DATE(YEAR($E642),MONTH($E642),1))</f>
        <v/>
      </c>
      <c r="M642" s="112">
        <f>IF($C642="","",IF($D642="TANIMSIZ MÜŞTERİ","HATA",IF(OR($E642="",$F642&lt;=0,$G642=""),"EKSİK",IF($E642&gt;TODAY(),"İLERİ TARİH","UYGUN"))))</f>
        <v/>
      </c>
      <c r="N642" s="6" t="n"/>
      <c r="O642" s="6" t="n"/>
    </row>
    <row r="643">
      <c r="A643" s="6" t="n"/>
      <c r="B643" s="112">
        <f>IF($C643="","","T"&amp;TEXT(ROW()-6,"00000"))</f>
        <v/>
      </c>
      <c r="C643" s="107" t="n"/>
      <c r="D643" s="113">
        <f>IF($C643="","",IFERROR(INDEX(MUSTERILER!$C$7:$C$106,MATCH($C643,MUSTERILER!$B$7:$B$106,0)),"TANIMSIZ MÜŞTERİ"))</f>
        <v/>
      </c>
      <c r="E643" s="114" t="n"/>
      <c r="F643" s="115" t="n"/>
      <c r="G643" s="107" t="n"/>
      <c r="H643" s="107" t="n"/>
      <c r="I643" s="108" t="n"/>
      <c r="J643" s="108" t="n"/>
      <c r="K643" s="108" t="n"/>
      <c r="L643" s="119">
        <f>IF($E643="","",DATE(YEAR($E643),MONTH($E643),1))</f>
        <v/>
      </c>
      <c r="M643" s="112">
        <f>IF($C643="","",IF($D643="TANIMSIZ MÜŞTERİ","HATA",IF(OR($E643="",$F643&lt;=0,$G643=""),"EKSİK",IF($E643&gt;TODAY(),"İLERİ TARİH","UYGUN"))))</f>
        <v/>
      </c>
      <c r="N643" s="6" t="n"/>
      <c r="O643" s="6" t="n"/>
    </row>
    <row r="644">
      <c r="A644" s="6" t="n"/>
      <c r="B644" s="112">
        <f>IF($C644="","","T"&amp;TEXT(ROW()-6,"00000"))</f>
        <v/>
      </c>
      <c r="C644" s="107" t="n"/>
      <c r="D644" s="113">
        <f>IF($C644="","",IFERROR(INDEX(MUSTERILER!$C$7:$C$106,MATCH($C644,MUSTERILER!$B$7:$B$106,0)),"TANIMSIZ MÜŞTERİ"))</f>
        <v/>
      </c>
      <c r="E644" s="114" t="n"/>
      <c r="F644" s="115" t="n"/>
      <c r="G644" s="107" t="n"/>
      <c r="H644" s="107" t="n"/>
      <c r="I644" s="108" t="n"/>
      <c r="J644" s="108" t="n"/>
      <c r="K644" s="108" t="n"/>
      <c r="L644" s="119">
        <f>IF($E644="","",DATE(YEAR($E644),MONTH($E644),1))</f>
        <v/>
      </c>
      <c r="M644" s="112">
        <f>IF($C644="","",IF($D644="TANIMSIZ MÜŞTERİ","HATA",IF(OR($E644="",$F644&lt;=0,$G644=""),"EKSİK",IF($E644&gt;TODAY(),"İLERİ TARİH","UYGUN"))))</f>
        <v/>
      </c>
      <c r="N644" s="6" t="n"/>
      <c r="O644" s="6" t="n"/>
    </row>
    <row r="645">
      <c r="A645" s="6" t="n"/>
      <c r="B645" s="112">
        <f>IF($C645="","","T"&amp;TEXT(ROW()-6,"00000"))</f>
        <v/>
      </c>
      <c r="C645" s="107" t="n"/>
      <c r="D645" s="113">
        <f>IF($C645="","",IFERROR(INDEX(MUSTERILER!$C$7:$C$106,MATCH($C645,MUSTERILER!$B$7:$B$106,0)),"TANIMSIZ MÜŞTERİ"))</f>
        <v/>
      </c>
      <c r="E645" s="114" t="n"/>
      <c r="F645" s="115" t="n"/>
      <c r="G645" s="107" t="n"/>
      <c r="H645" s="107" t="n"/>
      <c r="I645" s="108" t="n"/>
      <c r="J645" s="108" t="n"/>
      <c r="K645" s="108" t="n"/>
      <c r="L645" s="119">
        <f>IF($E645="","",DATE(YEAR($E645),MONTH($E645),1))</f>
        <v/>
      </c>
      <c r="M645" s="112">
        <f>IF($C645="","",IF($D645="TANIMSIZ MÜŞTERİ","HATA",IF(OR($E645="",$F645&lt;=0,$G645=""),"EKSİK",IF($E645&gt;TODAY(),"İLERİ TARİH","UYGUN"))))</f>
        <v/>
      </c>
      <c r="N645" s="6" t="n"/>
      <c r="O645" s="6" t="n"/>
    </row>
    <row r="646">
      <c r="A646" s="6" t="n"/>
      <c r="B646" s="112">
        <f>IF($C646="","","T"&amp;TEXT(ROW()-6,"00000"))</f>
        <v/>
      </c>
      <c r="C646" s="107" t="n"/>
      <c r="D646" s="113">
        <f>IF($C646="","",IFERROR(INDEX(MUSTERILER!$C$7:$C$106,MATCH($C646,MUSTERILER!$B$7:$B$106,0)),"TANIMSIZ MÜŞTERİ"))</f>
        <v/>
      </c>
      <c r="E646" s="114" t="n"/>
      <c r="F646" s="115" t="n"/>
      <c r="G646" s="107" t="n"/>
      <c r="H646" s="107" t="n"/>
      <c r="I646" s="108" t="n"/>
      <c r="J646" s="108" t="n"/>
      <c r="K646" s="108" t="n"/>
      <c r="L646" s="119">
        <f>IF($E646="","",DATE(YEAR($E646),MONTH($E646),1))</f>
        <v/>
      </c>
      <c r="M646" s="112">
        <f>IF($C646="","",IF($D646="TANIMSIZ MÜŞTERİ","HATA",IF(OR($E646="",$F646&lt;=0,$G646=""),"EKSİK",IF($E646&gt;TODAY(),"İLERİ TARİH","UYGUN"))))</f>
        <v/>
      </c>
      <c r="N646" s="6" t="n"/>
      <c r="O646" s="6" t="n"/>
    </row>
    <row r="647">
      <c r="A647" s="6" t="n"/>
      <c r="B647" s="112">
        <f>IF($C647="","","T"&amp;TEXT(ROW()-6,"00000"))</f>
        <v/>
      </c>
      <c r="C647" s="107" t="n"/>
      <c r="D647" s="113">
        <f>IF($C647="","",IFERROR(INDEX(MUSTERILER!$C$7:$C$106,MATCH($C647,MUSTERILER!$B$7:$B$106,0)),"TANIMSIZ MÜŞTERİ"))</f>
        <v/>
      </c>
      <c r="E647" s="114" t="n"/>
      <c r="F647" s="115" t="n"/>
      <c r="G647" s="107" t="n"/>
      <c r="H647" s="107" t="n"/>
      <c r="I647" s="108" t="n"/>
      <c r="J647" s="108" t="n"/>
      <c r="K647" s="108" t="n"/>
      <c r="L647" s="119">
        <f>IF($E647="","",DATE(YEAR($E647),MONTH($E647),1))</f>
        <v/>
      </c>
      <c r="M647" s="112">
        <f>IF($C647="","",IF($D647="TANIMSIZ MÜŞTERİ","HATA",IF(OR($E647="",$F647&lt;=0,$G647=""),"EKSİK",IF($E647&gt;TODAY(),"İLERİ TARİH","UYGUN"))))</f>
        <v/>
      </c>
      <c r="N647" s="6" t="n"/>
      <c r="O647" s="6" t="n"/>
    </row>
    <row r="648">
      <c r="A648" s="6" t="n"/>
      <c r="B648" s="112">
        <f>IF($C648="","","T"&amp;TEXT(ROW()-6,"00000"))</f>
        <v/>
      </c>
      <c r="C648" s="107" t="n"/>
      <c r="D648" s="113">
        <f>IF($C648="","",IFERROR(INDEX(MUSTERILER!$C$7:$C$106,MATCH($C648,MUSTERILER!$B$7:$B$106,0)),"TANIMSIZ MÜŞTERİ"))</f>
        <v/>
      </c>
      <c r="E648" s="114" t="n"/>
      <c r="F648" s="115" t="n"/>
      <c r="G648" s="107" t="n"/>
      <c r="H648" s="107" t="n"/>
      <c r="I648" s="108" t="n"/>
      <c r="J648" s="108" t="n"/>
      <c r="K648" s="108" t="n"/>
      <c r="L648" s="119">
        <f>IF($E648="","",DATE(YEAR($E648),MONTH($E648),1))</f>
        <v/>
      </c>
      <c r="M648" s="112">
        <f>IF($C648="","",IF($D648="TANIMSIZ MÜŞTERİ","HATA",IF(OR($E648="",$F648&lt;=0,$G648=""),"EKSİK",IF($E648&gt;TODAY(),"İLERİ TARİH","UYGUN"))))</f>
        <v/>
      </c>
      <c r="N648" s="6" t="n"/>
      <c r="O648" s="6" t="n"/>
    </row>
    <row r="649">
      <c r="A649" s="6" t="n"/>
      <c r="B649" s="112">
        <f>IF($C649="","","T"&amp;TEXT(ROW()-6,"00000"))</f>
        <v/>
      </c>
      <c r="C649" s="107" t="n"/>
      <c r="D649" s="113">
        <f>IF($C649="","",IFERROR(INDEX(MUSTERILER!$C$7:$C$106,MATCH($C649,MUSTERILER!$B$7:$B$106,0)),"TANIMSIZ MÜŞTERİ"))</f>
        <v/>
      </c>
      <c r="E649" s="114" t="n"/>
      <c r="F649" s="115" t="n"/>
      <c r="G649" s="107" t="n"/>
      <c r="H649" s="107" t="n"/>
      <c r="I649" s="108" t="n"/>
      <c r="J649" s="108" t="n"/>
      <c r="K649" s="108" t="n"/>
      <c r="L649" s="119">
        <f>IF($E649="","",DATE(YEAR($E649),MONTH($E649),1))</f>
        <v/>
      </c>
      <c r="M649" s="112">
        <f>IF($C649="","",IF($D649="TANIMSIZ MÜŞTERİ","HATA",IF(OR($E649="",$F649&lt;=0,$G649=""),"EKSİK",IF($E649&gt;TODAY(),"İLERİ TARİH","UYGUN"))))</f>
        <v/>
      </c>
      <c r="N649" s="6" t="n"/>
      <c r="O649" s="6" t="n"/>
    </row>
    <row r="650">
      <c r="A650" s="6" t="n"/>
      <c r="B650" s="112">
        <f>IF($C650="","","T"&amp;TEXT(ROW()-6,"00000"))</f>
        <v/>
      </c>
      <c r="C650" s="107" t="n"/>
      <c r="D650" s="113">
        <f>IF($C650="","",IFERROR(INDEX(MUSTERILER!$C$7:$C$106,MATCH($C650,MUSTERILER!$B$7:$B$106,0)),"TANIMSIZ MÜŞTERİ"))</f>
        <v/>
      </c>
      <c r="E650" s="114" t="n"/>
      <c r="F650" s="115" t="n"/>
      <c r="G650" s="107" t="n"/>
      <c r="H650" s="107" t="n"/>
      <c r="I650" s="108" t="n"/>
      <c r="J650" s="108" t="n"/>
      <c r="K650" s="108" t="n"/>
      <c r="L650" s="119">
        <f>IF($E650="","",DATE(YEAR($E650),MONTH($E650),1))</f>
        <v/>
      </c>
      <c r="M650" s="112">
        <f>IF($C650="","",IF($D650="TANIMSIZ MÜŞTERİ","HATA",IF(OR($E650="",$F650&lt;=0,$G650=""),"EKSİK",IF($E650&gt;TODAY(),"İLERİ TARİH","UYGUN"))))</f>
        <v/>
      </c>
      <c r="N650" s="6" t="n"/>
      <c r="O650" s="6" t="n"/>
    </row>
    <row r="651">
      <c r="A651" s="6" t="n"/>
      <c r="B651" s="112">
        <f>IF($C651="","","T"&amp;TEXT(ROW()-6,"00000"))</f>
        <v/>
      </c>
      <c r="C651" s="107" t="n"/>
      <c r="D651" s="113">
        <f>IF($C651="","",IFERROR(INDEX(MUSTERILER!$C$7:$C$106,MATCH($C651,MUSTERILER!$B$7:$B$106,0)),"TANIMSIZ MÜŞTERİ"))</f>
        <v/>
      </c>
      <c r="E651" s="114" t="n"/>
      <c r="F651" s="115" t="n"/>
      <c r="G651" s="107" t="n"/>
      <c r="H651" s="107" t="n"/>
      <c r="I651" s="108" t="n"/>
      <c r="J651" s="108" t="n"/>
      <c r="K651" s="108" t="n"/>
      <c r="L651" s="119">
        <f>IF($E651="","",DATE(YEAR($E651),MONTH($E651),1))</f>
        <v/>
      </c>
      <c r="M651" s="112">
        <f>IF($C651="","",IF($D651="TANIMSIZ MÜŞTERİ","HATA",IF(OR($E651="",$F651&lt;=0,$G651=""),"EKSİK",IF($E651&gt;TODAY(),"İLERİ TARİH","UYGUN"))))</f>
        <v/>
      </c>
      <c r="N651" s="6" t="n"/>
      <c r="O651" s="6" t="n"/>
    </row>
    <row r="652">
      <c r="A652" s="6" t="n"/>
      <c r="B652" s="112">
        <f>IF($C652="","","T"&amp;TEXT(ROW()-6,"00000"))</f>
        <v/>
      </c>
      <c r="C652" s="107" t="n"/>
      <c r="D652" s="113">
        <f>IF($C652="","",IFERROR(INDEX(MUSTERILER!$C$7:$C$106,MATCH($C652,MUSTERILER!$B$7:$B$106,0)),"TANIMSIZ MÜŞTERİ"))</f>
        <v/>
      </c>
      <c r="E652" s="114" t="n"/>
      <c r="F652" s="115" t="n"/>
      <c r="G652" s="107" t="n"/>
      <c r="H652" s="107" t="n"/>
      <c r="I652" s="108" t="n"/>
      <c r="J652" s="108" t="n"/>
      <c r="K652" s="108" t="n"/>
      <c r="L652" s="119">
        <f>IF($E652="","",DATE(YEAR($E652),MONTH($E652),1))</f>
        <v/>
      </c>
      <c r="M652" s="112">
        <f>IF($C652="","",IF($D652="TANIMSIZ MÜŞTERİ","HATA",IF(OR($E652="",$F652&lt;=0,$G652=""),"EKSİK",IF($E652&gt;TODAY(),"İLERİ TARİH","UYGUN"))))</f>
        <v/>
      </c>
      <c r="N652" s="6" t="n"/>
      <c r="O652" s="6" t="n"/>
    </row>
    <row r="653">
      <c r="A653" s="6" t="n"/>
      <c r="B653" s="112">
        <f>IF($C653="","","T"&amp;TEXT(ROW()-6,"00000"))</f>
        <v/>
      </c>
      <c r="C653" s="107" t="n"/>
      <c r="D653" s="113">
        <f>IF($C653="","",IFERROR(INDEX(MUSTERILER!$C$7:$C$106,MATCH($C653,MUSTERILER!$B$7:$B$106,0)),"TANIMSIZ MÜŞTERİ"))</f>
        <v/>
      </c>
      <c r="E653" s="114" t="n"/>
      <c r="F653" s="115" t="n"/>
      <c r="G653" s="107" t="n"/>
      <c r="H653" s="107" t="n"/>
      <c r="I653" s="108" t="n"/>
      <c r="J653" s="108" t="n"/>
      <c r="K653" s="108" t="n"/>
      <c r="L653" s="119">
        <f>IF($E653="","",DATE(YEAR($E653),MONTH($E653),1))</f>
        <v/>
      </c>
      <c r="M653" s="112">
        <f>IF($C653="","",IF($D653="TANIMSIZ MÜŞTERİ","HATA",IF(OR($E653="",$F653&lt;=0,$G653=""),"EKSİK",IF($E653&gt;TODAY(),"İLERİ TARİH","UYGUN"))))</f>
        <v/>
      </c>
      <c r="N653" s="6" t="n"/>
      <c r="O653" s="6" t="n"/>
    </row>
    <row r="654">
      <c r="A654" s="6" t="n"/>
      <c r="B654" s="112">
        <f>IF($C654="","","T"&amp;TEXT(ROW()-6,"00000"))</f>
        <v/>
      </c>
      <c r="C654" s="107" t="n"/>
      <c r="D654" s="113">
        <f>IF($C654="","",IFERROR(INDEX(MUSTERILER!$C$7:$C$106,MATCH($C654,MUSTERILER!$B$7:$B$106,0)),"TANIMSIZ MÜŞTERİ"))</f>
        <v/>
      </c>
      <c r="E654" s="114" t="n"/>
      <c r="F654" s="115" t="n"/>
      <c r="G654" s="107" t="n"/>
      <c r="H654" s="107" t="n"/>
      <c r="I654" s="108" t="n"/>
      <c r="J654" s="108" t="n"/>
      <c r="K654" s="108" t="n"/>
      <c r="L654" s="119">
        <f>IF($E654="","",DATE(YEAR($E654),MONTH($E654),1))</f>
        <v/>
      </c>
      <c r="M654" s="112">
        <f>IF($C654="","",IF($D654="TANIMSIZ MÜŞTERİ","HATA",IF(OR($E654="",$F654&lt;=0,$G654=""),"EKSİK",IF($E654&gt;TODAY(),"İLERİ TARİH","UYGUN"))))</f>
        <v/>
      </c>
      <c r="N654" s="6" t="n"/>
      <c r="O654" s="6" t="n"/>
    </row>
    <row r="655">
      <c r="A655" s="6" t="n"/>
      <c r="B655" s="112">
        <f>IF($C655="","","T"&amp;TEXT(ROW()-6,"00000"))</f>
        <v/>
      </c>
      <c r="C655" s="107" t="n"/>
      <c r="D655" s="113">
        <f>IF($C655="","",IFERROR(INDEX(MUSTERILER!$C$7:$C$106,MATCH($C655,MUSTERILER!$B$7:$B$106,0)),"TANIMSIZ MÜŞTERİ"))</f>
        <v/>
      </c>
      <c r="E655" s="114" t="n"/>
      <c r="F655" s="115" t="n"/>
      <c r="G655" s="107" t="n"/>
      <c r="H655" s="107" t="n"/>
      <c r="I655" s="108" t="n"/>
      <c r="J655" s="108" t="n"/>
      <c r="K655" s="108" t="n"/>
      <c r="L655" s="119">
        <f>IF($E655="","",DATE(YEAR($E655),MONTH($E655),1))</f>
        <v/>
      </c>
      <c r="M655" s="112">
        <f>IF($C655="","",IF($D655="TANIMSIZ MÜŞTERİ","HATA",IF(OR($E655="",$F655&lt;=0,$G655=""),"EKSİK",IF($E655&gt;TODAY(),"İLERİ TARİH","UYGUN"))))</f>
        <v/>
      </c>
      <c r="N655" s="6" t="n"/>
      <c r="O655" s="6" t="n"/>
    </row>
    <row r="656">
      <c r="A656" s="6" t="n"/>
      <c r="B656" s="112">
        <f>IF($C656="","","T"&amp;TEXT(ROW()-6,"00000"))</f>
        <v/>
      </c>
      <c r="C656" s="107" t="n"/>
      <c r="D656" s="113">
        <f>IF($C656="","",IFERROR(INDEX(MUSTERILER!$C$7:$C$106,MATCH($C656,MUSTERILER!$B$7:$B$106,0)),"TANIMSIZ MÜŞTERİ"))</f>
        <v/>
      </c>
      <c r="E656" s="114" t="n"/>
      <c r="F656" s="115" t="n"/>
      <c r="G656" s="107" t="n"/>
      <c r="H656" s="107" t="n"/>
      <c r="I656" s="108" t="n"/>
      <c r="J656" s="108" t="n"/>
      <c r="K656" s="108" t="n"/>
      <c r="L656" s="119">
        <f>IF($E656="","",DATE(YEAR($E656),MONTH($E656),1))</f>
        <v/>
      </c>
      <c r="M656" s="112">
        <f>IF($C656="","",IF($D656="TANIMSIZ MÜŞTERİ","HATA",IF(OR($E656="",$F656&lt;=0,$G656=""),"EKSİK",IF($E656&gt;TODAY(),"İLERİ TARİH","UYGUN"))))</f>
        <v/>
      </c>
      <c r="N656" s="6" t="n"/>
      <c r="O656" s="6" t="n"/>
    </row>
    <row r="657">
      <c r="A657" s="6" t="n"/>
      <c r="B657" s="112">
        <f>IF($C657="","","T"&amp;TEXT(ROW()-6,"00000"))</f>
        <v/>
      </c>
      <c r="C657" s="107" t="n"/>
      <c r="D657" s="113">
        <f>IF($C657="","",IFERROR(INDEX(MUSTERILER!$C$7:$C$106,MATCH($C657,MUSTERILER!$B$7:$B$106,0)),"TANIMSIZ MÜŞTERİ"))</f>
        <v/>
      </c>
      <c r="E657" s="114" t="n"/>
      <c r="F657" s="115" t="n"/>
      <c r="G657" s="107" t="n"/>
      <c r="H657" s="107" t="n"/>
      <c r="I657" s="108" t="n"/>
      <c r="J657" s="108" t="n"/>
      <c r="K657" s="108" t="n"/>
      <c r="L657" s="119">
        <f>IF($E657="","",DATE(YEAR($E657),MONTH($E657),1))</f>
        <v/>
      </c>
      <c r="M657" s="112">
        <f>IF($C657="","",IF($D657="TANIMSIZ MÜŞTERİ","HATA",IF(OR($E657="",$F657&lt;=0,$G657=""),"EKSİK",IF($E657&gt;TODAY(),"İLERİ TARİH","UYGUN"))))</f>
        <v/>
      </c>
      <c r="N657" s="6" t="n"/>
      <c r="O657" s="6" t="n"/>
    </row>
    <row r="658">
      <c r="A658" s="6" t="n"/>
      <c r="B658" s="112">
        <f>IF($C658="","","T"&amp;TEXT(ROW()-6,"00000"))</f>
        <v/>
      </c>
      <c r="C658" s="107" t="n"/>
      <c r="D658" s="113">
        <f>IF($C658="","",IFERROR(INDEX(MUSTERILER!$C$7:$C$106,MATCH($C658,MUSTERILER!$B$7:$B$106,0)),"TANIMSIZ MÜŞTERİ"))</f>
        <v/>
      </c>
      <c r="E658" s="114" t="n"/>
      <c r="F658" s="115" t="n"/>
      <c r="G658" s="107" t="n"/>
      <c r="H658" s="107" t="n"/>
      <c r="I658" s="108" t="n"/>
      <c r="J658" s="108" t="n"/>
      <c r="K658" s="108" t="n"/>
      <c r="L658" s="119">
        <f>IF($E658="","",DATE(YEAR($E658),MONTH($E658),1))</f>
        <v/>
      </c>
      <c r="M658" s="112">
        <f>IF($C658="","",IF($D658="TANIMSIZ MÜŞTERİ","HATA",IF(OR($E658="",$F658&lt;=0,$G658=""),"EKSİK",IF($E658&gt;TODAY(),"İLERİ TARİH","UYGUN"))))</f>
        <v/>
      </c>
      <c r="N658" s="6" t="n"/>
      <c r="O658" s="6" t="n"/>
    </row>
    <row r="659">
      <c r="A659" s="6" t="n"/>
      <c r="B659" s="112">
        <f>IF($C659="","","T"&amp;TEXT(ROW()-6,"00000"))</f>
        <v/>
      </c>
      <c r="C659" s="107" t="n"/>
      <c r="D659" s="113">
        <f>IF($C659="","",IFERROR(INDEX(MUSTERILER!$C$7:$C$106,MATCH($C659,MUSTERILER!$B$7:$B$106,0)),"TANIMSIZ MÜŞTERİ"))</f>
        <v/>
      </c>
      <c r="E659" s="114" t="n"/>
      <c r="F659" s="115" t="n"/>
      <c r="G659" s="107" t="n"/>
      <c r="H659" s="107" t="n"/>
      <c r="I659" s="108" t="n"/>
      <c r="J659" s="108" t="n"/>
      <c r="K659" s="108" t="n"/>
      <c r="L659" s="119">
        <f>IF($E659="","",DATE(YEAR($E659),MONTH($E659),1))</f>
        <v/>
      </c>
      <c r="M659" s="112">
        <f>IF($C659="","",IF($D659="TANIMSIZ MÜŞTERİ","HATA",IF(OR($E659="",$F659&lt;=0,$G659=""),"EKSİK",IF($E659&gt;TODAY(),"İLERİ TARİH","UYGUN"))))</f>
        <v/>
      </c>
      <c r="N659" s="6" t="n"/>
      <c r="O659" s="6" t="n"/>
    </row>
    <row r="660">
      <c r="A660" s="6" t="n"/>
      <c r="B660" s="112">
        <f>IF($C660="","","T"&amp;TEXT(ROW()-6,"00000"))</f>
        <v/>
      </c>
      <c r="C660" s="107" t="n"/>
      <c r="D660" s="113">
        <f>IF($C660="","",IFERROR(INDEX(MUSTERILER!$C$7:$C$106,MATCH($C660,MUSTERILER!$B$7:$B$106,0)),"TANIMSIZ MÜŞTERİ"))</f>
        <v/>
      </c>
      <c r="E660" s="114" t="n"/>
      <c r="F660" s="115" t="n"/>
      <c r="G660" s="107" t="n"/>
      <c r="H660" s="107" t="n"/>
      <c r="I660" s="108" t="n"/>
      <c r="J660" s="108" t="n"/>
      <c r="K660" s="108" t="n"/>
      <c r="L660" s="119">
        <f>IF($E660="","",DATE(YEAR($E660),MONTH($E660),1))</f>
        <v/>
      </c>
      <c r="M660" s="112">
        <f>IF($C660="","",IF($D660="TANIMSIZ MÜŞTERİ","HATA",IF(OR($E660="",$F660&lt;=0,$G660=""),"EKSİK",IF($E660&gt;TODAY(),"İLERİ TARİH","UYGUN"))))</f>
        <v/>
      </c>
      <c r="N660" s="6" t="n"/>
      <c r="O660" s="6" t="n"/>
    </row>
    <row r="661">
      <c r="A661" s="6" t="n"/>
      <c r="B661" s="112">
        <f>IF($C661="","","T"&amp;TEXT(ROW()-6,"00000"))</f>
        <v/>
      </c>
      <c r="C661" s="107" t="n"/>
      <c r="D661" s="113">
        <f>IF($C661="","",IFERROR(INDEX(MUSTERILER!$C$7:$C$106,MATCH($C661,MUSTERILER!$B$7:$B$106,0)),"TANIMSIZ MÜŞTERİ"))</f>
        <v/>
      </c>
      <c r="E661" s="114" t="n"/>
      <c r="F661" s="115" t="n"/>
      <c r="G661" s="107" t="n"/>
      <c r="H661" s="107" t="n"/>
      <c r="I661" s="108" t="n"/>
      <c r="J661" s="108" t="n"/>
      <c r="K661" s="108" t="n"/>
      <c r="L661" s="119">
        <f>IF($E661="","",DATE(YEAR($E661),MONTH($E661),1))</f>
        <v/>
      </c>
      <c r="M661" s="112">
        <f>IF($C661="","",IF($D661="TANIMSIZ MÜŞTERİ","HATA",IF(OR($E661="",$F661&lt;=0,$G661=""),"EKSİK",IF($E661&gt;TODAY(),"İLERİ TARİH","UYGUN"))))</f>
        <v/>
      </c>
      <c r="N661" s="6" t="n"/>
      <c r="O661" s="6" t="n"/>
    </row>
    <row r="662">
      <c r="A662" s="6" t="n"/>
      <c r="B662" s="112">
        <f>IF($C662="","","T"&amp;TEXT(ROW()-6,"00000"))</f>
        <v/>
      </c>
      <c r="C662" s="107" t="n"/>
      <c r="D662" s="113">
        <f>IF($C662="","",IFERROR(INDEX(MUSTERILER!$C$7:$C$106,MATCH($C662,MUSTERILER!$B$7:$B$106,0)),"TANIMSIZ MÜŞTERİ"))</f>
        <v/>
      </c>
      <c r="E662" s="114" t="n"/>
      <c r="F662" s="115" t="n"/>
      <c r="G662" s="107" t="n"/>
      <c r="H662" s="107" t="n"/>
      <c r="I662" s="108" t="n"/>
      <c r="J662" s="108" t="n"/>
      <c r="K662" s="108" t="n"/>
      <c r="L662" s="119">
        <f>IF($E662="","",DATE(YEAR($E662),MONTH($E662),1))</f>
        <v/>
      </c>
      <c r="M662" s="112">
        <f>IF($C662="","",IF($D662="TANIMSIZ MÜŞTERİ","HATA",IF(OR($E662="",$F662&lt;=0,$G662=""),"EKSİK",IF($E662&gt;TODAY(),"İLERİ TARİH","UYGUN"))))</f>
        <v/>
      </c>
      <c r="N662" s="6" t="n"/>
      <c r="O662" s="6" t="n"/>
    </row>
    <row r="663">
      <c r="A663" s="6" t="n"/>
      <c r="B663" s="112">
        <f>IF($C663="","","T"&amp;TEXT(ROW()-6,"00000"))</f>
        <v/>
      </c>
      <c r="C663" s="107" t="n"/>
      <c r="D663" s="113">
        <f>IF($C663="","",IFERROR(INDEX(MUSTERILER!$C$7:$C$106,MATCH($C663,MUSTERILER!$B$7:$B$106,0)),"TANIMSIZ MÜŞTERİ"))</f>
        <v/>
      </c>
      <c r="E663" s="114" t="n"/>
      <c r="F663" s="115" t="n"/>
      <c r="G663" s="107" t="n"/>
      <c r="H663" s="107" t="n"/>
      <c r="I663" s="108" t="n"/>
      <c r="J663" s="108" t="n"/>
      <c r="K663" s="108" t="n"/>
      <c r="L663" s="119">
        <f>IF($E663="","",DATE(YEAR($E663),MONTH($E663),1))</f>
        <v/>
      </c>
      <c r="M663" s="112">
        <f>IF($C663="","",IF($D663="TANIMSIZ MÜŞTERİ","HATA",IF(OR($E663="",$F663&lt;=0,$G663=""),"EKSİK",IF($E663&gt;TODAY(),"İLERİ TARİH","UYGUN"))))</f>
        <v/>
      </c>
      <c r="N663" s="6" t="n"/>
      <c r="O663" s="6" t="n"/>
    </row>
    <row r="664">
      <c r="A664" s="6" t="n"/>
      <c r="B664" s="112">
        <f>IF($C664="","","T"&amp;TEXT(ROW()-6,"00000"))</f>
        <v/>
      </c>
      <c r="C664" s="107" t="n"/>
      <c r="D664" s="113">
        <f>IF($C664="","",IFERROR(INDEX(MUSTERILER!$C$7:$C$106,MATCH($C664,MUSTERILER!$B$7:$B$106,0)),"TANIMSIZ MÜŞTERİ"))</f>
        <v/>
      </c>
      <c r="E664" s="114" t="n"/>
      <c r="F664" s="115" t="n"/>
      <c r="G664" s="107" t="n"/>
      <c r="H664" s="107" t="n"/>
      <c r="I664" s="108" t="n"/>
      <c r="J664" s="108" t="n"/>
      <c r="K664" s="108" t="n"/>
      <c r="L664" s="119">
        <f>IF($E664="","",DATE(YEAR($E664),MONTH($E664),1))</f>
        <v/>
      </c>
      <c r="M664" s="112">
        <f>IF($C664="","",IF($D664="TANIMSIZ MÜŞTERİ","HATA",IF(OR($E664="",$F664&lt;=0,$G664=""),"EKSİK",IF($E664&gt;TODAY(),"İLERİ TARİH","UYGUN"))))</f>
        <v/>
      </c>
      <c r="N664" s="6" t="n"/>
      <c r="O664" s="6" t="n"/>
    </row>
    <row r="665">
      <c r="A665" s="6" t="n"/>
      <c r="B665" s="112">
        <f>IF($C665="","","T"&amp;TEXT(ROW()-6,"00000"))</f>
        <v/>
      </c>
      <c r="C665" s="107" t="n"/>
      <c r="D665" s="113">
        <f>IF($C665="","",IFERROR(INDEX(MUSTERILER!$C$7:$C$106,MATCH($C665,MUSTERILER!$B$7:$B$106,0)),"TANIMSIZ MÜŞTERİ"))</f>
        <v/>
      </c>
      <c r="E665" s="114" t="n"/>
      <c r="F665" s="115" t="n"/>
      <c r="G665" s="107" t="n"/>
      <c r="H665" s="107" t="n"/>
      <c r="I665" s="108" t="n"/>
      <c r="J665" s="108" t="n"/>
      <c r="K665" s="108" t="n"/>
      <c r="L665" s="119">
        <f>IF($E665="","",DATE(YEAR($E665),MONTH($E665),1))</f>
        <v/>
      </c>
      <c r="M665" s="112">
        <f>IF($C665="","",IF($D665="TANIMSIZ MÜŞTERİ","HATA",IF(OR($E665="",$F665&lt;=0,$G665=""),"EKSİK",IF($E665&gt;TODAY(),"İLERİ TARİH","UYGUN"))))</f>
        <v/>
      </c>
      <c r="N665" s="6" t="n"/>
      <c r="O665" s="6" t="n"/>
    </row>
    <row r="666">
      <c r="A666" s="6" t="n"/>
      <c r="B666" s="112">
        <f>IF($C666="","","T"&amp;TEXT(ROW()-6,"00000"))</f>
        <v/>
      </c>
      <c r="C666" s="107" t="n"/>
      <c r="D666" s="113">
        <f>IF($C666="","",IFERROR(INDEX(MUSTERILER!$C$7:$C$106,MATCH($C666,MUSTERILER!$B$7:$B$106,0)),"TANIMSIZ MÜŞTERİ"))</f>
        <v/>
      </c>
      <c r="E666" s="114" t="n"/>
      <c r="F666" s="115" t="n"/>
      <c r="G666" s="107" t="n"/>
      <c r="H666" s="107" t="n"/>
      <c r="I666" s="108" t="n"/>
      <c r="J666" s="108" t="n"/>
      <c r="K666" s="108" t="n"/>
      <c r="L666" s="119">
        <f>IF($E666="","",DATE(YEAR($E666),MONTH($E666),1))</f>
        <v/>
      </c>
      <c r="M666" s="112">
        <f>IF($C666="","",IF($D666="TANIMSIZ MÜŞTERİ","HATA",IF(OR($E666="",$F666&lt;=0,$G666=""),"EKSİK",IF($E666&gt;TODAY(),"İLERİ TARİH","UYGUN"))))</f>
        <v/>
      </c>
      <c r="N666" s="6" t="n"/>
      <c r="O666" s="6" t="n"/>
    </row>
    <row r="667">
      <c r="A667" s="6" t="n"/>
      <c r="B667" s="112">
        <f>IF($C667="","","T"&amp;TEXT(ROW()-6,"00000"))</f>
        <v/>
      </c>
      <c r="C667" s="107" t="n"/>
      <c r="D667" s="113">
        <f>IF($C667="","",IFERROR(INDEX(MUSTERILER!$C$7:$C$106,MATCH($C667,MUSTERILER!$B$7:$B$106,0)),"TANIMSIZ MÜŞTERİ"))</f>
        <v/>
      </c>
      <c r="E667" s="114" t="n"/>
      <c r="F667" s="115" t="n"/>
      <c r="G667" s="107" t="n"/>
      <c r="H667" s="107" t="n"/>
      <c r="I667" s="108" t="n"/>
      <c r="J667" s="108" t="n"/>
      <c r="K667" s="108" t="n"/>
      <c r="L667" s="119">
        <f>IF($E667="","",DATE(YEAR($E667),MONTH($E667),1))</f>
        <v/>
      </c>
      <c r="M667" s="112">
        <f>IF($C667="","",IF($D667="TANIMSIZ MÜŞTERİ","HATA",IF(OR($E667="",$F667&lt;=0,$G667=""),"EKSİK",IF($E667&gt;TODAY(),"İLERİ TARİH","UYGUN"))))</f>
        <v/>
      </c>
      <c r="N667" s="6" t="n"/>
      <c r="O667" s="6" t="n"/>
    </row>
    <row r="668">
      <c r="A668" s="6" t="n"/>
      <c r="B668" s="112">
        <f>IF($C668="","","T"&amp;TEXT(ROW()-6,"00000"))</f>
        <v/>
      </c>
      <c r="C668" s="107" t="n"/>
      <c r="D668" s="113">
        <f>IF($C668="","",IFERROR(INDEX(MUSTERILER!$C$7:$C$106,MATCH($C668,MUSTERILER!$B$7:$B$106,0)),"TANIMSIZ MÜŞTERİ"))</f>
        <v/>
      </c>
      <c r="E668" s="114" t="n"/>
      <c r="F668" s="115" t="n"/>
      <c r="G668" s="107" t="n"/>
      <c r="H668" s="107" t="n"/>
      <c r="I668" s="108" t="n"/>
      <c r="J668" s="108" t="n"/>
      <c r="K668" s="108" t="n"/>
      <c r="L668" s="119">
        <f>IF($E668="","",DATE(YEAR($E668),MONTH($E668),1))</f>
        <v/>
      </c>
      <c r="M668" s="112">
        <f>IF($C668="","",IF($D668="TANIMSIZ MÜŞTERİ","HATA",IF(OR($E668="",$F668&lt;=0,$G668=""),"EKSİK",IF($E668&gt;TODAY(),"İLERİ TARİH","UYGUN"))))</f>
        <v/>
      </c>
      <c r="N668" s="6" t="n"/>
      <c r="O668" s="6" t="n"/>
    </row>
    <row r="669">
      <c r="A669" s="6" t="n"/>
      <c r="B669" s="112">
        <f>IF($C669="","","T"&amp;TEXT(ROW()-6,"00000"))</f>
        <v/>
      </c>
      <c r="C669" s="107" t="n"/>
      <c r="D669" s="113">
        <f>IF($C669="","",IFERROR(INDEX(MUSTERILER!$C$7:$C$106,MATCH($C669,MUSTERILER!$B$7:$B$106,0)),"TANIMSIZ MÜŞTERİ"))</f>
        <v/>
      </c>
      <c r="E669" s="114" t="n"/>
      <c r="F669" s="115" t="n"/>
      <c r="G669" s="107" t="n"/>
      <c r="H669" s="107" t="n"/>
      <c r="I669" s="108" t="n"/>
      <c r="J669" s="108" t="n"/>
      <c r="K669" s="108" t="n"/>
      <c r="L669" s="119">
        <f>IF($E669="","",DATE(YEAR($E669),MONTH($E669),1))</f>
        <v/>
      </c>
      <c r="M669" s="112">
        <f>IF($C669="","",IF($D669="TANIMSIZ MÜŞTERİ","HATA",IF(OR($E669="",$F669&lt;=0,$G669=""),"EKSİK",IF($E669&gt;TODAY(),"İLERİ TARİH","UYGUN"))))</f>
        <v/>
      </c>
      <c r="N669" s="6" t="n"/>
      <c r="O669" s="6" t="n"/>
    </row>
    <row r="670">
      <c r="A670" s="6" t="n"/>
      <c r="B670" s="112">
        <f>IF($C670="","","T"&amp;TEXT(ROW()-6,"00000"))</f>
        <v/>
      </c>
      <c r="C670" s="107" t="n"/>
      <c r="D670" s="113">
        <f>IF($C670="","",IFERROR(INDEX(MUSTERILER!$C$7:$C$106,MATCH($C670,MUSTERILER!$B$7:$B$106,0)),"TANIMSIZ MÜŞTERİ"))</f>
        <v/>
      </c>
      <c r="E670" s="114" t="n"/>
      <c r="F670" s="115" t="n"/>
      <c r="G670" s="107" t="n"/>
      <c r="H670" s="107" t="n"/>
      <c r="I670" s="108" t="n"/>
      <c r="J670" s="108" t="n"/>
      <c r="K670" s="108" t="n"/>
      <c r="L670" s="119">
        <f>IF($E670="","",DATE(YEAR($E670),MONTH($E670),1))</f>
        <v/>
      </c>
      <c r="M670" s="112">
        <f>IF($C670="","",IF($D670="TANIMSIZ MÜŞTERİ","HATA",IF(OR($E670="",$F670&lt;=0,$G670=""),"EKSİK",IF($E670&gt;TODAY(),"İLERİ TARİH","UYGUN"))))</f>
        <v/>
      </c>
      <c r="N670" s="6" t="n"/>
      <c r="O670" s="6" t="n"/>
    </row>
    <row r="671">
      <c r="A671" s="6" t="n"/>
      <c r="B671" s="112">
        <f>IF($C671="","","T"&amp;TEXT(ROW()-6,"00000"))</f>
        <v/>
      </c>
      <c r="C671" s="107" t="n"/>
      <c r="D671" s="113">
        <f>IF($C671="","",IFERROR(INDEX(MUSTERILER!$C$7:$C$106,MATCH($C671,MUSTERILER!$B$7:$B$106,0)),"TANIMSIZ MÜŞTERİ"))</f>
        <v/>
      </c>
      <c r="E671" s="114" t="n"/>
      <c r="F671" s="115" t="n"/>
      <c r="G671" s="107" t="n"/>
      <c r="H671" s="107" t="n"/>
      <c r="I671" s="108" t="n"/>
      <c r="J671" s="108" t="n"/>
      <c r="K671" s="108" t="n"/>
      <c r="L671" s="119">
        <f>IF($E671="","",DATE(YEAR($E671),MONTH($E671),1))</f>
        <v/>
      </c>
      <c r="M671" s="112">
        <f>IF($C671="","",IF($D671="TANIMSIZ MÜŞTERİ","HATA",IF(OR($E671="",$F671&lt;=0,$G671=""),"EKSİK",IF($E671&gt;TODAY(),"İLERİ TARİH","UYGUN"))))</f>
        <v/>
      </c>
      <c r="N671" s="6" t="n"/>
      <c r="O671" s="6" t="n"/>
    </row>
    <row r="672">
      <c r="A672" s="6" t="n"/>
      <c r="B672" s="112">
        <f>IF($C672="","","T"&amp;TEXT(ROW()-6,"00000"))</f>
        <v/>
      </c>
      <c r="C672" s="107" t="n"/>
      <c r="D672" s="113">
        <f>IF($C672="","",IFERROR(INDEX(MUSTERILER!$C$7:$C$106,MATCH($C672,MUSTERILER!$B$7:$B$106,0)),"TANIMSIZ MÜŞTERİ"))</f>
        <v/>
      </c>
      <c r="E672" s="114" t="n"/>
      <c r="F672" s="115" t="n"/>
      <c r="G672" s="107" t="n"/>
      <c r="H672" s="107" t="n"/>
      <c r="I672" s="108" t="n"/>
      <c r="J672" s="108" t="n"/>
      <c r="K672" s="108" t="n"/>
      <c r="L672" s="119">
        <f>IF($E672="","",DATE(YEAR($E672),MONTH($E672),1))</f>
        <v/>
      </c>
      <c r="M672" s="112">
        <f>IF($C672="","",IF($D672="TANIMSIZ MÜŞTERİ","HATA",IF(OR($E672="",$F672&lt;=0,$G672=""),"EKSİK",IF($E672&gt;TODAY(),"İLERİ TARİH","UYGUN"))))</f>
        <v/>
      </c>
      <c r="N672" s="6" t="n"/>
      <c r="O672" s="6" t="n"/>
    </row>
    <row r="673">
      <c r="A673" s="6" t="n"/>
      <c r="B673" s="112">
        <f>IF($C673="","","T"&amp;TEXT(ROW()-6,"00000"))</f>
        <v/>
      </c>
      <c r="C673" s="107" t="n"/>
      <c r="D673" s="113">
        <f>IF($C673="","",IFERROR(INDEX(MUSTERILER!$C$7:$C$106,MATCH($C673,MUSTERILER!$B$7:$B$106,0)),"TANIMSIZ MÜŞTERİ"))</f>
        <v/>
      </c>
      <c r="E673" s="114" t="n"/>
      <c r="F673" s="115" t="n"/>
      <c r="G673" s="107" t="n"/>
      <c r="H673" s="107" t="n"/>
      <c r="I673" s="108" t="n"/>
      <c r="J673" s="108" t="n"/>
      <c r="K673" s="108" t="n"/>
      <c r="L673" s="119">
        <f>IF($E673="","",DATE(YEAR($E673),MONTH($E673),1))</f>
        <v/>
      </c>
      <c r="M673" s="112">
        <f>IF($C673="","",IF($D673="TANIMSIZ MÜŞTERİ","HATA",IF(OR($E673="",$F673&lt;=0,$G673=""),"EKSİK",IF($E673&gt;TODAY(),"İLERİ TARİH","UYGUN"))))</f>
        <v/>
      </c>
      <c r="N673" s="6" t="n"/>
      <c r="O673" s="6" t="n"/>
    </row>
    <row r="674">
      <c r="A674" s="6" t="n"/>
      <c r="B674" s="112">
        <f>IF($C674="","","T"&amp;TEXT(ROW()-6,"00000"))</f>
        <v/>
      </c>
      <c r="C674" s="107" t="n"/>
      <c r="D674" s="113">
        <f>IF($C674="","",IFERROR(INDEX(MUSTERILER!$C$7:$C$106,MATCH($C674,MUSTERILER!$B$7:$B$106,0)),"TANIMSIZ MÜŞTERİ"))</f>
        <v/>
      </c>
      <c r="E674" s="114" t="n"/>
      <c r="F674" s="115" t="n"/>
      <c r="G674" s="107" t="n"/>
      <c r="H674" s="107" t="n"/>
      <c r="I674" s="108" t="n"/>
      <c r="J674" s="108" t="n"/>
      <c r="K674" s="108" t="n"/>
      <c r="L674" s="119">
        <f>IF($E674="","",DATE(YEAR($E674),MONTH($E674),1))</f>
        <v/>
      </c>
      <c r="M674" s="112">
        <f>IF($C674="","",IF($D674="TANIMSIZ MÜŞTERİ","HATA",IF(OR($E674="",$F674&lt;=0,$G674=""),"EKSİK",IF($E674&gt;TODAY(),"İLERİ TARİH","UYGUN"))))</f>
        <v/>
      </c>
      <c r="N674" s="6" t="n"/>
      <c r="O674" s="6" t="n"/>
    </row>
    <row r="675">
      <c r="A675" s="6" t="n"/>
      <c r="B675" s="112">
        <f>IF($C675="","","T"&amp;TEXT(ROW()-6,"00000"))</f>
        <v/>
      </c>
      <c r="C675" s="107" t="n"/>
      <c r="D675" s="113">
        <f>IF($C675="","",IFERROR(INDEX(MUSTERILER!$C$7:$C$106,MATCH($C675,MUSTERILER!$B$7:$B$106,0)),"TANIMSIZ MÜŞTERİ"))</f>
        <v/>
      </c>
      <c r="E675" s="114" t="n"/>
      <c r="F675" s="115" t="n"/>
      <c r="G675" s="107" t="n"/>
      <c r="H675" s="107" t="n"/>
      <c r="I675" s="108" t="n"/>
      <c r="J675" s="108" t="n"/>
      <c r="K675" s="108" t="n"/>
      <c r="L675" s="119">
        <f>IF($E675="","",DATE(YEAR($E675),MONTH($E675),1))</f>
        <v/>
      </c>
      <c r="M675" s="112">
        <f>IF($C675="","",IF($D675="TANIMSIZ MÜŞTERİ","HATA",IF(OR($E675="",$F675&lt;=0,$G675=""),"EKSİK",IF($E675&gt;TODAY(),"İLERİ TARİH","UYGUN"))))</f>
        <v/>
      </c>
      <c r="N675" s="6" t="n"/>
      <c r="O675" s="6" t="n"/>
    </row>
    <row r="676">
      <c r="A676" s="6" t="n"/>
      <c r="B676" s="112">
        <f>IF($C676="","","T"&amp;TEXT(ROW()-6,"00000"))</f>
        <v/>
      </c>
      <c r="C676" s="107" t="n"/>
      <c r="D676" s="113">
        <f>IF($C676="","",IFERROR(INDEX(MUSTERILER!$C$7:$C$106,MATCH($C676,MUSTERILER!$B$7:$B$106,0)),"TANIMSIZ MÜŞTERİ"))</f>
        <v/>
      </c>
      <c r="E676" s="114" t="n"/>
      <c r="F676" s="115" t="n"/>
      <c r="G676" s="107" t="n"/>
      <c r="H676" s="107" t="n"/>
      <c r="I676" s="108" t="n"/>
      <c r="J676" s="108" t="n"/>
      <c r="K676" s="108" t="n"/>
      <c r="L676" s="119">
        <f>IF($E676="","",DATE(YEAR($E676),MONTH($E676),1))</f>
        <v/>
      </c>
      <c r="M676" s="112">
        <f>IF($C676="","",IF($D676="TANIMSIZ MÜŞTERİ","HATA",IF(OR($E676="",$F676&lt;=0,$G676=""),"EKSİK",IF($E676&gt;TODAY(),"İLERİ TARİH","UYGUN"))))</f>
        <v/>
      </c>
      <c r="N676" s="6" t="n"/>
      <c r="O676" s="6" t="n"/>
    </row>
    <row r="677">
      <c r="A677" s="6" t="n"/>
      <c r="B677" s="112">
        <f>IF($C677="","","T"&amp;TEXT(ROW()-6,"00000"))</f>
        <v/>
      </c>
      <c r="C677" s="107" t="n"/>
      <c r="D677" s="113">
        <f>IF($C677="","",IFERROR(INDEX(MUSTERILER!$C$7:$C$106,MATCH($C677,MUSTERILER!$B$7:$B$106,0)),"TANIMSIZ MÜŞTERİ"))</f>
        <v/>
      </c>
      <c r="E677" s="114" t="n"/>
      <c r="F677" s="115" t="n"/>
      <c r="G677" s="107" t="n"/>
      <c r="H677" s="107" t="n"/>
      <c r="I677" s="108" t="n"/>
      <c r="J677" s="108" t="n"/>
      <c r="K677" s="108" t="n"/>
      <c r="L677" s="119">
        <f>IF($E677="","",DATE(YEAR($E677),MONTH($E677),1))</f>
        <v/>
      </c>
      <c r="M677" s="112">
        <f>IF($C677="","",IF($D677="TANIMSIZ MÜŞTERİ","HATA",IF(OR($E677="",$F677&lt;=0,$G677=""),"EKSİK",IF($E677&gt;TODAY(),"İLERİ TARİH","UYGUN"))))</f>
        <v/>
      </c>
      <c r="N677" s="6" t="n"/>
      <c r="O677" s="6" t="n"/>
    </row>
    <row r="678">
      <c r="A678" s="6" t="n"/>
      <c r="B678" s="112">
        <f>IF($C678="","","T"&amp;TEXT(ROW()-6,"00000"))</f>
        <v/>
      </c>
      <c r="C678" s="107" t="n"/>
      <c r="D678" s="113">
        <f>IF($C678="","",IFERROR(INDEX(MUSTERILER!$C$7:$C$106,MATCH($C678,MUSTERILER!$B$7:$B$106,0)),"TANIMSIZ MÜŞTERİ"))</f>
        <v/>
      </c>
      <c r="E678" s="114" t="n"/>
      <c r="F678" s="115" t="n"/>
      <c r="G678" s="107" t="n"/>
      <c r="H678" s="107" t="n"/>
      <c r="I678" s="108" t="n"/>
      <c r="J678" s="108" t="n"/>
      <c r="K678" s="108" t="n"/>
      <c r="L678" s="119">
        <f>IF($E678="","",DATE(YEAR($E678),MONTH($E678),1))</f>
        <v/>
      </c>
      <c r="M678" s="112">
        <f>IF($C678="","",IF($D678="TANIMSIZ MÜŞTERİ","HATA",IF(OR($E678="",$F678&lt;=0,$G678=""),"EKSİK",IF($E678&gt;TODAY(),"İLERİ TARİH","UYGUN"))))</f>
        <v/>
      </c>
      <c r="N678" s="6" t="n"/>
      <c r="O678" s="6" t="n"/>
    </row>
    <row r="679">
      <c r="A679" s="6" t="n"/>
      <c r="B679" s="112">
        <f>IF($C679="","","T"&amp;TEXT(ROW()-6,"00000"))</f>
        <v/>
      </c>
      <c r="C679" s="107" t="n"/>
      <c r="D679" s="113">
        <f>IF($C679="","",IFERROR(INDEX(MUSTERILER!$C$7:$C$106,MATCH($C679,MUSTERILER!$B$7:$B$106,0)),"TANIMSIZ MÜŞTERİ"))</f>
        <v/>
      </c>
      <c r="E679" s="114" t="n"/>
      <c r="F679" s="115" t="n"/>
      <c r="G679" s="107" t="n"/>
      <c r="H679" s="107" t="n"/>
      <c r="I679" s="108" t="n"/>
      <c r="J679" s="108" t="n"/>
      <c r="K679" s="108" t="n"/>
      <c r="L679" s="119">
        <f>IF($E679="","",DATE(YEAR($E679),MONTH($E679),1))</f>
        <v/>
      </c>
      <c r="M679" s="112">
        <f>IF($C679="","",IF($D679="TANIMSIZ MÜŞTERİ","HATA",IF(OR($E679="",$F679&lt;=0,$G679=""),"EKSİK",IF($E679&gt;TODAY(),"İLERİ TARİH","UYGUN"))))</f>
        <v/>
      </c>
      <c r="N679" s="6" t="n"/>
      <c r="O679" s="6" t="n"/>
    </row>
    <row r="680">
      <c r="A680" s="6" t="n"/>
      <c r="B680" s="112">
        <f>IF($C680="","","T"&amp;TEXT(ROW()-6,"00000"))</f>
        <v/>
      </c>
      <c r="C680" s="107" t="n"/>
      <c r="D680" s="113">
        <f>IF($C680="","",IFERROR(INDEX(MUSTERILER!$C$7:$C$106,MATCH($C680,MUSTERILER!$B$7:$B$106,0)),"TANIMSIZ MÜŞTERİ"))</f>
        <v/>
      </c>
      <c r="E680" s="114" t="n"/>
      <c r="F680" s="115" t="n"/>
      <c r="G680" s="107" t="n"/>
      <c r="H680" s="107" t="n"/>
      <c r="I680" s="108" t="n"/>
      <c r="J680" s="108" t="n"/>
      <c r="K680" s="108" t="n"/>
      <c r="L680" s="119">
        <f>IF($E680="","",DATE(YEAR($E680),MONTH($E680),1))</f>
        <v/>
      </c>
      <c r="M680" s="112">
        <f>IF($C680="","",IF($D680="TANIMSIZ MÜŞTERİ","HATA",IF(OR($E680="",$F680&lt;=0,$G680=""),"EKSİK",IF($E680&gt;TODAY(),"İLERİ TARİH","UYGUN"))))</f>
        <v/>
      </c>
      <c r="N680" s="6" t="n"/>
      <c r="O680" s="6" t="n"/>
    </row>
    <row r="681">
      <c r="A681" s="6" t="n"/>
      <c r="B681" s="112">
        <f>IF($C681="","","T"&amp;TEXT(ROW()-6,"00000"))</f>
        <v/>
      </c>
      <c r="C681" s="107" t="n"/>
      <c r="D681" s="113">
        <f>IF($C681="","",IFERROR(INDEX(MUSTERILER!$C$7:$C$106,MATCH($C681,MUSTERILER!$B$7:$B$106,0)),"TANIMSIZ MÜŞTERİ"))</f>
        <v/>
      </c>
      <c r="E681" s="114" t="n"/>
      <c r="F681" s="115" t="n"/>
      <c r="G681" s="107" t="n"/>
      <c r="H681" s="107" t="n"/>
      <c r="I681" s="108" t="n"/>
      <c r="J681" s="108" t="n"/>
      <c r="K681" s="108" t="n"/>
      <c r="L681" s="119">
        <f>IF($E681="","",DATE(YEAR($E681),MONTH($E681),1))</f>
        <v/>
      </c>
      <c r="M681" s="112">
        <f>IF($C681="","",IF($D681="TANIMSIZ MÜŞTERİ","HATA",IF(OR($E681="",$F681&lt;=0,$G681=""),"EKSİK",IF($E681&gt;TODAY(),"İLERİ TARİH","UYGUN"))))</f>
        <v/>
      </c>
      <c r="N681" s="6" t="n"/>
      <c r="O681" s="6" t="n"/>
    </row>
    <row r="682">
      <c r="A682" s="6" t="n"/>
      <c r="B682" s="112">
        <f>IF($C682="","","T"&amp;TEXT(ROW()-6,"00000"))</f>
        <v/>
      </c>
      <c r="C682" s="107" t="n"/>
      <c r="D682" s="113">
        <f>IF($C682="","",IFERROR(INDEX(MUSTERILER!$C$7:$C$106,MATCH($C682,MUSTERILER!$B$7:$B$106,0)),"TANIMSIZ MÜŞTERİ"))</f>
        <v/>
      </c>
      <c r="E682" s="114" t="n"/>
      <c r="F682" s="115" t="n"/>
      <c r="G682" s="107" t="n"/>
      <c r="H682" s="107" t="n"/>
      <c r="I682" s="108" t="n"/>
      <c r="J682" s="108" t="n"/>
      <c r="K682" s="108" t="n"/>
      <c r="L682" s="119">
        <f>IF($E682="","",DATE(YEAR($E682),MONTH($E682),1))</f>
        <v/>
      </c>
      <c r="M682" s="112">
        <f>IF($C682="","",IF($D682="TANIMSIZ MÜŞTERİ","HATA",IF(OR($E682="",$F682&lt;=0,$G682=""),"EKSİK",IF($E682&gt;TODAY(),"İLERİ TARİH","UYGUN"))))</f>
        <v/>
      </c>
      <c r="N682" s="6" t="n"/>
      <c r="O682" s="6" t="n"/>
    </row>
    <row r="683">
      <c r="A683" s="6" t="n"/>
      <c r="B683" s="112">
        <f>IF($C683="","","T"&amp;TEXT(ROW()-6,"00000"))</f>
        <v/>
      </c>
      <c r="C683" s="107" t="n"/>
      <c r="D683" s="113">
        <f>IF($C683="","",IFERROR(INDEX(MUSTERILER!$C$7:$C$106,MATCH($C683,MUSTERILER!$B$7:$B$106,0)),"TANIMSIZ MÜŞTERİ"))</f>
        <v/>
      </c>
      <c r="E683" s="114" t="n"/>
      <c r="F683" s="115" t="n"/>
      <c r="G683" s="107" t="n"/>
      <c r="H683" s="107" t="n"/>
      <c r="I683" s="108" t="n"/>
      <c r="J683" s="108" t="n"/>
      <c r="K683" s="108" t="n"/>
      <c r="L683" s="119">
        <f>IF($E683="","",DATE(YEAR($E683),MONTH($E683),1))</f>
        <v/>
      </c>
      <c r="M683" s="112">
        <f>IF($C683="","",IF($D683="TANIMSIZ MÜŞTERİ","HATA",IF(OR($E683="",$F683&lt;=0,$G683=""),"EKSİK",IF($E683&gt;TODAY(),"İLERİ TARİH","UYGUN"))))</f>
        <v/>
      </c>
      <c r="N683" s="6" t="n"/>
      <c r="O683" s="6" t="n"/>
    </row>
    <row r="684">
      <c r="A684" s="6" t="n"/>
      <c r="B684" s="112">
        <f>IF($C684="","","T"&amp;TEXT(ROW()-6,"00000"))</f>
        <v/>
      </c>
      <c r="C684" s="107" t="n"/>
      <c r="D684" s="113">
        <f>IF($C684="","",IFERROR(INDEX(MUSTERILER!$C$7:$C$106,MATCH($C684,MUSTERILER!$B$7:$B$106,0)),"TANIMSIZ MÜŞTERİ"))</f>
        <v/>
      </c>
      <c r="E684" s="114" t="n"/>
      <c r="F684" s="115" t="n"/>
      <c r="G684" s="107" t="n"/>
      <c r="H684" s="107" t="n"/>
      <c r="I684" s="108" t="n"/>
      <c r="J684" s="108" t="n"/>
      <c r="K684" s="108" t="n"/>
      <c r="L684" s="119">
        <f>IF($E684="","",DATE(YEAR($E684),MONTH($E684),1))</f>
        <v/>
      </c>
      <c r="M684" s="112">
        <f>IF($C684="","",IF($D684="TANIMSIZ MÜŞTERİ","HATA",IF(OR($E684="",$F684&lt;=0,$G684=""),"EKSİK",IF($E684&gt;TODAY(),"İLERİ TARİH","UYGUN"))))</f>
        <v/>
      </c>
      <c r="N684" s="6" t="n"/>
      <c r="O684" s="6" t="n"/>
    </row>
    <row r="685">
      <c r="A685" s="6" t="n"/>
      <c r="B685" s="112">
        <f>IF($C685="","","T"&amp;TEXT(ROW()-6,"00000"))</f>
        <v/>
      </c>
      <c r="C685" s="107" t="n"/>
      <c r="D685" s="113">
        <f>IF($C685="","",IFERROR(INDEX(MUSTERILER!$C$7:$C$106,MATCH($C685,MUSTERILER!$B$7:$B$106,0)),"TANIMSIZ MÜŞTERİ"))</f>
        <v/>
      </c>
      <c r="E685" s="114" t="n"/>
      <c r="F685" s="115" t="n"/>
      <c r="G685" s="107" t="n"/>
      <c r="H685" s="107" t="n"/>
      <c r="I685" s="108" t="n"/>
      <c r="J685" s="108" t="n"/>
      <c r="K685" s="108" t="n"/>
      <c r="L685" s="119">
        <f>IF($E685="","",DATE(YEAR($E685),MONTH($E685),1))</f>
        <v/>
      </c>
      <c r="M685" s="112">
        <f>IF($C685="","",IF($D685="TANIMSIZ MÜŞTERİ","HATA",IF(OR($E685="",$F685&lt;=0,$G685=""),"EKSİK",IF($E685&gt;TODAY(),"İLERİ TARİH","UYGUN"))))</f>
        <v/>
      </c>
      <c r="N685" s="6" t="n"/>
      <c r="O685" s="6" t="n"/>
    </row>
    <row r="686">
      <c r="A686" s="6" t="n"/>
      <c r="B686" s="112">
        <f>IF($C686="","","T"&amp;TEXT(ROW()-6,"00000"))</f>
        <v/>
      </c>
      <c r="C686" s="107" t="n"/>
      <c r="D686" s="113">
        <f>IF($C686="","",IFERROR(INDEX(MUSTERILER!$C$7:$C$106,MATCH($C686,MUSTERILER!$B$7:$B$106,0)),"TANIMSIZ MÜŞTERİ"))</f>
        <v/>
      </c>
      <c r="E686" s="114" t="n"/>
      <c r="F686" s="115" t="n"/>
      <c r="G686" s="107" t="n"/>
      <c r="H686" s="107" t="n"/>
      <c r="I686" s="108" t="n"/>
      <c r="J686" s="108" t="n"/>
      <c r="K686" s="108" t="n"/>
      <c r="L686" s="119">
        <f>IF($E686="","",DATE(YEAR($E686),MONTH($E686),1))</f>
        <v/>
      </c>
      <c r="M686" s="112">
        <f>IF($C686="","",IF($D686="TANIMSIZ MÜŞTERİ","HATA",IF(OR($E686="",$F686&lt;=0,$G686=""),"EKSİK",IF($E686&gt;TODAY(),"İLERİ TARİH","UYGUN"))))</f>
        <v/>
      </c>
      <c r="N686" s="6" t="n"/>
      <c r="O686" s="6" t="n"/>
    </row>
    <row r="687">
      <c r="A687" s="6" t="n"/>
      <c r="B687" s="112">
        <f>IF($C687="","","T"&amp;TEXT(ROW()-6,"00000"))</f>
        <v/>
      </c>
      <c r="C687" s="107" t="n"/>
      <c r="D687" s="113">
        <f>IF($C687="","",IFERROR(INDEX(MUSTERILER!$C$7:$C$106,MATCH($C687,MUSTERILER!$B$7:$B$106,0)),"TANIMSIZ MÜŞTERİ"))</f>
        <v/>
      </c>
      <c r="E687" s="114" t="n"/>
      <c r="F687" s="115" t="n"/>
      <c r="G687" s="107" t="n"/>
      <c r="H687" s="107" t="n"/>
      <c r="I687" s="108" t="n"/>
      <c r="J687" s="108" t="n"/>
      <c r="K687" s="108" t="n"/>
      <c r="L687" s="119">
        <f>IF($E687="","",DATE(YEAR($E687),MONTH($E687),1))</f>
        <v/>
      </c>
      <c r="M687" s="112">
        <f>IF($C687="","",IF($D687="TANIMSIZ MÜŞTERİ","HATA",IF(OR($E687="",$F687&lt;=0,$G687=""),"EKSİK",IF($E687&gt;TODAY(),"İLERİ TARİH","UYGUN"))))</f>
        <v/>
      </c>
      <c r="N687" s="6" t="n"/>
      <c r="O687" s="6" t="n"/>
    </row>
    <row r="688">
      <c r="A688" s="6" t="n"/>
      <c r="B688" s="112">
        <f>IF($C688="","","T"&amp;TEXT(ROW()-6,"00000"))</f>
        <v/>
      </c>
      <c r="C688" s="107" t="n"/>
      <c r="D688" s="113">
        <f>IF($C688="","",IFERROR(INDEX(MUSTERILER!$C$7:$C$106,MATCH($C688,MUSTERILER!$B$7:$B$106,0)),"TANIMSIZ MÜŞTERİ"))</f>
        <v/>
      </c>
      <c r="E688" s="114" t="n"/>
      <c r="F688" s="115" t="n"/>
      <c r="G688" s="107" t="n"/>
      <c r="H688" s="107" t="n"/>
      <c r="I688" s="108" t="n"/>
      <c r="J688" s="108" t="n"/>
      <c r="K688" s="108" t="n"/>
      <c r="L688" s="119">
        <f>IF($E688="","",DATE(YEAR($E688),MONTH($E688),1))</f>
        <v/>
      </c>
      <c r="M688" s="112">
        <f>IF($C688="","",IF($D688="TANIMSIZ MÜŞTERİ","HATA",IF(OR($E688="",$F688&lt;=0,$G688=""),"EKSİK",IF($E688&gt;TODAY(),"İLERİ TARİH","UYGUN"))))</f>
        <v/>
      </c>
      <c r="N688" s="6" t="n"/>
      <c r="O688" s="6" t="n"/>
    </row>
    <row r="689">
      <c r="A689" s="6" t="n"/>
      <c r="B689" s="112">
        <f>IF($C689="","","T"&amp;TEXT(ROW()-6,"00000"))</f>
        <v/>
      </c>
      <c r="C689" s="107" t="n"/>
      <c r="D689" s="113">
        <f>IF($C689="","",IFERROR(INDEX(MUSTERILER!$C$7:$C$106,MATCH($C689,MUSTERILER!$B$7:$B$106,0)),"TANIMSIZ MÜŞTERİ"))</f>
        <v/>
      </c>
      <c r="E689" s="114" t="n"/>
      <c r="F689" s="115" t="n"/>
      <c r="G689" s="107" t="n"/>
      <c r="H689" s="107" t="n"/>
      <c r="I689" s="108" t="n"/>
      <c r="J689" s="108" t="n"/>
      <c r="K689" s="108" t="n"/>
      <c r="L689" s="119">
        <f>IF($E689="","",DATE(YEAR($E689),MONTH($E689),1))</f>
        <v/>
      </c>
      <c r="M689" s="112">
        <f>IF($C689="","",IF($D689="TANIMSIZ MÜŞTERİ","HATA",IF(OR($E689="",$F689&lt;=0,$G689=""),"EKSİK",IF($E689&gt;TODAY(),"İLERİ TARİH","UYGUN"))))</f>
        <v/>
      </c>
      <c r="N689" s="6" t="n"/>
      <c r="O689" s="6" t="n"/>
    </row>
    <row r="690">
      <c r="A690" s="6" t="n"/>
      <c r="B690" s="112">
        <f>IF($C690="","","T"&amp;TEXT(ROW()-6,"00000"))</f>
        <v/>
      </c>
      <c r="C690" s="107" t="n"/>
      <c r="D690" s="113">
        <f>IF($C690="","",IFERROR(INDEX(MUSTERILER!$C$7:$C$106,MATCH($C690,MUSTERILER!$B$7:$B$106,0)),"TANIMSIZ MÜŞTERİ"))</f>
        <v/>
      </c>
      <c r="E690" s="114" t="n"/>
      <c r="F690" s="115" t="n"/>
      <c r="G690" s="107" t="n"/>
      <c r="H690" s="107" t="n"/>
      <c r="I690" s="108" t="n"/>
      <c r="J690" s="108" t="n"/>
      <c r="K690" s="108" t="n"/>
      <c r="L690" s="119">
        <f>IF($E690="","",DATE(YEAR($E690),MONTH($E690),1))</f>
        <v/>
      </c>
      <c r="M690" s="112">
        <f>IF($C690="","",IF($D690="TANIMSIZ MÜŞTERİ","HATA",IF(OR($E690="",$F690&lt;=0,$G690=""),"EKSİK",IF($E690&gt;TODAY(),"İLERİ TARİH","UYGUN"))))</f>
        <v/>
      </c>
      <c r="N690" s="6" t="n"/>
      <c r="O690" s="6" t="n"/>
    </row>
    <row r="691">
      <c r="A691" s="6" t="n"/>
      <c r="B691" s="112">
        <f>IF($C691="","","T"&amp;TEXT(ROW()-6,"00000"))</f>
        <v/>
      </c>
      <c r="C691" s="107" t="n"/>
      <c r="D691" s="113">
        <f>IF($C691="","",IFERROR(INDEX(MUSTERILER!$C$7:$C$106,MATCH($C691,MUSTERILER!$B$7:$B$106,0)),"TANIMSIZ MÜŞTERİ"))</f>
        <v/>
      </c>
      <c r="E691" s="114" t="n"/>
      <c r="F691" s="115" t="n"/>
      <c r="G691" s="107" t="n"/>
      <c r="H691" s="107" t="n"/>
      <c r="I691" s="108" t="n"/>
      <c r="J691" s="108" t="n"/>
      <c r="K691" s="108" t="n"/>
      <c r="L691" s="119">
        <f>IF($E691="","",DATE(YEAR($E691),MONTH($E691),1))</f>
        <v/>
      </c>
      <c r="M691" s="112">
        <f>IF($C691="","",IF($D691="TANIMSIZ MÜŞTERİ","HATA",IF(OR($E691="",$F691&lt;=0,$G691=""),"EKSİK",IF($E691&gt;TODAY(),"İLERİ TARİH","UYGUN"))))</f>
        <v/>
      </c>
      <c r="N691" s="6" t="n"/>
      <c r="O691" s="6" t="n"/>
    </row>
    <row r="692">
      <c r="A692" s="6" t="n"/>
      <c r="B692" s="112">
        <f>IF($C692="","","T"&amp;TEXT(ROW()-6,"00000"))</f>
        <v/>
      </c>
      <c r="C692" s="107" t="n"/>
      <c r="D692" s="113">
        <f>IF($C692="","",IFERROR(INDEX(MUSTERILER!$C$7:$C$106,MATCH($C692,MUSTERILER!$B$7:$B$106,0)),"TANIMSIZ MÜŞTERİ"))</f>
        <v/>
      </c>
      <c r="E692" s="114" t="n"/>
      <c r="F692" s="115" t="n"/>
      <c r="G692" s="107" t="n"/>
      <c r="H692" s="107" t="n"/>
      <c r="I692" s="108" t="n"/>
      <c r="J692" s="108" t="n"/>
      <c r="K692" s="108" t="n"/>
      <c r="L692" s="119">
        <f>IF($E692="","",DATE(YEAR($E692),MONTH($E692),1))</f>
        <v/>
      </c>
      <c r="M692" s="112">
        <f>IF($C692="","",IF($D692="TANIMSIZ MÜŞTERİ","HATA",IF(OR($E692="",$F692&lt;=0,$G692=""),"EKSİK",IF($E692&gt;TODAY(),"İLERİ TARİH","UYGUN"))))</f>
        <v/>
      </c>
      <c r="N692" s="6" t="n"/>
      <c r="O692" s="6" t="n"/>
    </row>
    <row r="693">
      <c r="A693" s="6" t="n"/>
      <c r="B693" s="112">
        <f>IF($C693="","","T"&amp;TEXT(ROW()-6,"00000"))</f>
        <v/>
      </c>
      <c r="C693" s="107" t="n"/>
      <c r="D693" s="113">
        <f>IF($C693="","",IFERROR(INDEX(MUSTERILER!$C$7:$C$106,MATCH($C693,MUSTERILER!$B$7:$B$106,0)),"TANIMSIZ MÜŞTERİ"))</f>
        <v/>
      </c>
      <c r="E693" s="114" t="n"/>
      <c r="F693" s="115" t="n"/>
      <c r="G693" s="107" t="n"/>
      <c r="H693" s="107" t="n"/>
      <c r="I693" s="108" t="n"/>
      <c r="J693" s="108" t="n"/>
      <c r="K693" s="108" t="n"/>
      <c r="L693" s="119">
        <f>IF($E693="","",DATE(YEAR($E693),MONTH($E693),1))</f>
        <v/>
      </c>
      <c r="M693" s="112">
        <f>IF($C693="","",IF($D693="TANIMSIZ MÜŞTERİ","HATA",IF(OR($E693="",$F693&lt;=0,$G693=""),"EKSİK",IF($E693&gt;TODAY(),"İLERİ TARİH","UYGUN"))))</f>
        <v/>
      </c>
      <c r="N693" s="6" t="n"/>
      <c r="O693" s="6" t="n"/>
    </row>
    <row r="694">
      <c r="A694" s="6" t="n"/>
      <c r="B694" s="112">
        <f>IF($C694="","","T"&amp;TEXT(ROW()-6,"00000"))</f>
        <v/>
      </c>
      <c r="C694" s="107" t="n"/>
      <c r="D694" s="113">
        <f>IF($C694="","",IFERROR(INDEX(MUSTERILER!$C$7:$C$106,MATCH($C694,MUSTERILER!$B$7:$B$106,0)),"TANIMSIZ MÜŞTERİ"))</f>
        <v/>
      </c>
      <c r="E694" s="114" t="n"/>
      <c r="F694" s="115" t="n"/>
      <c r="G694" s="107" t="n"/>
      <c r="H694" s="107" t="n"/>
      <c r="I694" s="108" t="n"/>
      <c r="J694" s="108" t="n"/>
      <c r="K694" s="108" t="n"/>
      <c r="L694" s="119">
        <f>IF($E694="","",DATE(YEAR($E694),MONTH($E694),1))</f>
        <v/>
      </c>
      <c r="M694" s="112">
        <f>IF($C694="","",IF($D694="TANIMSIZ MÜŞTERİ","HATA",IF(OR($E694="",$F694&lt;=0,$G694=""),"EKSİK",IF($E694&gt;TODAY(),"İLERİ TARİH","UYGUN"))))</f>
        <v/>
      </c>
      <c r="N694" s="6" t="n"/>
      <c r="O694" s="6" t="n"/>
    </row>
    <row r="695">
      <c r="A695" s="6" t="n"/>
      <c r="B695" s="112">
        <f>IF($C695="","","T"&amp;TEXT(ROW()-6,"00000"))</f>
        <v/>
      </c>
      <c r="C695" s="107" t="n"/>
      <c r="D695" s="113">
        <f>IF($C695="","",IFERROR(INDEX(MUSTERILER!$C$7:$C$106,MATCH($C695,MUSTERILER!$B$7:$B$106,0)),"TANIMSIZ MÜŞTERİ"))</f>
        <v/>
      </c>
      <c r="E695" s="114" t="n"/>
      <c r="F695" s="115" t="n"/>
      <c r="G695" s="107" t="n"/>
      <c r="H695" s="107" t="n"/>
      <c r="I695" s="108" t="n"/>
      <c r="J695" s="108" t="n"/>
      <c r="K695" s="108" t="n"/>
      <c r="L695" s="119">
        <f>IF($E695="","",DATE(YEAR($E695),MONTH($E695),1))</f>
        <v/>
      </c>
      <c r="M695" s="112">
        <f>IF($C695="","",IF($D695="TANIMSIZ MÜŞTERİ","HATA",IF(OR($E695="",$F695&lt;=0,$G695=""),"EKSİK",IF($E695&gt;TODAY(),"İLERİ TARİH","UYGUN"))))</f>
        <v/>
      </c>
      <c r="N695" s="6" t="n"/>
      <c r="O695" s="6" t="n"/>
    </row>
    <row r="696">
      <c r="A696" s="6" t="n"/>
      <c r="B696" s="112">
        <f>IF($C696="","","T"&amp;TEXT(ROW()-6,"00000"))</f>
        <v/>
      </c>
      <c r="C696" s="107" t="n"/>
      <c r="D696" s="113">
        <f>IF($C696="","",IFERROR(INDEX(MUSTERILER!$C$7:$C$106,MATCH($C696,MUSTERILER!$B$7:$B$106,0)),"TANIMSIZ MÜŞTERİ"))</f>
        <v/>
      </c>
      <c r="E696" s="114" t="n"/>
      <c r="F696" s="115" t="n"/>
      <c r="G696" s="107" t="n"/>
      <c r="H696" s="107" t="n"/>
      <c r="I696" s="108" t="n"/>
      <c r="J696" s="108" t="n"/>
      <c r="K696" s="108" t="n"/>
      <c r="L696" s="119">
        <f>IF($E696="","",DATE(YEAR($E696),MONTH($E696),1))</f>
        <v/>
      </c>
      <c r="M696" s="112">
        <f>IF($C696="","",IF($D696="TANIMSIZ MÜŞTERİ","HATA",IF(OR($E696="",$F696&lt;=0,$G696=""),"EKSİK",IF($E696&gt;TODAY(),"İLERİ TARİH","UYGUN"))))</f>
        <v/>
      </c>
      <c r="N696" s="6" t="n"/>
      <c r="O696" s="6" t="n"/>
    </row>
    <row r="697">
      <c r="A697" s="6" t="n"/>
      <c r="B697" s="112">
        <f>IF($C697="","","T"&amp;TEXT(ROW()-6,"00000"))</f>
        <v/>
      </c>
      <c r="C697" s="107" t="n"/>
      <c r="D697" s="113">
        <f>IF($C697="","",IFERROR(INDEX(MUSTERILER!$C$7:$C$106,MATCH($C697,MUSTERILER!$B$7:$B$106,0)),"TANIMSIZ MÜŞTERİ"))</f>
        <v/>
      </c>
      <c r="E697" s="114" t="n"/>
      <c r="F697" s="115" t="n"/>
      <c r="G697" s="107" t="n"/>
      <c r="H697" s="107" t="n"/>
      <c r="I697" s="108" t="n"/>
      <c r="J697" s="108" t="n"/>
      <c r="K697" s="108" t="n"/>
      <c r="L697" s="119">
        <f>IF($E697="","",DATE(YEAR($E697),MONTH($E697),1))</f>
        <v/>
      </c>
      <c r="M697" s="112">
        <f>IF($C697="","",IF($D697="TANIMSIZ MÜŞTERİ","HATA",IF(OR($E697="",$F697&lt;=0,$G697=""),"EKSİK",IF($E697&gt;TODAY(),"İLERİ TARİH","UYGUN"))))</f>
        <v/>
      </c>
      <c r="N697" s="6" t="n"/>
      <c r="O697" s="6" t="n"/>
    </row>
    <row r="698">
      <c r="A698" s="6" t="n"/>
      <c r="B698" s="112">
        <f>IF($C698="","","T"&amp;TEXT(ROW()-6,"00000"))</f>
        <v/>
      </c>
      <c r="C698" s="107" t="n"/>
      <c r="D698" s="113">
        <f>IF($C698="","",IFERROR(INDEX(MUSTERILER!$C$7:$C$106,MATCH($C698,MUSTERILER!$B$7:$B$106,0)),"TANIMSIZ MÜŞTERİ"))</f>
        <v/>
      </c>
      <c r="E698" s="114" t="n"/>
      <c r="F698" s="115" t="n"/>
      <c r="G698" s="107" t="n"/>
      <c r="H698" s="107" t="n"/>
      <c r="I698" s="108" t="n"/>
      <c r="J698" s="108" t="n"/>
      <c r="K698" s="108" t="n"/>
      <c r="L698" s="119">
        <f>IF($E698="","",DATE(YEAR($E698),MONTH($E698),1))</f>
        <v/>
      </c>
      <c r="M698" s="112">
        <f>IF($C698="","",IF($D698="TANIMSIZ MÜŞTERİ","HATA",IF(OR($E698="",$F698&lt;=0,$G698=""),"EKSİK",IF($E698&gt;TODAY(),"İLERİ TARİH","UYGUN"))))</f>
        <v/>
      </c>
      <c r="N698" s="6" t="n"/>
      <c r="O698" s="6" t="n"/>
    </row>
    <row r="699">
      <c r="A699" s="6" t="n"/>
      <c r="B699" s="112">
        <f>IF($C699="","","T"&amp;TEXT(ROW()-6,"00000"))</f>
        <v/>
      </c>
      <c r="C699" s="107" t="n"/>
      <c r="D699" s="113">
        <f>IF($C699="","",IFERROR(INDEX(MUSTERILER!$C$7:$C$106,MATCH($C699,MUSTERILER!$B$7:$B$106,0)),"TANIMSIZ MÜŞTERİ"))</f>
        <v/>
      </c>
      <c r="E699" s="114" t="n"/>
      <c r="F699" s="115" t="n"/>
      <c r="G699" s="107" t="n"/>
      <c r="H699" s="107" t="n"/>
      <c r="I699" s="108" t="n"/>
      <c r="J699" s="108" t="n"/>
      <c r="K699" s="108" t="n"/>
      <c r="L699" s="119">
        <f>IF($E699="","",DATE(YEAR($E699),MONTH($E699),1))</f>
        <v/>
      </c>
      <c r="M699" s="112">
        <f>IF($C699="","",IF($D699="TANIMSIZ MÜŞTERİ","HATA",IF(OR($E699="",$F699&lt;=0,$G699=""),"EKSİK",IF($E699&gt;TODAY(),"İLERİ TARİH","UYGUN"))))</f>
        <v/>
      </c>
      <c r="N699" s="6" t="n"/>
      <c r="O699" s="6" t="n"/>
    </row>
    <row r="700">
      <c r="A700" s="6" t="n"/>
      <c r="B700" s="112">
        <f>IF($C700="","","T"&amp;TEXT(ROW()-6,"00000"))</f>
        <v/>
      </c>
      <c r="C700" s="107" t="n"/>
      <c r="D700" s="113">
        <f>IF($C700="","",IFERROR(INDEX(MUSTERILER!$C$7:$C$106,MATCH($C700,MUSTERILER!$B$7:$B$106,0)),"TANIMSIZ MÜŞTERİ"))</f>
        <v/>
      </c>
      <c r="E700" s="114" t="n"/>
      <c r="F700" s="115" t="n"/>
      <c r="G700" s="107" t="n"/>
      <c r="H700" s="107" t="n"/>
      <c r="I700" s="108" t="n"/>
      <c r="J700" s="108" t="n"/>
      <c r="K700" s="108" t="n"/>
      <c r="L700" s="119">
        <f>IF($E700="","",DATE(YEAR($E700),MONTH($E700),1))</f>
        <v/>
      </c>
      <c r="M700" s="112">
        <f>IF($C700="","",IF($D700="TANIMSIZ MÜŞTERİ","HATA",IF(OR($E700="",$F700&lt;=0,$G700=""),"EKSİK",IF($E700&gt;TODAY(),"İLERİ TARİH","UYGUN"))))</f>
        <v/>
      </c>
      <c r="N700" s="6" t="n"/>
      <c r="O700" s="6" t="n"/>
    </row>
    <row r="701">
      <c r="A701" s="6" t="n"/>
      <c r="B701" s="112">
        <f>IF($C701="","","T"&amp;TEXT(ROW()-6,"00000"))</f>
        <v/>
      </c>
      <c r="C701" s="107" t="n"/>
      <c r="D701" s="113">
        <f>IF($C701="","",IFERROR(INDEX(MUSTERILER!$C$7:$C$106,MATCH($C701,MUSTERILER!$B$7:$B$106,0)),"TANIMSIZ MÜŞTERİ"))</f>
        <v/>
      </c>
      <c r="E701" s="114" t="n"/>
      <c r="F701" s="115" t="n"/>
      <c r="G701" s="107" t="n"/>
      <c r="H701" s="107" t="n"/>
      <c r="I701" s="108" t="n"/>
      <c r="J701" s="108" t="n"/>
      <c r="K701" s="108" t="n"/>
      <c r="L701" s="119">
        <f>IF($E701="","",DATE(YEAR($E701),MONTH($E701),1))</f>
        <v/>
      </c>
      <c r="M701" s="112">
        <f>IF($C701="","",IF($D701="TANIMSIZ MÜŞTERİ","HATA",IF(OR($E701="",$F701&lt;=0,$G701=""),"EKSİK",IF($E701&gt;TODAY(),"İLERİ TARİH","UYGUN"))))</f>
        <v/>
      </c>
      <c r="N701" s="6" t="n"/>
      <c r="O701" s="6" t="n"/>
    </row>
    <row r="702">
      <c r="A702" s="6" t="n"/>
      <c r="B702" s="112">
        <f>IF($C702="","","T"&amp;TEXT(ROW()-6,"00000"))</f>
        <v/>
      </c>
      <c r="C702" s="107" t="n"/>
      <c r="D702" s="113">
        <f>IF($C702="","",IFERROR(INDEX(MUSTERILER!$C$7:$C$106,MATCH($C702,MUSTERILER!$B$7:$B$106,0)),"TANIMSIZ MÜŞTERİ"))</f>
        <v/>
      </c>
      <c r="E702" s="114" t="n"/>
      <c r="F702" s="115" t="n"/>
      <c r="G702" s="107" t="n"/>
      <c r="H702" s="107" t="n"/>
      <c r="I702" s="108" t="n"/>
      <c r="J702" s="108" t="n"/>
      <c r="K702" s="108" t="n"/>
      <c r="L702" s="119">
        <f>IF($E702="","",DATE(YEAR($E702),MONTH($E702),1))</f>
        <v/>
      </c>
      <c r="M702" s="112">
        <f>IF($C702="","",IF($D702="TANIMSIZ MÜŞTERİ","HATA",IF(OR($E702="",$F702&lt;=0,$G702=""),"EKSİK",IF($E702&gt;TODAY(),"İLERİ TARİH","UYGUN"))))</f>
        <v/>
      </c>
      <c r="N702" s="6" t="n"/>
      <c r="O702" s="6" t="n"/>
    </row>
    <row r="703">
      <c r="A703" s="6" t="n"/>
      <c r="B703" s="112">
        <f>IF($C703="","","T"&amp;TEXT(ROW()-6,"00000"))</f>
        <v/>
      </c>
      <c r="C703" s="107" t="n"/>
      <c r="D703" s="113">
        <f>IF($C703="","",IFERROR(INDEX(MUSTERILER!$C$7:$C$106,MATCH($C703,MUSTERILER!$B$7:$B$106,0)),"TANIMSIZ MÜŞTERİ"))</f>
        <v/>
      </c>
      <c r="E703" s="114" t="n"/>
      <c r="F703" s="115" t="n"/>
      <c r="G703" s="107" t="n"/>
      <c r="H703" s="107" t="n"/>
      <c r="I703" s="108" t="n"/>
      <c r="J703" s="108" t="n"/>
      <c r="K703" s="108" t="n"/>
      <c r="L703" s="119">
        <f>IF($E703="","",DATE(YEAR($E703),MONTH($E703),1))</f>
        <v/>
      </c>
      <c r="M703" s="112">
        <f>IF($C703="","",IF($D703="TANIMSIZ MÜŞTERİ","HATA",IF(OR($E703="",$F703&lt;=0,$G703=""),"EKSİK",IF($E703&gt;TODAY(),"İLERİ TARİH","UYGUN"))))</f>
        <v/>
      </c>
      <c r="N703" s="6" t="n"/>
      <c r="O703" s="6" t="n"/>
    </row>
    <row r="704">
      <c r="A704" s="6" t="n"/>
      <c r="B704" s="112">
        <f>IF($C704="","","T"&amp;TEXT(ROW()-6,"00000"))</f>
        <v/>
      </c>
      <c r="C704" s="107" t="n"/>
      <c r="D704" s="113">
        <f>IF($C704="","",IFERROR(INDEX(MUSTERILER!$C$7:$C$106,MATCH($C704,MUSTERILER!$B$7:$B$106,0)),"TANIMSIZ MÜŞTERİ"))</f>
        <v/>
      </c>
      <c r="E704" s="114" t="n"/>
      <c r="F704" s="115" t="n"/>
      <c r="G704" s="107" t="n"/>
      <c r="H704" s="107" t="n"/>
      <c r="I704" s="108" t="n"/>
      <c r="J704" s="108" t="n"/>
      <c r="K704" s="108" t="n"/>
      <c r="L704" s="119">
        <f>IF($E704="","",DATE(YEAR($E704),MONTH($E704),1))</f>
        <v/>
      </c>
      <c r="M704" s="112">
        <f>IF($C704="","",IF($D704="TANIMSIZ MÜŞTERİ","HATA",IF(OR($E704="",$F704&lt;=0,$G704=""),"EKSİK",IF($E704&gt;TODAY(),"İLERİ TARİH","UYGUN"))))</f>
        <v/>
      </c>
      <c r="N704" s="6" t="n"/>
      <c r="O704" s="6" t="n"/>
    </row>
    <row r="705">
      <c r="A705" s="6" t="n"/>
      <c r="B705" s="112">
        <f>IF($C705="","","T"&amp;TEXT(ROW()-6,"00000"))</f>
        <v/>
      </c>
      <c r="C705" s="107" t="n"/>
      <c r="D705" s="113">
        <f>IF($C705="","",IFERROR(INDEX(MUSTERILER!$C$7:$C$106,MATCH($C705,MUSTERILER!$B$7:$B$106,0)),"TANIMSIZ MÜŞTERİ"))</f>
        <v/>
      </c>
      <c r="E705" s="114" t="n"/>
      <c r="F705" s="115" t="n"/>
      <c r="G705" s="107" t="n"/>
      <c r="H705" s="107" t="n"/>
      <c r="I705" s="108" t="n"/>
      <c r="J705" s="108" t="n"/>
      <c r="K705" s="108" t="n"/>
      <c r="L705" s="119">
        <f>IF($E705="","",DATE(YEAR($E705),MONTH($E705),1))</f>
        <v/>
      </c>
      <c r="M705" s="112">
        <f>IF($C705="","",IF($D705="TANIMSIZ MÜŞTERİ","HATA",IF(OR($E705="",$F705&lt;=0,$G705=""),"EKSİK",IF($E705&gt;TODAY(),"İLERİ TARİH","UYGUN"))))</f>
        <v/>
      </c>
      <c r="N705" s="6" t="n"/>
      <c r="O705" s="6" t="n"/>
    </row>
    <row r="706">
      <c r="A706" s="6" t="n"/>
      <c r="B706" s="112">
        <f>IF($C706="","","T"&amp;TEXT(ROW()-6,"00000"))</f>
        <v/>
      </c>
      <c r="C706" s="107" t="n"/>
      <c r="D706" s="113">
        <f>IF($C706="","",IFERROR(INDEX(MUSTERILER!$C$7:$C$106,MATCH($C706,MUSTERILER!$B$7:$B$106,0)),"TANIMSIZ MÜŞTERİ"))</f>
        <v/>
      </c>
      <c r="E706" s="114" t="n"/>
      <c r="F706" s="115" t="n"/>
      <c r="G706" s="107" t="n"/>
      <c r="H706" s="107" t="n"/>
      <c r="I706" s="108" t="n"/>
      <c r="J706" s="108" t="n"/>
      <c r="K706" s="108" t="n"/>
      <c r="L706" s="119">
        <f>IF($E706="","",DATE(YEAR($E706),MONTH($E706),1))</f>
        <v/>
      </c>
      <c r="M706" s="112">
        <f>IF($C706="","",IF($D706="TANIMSIZ MÜŞTERİ","HATA",IF(OR($E706="",$F706&lt;=0,$G706=""),"EKSİK",IF($E706&gt;TODAY(),"İLERİ TARİH","UYGUN"))))</f>
        <v/>
      </c>
      <c r="N706" s="6" t="n"/>
      <c r="O706" s="6" t="n"/>
    </row>
    <row r="707">
      <c r="A707" s="6" t="n"/>
      <c r="B707" s="112">
        <f>IF($C707="","","T"&amp;TEXT(ROW()-6,"00000"))</f>
        <v/>
      </c>
      <c r="C707" s="107" t="n"/>
      <c r="D707" s="113">
        <f>IF($C707="","",IFERROR(INDEX(MUSTERILER!$C$7:$C$106,MATCH($C707,MUSTERILER!$B$7:$B$106,0)),"TANIMSIZ MÜŞTERİ"))</f>
        <v/>
      </c>
      <c r="E707" s="114" t="n"/>
      <c r="F707" s="115" t="n"/>
      <c r="G707" s="107" t="n"/>
      <c r="H707" s="107" t="n"/>
      <c r="I707" s="108" t="n"/>
      <c r="J707" s="108" t="n"/>
      <c r="K707" s="108" t="n"/>
      <c r="L707" s="119">
        <f>IF($E707="","",DATE(YEAR($E707),MONTH($E707),1))</f>
        <v/>
      </c>
      <c r="M707" s="112">
        <f>IF($C707="","",IF($D707="TANIMSIZ MÜŞTERİ","HATA",IF(OR($E707="",$F707&lt;=0,$G707=""),"EKSİK",IF($E707&gt;TODAY(),"İLERİ TARİH","UYGUN"))))</f>
        <v/>
      </c>
      <c r="N707" s="6" t="n"/>
      <c r="O707" s="6" t="n"/>
    </row>
    <row r="708">
      <c r="A708" s="6" t="n"/>
      <c r="B708" s="112">
        <f>IF($C708="","","T"&amp;TEXT(ROW()-6,"00000"))</f>
        <v/>
      </c>
      <c r="C708" s="107" t="n"/>
      <c r="D708" s="113">
        <f>IF($C708="","",IFERROR(INDEX(MUSTERILER!$C$7:$C$106,MATCH($C708,MUSTERILER!$B$7:$B$106,0)),"TANIMSIZ MÜŞTERİ"))</f>
        <v/>
      </c>
      <c r="E708" s="114" t="n"/>
      <c r="F708" s="115" t="n"/>
      <c r="G708" s="107" t="n"/>
      <c r="H708" s="107" t="n"/>
      <c r="I708" s="108" t="n"/>
      <c r="J708" s="108" t="n"/>
      <c r="K708" s="108" t="n"/>
      <c r="L708" s="119">
        <f>IF($E708="","",DATE(YEAR($E708),MONTH($E708),1))</f>
        <v/>
      </c>
      <c r="M708" s="112">
        <f>IF($C708="","",IF($D708="TANIMSIZ MÜŞTERİ","HATA",IF(OR($E708="",$F708&lt;=0,$G708=""),"EKSİK",IF($E708&gt;TODAY(),"İLERİ TARİH","UYGUN"))))</f>
        <v/>
      </c>
      <c r="N708" s="6" t="n"/>
      <c r="O708" s="6" t="n"/>
    </row>
    <row r="709">
      <c r="A709" s="6" t="n"/>
      <c r="B709" s="112">
        <f>IF($C709="","","T"&amp;TEXT(ROW()-6,"00000"))</f>
        <v/>
      </c>
      <c r="C709" s="107" t="n"/>
      <c r="D709" s="113">
        <f>IF($C709="","",IFERROR(INDEX(MUSTERILER!$C$7:$C$106,MATCH($C709,MUSTERILER!$B$7:$B$106,0)),"TANIMSIZ MÜŞTERİ"))</f>
        <v/>
      </c>
      <c r="E709" s="114" t="n"/>
      <c r="F709" s="115" t="n"/>
      <c r="G709" s="107" t="n"/>
      <c r="H709" s="107" t="n"/>
      <c r="I709" s="108" t="n"/>
      <c r="J709" s="108" t="n"/>
      <c r="K709" s="108" t="n"/>
      <c r="L709" s="119">
        <f>IF($E709="","",DATE(YEAR($E709),MONTH($E709),1))</f>
        <v/>
      </c>
      <c r="M709" s="112">
        <f>IF($C709="","",IF($D709="TANIMSIZ MÜŞTERİ","HATA",IF(OR($E709="",$F709&lt;=0,$G709=""),"EKSİK",IF($E709&gt;TODAY(),"İLERİ TARİH","UYGUN"))))</f>
        <v/>
      </c>
      <c r="N709" s="6" t="n"/>
      <c r="O709" s="6" t="n"/>
    </row>
    <row r="710">
      <c r="A710" s="6" t="n"/>
      <c r="B710" s="112">
        <f>IF($C710="","","T"&amp;TEXT(ROW()-6,"00000"))</f>
        <v/>
      </c>
      <c r="C710" s="107" t="n"/>
      <c r="D710" s="113">
        <f>IF($C710="","",IFERROR(INDEX(MUSTERILER!$C$7:$C$106,MATCH($C710,MUSTERILER!$B$7:$B$106,0)),"TANIMSIZ MÜŞTERİ"))</f>
        <v/>
      </c>
      <c r="E710" s="114" t="n"/>
      <c r="F710" s="115" t="n"/>
      <c r="G710" s="107" t="n"/>
      <c r="H710" s="107" t="n"/>
      <c r="I710" s="108" t="n"/>
      <c r="J710" s="108" t="n"/>
      <c r="K710" s="108" t="n"/>
      <c r="L710" s="119">
        <f>IF($E710="","",DATE(YEAR($E710),MONTH($E710),1))</f>
        <v/>
      </c>
      <c r="M710" s="112">
        <f>IF($C710="","",IF($D710="TANIMSIZ MÜŞTERİ","HATA",IF(OR($E710="",$F710&lt;=0,$G710=""),"EKSİK",IF($E710&gt;TODAY(),"İLERİ TARİH","UYGUN"))))</f>
        <v/>
      </c>
      <c r="N710" s="6" t="n"/>
      <c r="O710" s="6" t="n"/>
    </row>
    <row r="711">
      <c r="A711" s="6" t="n"/>
      <c r="B711" s="112">
        <f>IF($C711="","","T"&amp;TEXT(ROW()-6,"00000"))</f>
        <v/>
      </c>
      <c r="C711" s="107" t="n"/>
      <c r="D711" s="113">
        <f>IF($C711="","",IFERROR(INDEX(MUSTERILER!$C$7:$C$106,MATCH($C711,MUSTERILER!$B$7:$B$106,0)),"TANIMSIZ MÜŞTERİ"))</f>
        <v/>
      </c>
      <c r="E711" s="114" t="n"/>
      <c r="F711" s="115" t="n"/>
      <c r="G711" s="107" t="n"/>
      <c r="H711" s="107" t="n"/>
      <c r="I711" s="108" t="n"/>
      <c r="J711" s="108" t="n"/>
      <c r="K711" s="108" t="n"/>
      <c r="L711" s="119">
        <f>IF($E711="","",DATE(YEAR($E711),MONTH($E711),1))</f>
        <v/>
      </c>
      <c r="M711" s="112">
        <f>IF($C711="","",IF($D711="TANIMSIZ MÜŞTERİ","HATA",IF(OR($E711="",$F711&lt;=0,$G711=""),"EKSİK",IF($E711&gt;TODAY(),"İLERİ TARİH","UYGUN"))))</f>
        <v/>
      </c>
      <c r="N711" s="6" t="n"/>
      <c r="O711" s="6" t="n"/>
    </row>
    <row r="712">
      <c r="A712" s="6" t="n"/>
      <c r="B712" s="112">
        <f>IF($C712="","","T"&amp;TEXT(ROW()-6,"00000"))</f>
        <v/>
      </c>
      <c r="C712" s="107" t="n"/>
      <c r="D712" s="113">
        <f>IF($C712="","",IFERROR(INDEX(MUSTERILER!$C$7:$C$106,MATCH($C712,MUSTERILER!$B$7:$B$106,0)),"TANIMSIZ MÜŞTERİ"))</f>
        <v/>
      </c>
      <c r="E712" s="114" t="n"/>
      <c r="F712" s="115" t="n"/>
      <c r="G712" s="107" t="n"/>
      <c r="H712" s="107" t="n"/>
      <c r="I712" s="108" t="n"/>
      <c r="J712" s="108" t="n"/>
      <c r="K712" s="108" t="n"/>
      <c r="L712" s="119">
        <f>IF($E712="","",DATE(YEAR($E712),MONTH($E712),1))</f>
        <v/>
      </c>
      <c r="M712" s="112">
        <f>IF($C712="","",IF($D712="TANIMSIZ MÜŞTERİ","HATA",IF(OR($E712="",$F712&lt;=0,$G712=""),"EKSİK",IF($E712&gt;TODAY(),"İLERİ TARİH","UYGUN"))))</f>
        <v/>
      </c>
      <c r="N712" s="6" t="n"/>
      <c r="O712" s="6" t="n"/>
    </row>
    <row r="713">
      <c r="A713" s="6" t="n"/>
      <c r="B713" s="112">
        <f>IF($C713="","","T"&amp;TEXT(ROW()-6,"00000"))</f>
        <v/>
      </c>
      <c r="C713" s="107" t="n"/>
      <c r="D713" s="113">
        <f>IF($C713="","",IFERROR(INDEX(MUSTERILER!$C$7:$C$106,MATCH($C713,MUSTERILER!$B$7:$B$106,0)),"TANIMSIZ MÜŞTERİ"))</f>
        <v/>
      </c>
      <c r="E713" s="114" t="n"/>
      <c r="F713" s="115" t="n"/>
      <c r="G713" s="107" t="n"/>
      <c r="H713" s="107" t="n"/>
      <c r="I713" s="108" t="n"/>
      <c r="J713" s="108" t="n"/>
      <c r="K713" s="108" t="n"/>
      <c r="L713" s="119">
        <f>IF($E713="","",DATE(YEAR($E713),MONTH($E713),1))</f>
        <v/>
      </c>
      <c r="M713" s="112">
        <f>IF($C713="","",IF($D713="TANIMSIZ MÜŞTERİ","HATA",IF(OR($E713="",$F713&lt;=0,$G713=""),"EKSİK",IF($E713&gt;TODAY(),"İLERİ TARİH","UYGUN"))))</f>
        <v/>
      </c>
      <c r="N713" s="6" t="n"/>
      <c r="O713" s="6" t="n"/>
    </row>
    <row r="714">
      <c r="A714" s="6" t="n"/>
      <c r="B714" s="112">
        <f>IF($C714="","","T"&amp;TEXT(ROW()-6,"00000"))</f>
        <v/>
      </c>
      <c r="C714" s="107" t="n"/>
      <c r="D714" s="113">
        <f>IF($C714="","",IFERROR(INDEX(MUSTERILER!$C$7:$C$106,MATCH($C714,MUSTERILER!$B$7:$B$106,0)),"TANIMSIZ MÜŞTERİ"))</f>
        <v/>
      </c>
      <c r="E714" s="114" t="n"/>
      <c r="F714" s="115" t="n"/>
      <c r="G714" s="107" t="n"/>
      <c r="H714" s="107" t="n"/>
      <c r="I714" s="108" t="n"/>
      <c r="J714" s="108" t="n"/>
      <c r="K714" s="108" t="n"/>
      <c r="L714" s="119">
        <f>IF($E714="","",DATE(YEAR($E714),MONTH($E714),1))</f>
        <v/>
      </c>
      <c r="M714" s="112">
        <f>IF($C714="","",IF($D714="TANIMSIZ MÜŞTERİ","HATA",IF(OR($E714="",$F714&lt;=0,$G714=""),"EKSİK",IF($E714&gt;TODAY(),"İLERİ TARİH","UYGUN"))))</f>
        <v/>
      </c>
      <c r="N714" s="6" t="n"/>
      <c r="O714" s="6" t="n"/>
    </row>
    <row r="715">
      <c r="A715" s="6" t="n"/>
      <c r="B715" s="112">
        <f>IF($C715="","","T"&amp;TEXT(ROW()-6,"00000"))</f>
        <v/>
      </c>
      <c r="C715" s="107" t="n"/>
      <c r="D715" s="113">
        <f>IF($C715="","",IFERROR(INDEX(MUSTERILER!$C$7:$C$106,MATCH($C715,MUSTERILER!$B$7:$B$106,0)),"TANIMSIZ MÜŞTERİ"))</f>
        <v/>
      </c>
      <c r="E715" s="114" t="n"/>
      <c r="F715" s="115" t="n"/>
      <c r="G715" s="107" t="n"/>
      <c r="H715" s="107" t="n"/>
      <c r="I715" s="108" t="n"/>
      <c r="J715" s="108" t="n"/>
      <c r="K715" s="108" t="n"/>
      <c r="L715" s="119">
        <f>IF($E715="","",DATE(YEAR($E715),MONTH($E715),1))</f>
        <v/>
      </c>
      <c r="M715" s="112">
        <f>IF($C715="","",IF($D715="TANIMSIZ MÜŞTERİ","HATA",IF(OR($E715="",$F715&lt;=0,$G715=""),"EKSİK",IF($E715&gt;TODAY(),"İLERİ TARİH","UYGUN"))))</f>
        <v/>
      </c>
      <c r="N715" s="6" t="n"/>
      <c r="O715" s="6" t="n"/>
    </row>
    <row r="716">
      <c r="A716" s="6" t="n"/>
      <c r="B716" s="112">
        <f>IF($C716="","","T"&amp;TEXT(ROW()-6,"00000"))</f>
        <v/>
      </c>
      <c r="C716" s="107" t="n"/>
      <c r="D716" s="113">
        <f>IF($C716="","",IFERROR(INDEX(MUSTERILER!$C$7:$C$106,MATCH($C716,MUSTERILER!$B$7:$B$106,0)),"TANIMSIZ MÜŞTERİ"))</f>
        <v/>
      </c>
      <c r="E716" s="114" t="n"/>
      <c r="F716" s="115" t="n"/>
      <c r="G716" s="107" t="n"/>
      <c r="H716" s="107" t="n"/>
      <c r="I716" s="108" t="n"/>
      <c r="J716" s="108" t="n"/>
      <c r="K716" s="108" t="n"/>
      <c r="L716" s="119">
        <f>IF($E716="","",DATE(YEAR($E716),MONTH($E716),1))</f>
        <v/>
      </c>
      <c r="M716" s="112">
        <f>IF($C716="","",IF($D716="TANIMSIZ MÜŞTERİ","HATA",IF(OR($E716="",$F716&lt;=0,$G716=""),"EKSİK",IF($E716&gt;TODAY(),"İLERİ TARİH","UYGUN"))))</f>
        <v/>
      </c>
      <c r="N716" s="6" t="n"/>
      <c r="O716" s="6" t="n"/>
    </row>
    <row r="717">
      <c r="A717" s="6" t="n"/>
      <c r="B717" s="112">
        <f>IF($C717="","","T"&amp;TEXT(ROW()-6,"00000"))</f>
        <v/>
      </c>
      <c r="C717" s="107" t="n"/>
      <c r="D717" s="113">
        <f>IF($C717="","",IFERROR(INDEX(MUSTERILER!$C$7:$C$106,MATCH($C717,MUSTERILER!$B$7:$B$106,0)),"TANIMSIZ MÜŞTERİ"))</f>
        <v/>
      </c>
      <c r="E717" s="114" t="n"/>
      <c r="F717" s="115" t="n"/>
      <c r="G717" s="107" t="n"/>
      <c r="H717" s="107" t="n"/>
      <c r="I717" s="108" t="n"/>
      <c r="J717" s="108" t="n"/>
      <c r="K717" s="108" t="n"/>
      <c r="L717" s="119">
        <f>IF($E717="","",DATE(YEAR($E717),MONTH($E717),1))</f>
        <v/>
      </c>
      <c r="M717" s="112">
        <f>IF($C717="","",IF($D717="TANIMSIZ MÜŞTERİ","HATA",IF(OR($E717="",$F717&lt;=0,$G717=""),"EKSİK",IF($E717&gt;TODAY(),"İLERİ TARİH","UYGUN"))))</f>
        <v/>
      </c>
      <c r="N717" s="6" t="n"/>
      <c r="O717" s="6" t="n"/>
    </row>
    <row r="718">
      <c r="A718" s="6" t="n"/>
      <c r="B718" s="112">
        <f>IF($C718="","","T"&amp;TEXT(ROW()-6,"00000"))</f>
        <v/>
      </c>
      <c r="C718" s="107" t="n"/>
      <c r="D718" s="113">
        <f>IF($C718="","",IFERROR(INDEX(MUSTERILER!$C$7:$C$106,MATCH($C718,MUSTERILER!$B$7:$B$106,0)),"TANIMSIZ MÜŞTERİ"))</f>
        <v/>
      </c>
      <c r="E718" s="114" t="n"/>
      <c r="F718" s="115" t="n"/>
      <c r="G718" s="107" t="n"/>
      <c r="H718" s="107" t="n"/>
      <c r="I718" s="108" t="n"/>
      <c r="J718" s="108" t="n"/>
      <c r="K718" s="108" t="n"/>
      <c r="L718" s="119">
        <f>IF($E718="","",DATE(YEAR($E718),MONTH($E718),1))</f>
        <v/>
      </c>
      <c r="M718" s="112">
        <f>IF($C718="","",IF($D718="TANIMSIZ MÜŞTERİ","HATA",IF(OR($E718="",$F718&lt;=0,$G718=""),"EKSİK",IF($E718&gt;TODAY(),"İLERİ TARİH","UYGUN"))))</f>
        <v/>
      </c>
      <c r="N718" s="6" t="n"/>
      <c r="O718" s="6" t="n"/>
    </row>
    <row r="719">
      <c r="A719" s="6" t="n"/>
      <c r="B719" s="112">
        <f>IF($C719="","","T"&amp;TEXT(ROW()-6,"00000"))</f>
        <v/>
      </c>
      <c r="C719" s="107" t="n"/>
      <c r="D719" s="113">
        <f>IF($C719="","",IFERROR(INDEX(MUSTERILER!$C$7:$C$106,MATCH($C719,MUSTERILER!$B$7:$B$106,0)),"TANIMSIZ MÜŞTERİ"))</f>
        <v/>
      </c>
      <c r="E719" s="114" t="n"/>
      <c r="F719" s="115" t="n"/>
      <c r="G719" s="107" t="n"/>
      <c r="H719" s="107" t="n"/>
      <c r="I719" s="108" t="n"/>
      <c r="J719" s="108" t="n"/>
      <c r="K719" s="108" t="n"/>
      <c r="L719" s="119">
        <f>IF($E719="","",DATE(YEAR($E719),MONTH($E719),1))</f>
        <v/>
      </c>
      <c r="M719" s="112">
        <f>IF($C719="","",IF($D719="TANIMSIZ MÜŞTERİ","HATA",IF(OR($E719="",$F719&lt;=0,$G719=""),"EKSİK",IF($E719&gt;TODAY(),"İLERİ TARİH","UYGUN"))))</f>
        <v/>
      </c>
      <c r="N719" s="6" t="n"/>
      <c r="O719" s="6" t="n"/>
    </row>
    <row r="720">
      <c r="A720" s="6" t="n"/>
      <c r="B720" s="112">
        <f>IF($C720="","","T"&amp;TEXT(ROW()-6,"00000"))</f>
        <v/>
      </c>
      <c r="C720" s="107" t="n"/>
      <c r="D720" s="113">
        <f>IF($C720="","",IFERROR(INDEX(MUSTERILER!$C$7:$C$106,MATCH($C720,MUSTERILER!$B$7:$B$106,0)),"TANIMSIZ MÜŞTERİ"))</f>
        <v/>
      </c>
      <c r="E720" s="114" t="n"/>
      <c r="F720" s="115" t="n"/>
      <c r="G720" s="107" t="n"/>
      <c r="H720" s="107" t="n"/>
      <c r="I720" s="108" t="n"/>
      <c r="J720" s="108" t="n"/>
      <c r="K720" s="108" t="n"/>
      <c r="L720" s="119">
        <f>IF($E720="","",DATE(YEAR($E720),MONTH($E720),1))</f>
        <v/>
      </c>
      <c r="M720" s="112">
        <f>IF($C720="","",IF($D720="TANIMSIZ MÜŞTERİ","HATA",IF(OR($E720="",$F720&lt;=0,$G720=""),"EKSİK",IF($E720&gt;TODAY(),"İLERİ TARİH","UYGUN"))))</f>
        <v/>
      </c>
      <c r="N720" s="6" t="n"/>
      <c r="O720" s="6" t="n"/>
    </row>
    <row r="721">
      <c r="A721" s="6" t="n"/>
      <c r="B721" s="112">
        <f>IF($C721="","","T"&amp;TEXT(ROW()-6,"00000"))</f>
        <v/>
      </c>
      <c r="C721" s="107" t="n"/>
      <c r="D721" s="113">
        <f>IF($C721="","",IFERROR(INDEX(MUSTERILER!$C$7:$C$106,MATCH($C721,MUSTERILER!$B$7:$B$106,0)),"TANIMSIZ MÜŞTERİ"))</f>
        <v/>
      </c>
      <c r="E721" s="114" t="n"/>
      <c r="F721" s="115" t="n"/>
      <c r="G721" s="107" t="n"/>
      <c r="H721" s="107" t="n"/>
      <c r="I721" s="108" t="n"/>
      <c r="J721" s="108" t="n"/>
      <c r="K721" s="108" t="n"/>
      <c r="L721" s="119">
        <f>IF($E721="","",DATE(YEAR($E721),MONTH($E721),1))</f>
        <v/>
      </c>
      <c r="M721" s="112">
        <f>IF($C721="","",IF($D721="TANIMSIZ MÜŞTERİ","HATA",IF(OR($E721="",$F721&lt;=0,$G721=""),"EKSİK",IF($E721&gt;TODAY(),"İLERİ TARİH","UYGUN"))))</f>
        <v/>
      </c>
      <c r="N721" s="6" t="n"/>
      <c r="O721" s="6" t="n"/>
    </row>
    <row r="722">
      <c r="A722" s="6" t="n"/>
      <c r="B722" s="112">
        <f>IF($C722="","","T"&amp;TEXT(ROW()-6,"00000"))</f>
        <v/>
      </c>
      <c r="C722" s="107" t="n"/>
      <c r="D722" s="113">
        <f>IF($C722="","",IFERROR(INDEX(MUSTERILER!$C$7:$C$106,MATCH($C722,MUSTERILER!$B$7:$B$106,0)),"TANIMSIZ MÜŞTERİ"))</f>
        <v/>
      </c>
      <c r="E722" s="114" t="n"/>
      <c r="F722" s="115" t="n"/>
      <c r="G722" s="107" t="n"/>
      <c r="H722" s="107" t="n"/>
      <c r="I722" s="108" t="n"/>
      <c r="J722" s="108" t="n"/>
      <c r="K722" s="108" t="n"/>
      <c r="L722" s="119">
        <f>IF($E722="","",DATE(YEAR($E722),MONTH($E722),1))</f>
        <v/>
      </c>
      <c r="M722" s="112">
        <f>IF($C722="","",IF($D722="TANIMSIZ MÜŞTERİ","HATA",IF(OR($E722="",$F722&lt;=0,$G722=""),"EKSİK",IF($E722&gt;TODAY(),"İLERİ TARİH","UYGUN"))))</f>
        <v/>
      </c>
      <c r="N722" s="6" t="n"/>
      <c r="O722" s="6" t="n"/>
    </row>
    <row r="723">
      <c r="A723" s="6" t="n"/>
      <c r="B723" s="112">
        <f>IF($C723="","","T"&amp;TEXT(ROW()-6,"00000"))</f>
        <v/>
      </c>
      <c r="C723" s="107" t="n"/>
      <c r="D723" s="113">
        <f>IF($C723="","",IFERROR(INDEX(MUSTERILER!$C$7:$C$106,MATCH($C723,MUSTERILER!$B$7:$B$106,0)),"TANIMSIZ MÜŞTERİ"))</f>
        <v/>
      </c>
      <c r="E723" s="114" t="n"/>
      <c r="F723" s="115" t="n"/>
      <c r="G723" s="107" t="n"/>
      <c r="H723" s="107" t="n"/>
      <c r="I723" s="108" t="n"/>
      <c r="J723" s="108" t="n"/>
      <c r="K723" s="108" t="n"/>
      <c r="L723" s="119">
        <f>IF($E723="","",DATE(YEAR($E723),MONTH($E723),1))</f>
        <v/>
      </c>
      <c r="M723" s="112">
        <f>IF($C723="","",IF($D723="TANIMSIZ MÜŞTERİ","HATA",IF(OR($E723="",$F723&lt;=0,$G723=""),"EKSİK",IF($E723&gt;TODAY(),"İLERİ TARİH","UYGUN"))))</f>
        <v/>
      </c>
      <c r="N723" s="6" t="n"/>
      <c r="O723" s="6" t="n"/>
    </row>
    <row r="724">
      <c r="A724" s="6" t="n"/>
      <c r="B724" s="112">
        <f>IF($C724="","","T"&amp;TEXT(ROW()-6,"00000"))</f>
        <v/>
      </c>
      <c r="C724" s="107" t="n"/>
      <c r="D724" s="113">
        <f>IF($C724="","",IFERROR(INDEX(MUSTERILER!$C$7:$C$106,MATCH($C724,MUSTERILER!$B$7:$B$106,0)),"TANIMSIZ MÜŞTERİ"))</f>
        <v/>
      </c>
      <c r="E724" s="114" t="n"/>
      <c r="F724" s="115" t="n"/>
      <c r="G724" s="107" t="n"/>
      <c r="H724" s="107" t="n"/>
      <c r="I724" s="108" t="n"/>
      <c r="J724" s="108" t="n"/>
      <c r="K724" s="108" t="n"/>
      <c r="L724" s="119">
        <f>IF($E724="","",DATE(YEAR($E724),MONTH($E724),1))</f>
        <v/>
      </c>
      <c r="M724" s="112">
        <f>IF($C724="","",IF($D724="TANIMSIZ MÜŞTERİ","HATA",IF(OR($E724="",$F724&lt;=0,$G724=""),"EKSİK",IF($E724&gt;TODAY(),"İLERİ TARİH","UYGUN"))))</f>
        <v/>
      </c>
      <c r="N724" s="6" t="n"/>
      <c r="O724" s="6" t="n"/>
    </row>
    <row r="725">
      <c r="A725" s="6" t="n"/>
      <c r="B725" s="112">
        <f>IF($C725="","","T"&amp;TEXT(ROW()-6,"00000"))</f>
        <v/>
      </c>
      <c r="C725" s="107" t="n"/>
      <c r="D725" s="113">
        <f>IF($C725="","",IFERROR(INDEX(MUSTERILER!$C$7:$C$106,MATCH($C725,MUSTERILER!$B$7:$B$106,0)),"TANIMSIZ MÜŞTERİ"))</f>
        <v/>
      </c>
      <c r="E725" s="114" t="n"/>
      <c r="F725" s="115" t="n"/>
      <c r="G725" s="107" t="n"/>
      <c r="H725" s="107" t="n"/>
      <c r="I725" s="108" t="n"/>
      <c r="J725" s="108" t="n"/>
      <c r="K725" s="108" t="n"/>
      <c r="L725" s="119">
        <f>IF($E725="","",DATE(YEAR($E725),MONTH($E725),1))</f>
        <v/>
      </c>
      <c r="M725" s="112">
        <f>IF($C725="","",IF($D725="TANIMSIZ MÜŞTERİ","HATA",IF(OR($E725="",$F725&lt;=0,$G725=""),"EKSİK",IF($E725&gt;TODAY(),"İLERİ TARİH","UYGUN"))))</f>
        <v/>
      </c>
      <c r="N725" s="6" t="n"/>
      <c r="O725" s="6" t="n"/>
    </row>
    <row r="726">
      <c r="A726" s="6" t="n"/>
      <c r="B726" s="112">
        <f>IF($C726="","","T"&amp;TEXT(ROW()-6,"00000"))</f>
        <v/>
      </c>
      <c r="C726" s="107" t="n"/>
      <c r="D726" s="113">
        <f>IF($C726="","",IFERROR(INDEX(MUSTERILER!$C$7:$C$106,MATCH($C726,MUSTERILER!$B$7:$B$106,0)),"TANIMSIZ MÜŞTERİ"))</f>
        <v/>
      </c>
      <c r="E726" s="114" t="n"/>
      <c r="F726" s="115" t="n"/>
      <c r="G726" s="107" t="n"/>
      <c r="H726" s="107" t="n"/>
      <c r="I726" s="108" t="n"/>
      <c r="J726" s="108" t="n"/>
      <c r="K726" s="108" t="n"/>
      <c r="L726" s="119">
        <f>IF($E726="","",DATE(YEAR($E726),MONTH($E726),1))</f>
        <v/>
      </c>
      <c r="M726" s="112">
        <f>IF($C726="","",IF($D726="TANIMSIZ MÜŞTERİ","HATA",IF(OR($E726="",$F726&lt;=0,$G726=""),"EKSİK",IF($E726&gt;TODAY(),"İLERİ TARİH","UYGUN"))))</f>
        <v/>
      </c>
      <c r="N726" s="6" t="n"/>
      <c r="O726" s="6" t="n"/>
    </row>
    <row r="727">
      <c r="A727" s="6" t="n"/>
      <c r="B727" s="112">
        <f>IF($C727="","","T"&amp;TEXT(ROW()-6,"00000"))</f>
        <v/>
      </c>
      <c r="C727" s="107" t="n"/>
      <c r="D727" s="113">
        <f>IF($C727="","",IFERROR(INDEX(MUSTERILER!$C$7:$C$106,MATCH($C727,MUSTERILER!$B$7:$B$106,0)),"TANIMSIZ MÜŞTERİ"))</f>
        <v/>
      </c>
      <c r="E727" s="114" t="n"/>
      <c r="F727" s="115" t="n"/>
      <c r="G727" s="107" t="n"/>
      <c r="H727" s="107" t="n"/>
      <c r="I727" s="108" t="n"/>
      <c r="J727" s="108" t="n"/>
      <c r="K727" s="108" t="n"/>
      <c r="L727" s="119">
        <f>IF($E727="","",DATE(YEAR($E727),MONTH($E727),1))</f>
        <v/>
      </c>
      <c r="M727" s="112">
        <f>IF($C727="","",IF($D727="TANIMSIZ MÜŞTERİ","HATA",IF(OR($E727="",$F727&lt;=0,$G727=""),"EKSİK",IF($E727&gt;TODAY(),"İLERİ TARİH","UYGUN"))))</f>
        <v/>
      </c>
      <c r="N727" s="6" t="n"/>
      <c r="O727" s="6" t="n"/>
    </row>
    <row r="728">
      <c r="A728" s="6" t="n"/>
      <c r="B728" s="112">
        <f>IF($C728="","","T"&amp;TEXT(ROW()-6,"00000"))</f>
        <v/>
      </c>
      <c r="C728" s="107" t="n"/>
      <c r="D728" s="113">
        <f>IF($C728="","",IFERROR(INDEX(MUSTERILER!$C$7:$C$106,MATCH($C728,MUSTERILER!$B$7:$B$106,0)),"TANIMSIZ MÜŞTERİ"))</f>
        <v/>
      </c>
      <c r="E728" s="114" t="n"/>
      <c r="F728" s="115" t="n"/>
      <c r="G728" s="107" t="n"/>
      <c r="H728" s="107" t="n"/>
      <c r="I728" s="108" t="n"/>
      <c r="J728" s="108" t="n"/>
      <c r="K728" s="108" t="n"/>
      <c r="L728" s="119">
        <f>IF($E728="","",DATE(YEAR($E728),MONTH($E728),1))</f>
        <v/>
      </c>
      <c r="M728" s="112">
        <f>IF($C728="","",IF($D728="TANIMSIZ MÜŞTERİ","HATA",IF(OR($E728="",$F728&lt;=0,$G728=""),"EKSİK",IF($E728&gt;TODAY(),"İLERİ TARİH","UYGUN"))))</f>
        <v/>
      </c>
      <c r="N728" s="6" t="n"/>
      <c r="O728" s="6" t="n"/>
    </row>
    <row r="729">
      <c r="A729" s="6" t="n"/>
      <c r="B729" s="112">
        <f>IF($C729="","","T"&amp;TEXT(ROW()-6,"00000"))</f>
        <v/>
      </c>
      <c r="C729" s="107" t="n"/>
      <c r="D729" s="113">
        <f>IF($C729="","",IFERROR(INDEX(MUSTERILER!$C$7:$C$106,MATCH($C729,MUSTERILER!$B$7:$B$106,0)),"TANIMSIZ MÜŞTERİ"))</f>
        <v/>
      </c>
      <c r="E729" s="114" t="n"/>
      <c r="F729" s="115" t="n"/>
      <c r="G729" s="107" t="n"/>
      <c r="H729" s="107" t="n"/>
      <c r="I729" s="108" t="n"/>
      <c r="J729" s="108" t="n"/>
      <c r="K729" s="108" t="n"/>
      <c r="L729" s="119">
        <f>IF($E729="","",DATE(YEAR($E729),MONTH($E729),1))</f>
        <v/>
      </c>
      <c r="M729" s="112">
        <f>IF($C729="","",IF($D729="TANIMSIZ MÜŞTERİ","HATA",IF(OR($E729="",$F729&lt;=0,$G729=""),"EKSİK",IF($E729&gt;TODAY(),"İLERİ TARİH","UYGUN"))))</f>
        <v/>
      </c>
      <c r="N729" s="6" t="n"/>
      <c r="O729" s="6" t="n"/>
    </row>
    <row r="730">
      <c r="A730" s="6" t="n"/>
      <c r="B730" s="112">
        <f>IF($C730="","","T"&amp;TEXT(ROW()-6,"00000"))</f>
        <v/>
      </c>
      <c r="C730" s="107" t="n"/>
      <c r="D730" s="113">
        <f>IF($C730="","",IFERROR(INDEX(MUSTERILER!$C$7:$C$106,MATCH($C730,MUSTERILER!$B$7:$B$106,0)),"TANIMSIZ MÜŞTERİ"))</f>
        <v/>
      </c>
      <c r="E730" s="114" t="n"/>
      <c r="F730" s="115" t="n"/>
      <c r="G730" s="107" t="n"/>
      <c r="H730" s="107" t="n"/>
      <c r="I730" s="108" t="n"/>
      <c r="J730" s="108" t="n"/>
      <c r="K730" s="108" t="n"/>
      <c r="L730" s="119">
        <f>IF($E730="","",DATE(YEAR($E730),MONTH($E730),1))</f>
        <v/>
      </c>
      <c r="M730" s="112">
        <f>IF($C730="","",IF($D730="TANIMSIZ MÜŞTERİ","HATA",IF(OR($E730="",$F730&lt;=0,$G730=""),"EKSİK",IF($E730&gt;TODAY(),"İLERİ TARİH","UYGUN"))))</f>
        <v/>
      </c>
      <c r="N730" s="6" t="n"/>
      <c r="O730" s="6" t="n"/>
    </row>
    <row r="731">
      <c r="A731" s="6" t="n"/>
      <c r="B731" s="112">
        <f>IF($C731="","","T"&amp;TEXT(ROW()-6,"00000"))</f>
        <v/>
      </c>
      <c r="C731" s="107" t="n"/>
      <c r="D731" s="113">
        <f>IF($C731="","",IFERROR(INDEX(MUSTERILER!$C$7:$C$106,MATCH($C731,MUSTERILER!$B$7:$B$106,0)),"TANIMSIZ MÜŞTERİ"))</f>
        <v/>
      </c>
      <c r="E731" s="114" t="n"/>
      <c r="F731" s="115" t="n"/>
      <c r="G731" s="107" t="n"/>
      <c r="H731" s="107" t="n"/>
      <c r="I731" s="108" t="n"/>
      <c r="J731" s="108" t="n"/>
      <c r="K731" s="108" t="n"/>
      <c r="L731" s="119">
        <f>IF($E731="","",DATE(YEAR($E731),MONTH($E731),1))</f>
        <v/>
      </c>
      <c r="M731" s="112">
        <f>IF($C731="","",IF($D731="TANIMSIZ MÜŞTERİ","HATA",IF(OR($E731="",$F731&lt;=0,$G731=""),"EKSİK",IF($E731&gt;TODAY(),"İLERİ TARİH","UYGUN"))))</f>
        <v/>
      </c>
      <c r="N731" s="6" t="n"/>
      <c r="O731" s="6" t="n"/>
    </row>
    <row r="732">
      <c r="A732" s="6" t="n"/>
      <c r="B732" s="112">
        <f>IF($C732="","","T"&amp;TEXT(ROW()-6,"00000"))</f>
        <v/>
      </c>
      <c r="C732" s="107" t="n"/>
      <c r="D732" s="113">
        <f>IF($C732="","",IFERROR(INDEX(MUSTERILER!$C$7:$C$106,MATCH($C732,MUSTERILER!$B$7:$B$106,0)),"TANIMSIZ MÜŞTERİ"))</f>
        <v/>
      </c>
      <c r="E732" s="114" t="n"/>
      <c r="F732" s="115" t="n"/>
      <c r="G732" s="107" t="n"/>
      <c r="H732" s="107" t="n"/>
      <c r="I732" s="108" t="n"/>
      <c r="J732" s="108" t="n"/>
      <c r="K732" s="108" t="n"/>
      <c r="L732" s="119">
        <f>IF($E732="","",DATE(YEAR($E732),MONTH($E732),1))</f>
        <v/>
      </c>
      <c r="M732" s="112">
        <f>IF($C732="","",IF($D732="TANIMSIZ MÜŞTERİ","HATA",IF(OR($E732="",$F732&lt;=0,$G732=""),"EKSİK",IF($E732&gt;TODAY(),"İLERİ TARİH","UYGUN"))))</f>
        <v/>
      </c>
      <c r="N732" s="6" t="n"/>
      <c r="O732" s="6" t="n"/>
    </row>
    <row r="733">
      <c r="A733" s="6" t="n"/>
      <c r="B733" s="112">
        <f>IF($C733="","","T"&amp;TEXT(ROW()-6,"00000"))</f>
        <v/>
      </c>
      <c r="C733" s="107" t="n"/>
      <c r="D733" s="113">
        <f>IF($C733="","",IFERROR(INDEX(MUSTERILER!$C$7:$C$106,MATCH($C733,MUSTERILER!$B$7:$B$106,0)),"TANIMSIZ MÜŞTERİ"))</f>
        <v/>
      </c>
      <c r="E733" s="114" t="n"/>
      <c r="F733" s="115" t="n"/>
      <c r="G733" s="107" t="n"/>
      <c r="H733" s="107" t="n"/>
      <c r="I733" s="108" t="n"/>
      <c r="J733" s="108" t="n"/>
      <c r="K733" s="108" t="n"/>
      <c r="L733" s="119">
        <f>IF($E733="","",DATE(YEAR($E733),MONTH($E733),1))</f>
        <v/>
      </c>
      <c r="M733" s="112">
        <f>IF($C733="","",IF($D733="TANIMSIZ MÜŞTERİ","HATA",IF(OR($E733="",$F733&lt;=0,$G733=""),"EKSİK",IF($E733&gt;TODAY(),"İLERİ TARİH","UYGUN"))))</f>
        <v/>
      </c>
      <c r="N733" s="6" t="n"/>
      <c r="O733" s="6" t="n"/>
    </row>
    <row r="734">
      <c r="A734" s="6" t="n"/>
      <c r="B734" s="112">
        <f>IF($C734="","","T"&amp;TEXT(ROW()-6,"00000"))</f>
        <v/>
      </c>
      <c r="C734" s="107" t="n"/>
      <c r="D734" s="113">
        <f>IF($C734="","",IFERROR(INDEX(MUSTERILER!$C$7:$C$106,MATCH($C734,MUSTERILER!$B$7:$B$106,0)),"TANIMSIZ MÜŞTERİ"))</f>
        <v/>
      </c>
      <c r="E734" s="114" t="n"/>
      <c r="F734" s="115" t="n"/>
      <c r="G734" s="107" t="n"/>
      <c r="H734" s="107" t="n"/>
      <c r="I734" s="108" t="n"/>
      <c r="J734" s="108" t="n"/>
      <c r="K734" s="108" t="n"/>
      <c r="L734" s="119">
        <f>IF($E734="","",DATE(YEAR($E734),MONTH($E734),1))</f>
        <v/>
      </c>
      <c r="M734" s="112">
        <f>IF($C734="","",IF($D734="TANIMSIZ MÜŞTERİ","HATA",IF(OR($E734="",$F734&lt;=0,$G734=""),"EKSİK",IF($E734&gt;TODAY(),"İLERİ TARİH","UYGUN"))))</f>
        <v/>
      </c>
      <c r="N734" s="6" t="n"/>
      <c r="O734" s="6" t="n"/>
    </row>
    <row r="735">
      <c r="A735" s="6" t="n"/>
      <c r="B735" s="112">
        <f>IF($C735="","","T"&amp;TEXT(ROW()-6,"00000"))</f>
        <v/>
      </c>
      <c r="C735" s="107" t="n"/>
      <c r="D735" s="113">
        <f>IF($C735="","",IFERROR(INDEX(MUSTERILER!$C$7:$C$106,MATCH($C735,MUSTERILER!$B$7:$B$106,0)),"TANIMSIZ MÜŞTERİ"))</f>
        <v/>
      </c>
      <c r="E735" s="114" t="n"/>
      <c r="F735" s="115" t="n"/>
      <c r="G735" s="107" t="n"/>
      <c r="H735" s="107" t="n"/>
      <c r="I735" s="108" t="n"/>
      <c r="J735" s="108" t="n"/>
      <c r="K735" s="108" t="n"/>
      <c r="L735" s="119">
        <f>IF($E735="","",DATE(YEAR($E735),MONTH($E735),1))</f>
        <v/>
      </c>
      <c r="M735" s="112">
        <f>IF($C735="","",IF($D735="TANIMSIZ MÜŞTERİ","HATA",IF(OR($E735="",$F735&lt;=0,$G735=""),"EKSİK",IF($E735&gt;TODAY(),"İLERİ TARİH","UYGUN"))))</f>
        <v/>
      </c>
      <c r="N735" s="6" t="n"/>
      <c r="O735" s="6" t="n"/>
    </row>
    <row r="736">
      <c r="A736" s="6" t="n"/>
      <c r="B736" s="112">
        <f>IF($C736="","","T"&amp;TEXT(ROW()-6,"00000"))</f>
        <v/>
      </c>
      <c r="C736" s="107" t="n"/>
      <c r="D736" s="113">
        <f>IF($C736="","",IFERROR(INDEX(MUSTERILER!$C$7:$C$106,MATCH($C736,MUSTERILER!$B$7:$B$106,0)),"TANIMSIZ MÜŞTERİ"))</f>
        <v/>
      </c>
      <c r="E736" s="114" t="n"/>
      <c r="F736" s="115" t="n"/>
      <c r="G736" s="107" t="n"/>
      <c r="H736" s="107" t="n"/>
      <c r="I736" s="108" t="n"/>
      <c r="J736" s="108" t="n"/>
      <c r="K736" s="108" t="n"/>
      <c r="L736" s="119">
        <f>IF($E736="","",DATE(YEAR($E736),MONTH($E736),1))</f>
        <v/>
      </c>
      <c r="M736" s="112">
        <f>IF($C736="","",IF($D736="TANIMSIZ MÜŞTERİ","HATA",IF(OR($E736="",$F736&lt;=0,$G736=""),"EKSİK",IF($E736&gt;TODAY(),"İLERİ TARİH","UYGUN"))))</f>
        <v/>
      </c>
      <c r="N736" s="6" t="n"/>
      <c r="O736" s="6" t="n"/>
    </row>
    <row r="737">
      <c r="A737" s="6" t="n"/>
      <c r="B737" s="112">
        <f>IF($C737="","","T"&amp;TEXT(ROW()-6,"00000"))</f>
        <v/>
      </c>
      <c r="C737" s="107" t="n"/>
      <c r="D737" s="113">
        <f>IF($C737="","",IFERROR(INDEX(MUSTERILER!$C$7:$C$106,MATCH($C737,MUSTERILER!$B$7:$B$106,0)),"TANIMSIZ MÜŞTERİ"))</f>
        <v/>
      </c>
      <c r="E737" s="114" t="n"/>
      <c r="F737" s="115" t="n"/>
      <c r="G737" s="107" t="n"/>
      <c r="H737" s="107" t="n"/>
      <c r="I737" s="108" t="n"/>
      <c r="J737" s="108" t="n"/>
      <c r="K737" s="108" t="n"/>
      <c r="L737" s="119">
        <f>IF($E737="","",DATE(YEAR($E737),MONTH($E737),1))</f>
        <v/>
      </c>
      <c r="M737" s="112">
        <f>IF($C737="","",IF($D737="TANIMSIZ MÜŞTERİ","HATA",IF(OR($E737="",$F737&lt;=0,$G737=""),"EKSİK",IF($E737&gt;TODAY(),"İLERİ TARİH","UYGUN"))))</f>
        <v/>
      </c>
      <c r="N737" s="6" t="n"/>
      <c r="O737" s="6" t="n"/>
    </row>
    <row r="738">
      <c r="A738" s="6" t="n"/>
      <c r="B738" s="112">
        <f>IF($C738="","","T"&amp;TEXT(ROW()-6,"00000"))</f>
        <v/>
      </c>
      <c r="C738" s="107" t="n"/>
      <c r="D738" s="113">
        <f>IF($C738="","",IFERROR(INDEX(MUSTERILER!$C$7:$C$106,MATCH($C738,MUSTERILER!$B$7:$B$106,0)),"TANIMSIZ MÜŞTERİ"))</f>
        <v/>
      </c>
      <c r="E738" s="114" t="n"/>
      <c r="F738" s="115" t="n"/>
      <c r="G738" s="107" t="n"/>
      <c r="H738" s="107" t="n"/>
      <c r="I738" s="108" t="n"/>
      <c r="J738" s="108" t="n"/>
      <c r="K738" s="108" t="n"/>
      <c r="L738" s="119">
        <f>IF($E738="","",DATE(YEAR($E738),MONTH($E738),1))</f>
        <v/>
      </c>
      <c r="M738" s="112">
        <f>IF($C738="","",IF($D738="TANIMSIZ MÜŞTERİ","HATA",IF(OR($E738="",$F738&lt;=0,$G738=""),"EKSİK",IF($E738&gt;TODAY(),"İLERİ TARİH","UYGUN"))))</f>
        <v/>
      </c>
      <c r="N738" s="6" t="n"/>
      <c r="O738" s="6" t="n"/>
    </row>
    <row r="739">
      <c r="A739" s="6" t="n"/>
      <c r="B739" s="112">
        <f>IF($C739="","","T"&amp;TEXT(ROW()-6,"00000"))</f>
        <v/>
      </c>
      <c r="C739" s="107" t="n"/>
      <c r="D739" s="113">
        <f>IF($C739="","",IFERROR(INDEX(MUSTERILER!$C$7:$C$106,MATCH($C739,MUSTERILER!$B$7:$B$106,0)),"TANIMSIZ MÜŞTERİ"))</f>
        <v/>
      </c>
      <c r="E739" s="114" t="n"/>
      <c r="F739" s="115" t="n"/>
      <c r="G739" s="107" t="n"/>
      <c r="H739" s="107" t="n"/>
      <c r="I739" s="108" t="n"/>
      <c r="J739" s="108" t="n"/>
      <c r="K739" s="108" t="n"/>
      <c r="L739" s="119">
        <f>IF($E739="","",DATE(YEAR($E739),MONTH($E739),1))</f>
        <v/>
      </c>
      <c r="M739" s="112">
        <f>IF($C739="","",IF($D739="TANIMSIZ MÜŞTERİ","HATA",IF(OR($E739="",$F739&lt;=0,$G739=""),"EKSİK",IF($E739&gt;TODAY(),"İLERİ TARİH","UYGUN"))))</f>
        <v/>
      </c>
      <c r="N739" s="6" t="n"/>
      <c r="O739" s="6" t="n"/>
    </row>
    <row r="740">
      <c r="A740" s="6" t="n"/>
      <c r="B740" s="112">
        <f>IF($C740="","","T"&amp;TEXT(ROW()-6,"00000"))</f>
        <v/>
      </c>
      <c r="C740" s="107" t="n"/>
      <c r="D740" s="113">
        <f>IF($C740="","",IFERROR(INDEX(MUSTERILER!$C$7:$C$106,MATCH($C740,MUSTERILER!$B$7:$B$106,0)),"TANIMSIZ MÜŞTERİ"))</f>
        <v/>
      </c>
      <c r="E740" s="114" t="n"/>
      <c r="F740" s="115" t="n"/>
      <c r="G740" s="107" t="n"/>
      <c r="H740" s="107" t="n"/>
      <c r="I740" s="108" t="n"/>
      <c r="J740" s="108" t="n"/>
      <c r="K740" s="108" t="n"/>
      <c r="L740" s="119">
        <f>IF($E740="","",DATE(YEAR($E740),MONTH($E740),1))</f>
        <v/>
      </c>
      <c r="M740" s="112">
        <f>IF($C740="","",IF($D740="TANIMSIZ MÜŞTERİ","HATA",IF(OR($E740="",$F740&lt;=0,$G740=""),"EKSİK",IF($E740&gt;TODAY(),"İLERİ TARİH","UYGUN"))))</f>
        <v/>
      </c>
      <c r="N740" s="6" t="n"/>
      <c r="O740" s="6" t="n"/>
    </row>
    <row r="741">
      <c r="A741" s="6" t="n"/>
      <c r="B741" s="112">
        <f>IF($C741="","","T"&amp;TEXT(ROW()-6,"00000"))</f>
        <v/>
      </c>
      <c r="C741" s="107" t="n"/>
      <c r="D741" s="113">
        <f>IF($C741="","",IFERROR(INDEX(MUSTERILER!$C$7:$C$106,MATCH($C741,MUSTERILER!$B$7:$B$106,0)),"TANIMSIZ MÜŞTERİ"))</f>
        <v/>
      </c>
      <c r="E741" s="114" t="n"/>
      <c r="F741" s="115" t="n"/>
      <c r="G741" s="107" t="n"/>
      <c r="H741" s="107" t="n"/>
      <c r="I741" s="108" t="n"/>
      <c r="J741" s="108" t="n"/>
      <c r="K741" s="108" t="n"/>
      <c r="L741" s="119">
        <f>IF($E741="","",DATE(YEAR($E741),MONTH($E741),1))</f>
        <v/>
      </c>
      <c r="M741" s="112">
        <f>IF($C741="","",IF($D741="TANIMSIZ MÜŞTERİ","HATA",IF(OR($E741="",$F741&lt;=0,$G741=""),"EKSİK",IF($E741&gt;TODAY(),"İLERİ TARİH","UYGUN"))))</f>
        <v/>
      </c>
      <c r="N741" s="6" t="n"/>
      <c r="O741" s="6" t="n"/>
    </row>
    <row r="742">
      <c r="A742" s="6" t="n"/>
      <c r="B742" s="112">
        <f>IF($C742="","","T"&amp;TEXT(ROW()-6,"00000"))</f>
        <v/>
      </c>
      <c r="C742" s="107" t="n"/>
      <c r="D742" s="113">
        <f>IF($C742="","",IFERROR(INDEX(MUSTERILER!$C$7:$C$106,MATCH($C742,MUSTERILER!$B$7:$B$106,0)),"TANIMSIZ MÜŞTERİ"))</f>
        <v/>
      </c>
      <c r="E742" s="114" t="n"/>
      <c r="F742" s="115" t="n"/>
      <c r="G742" s="107" t="n"/>
      <c r="H742" s="107" t="n"/>
      <c r="I742" s="108" t="n"/>
      <c r="J742" s="108" t="n"/>
      <c r="K742" s="108" t="n"/>
      <c r="L742" s="119">
        <f>IF($E742="","",DATE(YEAR($E742),MONTH($E742),1))</f>
        <v/>
      </c>
      <c r="M742" s="112">
        <f>IF($C742="","",IF($D742="TANIMSIZ MÜŞTERİ","HATA",IF(OR($E742="",$F742&lt;=0,$G742=""),"EKSİK",IF($E742&gt;TODAY(),"İLERİ TARİH","UYGUN"))))</f>
        <v/>
      </c>
      <c r="N742" s="6" t="n"/>
      <c r="O742" s="6" t="n"/>
    </row>
    <row r="743">
      <c r="A743" s="6" t="n"/>
      <c r="B743" s="112">
        <f>IF($C743="","","T"&amp;TEXT(ROW()-6,"00000"))</f>
        <v/>
      </c>
      <c r="C743" s="107" t="n"/>
      <c r="D743" s="113">
        <f>IF($C743="","",IFERROR(INDEX(MUSTERILER!$C$7:$C$106,MATCH($C743,MUSTERILER!$B$7:$B$106,0)),"TANIMSIZ MÜŞTERİ"))</f>
        <v/>
      </c>
      <c r="E743" s="114" t="n"/>
      <c r="F743" s="115" t="n"/>
      <c r="G743" s="107" t="n"/>
      <c r="H743" s="107" t="n"/>
      <c r="I743" s="108" t="n"/>
      <c r="J743" s="108" t="n"/>
      <c r="K743" s="108" t="n"/>
      <c r="L743" s="119">
        <f>IF($E743="","",DATE(YEAR($E743),MONTH($E743),1))</f>
        <v/>
      </c>
      <c r="M743" s="112">
        <f>IF($C743="","",IF($D743="TANIMSIZ MÜŞTERİ","HATA",IF(OR($E743="",$F743&lt;=0,$G743=""),"EKSİK",IF($E743&gt;TODAY(),"İLERİ TARİH","UYGUN"))))</f>
        <v/>
      </c>
      <c r="N743" s="6" t="n"/>
      <c r="O743" s="6" t="n"/>
    </row>
    <row r="744">
      <c r="A744" s="6" t="n"/>
      <c r="B744" s="112">
        <f>IF($C744="","","T"&amp;TEXT(ROW()-6,"00000"))</f>
        <v/>
      </c>
      <c r="C744" s="107" t="n"/>
      <c r="D744" s="113">
        <f>IF($C744="","",IFERROR(INDEX(MUSTERILER!$C$7:$C$106,MATCH($C744,MUSTERILER!$B$7:$B$106,0)),"TANIMSIZ MÜŞTERİ"))</f>
        <v/>
      </c>
      <c r="E744" s="114" t="n"/>
      <c r="F744" s="115" t="n"/>
      <c r="G744" s="107" t="n"/>
      <c r="H744" s="107" t="n"/>
      <c r="I744" s="108" t="n"/>
      <c r="J744" s="108" t="n"/>
      <c r="K744" s="108" t="n"/>
      <c r="L744" s="119">
        <f>IF($E744="","",DATE(YEAR($E744),MONTH($E744),1))</f>
        <v/>
      </c>
      <c r="M744" s="112">
        <f>IF($C744="","",IF($D744="TANIMSIZ MÜŞTERİ","HATA",IF(OR($E744="",$F744&lt;=0,$G744=""),"EKSİK",IF($E744&gt;TODAY(),"İLERİ TARİH","UYGUN"))))</f>
        <v/>
      </c>
      <c r="N744" s="6" t="n"/>
      <c r="O744" s="6" t="n"/>
    </row>
    <row r="745">
      <c r="A745" s="6" t="n"/>
      <c r="B745" s="112">
        <f>IF($C745="","","T"&amp;TEXT(ROW()-6,"00000"))</f>
        <v/>
      </c>
      <c r="C745" s="107" t="n"/>
      <c r="D745" s="113">
        <f>IF($C745="","",IFERROR(INDEX(MUSTERILER!$C$7:$C$106,MATCH($C745,MUSTERILER!$B$7:$B$106,0)),"TANIMSIZ MÜŞTERİ"))</f>
        <v/>
      </c>
      <c r="E745" s="114" t="n"/>
      <c r="F745" s="115" t="n"/>
      <c r="G745" s="107" t="n"/>
      <c r="H745" s="107" t="n"/>
      <c r="I745" s="108" t="n"/>
      <c r="J745" s="108" t="n"/>
      <c r="K745" s="108" t="n"/>
      <c r="L745" s="119">
        <f>IF($E745="","",DATE(YEAR($E745),MONTH($E745),1))</f>
        <v/>
      </c>
      <c r="M745" s="112">
        <f>IF($C745="","",IF($D745="TANIMSIZ MÜŞTERİ","HATA",IF(OR($E745="",$F745&lt;=0,$G745=""),"EKSİK",IF($E745&gt;TODAY(),"İLERİ TARİH","UYGUN"))))</f>
        <v/>
      </c>
      <c r="N745" s="6" t="n"/>
      <c r="O745" s="6" t="n"/>
    </row>
    <row r="746">
      <c r="A746" s="6" t="n"/>
      <c r="B746" s="112">
        <f>IF($C746="","","T"&amp;TEXT(ROW()-6,"00000"))</f>
        <v/>
      </c>
      <c r="C746" s="107" t="n"/>
      <c r="D746" s="113">
        <f>IF($C746="","",IFERROR(INDEX(MUSTERILER!$C$7:$C$106,MATCH($C746,MUSTERILER!$B$7:$B$106,0)),"TANIMSIZ MÜŞTERİ"))</f>
        <v/>
      </c>
      <c r="E746" s="114" t="n"/>
      <c r="F746" s="115" t="n"/>
      <c r="G746" s="107" t="n"/>
      <c r="H746" s="107" t="n"/>
      <c r="I746" s="108" t="n"/>
      <c r="J746" s="108" t="n"/>
      <c r="K746" s="108" t="n"/>
      <c r="L746" s="119">
        <f>IF($E746="","",DATE(YEAR($E746),MONTH($E746),1))</f>
        <v/>
      </c>
      <c r="M746" s="112">
        <f>IF($C746="","",IF($D746="TANIMSIZ MÜŞTERİ","HATA",IF(OR($E746="",$F746&lt;=0,$G746=""),"EKSİK",IF($E746&gt;TODAY(),"İLERİ TARİH","UYGUN"))))</f>
        <v/>
      </c>
      <c r="N746" s="6" t="n"/>
      <c r="O746" s="6" t="n"/>
    </row>
    <row r="747">
      <c r="A747" s="6" t="n"/>
      <c r="B747" s="112">
        <f>IF($C747="","","T"&amp;TEXT(ROW()-6,"00000"))</f>
        <v/>
      </c>
      <c r="C747" s="107" t="n"/>
      <c r="D747" s="113">
        <f>IF($C747="","",IFERROR(INDEX(MUSTERILER!$C$7:$C$106,MATCH($C747,MUSTERILER!$B$7:$B$106,0)),"TANIMSIZ MÜŞTERİ"))</f>
        <v/>
      </c>
      <c r="E747" s="114" t="n"/>
      <c r="F747" s="115" t="n"/>
      <c r="G747" s="107" t="n"/>
      <c r="H747" s="107" t="n"/>
      <c r="I747" s="108" t="n"/>
      <c r="J747" s="108" t="n"/>
      <c r="K747" s="108" t="n"/>
      <c r="L747" s="119">
        <f>IF($E747="","",DATE(YEAR($E747),MONTH($E747),1))</f>
        <v/>
      </c>
      <c r="M747" s="112">
        <f>IF($C747="","",IF($D747="TANIMSIZ MÜŞTERİ","HATA",IF(OR($E747="",$F747&lt;=0,$G747=""),"EKSİK",IF($E747&gt;TODAY(),"İLERİ TARİH","UYGUN"))))</f>
        <v/>
      </c>
      <c r="N747" s="6" t="n"/>
      <c r="O747" s="6" t="n"/>
    </row>
    <row r="748">
      <c r="A748" s="6" t="n"/>
      <c r="B748" s="112">
        <f>IF($C748="","","T"&amp;TEXT(ROW()-6,"00000"))</f>
        <v/>
      </c>
      <c r="C748" s="107" t="n"/>
      <c r="D748" s="113">
        <f>IF($C748="","",IFERROR(INDEX(MUSTERILER!$C$7:$C$106,MATCH($C748,MUSTERILER!$B$7:$B$106,0)),"TANIMSIZ MÜŞTERİ"))</f>
        <v/>
      </c>
      <c r="E748" s="114" t="n"/>
      <c r="F748" s="115" t="n"/>
      <c r="G748" s="107" t="n"/>
      <c r="H748" s="107" t="n"/>
      <c r="I748" s="108" t="n"/>
      <c r="J748" s="108" t="n"/>
      <c r="K748" s="108" t="n"/>
      <c r="L748" s="119">
        <f>IF($E748="","",DATE(YEAR($E748),MONTH($E748),1))</f>
        <v/>
      </c>
      <c r="M748" s="112">
        <f>IF($C748="","",IF($D748="TANIMSIZ MÜŞTERİ","HATA",IF(OR($E748="",$F748&lt;=0,$G748=""),"EKSİK",IF($E748&gt;TODAY(),"İLERİ TARİH","UYGUN"))))</f>
        <v/>
      </c>
      <c r="N748" s="6" t="n"/>
      <c r="O748" s="6" t="n"/>
    </row>
    <row r="749">
      <c r="A749" s="6" t="n"/>
      <c r="B749" s="112">
        <f>IF($C749="","","T"&amp;TEXT(ROW()-6,"00000"))</f>
        <v/>
      </c>
      <c r="C749" s="107" t="n"/>
      <c r="D749" s="113">
        <f>IF($C749="","",IFERROR(INDEX(MUSTERILER!$C$7:$C$106,MATCH($C749,MUSTERILER!$B$7:$B$106,0)),"TANIMSIZ MÜŞTERİ"))</f>
        <v/>
      </c>
      <c r="E749" s="114" t="n"/>
      <c r="F749" s="115" t="n"/>
      <c r="G749" s="107" t="n"/>
      <c r="H749" s="107" t="n"/>
      <c r="I749" s="108" t="n"/>
      <c r="J749" s="108" t="n"/>
      <c r="K749" s="108" t="n"/>
      <c r="L749" s="119">
        <f>IF($E749="","",DATE(YEAR($E749),MONTH($E749),1))</f>
        <v/>
      </c>
      <c r="M749" s="112">
        <f>IF($C749="","",IF($D749="TANIMSIZ MÜŞTERİ","HATA",IF(OR($E749="",$F749&lt;=0,$G749=""),"EKSİK",IF($E749&gt;TODAY(),"İLERİ TARİH","UYGUN"))))</f>
        <v/>
      </c>
      <c r="N749" s="6" t="n"/>
      <c r="O749" s="6" t="n"/>
    </row>
    <row r="750">
      <c r="A750" s="6" t="n"/>
      <c r="B750" s="112">
        <f>IF($C750="","","T"&amp;TEXT(ROW()-6,"00000"))</f>
        <v/>
      </c>
      <c r="C750" s="107" t="n"/>
      <c r="D750" s="113">
        <f>IF($C750="","",IFERROR(INDEX(MUSTERILER!$C$7:$C$106,MATCH($C750,MUSTERILER!$B$7:$B$106,0)),"TANIMSIZ MÜŞTERİ"))</f>
        <v/>
      </c>
      <c r="E750" s="114" t="n"/>
      <c r="F750" s="115" t="n"/>
      <c r="G750" s="107" t="n"/>
      <c r="H750" s="107" t="n"/>
      <c r="I750" s="108" t="n"/>
      <c r="J750" s="108" t="n"/>
      <c r="K750" s="108" t="n"/>
      <c r="L750" s="119">
        <f>IF($E750="","",DATE(YEAR($E750),MONTH($E750),1))</f>
        <v/>
      </c>
      <c r="M750" s="112">
        <f>IF($C750="","",IF($D750="TANIMSIZ MÜŞTERİ","HATA",IF(OR($E750="",$F750&lt;=0,$G750=""),"EKSİK",IF($E750&gt;TODAY(),"İLERİ TARİH","UYGUN"))))</f>
        <v/>
      </c>
      <c r="N750" s="6" t="n"/>
      <c r="O750" s="6" t="n"/>
    </row>
    <row r="751">
      <c r="A751" s="6" t="n"/>
      <c r="B751" s="112">
        <f>IF($C751="","","T"&amp;TEXT(ROW()-6,"00000"))</f>
        <v/>
      </c>
      <c r="C751" s="107" t="n"/>
      <c r="D751" s="113">
        <f>IF($C751="","",IFERROR(INDEX(MUSTERILER!$C$7:$C$106,MATCH($C751,MUSTERILER!$B$7:$B$106,0)),"TANIMSIZ MÜŞTERİ"))</f>
        <v/>
      </c>
      <c r="E751" s="114" t="n"/>
      <c r="F751" s="115" t="n"/>
      <c r="G751" s="107" t="n"/>
      <c r="H751" s="107" t="n"/>
      <c r="I751" s="108" t="n"/>
      <c r="J751" s="108" t="n"/>
      <c r="K751" s="108" t="n"/>
      <c r="L751" s="119">
        <f>IF($E751="","",DATE(YEAR($E751),MONTH($E751),1))</f>
        <v/>
      </c>
      <c r="M751" s="112">
        <f>IF($C751="","",IF($D751="TANIMSIZ MÜŞTERİ","HATA",IF(OR($E751="",$F751&lt;=0,$G751=""),"EKSİK",IF($E751&gt;TODAY(),"İLERİ TARİH","UYGUN"))))</f>
        <v/>
      </c>
      <c r="N751" s="6" t="n"/>
      <c r="O751" s="6" t="n"/>
    </row>
    <row r="752">
      <c r="A752" s="6" t="n"/>
      <c r="B752" s="112">
        <f>IF($C752="","","T"&amp;TEXT(ROW()-6,"00000"))</f>
        <v/>
      </c>
      <c r="C752" s="107" t="n"/>
      <c r="D752" s="113">
        <f>IF($C752="","",IFERROR(INDEX(MUSTERILER!$C$7:$C$106,MATCH($C752,MUSTERILER!$B$7:$B$106,0)),"TANIMSIZ MÜŞTERİ"))</f>
        <v/>
      </c>
      <c r="E752" s="114" t="n"/>
      <c r="F752" s="115" t="n"/>
      <c r="G752" s="107" t="n"/>
      <c r="H752" s="107" t="n"/>
      <c r="I752" s="108" t="n"/>
      <c r="J752" s="108" t="n"/>
      <c r="K752" s="108" t="n"/>
      <c r="L752" s="119">
        <f>IF($E752="","",DATE(YEAR($E752),MONTH($E752),1))</f>
        <v/>
      </c>
      <c r="M752" s="112">
        <f>IF($C752="","",IF($D752="TANIMSIZ MÜŞTERİ","HATA",IF(OR($E752="",$F752&lt;=0,$G752=""),"EKSİK",IF($E752&gt;TODAY(),"İLERİ TARİH","UYGUN"))))</f>
        <v/>
      </c>
      <c r="N752" s="6" t="n"/>
      <c r="O752" s="6" t="n"/>
    </row>
    <row r="753">
      <c r="A753" s="6" t="n"/>
      <c r="B753" s="112">
        <f>IF($C753="","","T"&amp;TEXT(ROW()-6,"00000"))</f>
        <v/>
      </c>
      <c r="C753" s="107" t="n"/>
      <c r="D753" s="113">
        <f>IF($C753="","",IFERROR(INDEX(MUSTERILER!$C$7:$C$106,MATCH($C753,MUSTERILER!$B$7:$B$106,0)),"TANIMSIZ MÜŞTERİ"))</f>
        <v/>
      </c>
      <c r="E753" s="114" t="n"/>
      <c r="F753" s="115" t="n"/>
      <c r="G753" s="107" t="n"/>
      <c r="H753" s="107" t="n"/>
      <c r="I753" s="108" t="n"/>
      <c r="J753" s="108" t="n"/>
      <c r="K753" s="108" t="n"/>
      <c r="L753" s="119">
        <f>IF($E753="","",DATE(YEAR($E753),MONTH($E753),1))</f>
        <v/>
      </c>
      <c r="M753" s="112">
        <f>IF($C753="","",IF($D753="TANIMSIZ MÜŞTERİ","HATA",IF(OR($E753="",$F753&lt;=0,$G753=""),"EKSİK",IF($E753&gt;TODAY(),"İLERİ TARİH","UYGUN"))))</f>
        <v/>
      </c>
      <c r="N753" s="6" t="n"/>
      <c r="O753" s="6" t="n"/>
    </row>
    <row r="754">
      <c r="A754" s="6" t="n"/>
      <c r="B754" s="112">
        <f>IF($C754="","","T"&amp;TEXT(ROW()-6,"00000"))</f>
        <v/>
      </c>
      <c r="C754" s="107" t="n"/>
      <c r="D754" s="113">
        <f>IF($C754="","",IFERROR(INDEX(MUSTERILER!$C$7:$C$106,MATCH($C754,MUSTERILER!$B$7:$B$106,0)),"TANIMSIZ MÜŞTERİ"))</f>
        <v/>
      </c>
      <c r="E754" s="114" t="n"/>
      <c r="F754" s="115" t="n"/>
      <c r="G754" s="107" t="n"/>
      <c r="H754" s="107" t="n"/>
      <c r="I754" s="108" t="n"/>
      <c r="J754" s="108" t="n"/>
      <c r="K754" s="108" t="n"/>
      <c r="L754" s="119">
        <f>IF($E754="","",DATE(YEAR($E754),MONTH($E754),1))</f>
        <v/>
      </c>
      <c r="M754" s="112">
        <f>IF($C754="","",IF($D754="TANIMSIZ MÜŞTERİ","HATA",IF(OR($E754="",$F754&lt;=0,$G754=""),"EKSİK",IF($E754&gt;TODAY(),"İLERİ TARİH","UYGUN"))))</f>
        <v/>
      </c>
      <c r="N754" s="6" t="n"/>
      <c r="O754" s="6" t="n"/>
    </row>
    <row r="755">
      <c r="A755" s="6" t="n"/>
      <c r="B755" s="112">
        <f>IF($C755="","","T"&amp;TEXT(ROW()-6,"00000"))</f>
        <v/>
      </c>
      <c r="C755" s="107" t="n"/>
      <c r="D755" s="113">
        <f>IF($C755="","",IFERROR(INDEX(MUSTERILER!$C$7:$C$106,MATCH($C755,MUSTERILER!$B$7:$B$106,0)),"TANIMSIZ MÜŞTERİ"))</f>
        <v/>
      </c>
      <c r="E755" s="114" t="n"/>
      <c r="F755" s="115" t="n"/>
      <c r="G755" s="107" t="n"/>
      <c r="H755" s="107" t="n"/>
      <c r="I755" s="108" t="n"/>
      <c r="J755" s="108" t="n"/>
      <c r="K755" s="108" t="n"/>
      <c r="L755" s="119">
        <f>IF($E755="","",DATE(YEAR($E755),MONTH($E755),1))</f>
        <v/>
      </c>
      <c r="M755" s="112">
        <f>IF($C755="","",IF($D755="TANIMSIZ MÜŞTERİ","HATA",IF(OR($E755="",$F755&lt;=0,$G755=""),"EKSİK",IF($E755&gt;TODAY(),"İLERİ TARİH","UYGUN"))))</f>
        <v/>
      </c>
      <c r="N755" s="6" t="n"/>
      <c r="O755" s="6" t="n"/>
    </row>
    <row r="756">
      <c r="A756" s="6" t="n"/>
      <c r="B756" s="112">
        <f>IF($C756="","","T"&amp;TEXT(ROW()-6,"00000"))</f>
        <v/>
      </c>
      <c r="C756" s="107" t="n"/>
      <c r="D756" s="113">
        <f>IF($C756="","",IFERROR(INDEX(MUSTERILER!$C$7:$C$106,MATCH($C756,MUSTERILER!$B$7:$B$106,0)),"TANIMSIZ MÜŞTERİ"))</f>
        <v/>
      </c>
      <c r="E756" s="114" t="n"/>
      <c r="F756" s="115" t="n"/>
      <c r="G756" s="107" t="n"/>
      <c r="H756" s="107" t="n"/>
      <c r="I756" s="108" t="n"/>
      <c r="J756" s="108" t="n"/>
      <c r="K756" s="108" t="n"/>
      <c r="L756" s="119">
        <f>IF($E756="","",DATE(YEAR($E756),MONTH($E756),1))</f>
        <v/>
      </c>
      <c r="M756" s="112">
        <f>IF($C756="","",IF($D756="TANIMSIZ MÜŞTERİ","HATA",IF(OR($E756="",$F756&lt;=0,$G756=""),"EKSİK",IF($E756&gt;TODAY(),"İLERİ TARİH","UYGUN"))))</f>
        <v/>
      </c>
      <c r="N756" s="6" t="n"/>
      <c r="O756" s="6" t="n"/>
    </row>
    <row r="757">
      <c r="A757" s="6" t="n"/>
      <c r="B757" s="112">
        <f>IF($C757="","","T"&amp;TEXT(ROW()-6,"00000"))</f>
        <v/>
      </c>
      <c r="C757" s="107" t="n"/>
      <c r="D757" s="113">
        <f>IF($C757="","",IFERROR(INDEX(MUSTERILER!$C$7:$C$106,MATCH($C757,MUSTERILER!$B$7:$B$106,0)),"TANIMSIZ MÜŞTERİ"))</f>
        <v/>
      </c>
      <c r="E757" s="114" t="n"/>
      <c r="F757" s="115" t="n"/>
      <c r="G757" s="107" t="n"/>
      <c r="H757" s="107" t="n"/>
      <c r="I757" s="108" t="n"/>
      <c r="J757" s="108" t="n"/>
      <c r="K757" s="108" t="n"/>
      <c r="L757" s="119">
        <f>IF($E757="","",DATE(YEAR($E757),MONTH($E757),1))</f>
        <v/>
      </c>
      <c r="M757" s="112">
        <f>IF($C757="","",IF($D757="TANIMSIZ MÜŞTERİ","HATA",IF(OR($E757="",$F757&lt;=0,$G757=""),"EKSİK",IF($E757&gt;TODAY(),"İLERİ TARİH","UYGUN"))))</f>
        <v/>
      </c>
      <c r="N757" s="6" t="n"/>
      <c r="O757" s="6" t="n"/>
    </row>
    <row r="758">
      <c r="A758" s="6" t="n"/>
      <c r="B758" s="112">
        <f>IF($C758="","","T"&amp;TEXT(ROW()-6,"00000"))</f>
        <v/>
      </c>
      <c r="C758" s="107" t="n"/>
      <c r="D758" s="113">
        <f>IF($C758="","",IFERROR(INDEX(MUSTERILER!$C$7:$C$106,MATCH($C758,MUSTERILER!$B$7:$B$106,0)),"TANIMSIZ MÜŞTERİ"))</f>
        <v/>
      </c>
      <c r="E758" s="114" t="n"/>
      <c r="F758" s="115" t="n"/>
      <c r="G758" s="107" t="n"/>
      <c r="H758" s="107" t="n"/>
      <c r="I758" s="108" t="n"/>
      <c r="J758" s="108" t="n"/>
      <c r="K758" s="108" t="n"/>
      <c r="L758" s="119">
        <f>IF($E758="","",DATE(YEAR($E758),MONTH($E758),1))</f>
        <v/>
      </c>
      <c r="M758" s="112">
        <f>IF($C758="","",IF($D758="TANIMSIZ MÜŞTERİ","HATA",IF(OR($E758="",$F758&lt;=0,$G758=""),"EKSİK",IF($E758&gt;TODAY(),"İLERİ TARİH","UYGUN"))))</f>
        <v/>
      </c>
      <c r="N758" s="6" t="n"/>
      <c r="O758" s="6" t="n"/>
    </row>
    <row r="759">
      <c r="A759" s="6" t="n"/>
      <c r="B759" s="112">
        <f>IF($C759="","","T"&amp;TEXT(ROW()-6,"00000"))</f>
        <v/>
      </c>
      <c r="C759" s="107" t="n"/>
      <c r="D759" s="113">
        <f>IF($C759="","",IFERROR(INDEX(MUSTERILER!$C$7:$C$106,MATCH($C759,MUSTERILER!$B$7:$B$106,0)),"TANIMSIZ MÜŞTERİ"))</f>
        <v/>
      </c>
      <c r="E759" s="114" t="n"/>
      <c r="F759" s="115" t="n"/>
      <c r="G759" s="107" t="n"/>
      <c r="H759" s="107" t="n"/>
      <c r="I759" s="108" t="n"/>
      <c r="J759" s="108" t="n"/>
      <c r="K759" s="108" t="n"/>
      <c r="L759" s="119">
        <f>IF($E759="","",DATE(YEAR($E759),MONTH($E759),1))</f>
        <v/>
      </c>
      <c r="M759" s="112">
        <f>IF($C759="","",IF($D759="TANIMSIZ MÜŞTERİ","HATA",IF(OR($E759="",$F759&lt;=0,$G759=""),"EKSİK",IF($E759&gt;TODAY(),"İLERİ TARİH","UYGUN"))))</f>
        <v/>
      </c>
      <c r="N759" s="6" t="n"/>
      <c r="O759" s="6" t="n"/>
    </row>
    <row r="760">
      <c r="A760" s="6" t="n"/>
      <c r="B760" s="112">
        <f>IF($C760="","","T"&amp;TEXT(ROW()-6,"00000"))</f>
        <v/>
      </c>
      <c r="C760" s="107" t="n"/>
      <c r="D760" s="113">
        <f>IF($C760="","",IFERROR(INDEX(MUSTERILER!$C$7:$C$106,MATCH($C760,MUSTERILER!$B$7:$B$106,0)),"TANIMSIZ MÜŞTERİ"))</f>
        <v/>
      </c>
      <c r="E760" s="114" t="n"/>
      <c r="F760" s="115" t="n"/>
      <c r="G760" s="107" t="n"/>
      <c r="H760" s="107" t="n"/>
      <c r="I760" s="108" t="n"/>
      <c r="J760" s="108" t="n"/>
      <c r="K760" s="108" t="n"/>
      <c r="L760" s="119">
        <f>IF($E760="","",DATE(YEAR($E760),MONTH($E760),1))</f>
        <v/>
      </c>
      <c r="M760" s="112">
        <f>IF($C760="","",IF($D760="TANIMSIZ MÜŞTERİ","HATA",IF(OR($E760="",$F760&lt;=0,$G760=""),"EKSİK",IF($E760&gt;TODAY(),"İLERİ TARİH","UYGUN"))))</f>
        <v/>
      </c>
      <c r="N760" s="6" t="n"/>
      <c r="O760" s="6" t="n"/>
    </row>
    <row r="761">
      <c r="A761" s="6" t="n"/>
      <c r="B761" s="112">
        <f>IF($C761="","","T"&amp;TEXT(ROW()-6,"00000"))</f>
        <v/>
      </c>
      <c r="C761" s="107" t="n"/>
      <c r="D761" s="113">
        <f>IF($C761="","",IFERROR(INDEX(MUSTERILER!$C$7:$C$106,MATCH($C761,MUSTERILER!$B$7:$B$106,0)),"TANIMSIZ MÜŞTERİ"))</f>
        <v/>
      </c>
      <c r="E761" s="114" t="n"/>
      <c r="F761" s="115" t="n"/>
      <c r="G761" s="107" t="n"/>
      <c r="H761" s="107" t="n"/>
      <c r="I761" s="108" t="n"/>
      <c r="J761" s="108" t="n"/>
      <c r="K761" s="108" t="n"/>
      <c r="L761" s="119">
        <f>IF($E761="","",DATE(YEAR($E761),MONTH($E761),1))</f>
        <v/>
      </c>
      <c r="M761" s="112">
        <f>IF($C761="","",IF($D761="TANIMSIZ MÜŞTERİ","HATA",IF(OR($E761="",$F761&lt;=0,$G761=""),"EKSİK",IF($E761&gt;TODAY(),"İLERİ TARİH","UYGUN"))))</f>
        <v/>
      </c>
      <c r="N761" s="6" t="n"/>
      <c r="O761" s="6" t="n"/>
    </row>
    <row r="762">
      <c r="A762" s="6" t="n"/>
      <c r="B762" s="112">
        <f>IF($C762="","","T"&amp;TEXT(ROW()-6,"00000"))</f>
        <v/>
      </c>
      <c r="C762" s="107" t="n"/>
      <c r="D762" s="113">
        <f>IF($C762="","",IFERROR(INDEX(MUSTERILER!$C$7:$C$106,MATCH($C762,MUSTERILER!$B$7:$B$106,0)),"TANIMSIZ MÜŞTERİ"))</f>
        <v/>
      </c>
      <c r="E762" s="114" t="n"/>
      <c r="F762" s="115" t="n"/>
      <c r="G762" s="107" t="n"/>
      <c r="H762" s="107" t="n"/>
      <c r="I762" s="108" t="n"/>
      <c r="J762" s="108" t="n"/>
      <c r="K762" s="108" t="n"/>
      <c r="L762" s="119">
        <f>IF($E762="","",DATE(YEAR($E762),MONTH($E762),1))</f>
        <v/>
      </c>
      <c r="M762" s="112">
        <f>IF($C762="","",IF($D762="TANIMSIZ MÜŞTERİ","HATA",IF(OR($E762="",$F762&lt;=0,$G762=""),"EKSİK",IF($E762&gt;TODAY(),"İLERİ TARİH","UYGUN"))))</f>
        <v/>
      </c>
      <c r="N762" s="6" t="n"/>
      <c r="O762" s="6" t="n"/>
    </row>
    <row r="763">
      <c r="A763" s="6" t="n"/>
      <c r="B763" s="112">
        <f>IF($C763="","","T"&amp;TEXT(ROW()-6,"00000"))</f>
        <v/>
      </c>
      <c r="C763" s="107" t="n"/>
      <c r="D763" s="113">
        <f>IF($C763="","",IFERROR(INDEX(MUSTERILER!$C$7:$C$106,MATCH($C763,MUSTERILER!$B$7:$B$106,0)),"TANIMSIZ MÜŞTERİ"))</f>
        <v/>
      </c>
      <c r="E763" s="114" t="n"/>
      <c r="F763" s="115" t="n"/>
      <c r="G763" s="107" t="n"/>
      <c r="H763" s="107" t="n"/>
      <c r="I763" s="108" t="n"/>
      <c r="J763" s="108" t="n"/>
      <c r="K763" s="108" t="n"/>
      <c r="L763" s="119">
        <f>IF($E763="","",DATE(YEAR($E763),MONTH($E763),1))</f>
        <v/>
      </c>
      <c r="M763" s="112">
        <f>IF($C763="","",IF($D763="TANIMSIZ MÜŞTERİ","HATA",IF(OR($E763="",$F763&lt;=0,$G763=""),"EKSİK",IF($E763&gt;TODAY(),"İLERİ TARİH","UYGUN"))))</f>
        <v/>
      </c>
      <c r="N763" s="6" t="n"/>
      <c r="O763" s="6" t="n"/>
    </row>
    <row r="764">
      <c r="A764" s="6" t="n"/>
      <c r="B764" s="112">
        <f>IF($C764="","","T"&amp;TEXT(ROW()-6,"00000"))</f>
        <v/>
      </c>
      <c r="C764" s="107" t="n"/>
      <c r="D764" s="113">
        <f>IF($C764="","",IFERROR(INDEX(MUSTERILER!$C$7:$C$106,MATCH($C764,MUSTERILER!$B$7:$B$106,0)),"TANIMSIZ MÜŞTERİ"))</f>
        <v/>
      </c>
      <c r="E764" s="114" t="n"/>
      <c r="F764" s="115" t="n"/>
      <c r="G764" s="107" t="n"/>
      <c r="H764" s="107" t="n"/>
      <c r="I764" s="108" t="n"/>
      <c r="J764" s="108" t="n"/>
      <c r="K764" s="108" t="n"/>
      <c r="L764" s="119">
        <f>IF($E764="","",DATE(YEAR($E764),MONTH($E764),1))</f>
        <v/>
      </c>
      <c r="M764" s="112">
        <f>IF($C764="","",IF($D764="TANIMSIZ MÜŞTERİ","HATA",IF(OR($E764="",$F764&lt;=0,$G764=""),"EKSİK",IF($E764&gt;TODAY(),"İLERİ TARİH","UYGUN"))))</f>
        <v/>
      </c>
      <c r="N764" s="6" t="n"/>
      <c r="O764" s="6" t="n"/>
    </row>
    <row r="765">
      <c r="A765" s="6" t="n"/>
      <c r="B765" s="112">
        <f>IF($C765="","","T"&amp;TEXT(ROW()-6,"00000"))</f>
        <v/>
      </c>
      <c r="C765" s="107" t="n"/>
      <c r="D765" s="113">
        <f>IF($C765="","",IFERROR(INDEX(MUSTERILER!$C$7:$C$106,MATCH($C765,MUSTERILER!$B$7:$B$106,0)),"TANIMSIZ MÜŞTERİ"))</f>
        <v/>
      </c>
      <c r="E765" s="114" t="n"/>
      <c r="F765" s="115" t="n"/>
      <c r="G765" s="107" t="n"/>
      <c r="H765" s="107" t="n"/>
      <c r="I765" s="108" t="n"/>
      <c r="J765" s="108" t="n"/>
      <c r="K765" s="108" t="n"/>
      <c r="L765" s="119">
        <f>IF($E765="","",DATE(YEAR($E765),MONTH($E765),1))</f>
        <v/>
      </c>
      <c r="M765" s="112">
        <f>IF($C765="","",IF($D765="TANIMSIZ MÜŞTERİ","HATA",IF(OR($E765="",$F765&lt;=0,$G765=""),"EKSİK",IF($E765&gt;TODAY(),"İLERİ TARİH","UYGUN"))))</f>
        <v/>
      </c>
      <c r="N765" s="6" t="n"/>
      <c r="O765" s="6" t="n"/>
    </row>
    <row r="766">
      <c r="A766" s="6" t="n"/>
      <c r="B766" s="112">
        <f>IF($C766="","","T"&amp;TEXT(ROW()-6,"00000"))</f>
        <v/>
      </c>
      <c r="C766" s="107" t="n"/>
      <c r="D766" s="113">
        <f>IF($C766="","",IFERROR(INDEX(MUSTERILER!$C$7:$C$106,MATCH($C766,MUSTERILER!$B$7:$B$106,0)),"TANIMSIZ MÜŞTERİ"))</f>
        <v/>
      </c>
      <c r="E766" s="114" t="n"/>
      <c r="F766" s="115" t="n"/>
      <c r="G766" s="107" t="n"/>
      <c r="H766" s="107" t="n"/>
      <c r="I766" s="108" t="n"/>
      <c r="J766" s="108" t="n"/>
      <c r="K766" s="108" t="n"/>
      <c r="L766" s="119">
        <f>IF($E766="","",DATE(YEAR($E766),MONTH($E766),1))</f>
        <v/>
      </c>
      <c r="M766" s="112">
        <f>IF($C766="","",IF($D766="TANIMSIZ MÜŞTERİ","HATA",IF(OR($E766="",$F766&lt;=0,$G766=""),"EKSİK",IF($E766&gt;TODAY(),"İLERİ TARİH","UYGUN"))))</f>
        <v/>
      </c>
      <c r="N766" s="6" t="n"/>
      <c r="O766" s="6" t="n"/>
    </row>
    <row r="767">
      <c r="A767" s="6" t="n"/>
      <c r="B767" s="112">
        <f>IF($C767="","","T"&amp;TEXT(ROW()-6,"00000"))</f>
        <v/>
      </c>
      <c r="C767" s="107" t="n"/>
      <c r="D767" s="113">
        <f>IF($C767="","",IFERROR(INDEX(MUSTERILER!$C$7:$C$106,MATCH($C767,MUSTERILER!$B$7:$B$106,0)),"TANIMSIZ MÜŞTERİ"))</f>
        <v/>
      </c>
      <c r="E767" s="114" t="n"/>
      <c r="F767" s="115" t="n"/>
      <c r="G767" s="107" t="n"/>
      <c r="H767" s="107" t="n"/>
      <c r="I767" s="108" t="n"/>
      <c r="J767" s="108" t="n"/>
      <c r="K767" s="108" t="n"/>
      <c r="L767" s="119">
        <f>IF($E767="","",DATE(YEAR($E767),MONTH($E767),1))</f>
        <v/>
      </c>
      <c r="M767" s="112">
        <f>IF($C767="","",IF($D767="TANIMSIZ MÜŞTERİ","HATA",IF(OR($E767="",$F767&lt;=0,$G767=""),"EKSİK",IF($E767&gt;TODAY(),"İLERİ TARİH","UYGUN"))))</f>
        <v/>
      </c>
      <c r="N767" s="6" t="n"/>
      <c r="O767" s="6" t="n"/>
    </row>
    <row r="768">
      <c r="A768" s="6" t="n"/>
      <c r="B768" s="112">
        <f>IF($C768="","","T"&amp;TEXT(ROW()-6,"00000"))</f>
        <v/>
      </c>
      <c r="C768" s="107" t="n"/>
      <c r="D768" s="113">
        <f>IF($C768="","",IFERROR(INDEX(MUSTERILER!$C$7:$C$106,MATCH($C768,MUSTERILER!$B$7:$B$106,0)),"TANIMSIZ MÜŞTERİ"))</f>
        <v/>
      </c>
      <c r="E768" s="114" t="n"/>
      <c r="F768" s="115" t="n"/>
      <c r="G768" s="107" t="n"/>
      <c r="H768" s="107" t="n"/>
      <c r="I768" s="108" t="n"/>
      <c r="J768" s="108" t="n"/>
      <c r="K768" s="108" t="n"/>
      <c r="L768" s="119">
        <f>IF($E768="","",DATE(YEAR($E768),MONTH($E768),1))</f>
        <v/>
      </c>
      <c r="M768" s="112">
        <f>IF($C768="","",IF($D768="TANIMSIZ MÜŞTERİ","HATA",IF(OR($E768="",$F768&lt;=0,$G768=""),"EKSİK",IF($E768&gt;TODAY(),"İLERİ TARİH","UYGUN"))))</f>
        <v/>
      </c>
      <c r="N768" s="6" t="n"/>
      <c r="O768" s="6" t="n"/>
    </row>
    <row r="769">
      <c r="A769" s="6" t="n"/>
      <c r="B769" s="112">
        <f>IF($C769="","","T"&amp;TEXT(ROW()-6,"00000"))</f>
        <v/>
      </c>
      <c r="C769" s="107" t="n"/>
      <c r="D769" s="113">
        <f>IF($C769="","",IFERROR(INDEX(MUSTERILER!$C$7:$C$106,MATCH($C769,MUSTERILER!$B$7:$B$106,0)),"TANIMSIZ MÜŞTERİ"))</f>
        <v/>
      </c>
      <c r="E769" s="114" t="n"/>
      <c r="F769" s="115" t="n"/>
      <c r="G769" s="107" t="n"/>
      <c r="H769" s="107" t="n"/>
      <c r="I769" s="108" t="n"/>
      <c r="J769" s="108" t="n"/>
      <c r="K769" s="108" t="n"/>
      <c r="L769" s="119">
        <f>IF($E769="","",DATE(YEAR($E769),MONTH($E769),1))</f>
        <v/>
      </c>
      <c r="M769" s="112">
        <f>IF($C769="","",IF($D769="TANIMSIZ MÜŞTERİ","HATA",IF(OR($E769="",$F769&lt;=0,$G769=""),"EKSİK",IF($E769&gt;TODAY(),"İLERİ TARİH","UYGUN"))))</f>
        <v/>
      </c>
      <c r="N769" s="6" t="n"/>
      <c r="O769" s="6" t="n"/>
    </row>
    <row r="770">
      <c r="A770" s="6" t="n"/>
      <c r="B770" s="112">
        <f>IF($C770="","","T"&amp;TEXT(ROW()-6,"00000"))</f>
        <v/>
      </c>
      <c r="C770" s="107" t="n"/>
      <c r="D770" s="113">
        <f>IF($C770="","",IFERROR(INDEX(MUSTERILER!$C$7:$C$106,MATCH($C770,MUSTERILER!$B$7:$B$106,0)),"TANIMSIZ MÜŞTERİ"))</f>
        <v/>
      </c>
      <c r="E770" s="114" t="n"/>
      <c r="F770" s="115" t="n"/>
      <c r="G770" s="107" t="n"/>
      <c r="H770" s="107" t="n"/>
      <c r="I770" s="108" t="n"/>
      <c r="J770" s="108" t="n"/>
      <c r="K770" s="108" t="n"/>
      <c r="L770" s="119">
        <f>IF($E770="","",DATE(YEAR($E770),MONTH($E770),1))</f>
        <v/>
      </c>
      <c r="M770" s="112">
        <f>IF($C770="","",IF($D770="TANIMSIZ MÜŞTERİ","HATA",IF(OR($E770="",$F770&lt;=0,$G770=""),"EKSİK",IF($E770&gt;TODAY(),"İLERİ TARİH","UYGUN"))))</f>
        <v/>
      </c>
      <c r="N770" s="6" t="n"/>
      <c r="O770" s="6" t="n"/>
    </row>
    <row r="771">
      <c r="A771" s="6" t="n"/>
      <c r="B771" s="112">
        <f>IF($C771="","","T"&amp;TEXT(ROW()-6,"00000"))</f>
        <v/>
      </c>
      <c r="C771" s="107" t="n"/>
      <c r="D771" s="113">
        <f>IF($C771="","",IFERROR(INDEX(MUSTERILER!$C$7:$C$106,MATCH($C771,MUSTERILER!$B$7:$B$106,0)),"TANIMSIZ MÜŞTERİ"))</f>
        <v/>
      </c>
      <c r="E771" s="114" t="n"/>
      <c r="F771" s="115" t="n"/>
      <c r="G771" s="107" t="n"/>
      <c r="H771" s="107" t="n"/>
      <c r="I771" s="108" t="n"/>
      <c r="J771" s="108" t="n"/>
      <c r="K771" s="108" t="n"/>
      <c r="L771" s="119">
        <f>IF($E771="","",DATE(YEAR($E771),MONTH($E771),1))</f>
        <v/>
      </c>
      <c r="M771" s="112">
        <f>IF($C771="","",IF($D771="TANIMSIZ MÜŞTERİ","HATA",IF(OR($E771="",$F771&lt;=0,$G771=""),"EKSİK",IF($E771&gt;TODAY(),"İLERİ TARİH","UYGUN"))))</f>
        <v/>
      </c>
      <c r="N771" s="6" t="n"/>
      <c r="O771" s="6" t="n"/>
    </row>
    <row r="772">
      <c r="A772" s="6" t="n"/>
      <c r="B772" s="112">
        <f>IF($C772="","","T"&amp;TEXT(ROW()-6,"00000"))</f>
        <v/>
      </c>
      <c r="C772" s="107" t="n"/>
      <c r="D772" s="113">
        <f>IF($C772="","",IFERROR(INDEX(MUSTERILER!$C$7:$C$106,MATCH($C772,MUSTERILER!$B$7:$B$106,0)),"TANIMSIZ MÜŞTERİ"))</f>
        <v/>
      </c>
      <c r="E772" s="114" t="n"/>
      <c r="F772" s="115" t="n"/>
      <c r="G772" s="107" t="n"/>
      <c r="H772" s="107" t="n"/>
      <c r="I772" s="108" t="n"/>
      <c r="J772" s="108" t="n"/>
      <c r="K772" s="108" t="n"/>
      <c r="L772" s="119">
        <f>IF($E772="","",DATE(YEAR($E772),MONTH($E772),1))</f>
        <v/>
      </c>
      <c r="M772" s="112">
        <f>IF($C772="","",IF($D772="TANIMSIZ MÜŞTERİ","HATA",IF(OR($E772="",$F772&lt;=0,$G772=""),"EKSİK",IF($E772&gt;TODAY(),"İLERİ TARİH","UYGUN"))))</f>
        <v/>
      </c>
      <c r="N772" s="6" t="n"/>
      <c r="O772" s="6" t="n"/>
    </row>
    <row r="773">
      <c r="A773" s="6" t="n"/>
      <c r="B773" s="112">
        <f>IF($C773="","","T"&amp;TEXT(ROW()-6,"00000"))</f>
        <v/>
      </c>
      <c r="C773" s="107" t="n"/>
      <c r="D773" s="113">
        <f>IF($C773="","",IFERROR(INDEX(MUSTERILER!$C$7:$C$106,MATCH($C773,MUSTERILER!$B$7:$B$106,0)),"TANIMSIZ MÜŞTERİ"))</f>
        <v/>
      </c>
      <c r="E773" s="114" t="n"/>
      <c r="F773" s="115" t="n"/>
      <c r="G773" s="107" t="n"/>
      <c r="H773" s="107" t="n"/>
      <c r="I773" s="108" t="n"/>
      <c r="J773" s="108" t="n"/>
      <c r="K773" s="108" t="n"/>
      <c r="L773" s="119">
        <f>IF($E773="","",DATE(YEAR($E773),MONTH($E773),1))</f>
        <v/>
      </c>
      <c r="M773" s="112">
        <f>IF($C773="","",IF($D773="TANIMSIZ MÜŞTERİ","HATA",IF(OR($E773="",$F773&lt;=0,$G773=""),"EKSİK",IF($E773&gt;TODAY(),"İLERİ TARİH","UYGUN"))))</f>
        <v/>
      </c>
      <c r="N773" s="6" t="n"/>
      <c r="O773" s="6" t="n"/>
    </row>
    <row r="774">
      <c r="A774" s="6" t="n"/>
      <c r="B774" s="112">
        <f>IF($C774="","","T"&amp;TEXT(ROW()-6,"00000"))</f>
        <v/>
      </c>
      <c r="C774" s="107" t="n"/>
      <c r="D774" s="113">
        <f>IF($C774="","",IFERROR(INDEX(MUSTERILER!$C$7:$C$106,MATCH($C774,MUSTERILER!$B$7:$B$106,0)),"TANIMSIZ MÜŞTERİ"))</f>
        <v/>
      </c>
      <c r="E774" s="114" t="n"/>
      <c r="F774" s="115" t="n"/>
      <c r="G774" s="107" t="n"/>
      <c r="H774" s="107" t="n"/>
      <c r="I774" s="108" t="n"/>
      <c r="J774" s="108" t="n"/>
      <c r="K774" s="108" t="n"/>
      <c r="L774" s="119">
        <f>IF($E774="","",DATE(YEAR($E774),MONTH($E774),1))</f>
        <v/>
      </c>
      <c r="M774" s="112">
        <f>IF($C774="","",IF($D774="TANIMSIZ MÜŞTERİ","HATA",IF(OR($E774="",$F774&lt;=0,$G774=""),"EKSİK",IF($E774&gt;TODAY(),"İLERİ TARİH","UYGUN"))))</f>
        <v/>
      </c>
      <c r="N774" s="6" t="n"/>
      <c r="O774" s="6" t="n"/>
    </row>
    <row r="775">
      <c r="A775" s="6" t="n"/>
      <c r="B775" s="112">
        <f>IF($C775="","","T"&amp;TEXT(ROW()-6,"00000"))</f>
        <v/>
      </c>
      <c r="C775" s="107" t="n"/>
      <c r="D775" s="113">
        <f>IF($C775="","",IFERROR(INDEX(MUSTERILER!$C$7:$C$106,MATCH($C775,MUSTERILER!$B$7:$B$106,0)),"TANIMSIZ MÜŞTERİ"))</f>
        <v/>
      </c>
      <c r="E775" s="114" t="n"/>
      <c r="F775" s="115" t="n"/>
      <c r="G775" s="107" t="n"/>
      <c r="H775" s="107" t="n"/>
      <c r="I775" s="108" t="n"/>
      <c r="J775" s="108" t="n"/>
      <c r="K775" s="108" t="n"/>
      <c r="L775" s="119">
        <f>IF($E775="","",DATE(YEAR($E775),MONTH($E775),1))</f>
        <v/>
      </c>
      <c r="M775" s="112">
        <f>IF($C775="","",IF($D775="TANIMSIZ MÜŞTERİ","HATA",IF(OR($E775="",$F775&lt;=0,$G775=""),"EKSİK",IF($E775&gt;TODAY(),"İLERİ TARİH","UYGUN"))))</f>
        <v/>
      </c>
      <c r="N775" s="6" t="n"/>
      <c r="O775" s="6" t="n"/>
    </row>
    <row r="776">
      <c r="A776" s="6" t="n"/>
      <c r="B776" s="112">
        <f>IF($C776="","","T"&amp;TEXT(ROW()-6,"00000"))</f>
        <v/>
      </c>
      <c r="C776" s="107" t="n"/>
      <c r="D776" s="113">
        <f>IF($C776="","",IFERROR(INDEX(MUSTERILER!$C$7:$C$106,MATCH($C776,MUSTERILER!$B$7:$B$106,0)),"TANIMSIZ MÜŞTERİ"))</f>
        <v/>
      </c>
      <c r="E776" s="114" t="n"/>
      <c r="F776" s="115" t="n"/>
      <c r="G776" s="107" t="n"/>
      <c r="H776" s="107" t="n"/>
      <c r="I776" s="108" t="n"/>
      <c r="J776" s="108" t="n"/>
      <c r="K776" s="108" t="n"/>
      <c r="L776" s="119">
        <f>IF($E776="","",DATE(YEAR($E776),MONTH($E776),1))</f>
        <v/>
      </c>
      <c r="M776" s="112">
        <f>IF($C776="","",IF($D776="TANIMSIZ MÜŞTERİ","HATA",IF(OR($E776="",$F776&lt;=0,$G776=""),"EKSİK",IF($E776&gt;TODAY(),"İLERİ TARİH","UYGUN"))))</f>
        <v/>
      </c>
      <c r="N776" s="6" t="n"/>
      <c r="O776" s="6" t="n"/>
    </row>
    <row r="777">
      <c r="A777" s="6" t="n"/>
      <c r="B777" s="112">
        <f>IF($C777="","","T"&amp;TEXT(ROW()-6,"00000"))</f>
        <v/>
      </c>
      <c r="C777" s="107" t="n"/>
      <c r="D777" s="113">
        <f>IF($C777="","",IFERROR(INDEX(MUSTERILER!$C$7:$C$106,MATCH($C777,MUSTERILER!$B$7:$B$106,0)),"TANIMSIZ MÜŞTERİ"))</f>
        <v/>
      </c>
      <c r="E777" s="114" t="n"/>
      <c r="F777" s="115" t="n"/>
      <c r="G777" s="107" t="n"/>
      <c r="H777" s="107" t="n"/>
      <c r="I777" s="108" t="n"/>
      <c r="J777" s="108" t="n"/>
      <c r="K777" s="108" t="n"/>
      <c r="L777" s="119">
        <f>IF($E777="","",DATE(YEAR($E777),MONTH($E777),1))</f>
        <v/>
      </c>
      <c r="M777" s="112">
        <f>IF($C777="","",IF($D777="TANIMSIZ MÜŞTERİ","HATA",IF(OR($E777="",$F777&lt;=0,$G777=""),"EKSİK",IF($E777&gt;TODAY(),"İLERİ TARİH","UYGUN"))))</f>
        <v/>
      </c>
      <c r="N777" s="6" t="n"/>
      <c r="O777" s="6" t="n"/>
    </row>
    <row r="778">
      <c r="A778" s="6" t="n"/>
      <c r="B778" s="112">
        <f>IF($C778="","","T"&amp;TEXT(ROW()-6,"00000"))</f>
        <v/>
      </c>
      <c r="C778" s="107" t="n"/>
      <c r="D778" s="113">
        <f>IF($C778="","",IFERROR(INDEX(MUSTERILER!$C$7:$C$106,MATCH($C778,MUSTERILER!$B$7:$B$106,0)),"TANIMSIZ MÜŞTERİ"))</f>
        <v/>
      </c>
      <c r="E778" s="114" t="n"/>
      <c r="F778" s="115" t="n"/>
      <c r="G778" s="107" t="n"/>
      <c r="H778" s="107" t="n"/>
      <c r="I778" s="108" t="n"/>
      <c r="J778" s="108" t="n"/>
      <c r="K778" s="108" t="n"/>
      <c r="L778" s="119">
        <f>IF($E778="","",DATE(YEAR($E778),MONTH($E778),1))</f>
        <v/>
      </c>
      <c r="M778" s="112">
        <f>IF($C778="","",IF($D778="TANIMSIZ MÜŞTERİ","HATA",IF(OR($E778="",$F778&lt;=0,$G778=""),"EKSİK",IF($E778&gt;TODAY(),"İLERİ TARİH","UYGUN"))))</f>
        <v/>
      </c>
      <c r="N778" s="6" t="n"/>
      <c r="O778" s="6" t="n"/>
    </row>
    <row r="779">
      <c r="A779" s="6" t="n"/>
      <c r="B779" s="112">
        <f>IF($C779="","","T"&amp;TEXT(ROW()-6,"00000"))</f>
        <v/>
      </c>
      <c r="C779" s="107" t="n"/>
      <c r="D779" s="113">
        <f>IF($C779="","",IFERROR(INDEX(MUSTERILER!$C$7:$C$106,MATCH($C779,MUSTERILER!$B$7:$B$106,0)),"TANIMSIZ MÜŞTERİ"))</f>
        <v/>
      </c>
      <c r="E779" s="114" t="n"/>
      <c r="F779" s="115" t="n"/>
      <c r="G779" s="107" t="n"/>
      <c r="H779" s="107" t="n"/>
      <c r="I779" s="108" t="n"/>
      <c r="J779" s="108" t="n"/>
      <c r="K779" s="108" t="n"/>
      <c r="L779" s="119">
        <f>IF($E779="","",DATE(YEAR($E779),MONTH($E779),1))</f>
        <v/>
      </c>
      <c r="M779" s="112">
        <f>IF($C779="","",IF($D779="TANIMSIZ MÜŞTERİ","HATA",IF(OR($E779="",$F779&lt;=0,$G779=""),"EKSİK",IF($E779&gt;TODAY(),"İLERİ TARİH","UYGUN"))))</f>
        <v/>
      </c>
      <c r="N779" s="6" t="n"/>
      <c r="O779" s="6" t="n"/>
    </row>
    <row r="780">
      <c r="A780" s="6" t="n"/>
      <c r="B780" s="112">
        <f>IF($C780="","","T"&amp;TEXT(ROW()-6,"00000"))</f>
        <v/>
      </c>
      <c r="C780" s="107" t="n"/>
      <c r="D780" s="113">
        <f>IF($C780="","",IFERROR(INDEX(MUSTERILER!$C$7:$C$106,MATCH($C780,MUSTERILER!$B$7:$B$106,0)),"TANIMSIZ MÜŞTERİ"))</f>
        <v/>
      </c>
      <c r="E780" s="114" t="n"/>
      <c r="F780" s="115" t="n"/>
      <c r="G780" s="107" t="n"/>
      <c r="H780" s="107" t="n"/>
      <c r="I780" s="108" t="n"/>
      <c r="J780" s="108" t="n"/>
      <c r="K780" s="108" t="n"/>
      <c r="L780" s="119">
        <f>IF($E780="","",DATE(YEAR($E780),MONTH($E780),1))</f>
        <v/>
      </c>
      <c r="M780" s="112">
        <f>IF($C780="","",IF($D780="TANIMSIZ MÜŞTERİ","HATA",IF(OR($E780="",$F780&lt;=0,$G780=""),"EKSİK",IF($E780&gt;TODAY(),"İLERİ TARİH","UYGUN"))))</f>
        <v/>
      </c>
      <c r="N780" s="6" t="n"/>
      <c r="O780" s="6" t="n"/>
    </row>
    <row r="781">
      <c r="A781" s="6" t="n"/>
      <c r="B781" s="112">
        <f>IF($C781="","","T"&amp;TEXT(ROW()-6,"00000"))</f>
        <v/>
      </c>
      <c r="C781" s="107" t="n"/>
      <c r="D781" s="113">
        <f>IF($C781="","",IFERROR(INDEX(MUSTERILER!$C$7:$C$106,MATCH($C781,MUSTERILER!$B$7:$B$106,0)),"TANIMSIZ MÜŞTERİ"))</f>
        <v/>
      </c>
      <c r="E781" s="114" t="n"/>
      <c r="F781" s="115" t="n"/>
      <c r="G781" s="107" t="n"/>
      <c r="H781" s="107" t="n"/>
      <c r="I781" s="108" t="n"/>
      <c r="J781" s="108" t="n"/>
      <c r="K781" s="108" t="n"/>
      <c r="L781" s="119">
        <f>IF($E781="","",DATE(YEAR($E781),MONTH($E781),1))</f>
        <v/>
      </c>
      <c r="M781" s="112">
        <f>IF($C781="","",IF($D781="TANIMSIZ MÜŞTERİ","HATA",IF(OR($E781="",$F781&lt;=0,$G781=""),"EKSİK",IF($E781&gt;TODAY(),"İLERİ TARİH","UYGUN"))))</f>
        <v/>
      </c>
      <c r="N781" s="6" t="n"/>
      <c r="O781" s="6" t="n"/>
    </row>
    <row r="782">
      <c r="A782" s="6" t="n"/>
      <c r="B782" s="112">
        <f>IF($C782="","","T"&amp;TEXT(ROW()-6,"00000"))</f>
        <v/>
      </c>
      <c r="C782" s="107" t="n"/>
      <c r="D782" s="113">
        <f>IF($C782="","",IFERROR(INDEX(MUSTERILER!$C$7:$C$106,MATCH($C782,MUSTERILER!$B$7:$B$106,0)),"TANIMSIZ MÜŞTERİ"))</f>
        <v/>
      </c>
      <c r="E782" s="114" t="n"/>
      <c r="F782" s="115" t="n"/>
      <c r="G782" s="107" t="n"/>
      <c r="H782" s="107" t="n"/>
      <c r="I782" s="108" t="n"/>
      <c r="J782" s="108" t="n"/>
      <c r="K782" s="108" t="n"/>
      <c r="L782" s="119">
        <f>IF($E782="","",DATE(YEAR($E782),MONTH($E782),1))</f>
        <v/>
      </c>
      <c r="M782" s="112">
        <f>IF($C782="","",IF($D782="TANIMSIZ MÜŞTERİ","HATA",IF(OR($E782="",$F782&lt;=0,$G782=""),"EKSİK",IF($E782&gt;TODAY(),"İLERİ TARİH","UYGUN"))))</f>
        <v/>
      </c>
      <c r="N782" s="6" t="n"/>
      <c r="O782" s="6" t="n"/>
    </row>
    <row r="783">
      <c r="A783" s="6" t="n"/>
      <c r="B783" s="112">
        <f>IF($C783="","","T"&amp;TEXT(ROW()-6,"00000"))</f>
        <v/>
      </c>
      <c r="C783" s="107" t="n"/>
      <c r="D783" s="113">
        <f>IF($C783="","",IFERROR(INDEX(MUSTERILER!$C$7:$C$106,MATCH($C783,MUSTERILER!$B$7:$B$106,0)),"TANIMSIZ MÜŞTERİ"))</f>
        <v/>
      </c>
      <c r="E783" s="114" t="n"/>
      <c r="F783" s="115" t="n"/>
      <c r="G783" s="107" t="n"/>
      <c r="H783" s="107" t="n"/>
      <c r="I783" s="108" t="n"/>
      <c r="J783" s="108" t="n"/>
      <c r="K783" s="108" t="n"/>
      <c r="L783" s="119">
        <f>IF($E783="","",DATE(YEAR($E783),MONTH($E783),1))</f>
        <v/>
      </c>
      <c r="M783" s="112">
        <f>IF($C783="","",IF($D783="TANIMSIZ MÜŞTERİ","HATA",IF(OR($E783="",$F783&lt;=0,$G783=""),"EKSİK",IF($E783&gt;TODAY(),"İLERİ TARİH","UYGUN"))))</f>
        <v/>
      </c>
      <c r="N783" s="6" t="n"/>
      <c r="O783" s="6" t="n"/>
    </row>
    <row r="784">
      <c r="A784" s="6" t="n"/>
      <c r="B784" s="112">
        <f>IF($C784="","","T"&amp;TEXT(ROW()-6,"00000"))</f>
        <v/>
      </c>
      <c r="C784" s="107" t="n"/>
      <c r="D784" s="113">
        <f>IF($C784="","",IFERROR(INDEX(MUSTERILER!$C$7:$C$106,MATCH($C784,MUSTERILER!$B$7:$B$106,0)),"TANIMSIZ MÜŞTERİ"))</f>
        <v/>
      </c>
      <c r="E784" s="114" t="n"/>
      <c r="F784" s="115" t="n"/>
      <c r="G784" s="107" t="n"/>
      <c r="H784" s="107" t="n"/>
      <c r="I784" s="108" t="n"/>
      <c r="J784" s="108" t="n"/>
      <c r="K784" s="108" t="n"/>
      <c r="L784" s="119">
        <f>IF($E784="","",DATE(YEAR($E784),MONTH($E784),1))</f>
        <v/>
      </c>
      <c r="M784" s="112">
        <f>IF($C784="","",IF($D784="TANIMSIZ MÜŞTERİ","HATA",IF(OR($E784="",$F784&lt;=0,$G784=""),"EKSİK",IF($E784&gt;TODAY(),"İLERİ TARİH","UYGUN"))))</f>
        <v/>
      </c>
      <c r="N784" s="6" t="n"/>
      <c r="O784" s="6" t="n"/>
    </row>
    <row r="785">
      <c r="A785" s="6" t="n"/>
      <c r="B785" s="112">
        <f>IF($C785="","","T"&amp;TEXT(ROW()-6,"00000"))</f>
        <v/>
      </c>
      <c r="C785" s="107" t="n"/>
      <c r="D785" s="113">
        <f>IF($C785="","",IFERROR(INDEX(MUSTERILER!$C$7:$C$106,MATCH($C785,MUSTERILER!$B$7:$B$106,0)),"TANIMSIZ MÜŞTERİ"))</f>
        <v/>
      </c>
      <c r="E785" s="114" t="n"/>
      <c r="F785" s="115" t="n"/>
      <c r="G785" s="107" t="n"/>
      <c r="H785" s="107" t="n"/>
      <c r="I785" s="108" t="n"/>
      <c r="J785" s="108" t="n"/>
      <c r="K785" s="108" t="n"/>
      <c r="L785" s="119">
        <f>IF($E785="","",DATE(YEAR($E785),MONTH($E785),1))</f>
        <v/>
      </c>
      <c r="M785" s="112">
        <f>IF($C785="","",IF($D785="TANIMSIZ MÜŞTERİ","HATA",IF(OR($E785="",$F785&lt;=0,$G785=""),"EKSİK",IF($E785&gt;TODAY(),"İLERİ TARİH","UYGUN"))))</f>
        <v/>
      </c>
      <c r="N785" s="6" t="n"/>
      <c r="O785" s="6" t="n"/>
    </row>
    <row r="786">
      <c r="A786" s="6" t="n"/>
      <c r="B786" s="112">
        <f>IF($C786="","","T"&amp;TEXT(ROW()-6,"00000"))</f>
        <v/>
      </c>
      <c r="C786" s="107" t="n"/>
      <c r="D786" s="113">
        <f>IF($C786="","",IFERROR(INDEX(MUSTERILER!$C$7:$C$106,MATCH($C786,MUSTERILER!$B$7:$B$106,0)),"TANIMSIZ MÜŞTERİ"))</f>
        <v/>
      </c>
      <c r="E786" s="114" t="n"/>
      <c r="F786" s="115" t="n"/>
      <c r="G786" s="107" t="n"/>
      <c r="H786" s="107" t="n"/>
      <c r="I786" s="108" t="n"/>
      <c r="J786" s="108" t="n"/>
      <c r="K786" s="108" t="n"/>
      <c r="L786" s="119">
        <f>IF($E786="","",DATE(YEAR($E786),MONTH($E786),1))</f>
        <v/>
      </c>
      <c r="M786" s="112">
        <f>IF($C786="","",IF($D786="TANIMSIZ MÜŞTERİ","HATA",IF(OR($E786="",$F786&lt;=0,$G786=""),"EKSİK",IF($E786&gt;TODAY(),"İLERİ TARİH","UYGUN"))))</f>
        <v/>
      </c>
      <c r="N786" s="6" t="n"/>
      <c r="O786" s="6" t="n"/>
    </row>
    <row r="787">
      <c r="A787" s="6" t="n"/>
      <c r="B787" s="112">
        <f>IF($C787="","","T"&amp;TEXT(ROW()-6,"00000"))</f>
        <v/>
      </c>
      <c r="C787" s="107" t="n"/>
      <c r="D787" s="113">
        <f>IF($C787="","",IFERROR(INDEX(MUSTERILER!$C$7:$C$106,MATCH($C787,MUSTERILER!$B$7:$B$106,0)),"TANIMSIZ MÜŞTERİ"))</f>
        <v/>
      </c>
      <c r="E787" s="114" t="n"/>
      <c r="F787" s="115" t="n"/>
      <c r="G787" s="107" t="n"/>
      <c r="H787" s="107" t="n"/>
      <c r="I787" s="108" t="n"/>
      <c r="J787" s="108" t="n"/>
      <c r="K787" s="108" t="n"/>
      <c r="L787" s="119">
        <f>IF($E787="","",DATE(YEAR($E787),MONTH($E787),1))</f>
        <v/>
      </c>
      <c r="M787" s="112">
        <f>IF($C787="","",IF($D787="TANIMSIZ MÜŞTERİ","HATA",IF(OR($E787="",$F787&lt;=0,$G787=""),"EKSİK",IF($E787&gt;TODAY(),"İLERİ TARİH","UYGUN"))))</f>
        <v/>
      </c>
      <c r="N787" s="6" t="n"/>
      <c r="O787" s="6" t="n"/>
    </row>
    <row r="788">
      <c r="A788" s="6" t="n"/>
      <c r="B788" s="112">
        <f>IF($C788="","","T"&amp;TEXT(ROW()-6,"00000"))</f>
        <v/>
      </c>
      <c r="C788" s="107" t="n"/>
      <c r="D788" s="113">
        <f>IF($C788="","",IFERROR(INDEX(MUSTERILER!$C$7:$C$106,MATCH($C788,MUSTERILER!$B$7:$B$106,0)),"TANIMSIZ MÜŞTERİ"))</f>
        <v/>
      </c>
      <c r="E788" s="114" t="n"/>
      <c r="F788" s="115" t="n"/>
      <c r="G788" s="107" t="n"/>
      <c r="H788" s="107" t="n"/>
      <c r="I788" s="108" t="n"/>
      <c r="J788" s="108" t="n"/>
      <c r="K788" s="108" t="n"/>
      <c r="L788" s="119">
        <f>IF($E788="","",DATE(YEAR($E788),MONTH($E788),1))</f>
        <v/>
      </c>
      <c r="M788" s="112">
        <f>IF($C788="","",IF($D788="TANIMSIZ MÜŞTERİ","HATA",IF(OR($E788="",$F788&lt;=0,$G788=""),"EKSİK",IF($E788&gt;TODAY(),"İLERİ TARİH","UYGUN"))))</f>
        <v/>
      </c>
      <c r="N788" s="6" t="n"/>
      <c r="O788" s="6" t="n"/>
    </row>
    <row r="789">
      <c r="A789" s="6" t="n"/>
      <c r="B789" s="112">
        <f>IF($C789="","","T"&amp;TEXT(ROW()-6,"00000"))</f>
        <v/>
      </c>
      <c r="C789" s="107" t="n"/>
      <c r="D789" s="113">
        <f>IF($C789="","",IFERROR(INDEX(MUSTERILER!$C$7:$C$106,MATCH($C789,MUSTERILER!$B$7:$B$106,0)),"TANIMSIZ MÜŞTERİ"))</f>
        <v/>
      </c>
      <c r="E789" s="114" t="n"/>
      <c r="F789" s="115" t="n"/>
      <c r="G789" s="107" t="n"/>
      <c r="H789" s="107" t="n"/>
      <c r="I789" s="108" t="n"/>
      <c r="J789" s="108" t="n"/>
      <c r="K789" s="108" t="n"/>
      <c r="L789" s="119">
        <f>IF($E789="","",DATE(YEAR($E789),MONTH($E789),1))</f>
        <v/>
      </c>
      <c r="M789" s="112">
        <f>IF($C789="","",IF($D789="TANIMSIZ MÜŞTERİ","HATA",IF(OR($E789="",$F789&lt;=0,$G789=""),"EKSİK",IF($E789&gt;TODAY(),"İLERİ TARİH","UYGUN"))))</f>
        <v/>
      </c>
      <c r="N789" s="6" t="n"/>
      <c r="O789" s="6" t="n"/>
    </row>
    <row r="790">
      <c r="A790" s="6" t="n"/>
      <c r="B790" s="112">
        <f>IF($C790="","","T"&amp;TEXT(ROW()-6,"00000"))</f>
        <v/>
      </c>
      <c r="C790" s="107" t="n"/>
      <c r="D790" s="113">
        <f>IF($C790="","",IFERROR(INDEX(MUSTERILER!$C$7:$C$106,MATCH($C790,MUSTERILER!$B$7:$B$106,0)),"TANIMSIZ MÜŞTERİ"))</f>
        <v/>
      </c>
      <c r="E790" s="114" t="n"/>
      <c r="F790" s="115" t="n"/>
      <c r="G790" s="107" t="n"/>
      <c r="H790" s="107" t="n"/>
      <c r="I790" s="108" t="n"/>
      <c r="J790" s="108" t="n"/>
      <c r="K790" s="108" t="n"/>
      <c r="L790" s="119">
        <f>IF($E790="","",DATE(YEAR($E790),MONTH($E790),1))</f>
        <v/>
      </c>
      <c r="M790" s="112">
        <f>IF($C790="","",IF($D790="TANIMSIZ MÜŞTERİ","HATA",IF(OR($E790="",$F790&lt;=0,$G790=""),"EKSİK",IF($E790&gt;TODAY(),"İLERİ TARİH","UYGUN"))))</f>
        <v/>
      </c>
      <c r="N790" s="6" t="n"/>
      <c r="O790" s="6" t="n"/>
    </row>
    <row r="791">
      <c r="A791" s="6" t="n"/>
      <c r="B791" s="112">
        <f>IF($C791="","","T"&amp;TEXT(ROW()-6,"00000"))</f>
        <v/>
      </c>
      <c r="C791" s="107" t="n"/>
      <c r="D791" s="113">
        <f>IF($C791="","",IFERROR(INDEX(MUSTERILER!$C$7:$C$106,MATCH($C791,MUSTERILER!$B$7:$B$106,0)),"TANIMSIZ MÜŞTERİ"))</f>
        <v/>
      </c>
      <c r="E791" s="114" t="n"/>
      <c r="F791" s="115" t="n"/>
      <c r="G791" s="107" t="n"/>
      <c r="H791" s="107" t="n"/>
      <c r="I791" s="108" t="n"/>
      <c r="J791" s="108" t="n"/>
      <c r="K791" s="108" t="n"/>
      <c r="L791" s="119">
        <f>IF($E791="","",DATE(YEAR($E791),MONTH($E791),1))</f>
        <v/>
      </c>
      <c r="M791" s="112">
        <f>IF($C791="","",IF($D791="TANIMSIZ MÜŞTERİ","HATA",IF(OR($E791="",$F791&lt;=0,$G791=""),"EKSİK",IF($E791&gt;TODAY(),"İLERİ TARİH","UYGUN"))))</f>
        <v/>
      </c>
      <c r="N791" s="6" t="n"/>
      <c r="O791" s="6" t="n"/>
    </row>
    <row r="792">
      <c r="A792" s="6" t="n"/>
      <c r="B792" s="112">
        <f>IF($C792="","","T"&amp;TEXT(ROW()-6,"00000"))</f>
        <v/>
      </c>
      <c r="C792" s="107" t="n"/>
      <c r="D792" s="113">
        <f>IF($C792="","",IFERROR(INDEX(MUSTERILER!$C$7:$C$106,MATCH($C792,MUSTERILER!$B$7:$B$106,0)),"TANIMSIZ MÜŞTERİ"))</f>
        <v/>
      </c>
      <c r="E792" s="114" t="n"/>
      <c r="F792" s="115" t="n"/>
      <c r="G792" s="107" t="n"/>
      <c r="H792" s="107" t="n"/>
      <c r="I792" s="108" t="n"/>
      <c r="J792" s="108" t="n"/>
      <c r="K792" s="108" t="n"/>
      <c r="L792" s="119">
        <f>IF($E792="","",DATE(YEAR($E792),MONTH($E792),1))</f>
        <v/>
      </c>
      <c r="M792" s="112">
        <f>IF($C792="","",IF($D792="TANIMSIZ MÜŞTERİ","HATA",IF(OR($E792="",$F792&lt;=0,$G792=""),"EKSİK",IF($E792&gt;TODAY(),"İLERİ TARİH","UYGUN"))))</f>
        <v/>
      </c>
      <c r="N792" s="6" t="n"/>
      <c r="O792" s="6" t="n"/>
    </row>
    <row r="793">
      <c r="A793" s="6" t="n"/>
      <c r="B793" s="112">
        <f>IF($C793="","","T"&amp;TEXT(ROW()-6,"00000"))</f>
        <v/>
      </c>
      <c r="C793" s="107" t="n"/>
      <c r="D793" s="113">
        <f>IF($C793="","",IFERROR(INDEX(MUSTERILER!$C$7:$C$106,MATCH($C793,MUSTERILER!$B$7:$B$106,0)),"TANIMSIZ MÜŞTERİ"))</f>
        <v/>
      </c>
      <c r="E793" s="114" t="n"/>
      <c r="F793" s="115" t="n"/>
      <c r="G793" s="107" t="n"/>
      <c r="H793" s="107" t="n"/>
      <c r="I793" s="108" t="n"/>
      <c r="J793" s="108" t="n"/>
      <c r="K793" s="108" t="n"/>
      <c r="L793" s="119">
        <f>IF($E793="","",DATE(YEAR($E793),MONTH($E793),1))</f>
        <v/>
      </c>
      <c r="M793" s="112">
        <f>IF($C793="","",IF($D793="TANIMSIZ MÜŞTERİ","HATA",IF(OR($E793="",$F793&lt;=0,$G793=""),"EKSİK",IF($E793&gt;TODAY(),"İLERİ TARİH","UYGUN"))))</f>
        <v/>
      </c>
      <c r="N793" s="6" t="n"/>
      <c r="O793" s="6" t="n"/>
    </row>
    <row r="794">
      <c r="A794" s="6" t="n"/>
      <c r="B794" s="112">
        <f>IF($C794="","","T"&amp;TEXT(ROW()-6,"00000"))</f>
        <v/>
      </c>
      <c r="C794" s="107" t="n"/>
      <c r="D794" s="113">
        <f>IF($C794="","",IFERROR(INDEX(MUSTERILER!$C$7:$C$106,MATCH($C794,MUSTERILER!$B$7:$B$106,0)),"TANIMSIZ MÜŞTERİ"))</f>
        <v/>
      </c>
      <c r="E794" s="114" t="n"/>
      <c r="F794" s="115" t="n"/>
      <c r="G794" s="107" t="n"/>
      <c r="H794" s="107" t="n"/>
      <c r="I794" s="108" t="n"/>
      <c r="J794" s="108" t="n"/>
      <c r="K794" s="108" t="n"/>
      <c r="L794" s="119">
        <f>IF($E794="","",DATE(YEAR($E794),MONTH($E794),1))</f>
        <v/>
      </c>
      <c r="M794" s="112">
        <f>IF($C794="","",IF($D794="TANIMSIZ MÜŞTERİ","HATA",IF(OR($E794="",$F794&lt;=0,$G794=""),"EKSİK",IF($E794&gt;TODAY(),"İLERİ TARİH","UYGUN"))))</f>
        <v/>
      </c>
      <c r="N794" s="6" t="n"/>
      <c r="O794" s="6" t="n"/>
    </row>
    <row r="795">
      <c r="A795" s="6" t="n"/>
      <c r="B795" s="112">
        <f>IF($C795="","","T"&amp;TEXT(ROW()-6,"00000"))</f>
        <v/>
      </c>
      <c r="C795" s="107" t="n"/>
      <c r="D795" s="113">
        <f>IF($C795="","",IFERROR(INDEX(MUSTERILER!$C$7:$C$106,MATCH($C795,MUSTERILER!$B$7:$B$106,0)),"TANIMSIZ MÜŞTERİ"))</f>
        <v/>
      </c>
      <c r="E795" s="114" t="n"/>
      <c r="F795" s="115" t="n"/>
      <c r="G795" s="107" t="n"/>
      <c r="H795" s="107" t="n"/>
      <c r="I795" s="108" t="n"/>
      <c r="J795" s="108" t="n"/>
      <c r="K795" s="108" t="n"/>
      <c r="L795" s="119">
        <f>IF($E795="","",DATE(YEAR($E795),MONTH($E795),1))</f>
        <v/>
      </c>
      <c r="M795" s="112">
        <f>IF($C795="","",IF($D795="TANIMSIZ MÜŞTERİ","HATA",IF(OR($E795="",$F795&lt;=0,$G795=""),"EKSİK",IF($E795&gt;TODAY(),"İLERİ TARİH","UYGUN"))))</f>
        <v/>
      </c>
      <c r="N795" s="6" t="n"/>
      <c r="O795" s="6" t="n"/>
    </row>
    <row r="796">
      <c r="A796" s="6" t="n"/>
      <c r="B796" s="112">
        <f>IF($C796="","","T"&amp;TEXT(ROW()-6,"00000"))</f>
        <v/>
      </c>
      <c r="C796" s="107" t="n"/>
      <c r="D796" s="113">
        <f>IF($C796="","",IFERROR(INDEX(MUSTERILER!$C$7:$C$106,MATCH($C796,MUSTERILER!$B$7:$B$106,0)),"TANIMSIZ MÜŞTERİ"))</f>
        <v/>
      </c>
      <c r="E796" s="114" t="n"/>
      <c r="F796" s="115" t="n"/>
      <c r="G796" s="107" t="n"/>
      <c r="H796" s="107" t="n"/>
      <c r="I796" s="108" t="n"/>
      <c r="J796" s="108" t="n"/>
      <c r="K796" s="108" t="n"/>
      <c r="L796" s="119">
        <f>IF($E796="","",DATE(YEAR($E796),MONTH($E796),1))</f>
        <v/>
      </c>
      <c r="M796" s="112">
        <f>IF($C796="","",IF($D796="TANIMSIZ MÜŞTERİ","HATA",IF(OR($E796="",$F796&lt;=0,$G796=""),"EKSİK",IF($E796&gt;TODAY(),"İLERİ TARİH","UYGUN"))))</f>
        <v/>
      </c>
      <c r="N796" s="6" t="n"/>
      <c r="O796" s="6" t="n"/>
    </row>
    <row r="797">
      <c r="A797" s="6" t="n"/>
      <c r="B797" s="112">
        <f>IF($C797="","","T"&amp;TEXT(ROW()-6,"00000"))</f>
        <v/>
      </c>
      <c r="C797" s="107" t="n"/>
      <c r="D797" s="113">
        <f>IF($C797="","",IFERROR(INDEX(MUSTERILER!$C$7:$C$106,MATCH($C797,MUSTERILER!$B$7:$B$106,0)),"TANIMSIZ MÜŞTERİ"))</f>
        <v/>
      </c>
      <c r="E797" s="114" t="n"/>
      <c r="F797" s="115" t="n"/>
      <c r="G797" s="107" t="n"/>
      <c r="H797" s="107" t="n"/>
      <c r="I797" s="108" t="n"/>
      <c r="J797" s="108" t="n"/>
      <c r="K797" s="108" t="n"/>
      <c r="L797" s="119">
        <f>IF($E797="","",DATE(YEAR($E797),MONTH($E797),1))</f>
        <v/>
      </c>
      <c r="M797" s="112">
        <f>IF($C797="","",IF($D797="TANIMSIZ MÜŞTERİ","HATA",IF(OR($E797="",$F797&lt;=0,$G797=""),"EKSİK",IF($E797&gt;TODAY(),"İLERİ TARİH","UYGUN"))))</f>
        <v/>
      </c>
      <c r="N797" s="6" t="n"/>
      <c r="O797" s="6" t="n"/>
    </row>
    <row r="798">
      <c r="A798" s="6" t="n"/>
      <c r="B798" s="112">
        <f>IF($C798="","","T"&amp;TEXT(ROW()-6,"00000"))</f>
        <v/>
      </c>
      <c r="C798" s="107" t="n"/>
      <c r="D798" s="113">
        <f>IF($C798="","",IFERROR(INDEX(MUSTERILER!$C$7:$C$106,MATCH($C798,MUSTERILER!$B$7:$B$106,0)),"TANIMSIZ MÜŞTERİ"))</f>
        <v/>
      </c>
      <c r="E798" s="114" t="n"/>
      <c r="F798" s="115" t="n"/>
      <c r="G798" s="107" t="n"/>
      <c r="H798" s="107" t="n"/>
      <c r="I798" s="108" t="n"/>
      <c r="J798" s="108" t="n"/>
      <c r="K798" s="108" t="n"/>
      <c r="L798" s="119">
        <f>IF($E798="","",DATE(YEAR($E798),MONTH($E798),1))</f>
        <v/>
      </c>
      <c r="M798" s="112">
        <f>IF($C798="","",IF($D798="TANIMSIZ MÜŞTERİ","HATA",IF(OR($E798="",$F798&lt;=0,$G798=""),"EKSİK",IF($E798&gt;TODAY(),"İLERİ TARİH","UYGUN"))))</f>
        <v/>
      </c>
      <c r="N798" s="6" t="n"/>
      <c r="O798" s="6" t="n"/>
    </row>
    <row r="799">
      <c r="A799" s="6" t="n"/>
      <c r="B799" s="112">
        <f>IF($C799="","","T"&amp;TEXT(ROW()-6,"00000"))</f>
        <v/>
      </c>
      <c r="C799" s="107" t="n"/>
      <c r="D799" s="113">
        <f>IF($C799="","",IFERROR(INDEX(MUSTERILER!$C$7:$C$106,MATCH($C799,MUSTERILER!$B$7:$B$106,0)),"TANIMSIZ MÜŞTERİ"))</f>
        <v/>
      </c>
      <c r="E799" s="114" t="n"/>
      <c r="F799" s="115" t="n"/>
      <c r="G799" s="107" t="n"/>
      <c r="H799" s="107" t="n"/>
      <c r="I799" s="108" t="n"/>
      <c r="J799" s="108" t="n"/>
      <c r="K799" s="108" t="n"/>
      <c r="L799" s="119">
        <f>IF($E799="","",DATE(YEAR($E799),MONTH($E799),1))</f>
        <v/>
      </c>
      <c r="M799" s="112">
        <f>IF($C799="","",IF($D799="TANIMSIZ MÜŞTERİ","HATA",IF(OR($E799="",$F799&lt;=0,$G799=""),"EKSİK",IF($E799&gt;TODAY(),"İLERİ TARİH","UYGUN"))))</f>
        <v/>
      </c>
      <c r="N799" s="6" t="n"/>
      <c r="O799" s="6" t="n"/>
    </row>
    <row r="800">
      <c r="A800" s="6" t="n"/>
      <c r="B800" s="112">
        <f>IF($C800="","","T"&amp;TEXT(ROW()-6,"00000"))</f>
        <v/>
      </c>
      <c r="C800" s="107" t="n"/>
      <c r="D800" s="113">
        <f>IF($C800="","",IFERROR(INDEX(MUSTERILER!$C$7:$C$106,MATCH($C800,MUSTERILER!$B$7:$B$106,0)),"TANIMSIZ MÜŞTERİ"))</f>
        <v/>
      </c>
      <c r="E800" s="114" t="n"/>
      <c r="F800" s="115" t="n"/>
      <c r="G800" s="107" t="n"/>
      <c r="H800" s="107" t="n"/>
      <c r="I800" s="108" t="n"/>
      <c r="J800" s="108" t="n"/>
      <c r="K800" s="108" t="n"/>
      <c r="L800" s="119">
        <f>IF($E800="","",DATE(YEAR($E800),MONTH($E800),1))</f>
        <v/>
      </c>
      <c r="M800" s="112">
        <f>IF($C800="","",IF($D800="TANIMSIZ MÜŞTERİ","HATA",IF(OR($E800="",$F800&lt;=0,$G800=""),"EKSİK",IF($E800&gt;TODAY(),"İLERİ TARİH","UYGUN"))))</f>
        <v/>
      </c>
      <c r="N800" s="6" t="n"/>
      <c r="O800" s="6" t="n"/>
    </row>
    <row r="801">
      <c r="A801" s="6" t="n"/>
      <c r="B801" s="112">
        <f>IF($C801="","","T"&amp;TEXT(ROW()-6,"00000"))</f>
        <v/>
      </c>
      <c r="C801" s="107" t="n"/>
      <c r="D801" s="113">
        <f>IF($C801="","",IFERROR(INDEX(MUSTERILER!$C$7:$C$106,MATCH($C801,MUSTERILER!$B$7:$B$106,0)),"TANIMSIZ MÜŞTERİ"))</f>
        <v/>
      </c>
      <c r="E801" s="114" t="n"/>
      <c r="F801" s="115" t="n"/>
      <c r="G801" s="107" t="n"/>
      <c r="H801" s="107" t="n"/>
      <c r="I801" s="108" t="n"/>
      <c r="J801" s="108" t="n"/>
      <c r="K801" s="108" t="n"/>
      <c r="L801" s="119">
        <f>IF($E801="","",DATE(YEAR($E801),MONTH($E801),1))</f>
        <v/>
      </c>
      <c r="M801" s="112">
        <f>IF($C801="","",IF($D801="TANIMSIZ MÜŞTERİ","HATA",IF(OR($E801="",$F801&lt;=0,$G801=""),"EKSİK",IF($E801&gt;TODAY(),"İLERİ TARİH","UYGUN"))))</f>
        <v/>
      </c>
      <c r="N801" s="6" t="n"/>
      <c r="O801" s="6" t="n"/>
    </row>
    <row r="802">
      <c r="A802" s="6" t="n"/>
      <c r="B802" s="112">
        <f>IF($C802="","","T"&amp;TEXT(ROW()-6,"00000"))</f>
        <v/>
      </c>
      <c r="C802" s="107" t="n"/>
      <c r="D802" s="113">
        <f>IF($C802="","",IFERROR(INDEX(MUSTERILER!$C$7:$C$106,MATCH($C802,MUSTERILER!$B$7:$B$106,0)),"TANIMSIZ MÜŞTERİ"))</f>
        <v/>
      </c>
      <c r="E802" s="114" t="n"/>
      <c r="F802" s="115" t="n"/>
      <c r="G802" s="107" t="n"/>
      <c r="H802" s="107" t="n"/>
      <c r="I802" s="108" t="n"/>
      <c r="J802" s="108" t="n"/>
      <c r="K802" s="108" t="n"/>
      <c r="L802" s="119">
        <f>IF($E802="","",DATE(YEAR($E802),MONTH($E802),1))</f>
        <v/>
      </c>
      <c r="M802" s="112">
        <f>IF($C802="","",IF($D802="TANIMSIZ MÜŞTERİ","HATA",IF(OR($E802="",$F802&lt;=0,$G802=""),"EKSİK",IF($E802&gt;TODAY(),"İLERİ TARİH","UYGUN"))))</f>
        <v/>
      </c>
      <c r="N802" s="6" t="n"/>
      <c r="O802" s="6" t="n"/>
    </row>
    <row r="803">
      <c r="A803" s="6" t="n"/>
      <c r="B803" s="112">
        <f>IF($C803="","","T"&amp;TEXT(ROW()-6,"00000"))</f>
        <v/>
      </c>
      <c r="C803" s="107" t="n"/>
      <c r="D803" s="113">
        <f>IF($C803="","",IFERROR(INDEX(MUSTERILER!$C$7:$C$106,MATCH($C803,MUSTERILER!$B$7:$B$106,0)),"TANIMSIZ MÜŞTERİ"))</f>
        <v/>
      </c>
      <c r="E803" s="114" t="n"/>
      <c r="F803" s="115" t="n"/>
      <c r="G803" s="107" t="n"/>
      <c r="H803" s="107" t="n"/>
      <c r="I803" s="108" t="n"/>
      <c r="J803" s="108" t="n"/>
      <c r="K803" s="108" t="n"/>
      <c r="L803" s="119">
        <f>IF($E803="","",DATE(YEAR($E803),MONTH($E803),1))</f>
        <v/>
      </c>
      <c r="M803" s="112">
        <f>IF($C803="","",IF($D803="TANIMSIZ MÜŞTERİ","HATA",IF(OR($E803="",$F803&lt;=0,$G803=""),"EKSİK",IF($E803&gt;TODAY(),"İLERİ TARİH","UYGUN"))))</f>
        <v/>
      </c>
      <c r="N803" s="6" t="n"/>
      <c r="O803" s="6" t="n"/>
    </row>
    <row r="804">
      <c r="A804" s="6" t="n"/>
      <c r="B804" s="112">
        <f>IF($C804="","","T"&amp;TEXT(ROW()-6,"00000"))</f>
        <v/>
      </c>
      <c r="C804" s="107" t="n"/>
      <c r="D804" s="113">
        <f>IF($C804="","",IFERROR(INDEX(MUSTERILER!$C$7:$C$106,MATCH($C804,MUSTERILER!$B$7:$B$106,0)),"TANIMSIZ MÜŞTERİ"))</f>
        <v/>
      </c>
      <c r="E804" s="114" t="n"/>
      <c r="F804" s="115" t="n"/>
      <c r="G804" s="107" t="n"/>
      <c r="H804" s="107" t="n"/>
      <c r="I804" s="108" t="n"/>
      <c r="J804" s="108" t="n"/>
      <c r="K804" s="108" t="n"/>
      <c r="L804" s="119">
        <f>IF($E804="","",DATE(YEAR($E804),MONTH($E804),1))</f>
        <v/>
      </c>
      <c r="M804" s="112">
        <f>IF($C804="","",IF($D804="TANIMSIZ MÜŞTERİ","HATA",IF(OR($E804="",$F804&lt;=0,$G804=""),"EKSİK",IF($E804&gt;TODAY(),"İLERİ TARİH","UYGUN"))))</f>
        <v/>
      </c>
      <c r="N804" s="6" t="n"/>
      <c r="O804" s="6" t="n"/>
    </row>
    <row r="805">
      <c r="A805" s="6" t="n"/>
      <c r="B805" s="112">
        <f>IF($C805="","","T"&amp;TEXT(ROW()-6,"00000"))</f>
        <v/>
      </c>
      <c r="C805" s="107" t="n"/>
      <c r="D805" s="113">
        <f>IF($C805="","",IFERROR(INDEX(MUSTERILER!$C$7:$C$106,MATCH($C805,MUSTERILER!$B$7:$B$106,0)),"TANIMSIZ MÜŞTERİ"))</f>
        <v/>
      </c>
      <c r="E805" s="114" t="n"/>
      <c r="F805" s="115" t="n"/>
      <c r="G805" s="107" t="n"/>
      <c r="H805" s="107" t="n"/>
      <c r="I805" s="108" t="n"/>
      <c r="J805" s="108" t="n"/>
      <c r="K805" s="108" t="n"/>
      <c r="L805" s="119">
        <f>IF($E805="","",DATE(YEAR($E805),MONTH($E805),1))</f>
        <v/>
      </c>
      <c r="M805" s="112">
        <f>IF($C805="","",IF($D805="TANIMSIZ MÜŞTERİ","HATA",IF(OR($E805="",$F805&lt;=0,$G805=""),"EKSİK",IF($E805&gt;TODAY(),"İLERİ TARİH","UYGUN"))))</f>
        <v/>
      </c>
      <c r="N805" s="6" t="n"/>
      <c r="O805" s="6" t="n"/>
    </row>
    <row r="806">
      <c r="A806" s="6" t="n"/>
      <c r="B806" s="112">
        <f>IF($C806="","","T"&amp;TEXT(ROW()-6,"00000"))</f>
        <v/>
      </c>
      <c r="C806" s="107" t="n"/>
      <c r="D806" s="113">
        <f>IF($C806="","",IFERROR(INDEX(MUSTERILER!$C$7:$C$106,MATCH($C806,MUSTERILER!$B$7:$B$106,0)),"TANIMSIZ MÜŞTERİ"))</f>
        <v/>
      </c>
      <c r="E806" s="114" t="n"/>
      <c r="F806" s="115" t="n"/>
      <c r="G806" s="107" t="n"/>
      <c r="H806" s="107" t="n"/>
      <c r="I806" s="108" t="n"/>
      <c r="J806" s="108" t="n"/>
      <c r="K806" s="108" t="n"/>
      <c r="L806" s="119">
        <f>IF($E806="","",DATE(YEAR($E806),MONTH($E806),1))</f>
        <v/>
      </c>
      <c r="M806" s="112">
        <f>IF($C806="","",IF($D806="TANIMSIZ MÜŞTERİ","HATA",IF(OR($E806="",$F806&lt;=0,$G806=""),"EKSİK",IF($E806&gt;TODAY(),"İLERİ TARİH","UYGUN"))))</f>
        <v/>
      </c>
      <c r="N806" s="6" t="n"/>
      <c r="O806" s="6" t="n"/>
    </row>
    <row r="807">
      <c r="A807" s="6" t="n"/>
      <c r="B807" s="112">
        <f>IF($C807="","","T"&amp;TEXT(ROW()-6,"00000"))</f>
        <v/>
      </c>
      <c r="C807" s="107" t="n"/>
      <c r="D807" s="113">
        <f>IF($C807="","",IFERROR(INDEX(MUSTERILER!$C$7:$C$106,MATCH($C807,MUSTERILER!$B$7:$B$106,0)),"TANIMSIZ MÜŞTERİ"))</f>
        <v/>
      </c>
      <c r="E807" s="114" t="n"/>
      <c r="F807" s="115" t="n"/>
      <c r="G807" s="107" t="n"/>
      <c r="H807" s="107" t="n"/>
      <c r="I807" s="108" t="n"/>
      <c r="J807" s="108" t="n"/>
      <c r="K807" s="108" t="n"/>
      <c r="L807" s="119">
        <f>IF($E807="","",DATE(YEAR($E807),MONTH($E807),1))</f>
        <v/>
      </c>
      <c r="M807" s="112">
        <f>IF($C807="","",IF($D807="TANIMSIZ MÜŞTERİ","HATA",IF(OR($E807="",$F807&lt;=0,$G807=""),"EKSİK",IF($E807&gt;TODAY(),"İLERİ TARİH","UYGUN"))))</f>
        <v/>
      </c>
      <c r="N807" s="6" t="n"/>
      <c r="O807" s="6" t="n"/>
    </row>
    <row r="808">
      <c r="A808" s="6" t="n"/>
      <c r="B808" s="112">
        <f>IF($C808="","","T"&amp;TEXT(ROW()-6,"00000"))</f>
        <v/>
      </c>
      <c r="C808" s="107" t="n"/>
      <c r="D808" s="113">
        <f>IF($C808="","",IFERROR(INDEX(MUSTERILER!$C$7:$C$106,MATCH($C808,MUSTERILER!$B$7:$B$106,0)),"TANIMSIZ MÜŞTERİ"))</f>
        <v/>
      </c>
      <c r="E808" s="114" t="n"/>
      <c r="F808" s="115" t="n"/>
      <c r="G808" s="107" t="n"/>
      <c r="H808" s="107" t="n"/>
      <c r="I808" s="108" t="n"/>
      <c r="J808" s="108" t="n"/>
      <c r="K808" s="108" t="n"/>
      <c r="L808" s="119">
        <f>IF($E808="","",DATE(YEAR($E808),MONTH($E808),1))</f>
        <v/>
      </c>
      <c r="M808" s="112">
        <f>IF($C808="","",IF($D808="TANIMSIZ MÜŞTERİ","HATA",IF(OR($E808="",$F808&lt;=0,$G808=""),"EKSİK",IF($E808&gt;TODAY(),"İLERİ TARİH","UYGUN"))))</f>
        <v/>
      </c>
      <c r="N808" s="6" t="n"/>
      <c r="O808" s="6" t="n"/>
    </row>
    <row r="809">
      <c r="A809" s="6" t="n"/>
      <c r="B809" s="112">
        <f>IF($C809="","","T"&amp;TEXT(ROW()-6,"00000"))</f>
        <v/>
      </c>
      <c r="C809" s="107" t="n"/>
      <c r="D809" s="113">
        <f>IF($C809="","",IFERROR(INDEX(MUSTERILER!$C$7:$C$106,MATCH($C809,MUSTERILER!$B$7:$B$106,0)),"TANIMSIZ MÜŞTERİ"))</f>
        <v/>
      </c>
      <c r="E809" s="114" t="n"/>
      <c r="F809" s="115" t="n"/>
      <c r="G809" s="107" t="n"/>
      <c r="H809" s="107" t="n"/>
      <c r="I809" s="108" t="n"/>
      <c r="J809" s="108" t="n"/>
      <c r="K809" s="108" t="n"/>
      <c r="L809" s="119">
        <f>IF($E809="","",DATE(YEAR($E809),MONTH($E809),1))</f>
        <v/>
      </c>
      <c r="M809" s="112">
        <f>IF($C809="","",IF($D809="TANIMSIZ MÜŞTERİ","HATA",IF(OR($E809="",$F809&lt;=0,$G809=""),"EKSİK",IF($E809&gt;TODAY(),"İLERİ TARİH","UYGUN"))))</f>
        <v/>
      </c>
      <c r="N809" s="6" t="n"/>
      <c r="O809" s="6" t="n"/>
    </row>
    <row r="810">
      <c r="A810" s="6" t="n"/>
      <c r="B810" s="112">
        <f>IF($C810="","","T"&amp;TEXT(ROW()-6,"00000"))</f>
        <v/>
      </c>
      <c r="C810" s="107" t="n"/>
      <c r="D810" s="113">
        <f>IF($C810="","",IFERROR(INDEX(MUSTERILER!$C$7:$C$106,MATCH($C810,MUSTERILER!$B$7:$B$106,0)),"TANIMSIZ MÜŞTERİ"))</f>
        <v/>
      </c>
      <c r="E810" s="114" t="n"/>
      <c r="F810" s="115" t="n"/>
      <c r="G810" s="107" t="n"/>
      <c r="H810" s="107" t="n"/>
      <c r="I810" s="108" t="n"/>
      <c r="J810" s="108" t="n"/>
      <c r="K810" s="108" t="n"/>
      <c r="L810" s="119">
        <f>IF($E810="","",DATE(YEAR($E810),MONTH($E810),1))</f>
        <v/>
      </c>
      <c r="M810" s="112">
        <f>IF($C810="","",IF($D810="TANIMSIZ MÜŞTERİ","HATA",IF(OR($E810="",$F810&lt;=0,$G810=""),"EKSİK",IF($E810&gt;TODAY(),"İLERİ TARİH","UYGUN"))))</f>
        <v/>
      </c>
      <c r="N810" s="6" t="n"/>
      <c r="O810" s="6" t="n"/>
    </row>
    <row r="811">
      <c r="A811" s="6" t="n"/>
      <c r="B811" s="112">
        <f>IF($C811="","","T"&amp;TEXT(ROW()-6,"00000"))</f>
        <v/>
      </c>
      <c r="C811" s="107" t="n"/>
      <c r="D811" s="113">
        <f>IF($C811="","",IFERROR(INDEX(MUSTERILER!$C$7:$C$106,MATCH($C811,MUSTERILER!$B$7:$B$106,0)),"TANIMSIZ MÜŞTERİ"))</f>
        <v/>
      </c>
      <c r="E811" s="114" t="n"/>
      <c r="F811" s="115" t="n"/>
      <c r="G811" s="107" t="n"/>
      <c r="H811" s="107" t="n"/>
      <c r="I811" s="108" t="n"/>
      <c r="J811" s="108" t="n"/>
      <c r="K811" s="108" t="n"/>
      <c r="L811" s="119">
        <f>IF($E811="","",DATE(YEAR($E811),MONTH($E811),1))</f>
        <v/>
      </c>
      <c r="M811" s="112">
        <f>IF($C811="","",IF($D811="TANIMSIZ MÜŞTERİ","HATA",IF(OR($E811="",$F811&lt;=0,$G811=""),"EKSİK",IF($E811&gt;TODAY(),"İLERİ TARİH","UYGUN"))))</f>
        <v/>
      </c>
      <c r="N811" s="6" t="n"/>
      <c r="O811" s="6" t="n"/>
    </row>
    <row r="812">
      <c r="A812" s="6" t="n"/>
      <c r="B812" s="112">
        <f>IF($C812="","","T"&amp;TEXT(ROW()-6,"00000"))</f>
        <v/>
      </c>
      <c r="C812" s="107" t="n"/>
      <c r="D812" s="113">
        <f>IF($C812="","",IFERROR(INDEX(MUSTERILER!$C$7:$C$106,MATCH($C812,MUSTERILER!$B$7:$B$106,0)),"TANIMSIZ MÜŞTERİ"))</f>
        <v/>
      </c>
      <c r="E812" s="114" t="n"/>
      <c r="F812" s="115" t="n"/>
      <c r="G812" s="107" t="n"/>
      <c r="H812" s="107" t="n"/>
      <c r="I812" s="108" t="n"/>
      <c r="J812" s="108" t="n"/>
      <c r="K812" s="108" t="n"/>
      <c r="L812" s="119">
        <f>IF($E812="","",DATE(YEAR($E812),MONTH($E812),1))</f>
        <v/>
      </c>
      <c r="M812" s="112">
        <f>IF($C812="","",IF($D812="TANIMSIZ MÜŞTERİ","HATA",IF(OR($E812="",$F812&lt;=0,$G812=""),"EKSİK",IF($E812&gt;TODAY(),"İLERİ TARİH","UYGUN"))))</f>
        <v/>
      </c>
      <c r="N812" s="6" t="n"/>
      <c r="O812" s="6" t="n"/>
    </row>
    <row r="813">
      <c r="A813" s="6" t="n"/>
      <c r="B813" s="112">
        <f>IF($C813="","","T"&amp;TEXT(ROW()-6,"00000"))</f>
        <v/>
      </c>
      <c r="C813" s="107" t="n"/>
      <c r="D813" s="113">
        <f>IF($C813="","",IFERROR(INDEX(MUSTERILER!$C$7:$C$106,MATCH($C813,MUSTERILER!$B$7:$B$106,0)),"TANIMSIZ MÜŞTERİ"))</f>
        <v/>
      </c>
      <c r="E813" s="114" t="n"/>
      <c r="F813" s="115" t="n"/>
      <c r="G813" s="107" t="n"/>
      <c r="H813" s="107" t="n"/>
      <c r="I813" s="108" t="n"/>
      <c r="J813" s="108" t="n"/>
      <c r="K813" s="108" t="n"/>
      <c r="L813" s="119">
        <f>IF($E813="","",DATE(YEAR($E813),MONTH($E813),1))</f>
        <v/>
      </c>
      <c r="M813" s="112">
        <f>IF($C813="","",IF($D813="TANIMSIZ MÜŞTERİ","HATA",IF(OR($E813="",$F813&lt;=0,$G813=""),"EKSİK",IF($E813&gt;TODAY(),"İLERİ TARİH","UYGUN"))))</f>
        <v/>
      </c>
      <c r="N813" s="6" t="n"/>
      <c r="O813" s="6" t="n"/>
    </row>
    <row r="814">
      <c r="A814" s="6" t="n"/>
      <c r="B814" s="112">
        <f>IF($C814="","","T"&amp;TEXT(ROW()-6,"00000"))</f>
        <v/>
      </c>
      <c r="C814" s="107" t="n"/>
      <c r="D814" s="113">
        <f>IF($C814="","",IFERROR(INDEX(MUSTERILER!$C$7:$C$106,MATCH($C814,MUSTERILER!$B$7:$B$106,0)),"TANIMSIZ MÜŞTERİ"))</f>
        <v/>
      </c>
      <c r="E814" s="114" t="n"/>
      <c r="F814" s="115" t="n"/>
      <c r="G814" s="107" t="n"/>
      <c r="H814" s="107" t="n"/>
      <c r="I814" s="108" t="n"/>
      <c r="J814" s="108" t="n"/>
      <c r="K814" s="108" t="n"/>
      <c r="L814" s="119">
        <f>IF($E814="","",DATE(YEAR($E814),MONTH($E814),1))</f>
        <v/>
      </c>
      <c r="M814" s="112">
        <f>IF($C814="","",IF($D814="TANIMSIZ MÜŞTERİ","HATA",IF(OR($E814="",$F814&lt;=0,$G814=""),"EKSİK",IF($E814&gt;TODAY(),"İLERİ TARİH","UYGUN"))))</f>
        <v/>
      </c>
      <c r="N814" s="6" t="n"/>
      <c r="O814" s="6" t="n"/>
    </row>
    <row r="815">
      <c r="A815" s="6" t="n"/>
      <c r="B815" s="112">
        <f>IF($C815="","","T"&amp;TEXT(ROW()-6,"00000"))</f>
        <v/>
      </c>
      <c r="C815" s="107" t="n"/>
      <c r="D815" s="113">
        <f>IF($C815="","",IFERROR(INDEX(MUSTERILER!$C$7:$C$106,MATCH($C815,MUSTERILER!$B$7:$B$106,0)),"TANIMSIZ MÜŞTERİ"))</f>
        <v/>
      </c>
      <c r="E815" s="114" t="n"/>
      <c r="F815" s="115" t="n"/>
      <c r="G815" s="107" t="n"/>
      <c r="H815" s="107" t="n"/>
      <c r="I815" s="108" t="n"/>
      <c r="J815" s="108" t="n"/>
      <c r="K815" s="108" t="n"/>
      <c r="L815" s="119">
        <f>IF($E815="","",DATE(YEAR($E815),MONTH($E815),1))</f>
        <v/>
      </c>
      <c r="M815" s="112">
        <f>IF($C815="","",IF($D815="TANIMSIZ MÜŞTERİ","HATA",IF(OR($E815="",$F815&lt;=0,$G815=""),"EKSİK",IF($E815&gt;TODAY(),"İLERİ TARİH","UYGUN"))))</f>
        <v/>
      </c>
      <c r="N815" s="6" t="n"/>
      <c r="O815" s="6" t="n"/>
    </row>
    <row r="816">
      <c r="A816" s="6" t="n"/>
      <c r="B816" s="112">
        <f>IF($C816="","","T"&amp;TEXT(ROW()-6,"00000"))</f>
        <v/>
      </c>
      <c r="C816" s="107" t="n"/>
      <c r="D816" s="113">
        <f>IF($C816="","",IFERROR(INDEX(MUSTERILER!$C$7:$C$106,MATCH($C816,MUSTERILER!$B$7:$B$106,0)),"TANIMSIZ MÜŞTERİ"))</f>
        <v/>
      </c>
      <c r="E816" s="114" t="n"/>
      <c r="F816" s="115" t="n"/>
      <c r="G816" s="107" t="n"/>
      <c r="H816" s="107" t="n"/>
      <c r="I816" s="108" t="n"/>
      <c r="J816" s="108" t="n"/>
      <c r="K816" s="108" t="n"/>
      <c r="L816" s="119">
        <f>IF($E816="","",DATE(YEAR($E816),MONTH($E816),1))</f>
        <v/>
      </c>
      <c r="M816" s="112">
        <f>IF($C816="","",IF($D816="TANIMSIZ MÜŞTERİ","HATA",IF(OR($E816="",$F816&lt;=0,$G816=""),"EKSİK",IF($E816&gt;TODAY(),"İLERİ TARİH","UYGUN"))))</f>
        <v/>
      </c>
      <c r="N816" s="6" t="n"/>
      <c r="O816" s="6" t="n"/>
    </row>
    <row r="817">
      <c r="A817" s="6" t="n"/>
      <c r="B817" s="112">
        <f>IF($C817="","","T"&amp;TEXT(ROW()-6,"00000"))</f>
        <v/>
      </c>
      <c r="C817" s="107" t="n"/>
      <c r="D817" s="113">
        <f>IF($C817="","",IFERROR(INDEX(MUSTERILER!$C$7:$C$106,MATCH($C817,MUSTERILER!$B$7:$B$106,0)),"TANIMSIZ MÜŞTERİ"))</f>
        <v/>
      </c>
      <c r="E817" s="114" t="n"/>
      <c r="F817" s="115" t="n"/>
      <c r="G817" s="107" t="n"/>
      <c r="H817" s="107" t="n"/>
      <c r="I817" s="108" t="n"/>
      <c r="J817" s="108" t="n"/>
      <c r="K817" s="108" t="n"/>
      <c r="L817" s="119">
        <f>IF($E817="","",DATE(YEAR($E817),MONTH($E817),1))</f>
        <v/>
      </c>
      <c r="M817" s="112">
        <f>IF($C817="","",IF($D817="TANIMSIZ MÜŞTERİ","HATA",IF(OR($E817="",$F817&lt;=0,$G817=""),"EKSİK",IF($E817&gt;TODAY(),"İLERİ TARİH","UYGUN"))))</f>
        <v/>
      </c>
      <c r="N817" s="6" t="n"/>
      <c r="O817" s="6" t="n"/>
    </row>
    <row r="818">
      <c r="A818" s="6" t="n"/>
      <c r="B818" s="112">
        <f>IF($C818="","","T"&amp;TEXT(ROW()-6,"00000"))</f>
        <v/>
      </c>
      <c r="C818" s="107" t="n"/>
      <c r="D818" s="113">
        <f>IF($C818="","",IFERROR(INDEX(MUSTERILER!$C$7:$C$106,MATCH($C818,MUSTERILER!$B$7:$B$106,0)),"TANIMSIZ MÜŞTERİ"))</f>
        <v/>
      </c>
      <c r="E818" s="114" t="n"/>
      <c r="F818" s="115" t="n"/>
      <c r="G818" s="107" t="n"/>
      <c r="H818" s="107" t="n"/>
      <c r="I818" s="108" t="n"/>
      <c r="J818" s="108" t="n"/>
      <c r="K818" s="108" t="n"/>
      <c r="L818" s="119">
        <f>IF($E818="","",DATE(YEAR($E818),MONTH($E818),1))</f>
        <v/>
      </c>
      <c r="M818" s="112">
        <f>IF($C818="","",IF($D818="TANIMSIZ MÜŞTERİ","HATA",IF(OR($E818="",$F818&lt;=0,$G818=""),"EKSİK",IF($E818&gt;TODAY(),"İLERİ TARİH","UYGUN"))))</f>
        <v/>
      </c>
      <c r="N818" s="6" t="n"/>
      <c r="O818" s="6" t="n"/>
    </row>
    <row r="819">
      <c r="A819" s="6" t="n"/>
      <c r="B819" s="112">
        <f>IF($C819="","","T"&amp;TEXT(ROW()-6,"00000"))</f>
        <v/>
      </c>
      <c r="C819" s="107" t="n"/>
      <c r="D819" s="113">
        <f>IF($C819="","",IFERROR(INDEX(MUSTERILER!$C$7:$C$106,MATCH($C819,MUSTERILER!$B$7:$B$106,0)),"TANIMSIZ MÜŞTERİ"))</f>
        <v/>
      </c>
      <c r="E819" s="114" t="n"/>
      <c r="F819" s="115" t="n"/>
      <c r="G819" s="107" t="n"/>
      <c r="H819" s="107" t="n"/>
      <c r="I819" s="108" t="n"/>
      <c r="J819" s="108" t="n"/>
      <c r="K819" s="108" t="n"/>
      <c r="L819" s="119">
        <f>IF($E819="","",DATE(YEAR($E819),MONTH($E819),1))</f>
        <v/>
      </c>
      <c r="M819" s="112">
        <f>IF($C819="","",IF($D819="TANIMSIZ MÜŞTERİ","HATA",IF(OR($E819="",$F819&lt;=0,$G819=""),"EKSİK",IF($E819&gt;TODAY(),"İLERİ TARİH","UYGUN"))))</f>
        <v/>
      </c>
      <c r="N819" s="6" t="n"/>
      <c r="O819" s="6" t="n"/>
    </row>
    <row r="820">
      <c r="A820" s="6" t="n"/>
      <c r="B820" s="112">
        <f>IF($C820="","","T"&amp;TEXT(ROW()-6,"00000"))</f>
        <v/>
      </c>
      <c r="C820" s="107" t="n"/>
      <c r="D820" s="113">
        <f>IF($C820="","",IFERROR(INDEX(MUSTERILER!$C$7:$C$106,MATCH($C820,MUSTERILER!$B$7:$B$106,0)),"TANIMSIZ MÜŞTERİ"))</f>
        <v/>
      </c>
      <c r="E820" s="114" t="n"/>
      <c r="F820" s="115" t="n"/>
      <c r="G820" s="107" t="n"/>
      <c r="H820" s="107" t="n"/>
      <c r="I820" s="108" t="n"/>
      <c r="J820" s="108" t="n"/>
      <c r="K820" s="108" t="n"/>
      <c r="L820" s="119">
        <f>IF($E820="","",DATE(YEAR($E820),MONTH($E820),1))</f>
        <v/>
      </c>
      <c r="M820" s="112">
        <f>IF($C820="","",IF($D820="TANIMSIZ MÜŞTERİ","HATA",IF(OR($E820="",$F820&lt;=0,$G820=""),"EKSİK",IF($E820&gt;TODAY(),"İLERİ TARİH","UYGUN"))))</f>
        <v/>
      </c>
      <c r="N820" s="6" t="n"/>
      <c r="O820" s="6" t="n"/>
    </row>
    <row r="821">
      <c r="A821" s="6" t="n"/>
      <c r="B821" s="112">
        <f>IF($C821="","","T"&amp;TEXT(ROW()-6,"00000"))</f>
        <v/>
      </c>
      <c r="C821" s="107" t="n"/>
      <c r="D821" s="113">
        <f>IF($C821="","",IFERROR(INDEX(MUSTERILER!$C$7:$C$106,MATCH($C821,MUSTERILER!$B$7:$B$106,0)),"TANIMSIZ MÜŞTERİ"))</f>
        <v/>
      </c>
      <c r="E821" s="114" t="n"/>
      <c r="F821" s="115" t="n"/>
      <c r="G821" s="107" t="n"/>
      <c r="H821" s="107" t="n"/>
      <c r="I821" s="108" t="n"/>
      <c r="J821" s="108" t="n"/>
      <c r="K821" s="108" t="n"/>
      <c r="L821" s="119">
        <f>IF($E821="","",DATE(YEAR($E821),MONTH($E821),1))</f>
        <v/>
      </c>
      <c r="M821" s="112">
        <f>IF($C821="","",IF($D821="TANIMSIZ MÜŞTERİ","HATA",IF(OR($E821="",$F821&lt;=0,$G821=""),"EKSİK",IF($E821&gt;TODAY(),"İLERİ TARİH","UYGUN"))))</f>
        <v/>
      </c>
      <c r="N821" s="6" t="n"/>
      <c r="O821" s="6" t="n"/>
    </row>
    <row r="822">
      <c r="A822" s="6" t="n"/>
      <c r="B822" s="112">
        <f>IF($C822="","","T"&amp;TEXT(ROW()-6,"00000"))</f>
        <v/>
      </c>
      <c r="C822" s="107" t="n"/>
      <c r="D822" s="113">
        <f>IF($C822="","",IFERROR(INDEX(MUSTERILER!$C$7:$C$106,MATCH($C822,MUSTERILER!$B$7:$B$106,0)),"TANIMSIZ MÜŞTERİ"))</f>
        <v/>
      </c>
      <c r="E822" s="114" t="n"/>
      <c r="F822" s="115" t="n"/>
      <c r="G822" s="107" t="n"/>
      <c r="H822" s="107" t="n"/>
      <c r="I822" s="108" t="n"/>
      <c r="J822" s="108" t="n"/>
      <c r="K822" s="108" t="n"/>
      <c r="L822" s="119">
        <f>IF($E822="","",DATE(YEAR($E822),MONTH($E822),1))</f>
        <v/>
      </c>
      <c r="M822" s="112">
        <f>IF($C822="","",IF($D822="TANIMSIZ MÜŞTERİ","HATA",IF(OR($E822="",$F822&lt;=0,$G822=""),"EKSİK",IF($E822&gt;TODAY(),"İLERİ TARİH","UYGUN"))))</f>
        <v/>
      </c>
      <c r="N822" s="6" t="n"/>
      <c r="O822" s="6" t="n"/>
    </row>
    <row r="823">
      <c r="A823" s="6" t="n"/>
      <c r="B823" s="112">
        <f>IF($C823="","","T"&amp;TEXT(ROW()-6,"00000"))</f>
        <v/>
      </c>
      <c r="C823" s="107" t="n"/>
      <c r="D823" s="113">
        <f>IF($C823="","",IFERROR(INDEX(MUSTERILER!$C$7:$C$106,MATCH($C823,MUSTERILER!$B$7:$B$106,0)),"TANIMSIZ MÜŞTERİ"))</f>
        <v/>
      </c>
      <c r="E823" s="114" t="n"/>
      <c r="F823" s="115" t="n"/>
      <c r="G823" s="107" t="n"/>
      <c r="H823" s="107" t="n"/>
      <c r="I823" s="108" t="n"/>
      <c r="J823" s="108" t="n"/>
      <c r="K823" s="108" t="n"/>
      <c r="L823" s="119">
        <f>IF($E823="","",DATE(YEAR($E823),MONTH($E823),1))</f>
        <v/>
      </c>
      <c r="M823" s="112">
        <f>IF($C823="","",IF($D823="TANIMSIZ MÜŞTERİ","HATA",IF(OR($E823="",$F823&lt;=0,$G823=""),"EKSİK",IF($E823&gt;TODAY(),"İLERİ TARİH","UYGUN"))))</f>
        <v/>
      </c>
      <c r="N823" s="6" t="n"/>
      <c r="O823" s="6" t="n"/>
    </row>
    <row r="824">
      <c r="A824" s="6" t="n"/>
      <c r="B824" s="112">
        <f>IF($C824="","","T"&amp;TEXT(ROW()-6,"00000"))</f>
        <v/>
      </c>
      <c r="C824" s="107" t="n"/>
      <c r="D824" s="113">
        <f>IF($C824="","",IFERROR(INDEX(MUSTERILER!$C$7:$C$106,MATCH($C824,MUSTERILER!$B$7:$B$106,0)),"TANIMSIZ MÜŞTERİ"))</f>
        <v/>
      </c>
      <c r="E824" s="114" t="n"/>
      <c r="F824" s="115" t="n"/>
      <c r="G824" s="107" t="n"/>
      <c r="H824" s="107" t="n"/>
      <c r="I824" s="108" t="n"/>
      <c r="J824" s="108" t="n"/>
      <c r="K824" s="108" t="n"/>
      <c r="L824" s="119">
        <f>IF($E824="","",DATE(YEAR($E824),MONTH($E824),1))</f>
        <v/>
      </c>
      <c r="M824" s="112">
        <f>IF($C824="","",IF($D824="TANIMSIZ MÜŞTERİ","HATA",IF(OR($E824="",$F824&lt;=0,$G824=""),"EKSİK",IF($E824&gt;TODAY(),"İLERİ TARİH","UYGUN"))))</f>
        <v/>
      </c>
      <c r="N824" s="6" t="n"/>
      <c r="O824" s="6" t="n"/>
    </row>
    <row r="825">
      <c r="A825" s="6" t="n"/>
      <c r="B825" s="112">
        <f>IF($C825="","","T"&amp;TEXT(ROW()-6,"00000"))</f>
        <v/>
      </c>
      <c r="C825" s="107" t="n"/>
      <c r="D825" s="113">
        <f>IF($C825="","",IFERROR(INDEX(MUSTERILER!$C$7:$C$106,MATCH($C825,MUSTERILER!$B$7:$B$106,0)),"TANIMSIZ MÜŞTERİ"))</f>
        <v/>
      </c>
      <c r="E825" s="114" t="n"/>
      <c r="F825" s="115" t="n"/>
      <c r="G825" s="107" t="n"/>
      <c r="H825" s="107" t="n"/>
      <c r="I825" s="108" t="n"/>
      <c r="J825" s="108" t="n"/>
      <c r="K825" s="108" t="n"/>
      <c r="L825" s="119">
        <f>IF($E825="","",DATE(YEAR($E825),MONTH($E825),1))</f>
        <v/>
      </c>
      <c r="M825" s="112">
        <f>IF($C825="","",IF($D825="TANIMSIZ MÜŞTERİ","HATA",IF(OR($E825="",$F825&lt;=0,$G825=""),"EKSİK",IF($E825&gt;TODAY(),"İLERİ TARİH","UYGUN"))))</f>
        <v/>
      </c>
      <c r="N825" s="6" t="n"/>
      <c r="O825" s="6" t="n"/>
    </row>
    <row r="826">
      <c r="A826" s="6" t="n"/>
      <c r="B826" s="112">
        <f>IF($C826="","","T"&amp;TEXT(ROW()-6,"00000"))</f>
        <v/>
      </c>
      <c r="C826" s="107" t="n"/>
      <c r="D826" s="113">
        <f>IF($C826="","",IFERROR(INDEX(MUSTERILER!$C$7:$C$106,MATCH($C826,MUSTERILER!$B$7:$B$106,0)),"TANIMSIZ MÜŞTERİ"))</f>
        <v/>
      </c>
      <c r="E826" s="114" t="n"/>
      <c r="F826" s="115" t="n"/>
      <c r="G826" s="107" t="n"/>
      <c r="H826" s="107" t="n"/>
      <c r="I826" s="108" t="n"/>
      <c r="J826" s="108" t="n"/>
      <c r="K826" s="108" t="n"/>
      <c r="L826" s="119">
        <f>IF($E826="","",DATE(YEAR($E826),MONTH($E826),1))</f>
        <v/>
      </c>
      <c r="M826" s="112">
        <f>IF($C826="","",IF($D826="TANIMSIZ MÜŞTERİ","HATA",IF(OR($E826="",$F826&lt;=0,$G826=""),"EKSİK",IF($E826&gt;TODAY(),"İLERİ TARİH","UYGUN"))))</f>
        <v/>
      </c>
      <c r="N826" s="6" t="n"/>
      <c r="O826" s="6" t="n"/>
    </row>
    <row r="827">
      <c r="A827" s="6" t="n"/>
      <c r="B827" s="112">
        <f>IF($C827="","","T"&amp;TEXT(ROW()-6,"00000"))</f>
        <v/>
      </c>
      <c r="C827" s="107" t="n"/>
      <c r="D827" s="113">
        <f>IF($C827="","",IFERROR(INDEX(MUSTERILER!$C$7:$C$106,MATCH($C827,MUSTERILER!$B$7:$B$106,0)),"TANIMSIZ MÜŞTERİ"))</f>
        <v/>
      </c>
      <c r="E827" s="114" t="n"/>
      <c r="F827" s="115" t="n"/>
      <c r="G827" s="107" t="n"/>
      <c r="H827" s="107" t="n"/>
      <c r="I827" s="108" t="n"/>
      <c r="J827" s="108" t="n"/>
      <c r="K827" s="108" t="n"/>
      <c r="L827" s="119">
        <f>IF($E827="","",DATE(YEAR($E827),MONTH($E827),1))</f>
        <v/>
      </c>
      <c r="M827" s="112">
        <f>IF($C827="","",IF($D827="TANIMSIZ MÜŞTERİ","HATA",IF(OR($E827="",$F827&lt;=0,$G827=""),"EKSİK",IF($E827&gt;TODAY(),"İLERİ TARİH","UYGUN"))))</f>
        <v/>
      </c>
      <c r="N827" s="6" t="n"/>
      <c r="O827" s="6" t="n"/>
    </row>
    <row r="828">
      <c r="A828" s="6" t="n"/>
      <c r="B828" s="112">
        <f>IF($C828="","","T"&amp;TEXT(ROW()-6,"00000"))</f>
        <v/>
      </c>
      <c r="C828" s="107" t="n"/>
      <c r="D828" s="113">
        <f>IF($C828="","",IFERROR(INDEX(MUSTERILER!$C$7:$C$106,MATCH($C828,MUSTERILER!$B$7:$B$106,0)),"TANIMSIZ MÜŞTERİ"))</f>
        <v/>
      </c>
      <c r="E828" s="114" t="n"/>
      <c r="F828" s="115" t="n"/>
      <c r="G828" s="107" t="n"/>
      <c r="H828" s="107" t="n"/>
      <c r="I828" s="108" t="n"/>
      <c r="J828" s="108" t="n"/>
      <c r="K828" s="108" t="n"/>
      <c r="L828" s="119">
        <f>IF($E828="","",DATE(YEAR($E828),MONTH($E828),1))</f>
        <v/>
      </c>
      <c r="M828" s="112">
        <f>IF($C828="","",IF($D828="TANIMSIZ MÜŞTERİ","HATA",IF(OR($E828="",$F828&lt;=0,$G828=""),"EKSİK",IF($E828&gt;TODAY(),"İLERİ TARİH","UYGUN"))))</f>
        <v/>
      </c>
      <c r="N828" s="6" t="n"/>
      <c r="O828" s="6" t="n"/>
    </row>
    <row r="829">
      <c r="A829" s="6" t="n"/>
      <c r="B829" s="112">
        <f>IF($C829="","","T"&amp;TEXT(ROW()-6,"00000"))</f>
        <v/>
      </c>
      <c r="C829" s="107" t="n"/>
      <c r="D829" s="113">
        <f>IF($C829="","",IFERROR(INDEX(MUSTERILER!$C$7:$C$106,MATCH($C829,MUSTERILER!$B$7:$B$106,0)),"TANIMSIZ MÜŞTERİ"))</f>
        <v/>
      </c>
      <c r="E829" s="114" t="n"/>
      <c r="F829" s="115" t="n"/>
      <c r="G829" s="107" t="n"/>
      <c r="H829" s="107" t="n"/>
      <c r="I829" s="108" t="n"/>
      <c r="J829" s="108" t="n"/>
      <c r="K829" s="108" t="n"/>
      <c r="L829" s="119">
        <f>IF($E829="","",DATE(YEAR($E829),MONTH($E829),1))</f>
        <v/>
      </c>
      <c r="M829" s="112">
        <f>IF($C829="","",IF($D829="TANIMSIZ MÜŞTERİ","HATA",IF(OR($E829="",$F829&lt;=0,$G829=""),"EKSİK",IF($E829&gt;TODAY(),"İLERİ TARİH","UYGUN"))))</f>
        <v/>
      </c>
      <c r="N829" s="6" t="n"/>
      <c r="O829" s="6" t="n"/>
    </row>
    <row r="830">
      <c r="A830" s="6" t="n"/>
      <c r="B830" s="112">
        <f>IF($C830="","","T"&amp;TEXT(ROW()-6,"00000"))</f>
        <v/>
      </c>
      <c r="C830" s="107" t="n"/>
      <c r="D830" s="113">
        <f>IF($C830="","",IFERROR(INDEX(MUSTERILER!$C$7:$C$106,MATCH($C830,MUSTERILER!$B$7:$B$106,0)),"TANIMSIZ MÜŞTERİ"))</f>
        <v/>
      </c>
      <c r="E830" s="114" t="n"/>
      <c r="F830" s="115" t="n"/>
      <c r="G830" s="107" t="n"/>
      <c r="H830" s="107" t="n"/>
      <c r="I830" s="108" t="n"/>
      <c r="J830" s="108" t="n"/>
      <c r="K830" s="108" t="n"/>
      <c r="L830" s="119">
        <f>IF($E830="","",DATE(YEAR($E830),MONTH($E830),1))</f>
        <v/>
      </c>
      <c r="M830" s="112">
        <f>IF($C830="","",IF($D830="TANIMSIZ MÜŞTERİ","HATA",IF(OR($E830="",$F830&lt;=0,$G830=""),"EKSİK",IF($E830&gt;TODAY(),"İLERİ TARİH","UYGUN"))))</f>
        <v/>
      </c>
      <c r="N830" s="6" t="n"/>
      <c r="O830" s="6" t="n"/>
    </row>
    <row r="831">
      <c r="A831" s="6" t="n"/>
      <c r="B831" s="112">
        <f>IF($C831="","","T"&amp;TEXT(ROW()-6,"00000"))</f>
        <v/>
      </c>
      <c r="C831" s="107" t="n"/>
      <c r="D831" s="113">
        <f>IF($C831="","",IFERROR(INDEX(MUSTERILER!$C$7:$C$106,MATCH($C831,MUSTERILER!$B$7:$B$106,0)),"TANIMSIZ MÜŞTERİ"))</f>
        <v/>
      </c>
      <c r="E831" s="114" t="n"/>
      <c r="F831" s="115" t="n"/>
      <c r="G831" s="107" t="n"/>
      <c r="H831" s="107" t="n"/>
      <c r="I831" s="108" t="n"/>
      <c r="J831" s="108" t="n"/>
      <c r="K831" s="108" t="n"/>
      <c r="L831" s="119">
        <f>IF($E831="","",DATE(YEAR($E831),MONTH($E831),1))</f>
        <v/>
      </c>
      <c r="M831" s="112">
        <f>IF($C831="","",IF($D831="TANIMSIZ MÜŞTERİ","HATA",IF(OR($E831="",$F831&lt;=0,$G831=""),"EKSİK",IF($E831&gt;TODAY(),"İLERİ TARİH","UYGUN"))))</f>
        <v/>
      </c>
      <c r="N831" s="6" t="n"/>
      <c r="O831" s="6" t="n"/>
    </row>
    <row r="832">
      <c r="A832" s="6" t="n"/>
      <c r="B832" s="112">
        <f>IF($C832="","","T"&amp;TEXT(ROW()-6,"00000"))</f>
        <v/>
      </c>
      <c r="C832" s="107" t="n"/>
      <c r="D832" s="113">
        <f>IF($C832="","",IFERROR(INDEX(MUSTERILER!$C$7:$C$106,MATCH($C832,MUSTERILER!$B$7:$B$106,0)),"TANIMSIZ MÜŞTERİ"))</f>
        <v/>
      </c>
      <c r="E832" s="114" t="n"/>
      <c r="F832" s="115" t="n"/>
      <c r="G832" s="107" t="n"/>
      <c r="H832" s="107" t="n"/>
      <c r="I832" s="108" t="n"/>
      <c r="J832" s="108" t="n"/>
      <c r="K832" s="108" t="n"/>
      <c r="L832" s="119">
        <f>IF($E832="","",DATE(YEAR($E832),MONTH($E832),1))</f>
        <v/>
      </c>
      <c r="M832" s="112">
        <f>IF($C832="","",IF($D832="TANIMSIZ MÜŞTERİ","HATA",IF(OR($E832="",$F832&lt;=0,$G832=""),"EKSİK",IF($E832&gt;TODAY(),"İLERİ TARİH","UYGUN"))))</f>
        <v/>
      </c>
      <c r="N832" s="6" t="n"/>
      <c r="O832" s="6" t="n"/>
    </row>
    <row r="833">
      <c r="A833" s="6" t="n"/>
      <c r="B833" s="112">
        <f>IF($C833="","","T"&amp;TEXT(ROW()-6,"00000"))</f>
        <v/>
      </c>
      <c r="C833" s="107" t="n"/>
      <c r="D833" s="113">
        <f>IF($C833="","",IFERROR(INDEX(MUSTERILER!$C$7:$C$106,MATCH($C833,MUSTERILER!$B$7:$B$106,0)),"TANIMSIZ MÜŞTERİ"))</f>
        <v/>
      </c>
      <c r="E833" s="114" t="n"/>
      <c r="F833" s="115" t="n"/>
      <c r="G833" s="107" t="n"/>
      <c r="H833" s="107" t="n"/>
      <c r="I833" s="108" t="n"/>
      <c r="J833" s="108" t="n"/>
      <c r="K833" s="108" t="n"/>
      <c r="L833" s="119">
        <f>IF($E833="","",DATE(YEAR($E833),MONTH($E833),1))</f>
        <v/>
      </c>
      <c r="M833" s="112">
        <f>IF($C833="","",IF($D833="TANIMSIZ MÜŞTERİ","HATA",IF(OR($E833="",$F833&lt;=0,$G833=""),"EKSİK",IF($E833&gt;TODAY(),"İLERİ TARİH","UYGUN"))))</f>
        <v/>
      </c>
      <c r="N833" s="6" t="n"/>
      <c r="O833" s="6" t="n"/>
    </row>
    <row r="834">
      <c r="A834" s="6" t="n"/>
      <c r="B834" s="112">
        <f>IF($C834="","","T"&amp;TEXT(ROW()-6,"00000"))</f>
        <v/>
      </c>
      <c r="C834" s="107" t="n"/>
      <c r="D834" s="113">
        <f>IF($C834="","",IFERROR(INDEX(MUSTERILER!$C$7:$C$106,MATCH($C834,MUSTERILER!$B$7:$B$106,0)),"TANIMSIZ MÜŞTERİ"))</f>
        <v/>
      </c>
      <c r="E834" s="114" t="n"/>
      <c r="F834" s="115" t="n"/>
      <c r="G834" s="107" t="n"/>
      <c r="H834" s="107" t="n"/>
      <c r="I834" s="108" t="n"/>
      <c r="J834" s="108" t="n"/>
      <c r="K834" s="108" t="n"/>
      <c r="L834" s="119">
        <f>IF($E834="","",DATE(YEAR($E834),MONTH($E834),1))</f>
        <v/>
      </c>
      <c r="M834" s="112">
        <f>IF($C834="","",IF($D834="TANIMSIZ MÜŞTERİ","HATA",IF(OR($E834="",$F834&lt;=0,$G834=""),"EKSİK",IF($E834&gt;TODAY(),"İLERİ TARİH","UYGUN"))))</f>
        <v/>
      </c>
      <c r="N834" s="6" t="n"/>
      <c r="O834" s="6" t="n"/>
    </row>
    <row r="835">
      <c r="A835" s="6" t="n"/>
      <c r="B835" s="112">
        <f>IF($C835="","","T"&amp;TEXT(ROW()-6,"00000"))</f>
        <v/>
      </c>
      <c r="C835" s="107" t="n"/>
      <c r="D835" s="113">
        <f>IF($C835="","",IFERROR(INDEX(MUSTERILER!$C$7:$C$106,MATCH($C835,MUSTERILER!$B$7:$B$106,0)),"TANIMSIZ MÜŞTERİ"))</f>
        <v/>
      </c>
      <c r="E835" s="114" t="n"/>
      <c r="F835" s="115" t="n"/>
      <c r="G835" s="107" t="n"/>
      <c r="H835" s="107" t="n"/>
      <c r="I835" s="108" t="n"/>
      <c r="J835" s="108" t="n"/>
      <c r="K835" s="108" t="n"/>
      <c r="L835" s="119">
        <f>IF($E835="","",DATE(YEAR($E835),MONTH($E835),1))</f>
        <v/>
      </c>
      <c r="M835" s="112">
        <f>IF($C835="","",IF($D835="TANIMSIZ MÜŞTERİ","HATA",IF(OR($E835="",$F835&lt;=0,$G835=""),"EKSİK",IF($E835&gt;TODAY(),"İLERİ TARİH","UYGUN"))))</f>
        <v/>
      </c>
      <c r="N835" s="6" t="n"/>
      <c r="O835" s="6" t="n"/>
    </row>
    <row r="836">
      <c r="A836" s="6" t="n"/>
      <c r="B836" s="112">
        <f>IF($C836="","","T"&amp;TEXT(ROW()-6,"00000"))</f>
        <v/>
      </c>
      <c r="C836" s="107" t="n"/>
      <c r="D836" s="113">
        <f>IF($C836="","",IFERROR(INDEX(MUSTERILER!$C$7:$C$106,MATCH($C836,MUSTERILER!$B$7:$B$106,0)),"TANIMSIZ MÜŞTERİ"))</f>
        <v/>
      </c>
      <c r="E836" s="114" t="n"/>
      <c r="F836" s="115" t="n"/>
      <c r="G836" s="107" t="n"/>
      <c r="H836" s="107" t="n"/>
      <c r="I836" s="108" t="n"/>
      <c r="J836" s="108" t="n"/>
      <c r="K836" s="108" t="n"/>
      <c r="L836" s="119">
        <f>IF($E836="","",DATE(YEAR($E836),MONTH($E836),1))</f>
        <v/>
      </c>
      <c r="M836" s="112">
        <f>IF($C836="","",IF($D836="TANIMSIZ MÜŞTERİ","HATA",IF(OR($E836="",$F836&lt;=0,$G836=""),"EKSİK",IF($E836&gt;TODAY(),"İLERİ TARİH","UYGUN"))))</f>
        <v/>
      </c>
      <c r="N836" s="6" t="n"/>
      <c r="O836" s="6" t="n"/>
    </row>
    <row r="837">
      <c r="A837" s="6" t="n"/>
      <c r="B837" s="112">
        <f>IF($C837="","","T"&amp;TEXT(ROW()-6,"00000"))</f>
        <v/>
      </c>
      <c r="C837" s="107" t="n"/>
      <c r="D837" s="113">
        <f>IF($C837="","",IFERROR(INDEX(MUSTERILER!$C$7:$C$106,MATCH($C837,MUSTERILER!$B$7:$B$106,0)),"TANIMSIZ MÜŞTERİ"))</f>
        <v/>
      </c>
      <c r="E837" s="114" t="n"/>
      <c r="F837" s="115" t="n"/>
      <c r="G837" s="107" t="n"/>
      <c r="H837" s="107" t="n"/>
      <c r="I837" s="108" t="n"/>
      <c r="J837" s="108" t="n"/>
      <c r="K837" s="108" t="n"/>
      <c r="L837" s="119">
        <f>IF($E837="","",DATE(YEAR($E837),MONTH($E837),1))</f>
        <v/>
      </c>
      <c r="M837" s="112">
        <f>IF($C837="","",IF($D837="TANIMSIZ MÜŞTERİ","HATA",IF(OR($E837="",$F837&lt;=0,$G837=""),"EKSİK",IF($E837&gt;TODAY(),"İLERİ TARİH","UYGUN"))))</f>
        <v/>
      </c>
      <c r="N837" s="6" t="n"/>
      <c r="O837" s="6" t="n"/>
    </row>
    <row r="838">
      <c r="A838" s="6" t="n"/>
      <c r="B838" s="112">
        <f>IF($C838="","","T"&amp;TEXT(ROW()-6,"00000"))</f>
        <v/>
      </c>
      <c r="C838" s="107" t="n"/>
      <c r="D838" s="113">
        <f>IF($C838="","",IFERROR(INDEX(MUSTERILER!$C$7:$C$106,MATCH($C838,MUSTERILER!$B$7:$B$106,0)),"TANIMSIZ MÜŞTERİ"))</f>
        <v/>
      </c>
      <c r="E838" s="114" t="n"/>
      <c r="F838" s="115" t="n"/>
      <c r="G838" s="107" t="n"/>
      <c r="H838" s="107" t="n"/>
      <c r="I838" s="108" t="n"/>
      <c r="J838" s="108" t="n"/>
      <c r="K838" s="108" t="n"/>
      <c r="L838" s="119">
        <f>IF($E838="","",DATE(YEAR($E838),MONTH($E838),1))</f>
        <v/>
      </c>
      <c r="M838" s="112">
        <f>IF($C838="","",IF($D838="TANIMSIZ MÜŞTERİ","HATA",IF(OR($E838="",$F838&lt;=0,$G838=""),"EKSİK",IF($E838&gt;TODAY(),"İLERİ TARİH","UYGUN"))))</f>
        <v/>
      </c>
      <c r="N838" s="6" t="n"/>
      <c r="O838" s="6" t="n"/>
    </row>
    <row r="839">
      <c r="A839" s="6" t="n"/>
      <c r="B839" s="112">
        <f>IF($C839="","","T"&amp;TEXT(ROW()-6,"00000"))</f>
        <v/>
      </c>
      <c r="C839" s="107" t="n"/>
      <c r="D839" s="113">
        <f>IF($C839="","",IFERROR(INDEX(MUSTERILER!$C$7:$C$106,MATCH($C839,MUSTERILER!$B$7:$B$106,0)),"TANIMSIZ MÜŞTERİ"))</f>
        <v/>
      </c>
      <c r="E839" s="114" t="n"/>
      <c r="F839" s="115" t="n"/>
      <c r="G839" s="107" t="n"/>
      <c r="H839" s="107" t="n"/>
      <c r="I839" s="108" t="n"/>
      <c r="J839" s="108" t="n"/>
      <c r="K839" s="108" t="n"/>
      <c r="L839" s="119">
        <f>IF($E839="","",DATE(YEAR($E839),MONTH($E839),1))</f>
        <v/>
      </c>
      <c r="M839" s="112">
        <f>IF($C839="","",IF($D839="TANIMSIZ MÜŞTERİ","HATA",IF(OR($E839="",$F839&lt;=0,$G839=""),"EKSİK",IF($E839&gt;TODAY(),"İLERİ TARİH","UYGUN"))))</f>
        <v/>
      </c>
      <c r="N839" s="6" t="n"/>
      <c r="O839" s="6" t="n"/>
    </row>
    <row r="840">
      <c r="A840" s="6" t="n"/>
      <c r="B840" s="112">
        <f>IF($C840="","","T"&amp;TEXT(ROW()-6,"00000"))</f>
        <v/>
      </c>
      <c r="C840" s="107" t="n"/>
      <c r="D840" s="113">
        <f>IF($C840="","",IFERROR(INDEX(MUSTERILER!$C$7:$C$106,MATCH($C840,MUSTERILER!$B$7:$B$106,0)),"TANIMSIZ MÜŞTERİ"))</f>
        <v/>
      </c>
      <c r="E840" s="114" t="n"/>
      <c r="F840" s="115" t="n"/>
      <c r="G840" s="107" t="n"/>
      <c r="H840" s="107" t="n"/>
      <c r="I840" s="108" t="n"/>
      <c r="J840" s="108" t="n"/>
      <c r="K840" s="108" t="n"/>
      <c r="L840" s="119">
        <f>IF($E840="","",DATE(YEAR($E840),MONTH($E840),1))</f>
        <v/>
      </c>
      <c r="M840" s="112">
        <f>IF($C840="","",IF($D840="TANIMSIZ MÜŞTERİ","HATA",IF(OR($E840="",$F840&lt;=0,$G840=""),"EKSİK",IF($E840&gt;TODAY(),"İLERİ TARİH","UYGUN"))))</f>
        <v/>
      </c>
      <c r="N840" s="6" t="n"/>
      <c r="O840" s="6" t="n"/>
    </row>
    <row r="841">
      <c r="A841" s="6" t="n"/>
      <c r="B841" s="112">
        <f>IF($C841="","","T"&amp;TEXT(ROW()-6,"00000"))</f>
        <v/>
      </c>
      <c r="C841" s="107" t="n"/>
      <c r="D841" s="113">
        <f>IF($C841="","",IFERROR(INDEX(MUSTERILER!$C$7:$C$106,MATCH($C841,MUSTERILER!$B$7:$B$106,0)),"TANIMSIZ MÜŞTERİ"))</f>
        <v/>
      </c>
      <c r="E841" s="114" t="n"/>
      <c r="F841" s="115" t="n"/>
      <c r="G841" s="107" t="n"/>
      <c r="H841" s="107" t="n"/>
      <c r="I841" s="108" t="n"/>
      <c r="J841" s="108" t="n"/>
      <c r="K841" s="108" t="n"/>
      <c r="L841" s="119">
        <f>IF($E841="","",DATE(YEAR($E841),MONTH($E841),1))</f>
        <v/>
      </c>
      <c r="M841" s="112">
        <f>IF($C841="","",IF($D841="TANIMSIZ MÜŞTERİ","HATA",IF(OR($E841="",$F841&lt;=0,$G841=""),"EKSİK",IF($E841&gt;TODAY(),"İLERİ TARİH","UYGUN"))))</f>
        <v/>
      </c>
      <c r="N841" s="6" t="n"/>
      <c r="O841" s="6" t="n"/>
    </row>
    <row r="842">
      <c r="A842" s="6" t="n"/>
      <c r="B842" s="112">
        <f>IF($C842="","","T"&amp;TEXT(ROW()-6,"00000"))</f>
        <v/>
      </c>
      <c r="C842" s="107" t="n"/>
      <c r="D842" s="113">
        <f>IF($C842="","",IFERROR(INDEX(MUSTERILER!$C$7:$C$106,MATCH($C842,MUSTERILER!$B$7:$B$106,0)),"TANIMSIZ MÜŞTERİ"))</f>
        <v/>
      </c>
      <c r="E842" s="114" t="n"/>
      <c r="F842" s="115" t="n"/>
      <c r="G842" s="107" t="n"/>
      <c r="H842" s="107" t="n"/>
      <c r="I842" s="108" t="n"/>
      <c r="J842" s="108" t="n"/>
      <c r="K842" s="108" t="n"/>
      <c r="L842" s="119">
        <f>IF($E842="","",DATE(YEAR($E842),MONTH($E842),1))</f>
        <v/>
      </c>
      <c r="M842" s="112">
        <f>IF($C842="","",IF($D842="TANIMSIZ MÜŞTERİ","HATA",IF(OR($E842="",$F842&lt;=0,$G842=""),"EKSİK",IF($E842&gt;TODAY(),"İLERİ TARİH","UYGUN"))))</f>
        <v/>
      </c>
      <c r="N842" s="6" t="n"/>
      <c r="O842" s="6" t="n"/>
    </row>
    <row r="843">
      <c r="A843" s="6" t="n"/>
      <c r="B843" s="112">
        <f>IF($C843="","","T"&amp;TEXT(ROW()-6,"00000"))</f>
        <v/>
      </c>
      <c r="C843" s="107" t="n"/>
      <c r="D843" s="113">
        <f>IF($C843="","",IFERROR(INDEX(MUSTERILER!$C$7:$C$106,MATCH($C843,MUSTERILER!$B$7:$B$106,0)),"TANIMSIZ MÜŞTERİ"))</f>
        <v/>
      </c>
      <c r="E843" s="114" t="n"/>
      <c r="F843" s="115" t="n"/>
      <c r="G843" s="107" t="n"/>
      <c r="H843" s="107" t="n"/>
      <c r="I843" s="108" t="n"/>
      <c r="J843" s="108" t="n"/>
      <c r="K843" s="108" t="n"/>
      <c r="L843" s="119">
        <f>IF($E843="","",DATE(YEAR($E843),MONTH($E843),1))</f>
        <v/>
      </c>
      <c r="M843" s="112">
        <f>IF($C843="","",IF($D843="TANIMSIZ MÜŞTERİ","HATA",IF(OR($E843="",$F843&lt;=0,$G843=""),"EKSİK",IF($E843&gt;TODAY(),"İLERİ TARİH","UYGUN"))))</f>
        <v/>
      </c>
      <c r="N843" s="6" t="n"/>
      <c r="O843" s="6" t="n"/>
    </row>
    <row r="844">
      <c r="A844" s="6" t="n"/>
      <c r="B844" s="112">
        <f>IF($C844="","","T"&amp;TEXT(ROW()-6,"00000"))</f>
        <v/>
      </c>
      <c r="C844" s="107" t="n"/>
      <c r="D844" s="113">
        <f>IF($C844="","",IFERROR(INDEX(MUSTERILER!$C$7:$C$106,MATCH($C844,MUSTERILER!$B$7:$B$106,0)),"TANIMSIZ MÜŞTERİ"))</f>
        <v/>
      </c>
      <c r="E844" s="114" t="n"/>
      <c r="F844" s="115" t="n"/>
      <c r="G844" s="107" t="n"/>
      <c r="H844" s="107" t="n"/>
      <c r="I844" s="108" t="n"/>
      <c r="J844" s="108" t="n"/>
      <c r="K844" s="108" t="n"/>
      <c r="L844" s="119">
        <f>IF($E844="","",DATE(YEAR($E844),MONTH($E844),1))</f>
        <v/>
      </c>
      <c r="M844" s="112">
        <f>IF($C844="","",IF($D844="TANIMSIZ MÜŞTERİ","HATA",IF(OR($E844="",$F844&lt;=0,$G844=""),"EKSİK",IF($E844&gt;TODAY(),"İLERİ TARİH","UYGUN"))))</f>
        <v/>
      </c>
      <c r="N844" s="6" t="n"/>
      <c r="O844" s="6" t="n"/>
    </row>
    <row r="845">
      <c r="A845" s="6" t="n"/>
      <c r="B845" s="112">
        <f>IF($C845="","","T"&amp;TEXT(ROW()-6,"00000"))</f>
        <v/>
      </c>
      <c r="C845" s="107" t="n"/>
      <c r="D845" s="113">
        <f>IF($C845="","",IFERROR(INDEX(MUSTERILER!$C$7:$C$106,MATCH($C845,MUSTERILER!$B$7:$B$106,0)),"TANIMSIZ MÜŞTERİ"))</f>
        <v/>
      </c>
      <c r="E845" s="114" t="n"/>
      <c r="F845" s="115" t="n"/>
      <c r="G845" s="107" t="n"/>
      <c r="H845" s="107" t="n"/>
      <c r="I845" s="108" t="n"/>
      <c r="J845" s="108" t="n"/>
      <c r="K845" s="108" t="n"/>
      <c r="L845" s="119">
        <f>IF($E845="","",DATE(YEAR($E845),MONTH($E845),1))</f>
        <v/>
      </c>
      <c r="M845" s="112">
        <f>IF($C845="","",IF($D845="TANIMSIZ MÜŞTERİ","HATA",IF(OR($E845="",$F845&lt;=0,$G845=""),"EKSİK",IF($E845&gt;TODAY(),"İLERİ TARİH","UYGUN"))))</f>
        <v/>
      </c>
      <c r="N845" s="6" t="n"/>
      <c r="O845" s="6" t="n"/>
    </row>
    <row r="846">
      <c r="A846" s="6" t="n"/>
      <c r="B846" s="112">
        <f>IF($C846="","","T"&amp;TEXT(ROW()-6,"00000"))</f>
        <v/>
      </c>
      <c r="C846" s="107" t="n"/>
      <c r="D846" s="113">
        <f>IF($C846="","",IFERROR(INDEX(MUSTERILER!$C$7:$C$106,MATCH($C846,MUSTERILER!$B$7:$B$106,0)),"TANIMSIZ MÜŞTERİ"))</f>
        <v/>
      </c>
      <c r="E846" s="114" t="n"/>
      <c r="F846" s="115" t="n"/>
      <c r="G846" s="107" t="n"/>
      <c r="H846" s="107" t="n"/>
      <c r="I846" s="108" t="n"/>
      <c r="J846" s="108" t="n"/>
      <c r="K846" s="108" t="n"/>
      <c r="L846" s="119">
        <f>IF($E846="","",DATE(YEAR($E846),MONTH($E846),1))</f>
        <v/>
      </c>
      <c r="M846" s="112">
        <f>IF($C846="","",IF($D846="TANIMSIZ MÜŞTERİ","HATA",IF(OR($E846="",$F846&lt;=0,$G846=""),"EKSİK",IF($E846&gt;TODAY(),"İLERİ TARİH","UYGUN"))))</f>
        <v/>
      </c>
      <c r="N846" s="6" t="n"/>
      <c r="O846" s="6" t="n"/>
    </row>
    <row r="847">
      <c r="A847" s="6" t="n"/>
      <c r="B847" s="112">
        <f>IF($C847="","","T"&amp;TEXT(ROW()-6,"00000"))</f>
        <v/>
      </c>
      <c r="C847" s="107" t="n"/>
      <c r="D847" s="113">
        <f>IF($C847="","",IFERROR(INDEX(MUSTERILER!$C$7:$C$106,MATCH($C847,MUSTERILER!$B$7:$B$106,0)),"TANIMSIZ MÜŞTERİ"))</f>
        <v/>
      </c>
      <c r="E847" s="114" t="n"/>
      <c r="F847" s="115" t="n"/>
      <c r="G847" s="107" t="n"/>
      <c r="H847" s="107" t="n"/>
      <c r="I847" s="108" t="n"/>
      <c r="J847" s="108" t="n"/>
      <c r="K847" s="108" t="n"/>
      <c r="L847" s="119">
        <f>IF($E847="","",DATE(YEAR($E847),MONTH($E847),1))</f>
        <v/>
      </c>
      <c r="M847" s="112">
        <f>IF($C847="","",IF($D847="TANIMSIZ MÜŞTERİ","HATA",IF(OR($E847="",$F847&lt;=0,$G847=""),"EKSİK",IF($E847&gt;TODAY(),"İLERİ TARİH","UYGUN"))))</f>
        <v/>
      </c>
      <c r="N847" s="6" t="n"/>
      <c r="O847" s="6" t="n"/>
    </row>
    <row r="848">
      <c r="A848" s="6" t="n"/>
      <c r="B848" s="112">
        <f>IF($C848="","","T"&amp;TEXT(ROW()-6,"00000"))</f>
        <v/>
      </c>
      <c r="C848" s="107" t="n"/>
      <c r="D848" s="113">
        <f>IF($C848="","",IFERROR(INDEX(MUSTERILER!$C$7:$C$106,MATCH($C848,MUSTERILER!$B$7:$B$106,0)),"TANIMSIZ MÜŞTERİ"))</f>
        <v/>
      </c>
      <c r="E848" s="114" t="n"/>
      <c r="F848" s="115" t="n"/>
      <c r="G848" s="107" t="n"/>
      <c r="H848" s="107" t="n"/>
      <c r="I848" s="108" t="n"/>
      <c r="J848" s="108" t="n"/>
      <c r="K848" s="108" t="n"/>
      <c r="L848" s="119">
        <f>IF($E848="","",DATE(YEAR($E848),MONTH($E848),1))</f>
        <v/>
      </c>
      <c r="M848" s="112">
        <f>IF($C848="","",IF($D848="TANIMSIZ MÜŞTERİ","HATA",IF(OR($E848="",$F848&lt;=0,$G848=""),"EKSİK",IF($E848&gt;TODAY(),"İLERİ TARİH","UYGUN"))))</f>
        <v/>
      </c>
      <c r="N848" s="6" t="n"/>
      <c r="O848" s="6" t="n"/>
    </row>
    <row r="849">
      <c r="A849" s="6" t="n"/>
      <c r="B849" s="112">
        <f>IF($C849="","","T"&amp;TEXT(ROW()-6,"00000"))</f>
        <v/>
      </c>
      <c r="C849" s="107" t="n"/>
      <c r="D849" s="113">
        <f>IF($C849="","",IFERROR(INDEX(MUSTERILER!$C$7:$C$106,MATCH($C849,MUSTERILER!$B$7:$B$106,0)),"TANIMSIZ MÜŞTERİ"))</f>
        <v/>
      </c>
      <c r="E849" s="114" t="n"/>
      <c r="F849" s="115" t="n"/>
      <c r="G849" s="107" t="n"/>
      <c r="H849" s="107" t="n"/>
      <c r="I849" s="108" t="n"/>
      <c r="J849" s="108" t="n"/>
      <c r="K849" s="108" t="n"/>
      <c r="L849" s="119">
        <f>IF($E849="","",DATE(YEAR($E849),MONTH($E849),1))</f>
        <v/>
      </c>
      <c r="M849" s="112">
        <f>IF($C849="","",IF($D849="TANIMSIZ MÜŞTERİ","HATA",IF(OR($E849="",$F849&lt;=0,$G849=""),"EKSİK",IF($E849&gt;TODAY(),"İLERİ TARİH","UYGUN"))))</f>
        <v/>
      </c>
      <c r="N849" s="6" t="n"/>
      <c r="O849" s="6" t="n"/>
    </row>
    <row r="850">
      <c r="A850" s="6" t="n"/>
      <c r="B850" s="112">
        <f>IF($C850="","","T"&amp;TEXT(ROW()-6,"00000"))</f>
        <v/>
      </c>
      <c r="C850" s="107" t="n"/>
      <c r="D850" s="113">
        <f>IF($C850="","",IFERROR(INDEX(MUSTERILER!$C$7:$C$106,MATCH($C850,MUSTERILER!$B$7:$B$106,0)),"TANIMSIZ MÜŞTERİ"))</f>
        <v/>
      </c>
      <c r="E850" s="114" t="n"/>
      <c r="F850" s="115" t="n"/>
      <c r="G850" s="107" t="n"/>
      <c r="H850" s="107" t="n"/>
      <c r="I850" s="108" t="n"/>
      <c r="J850" s="108" t="n"/>
      <c r="K850" s="108" t="n"/>
      <c r="L850" s="119">
        <f>IF($E850="","",DATE(YEAR($E850),MONTH($E850),1))</f>
        <v/>
      </c>
      <c r="M850" s="112">
        <f>IF($C850="","",IF($D850="TANIMSIZ MÜŞTERİ","HATA",IF(OR($E850="",$F850&lt;=0,$G850=""),"EKSİK",IF($E850&gt;TODAY(),"İLERİ TARİH","UYGUN"))))</f>
        <v/>
      </c>
      <c r="N850" s="6" t="n"/>
      <c r="O850" s="6" t="n"/>
    </row>
    <row r="851">
      <c r="A851" s="6" t="n"/>
      <c r="B851" s="112">
        <f>IF($C851="","","T"&amp;TEXT(ROW()-6,"00000"))</f>
        <v/>
      </c>
      <c r="C851" s="107" t="n"/>
      <c r="D851" s="113">
        <f>IF($C851="","",IFERROR(INDEX(MUSTERILER!$C$7:$C$106,MATCH($C851,MUSTERILER!$B$7:$B$106,0)),"TANIMSIZ MÜŞTERİ"))</f>
        <v/>
      </c>
      <c r="E851" s="114" t="n"/>
      <c r="F851" s="115" t="n"/>
      <c r="G851" s="107" t="n"/>
      <c r="H851" s="107" t="n"/>
      <c r="I851" s="108" t="n"/>
      <c r="J851" s="108" t="n"/>
      <c r="K851" s="108" t="n"/>
      <c r="L851" s="119">
        <f>IF($E851="","",DATE(YEAR($E851),MONTH($E851),1))</f>
        <v/>
      </c>
      <c r="M851" s="112">
        <f>IF($C851="","",IF($D851="TANIMSIZ MÜŞTERİ","HATA",IF(OR($E851="",$F851&lt;=0,$G851=""),"EKSİK",IF($E851&gt;TODAY(),"İLERİ TARİH","UYGUN"))))</f>
        <v/>
      </c>
      <c r="N851" s="6" t="n"/>
      <c r="O851" s="6" t="n"/>
    </row>
    <row r="852">
      <c r="A852" s="6" t="n"/>
      <c r="B852" s="112">
        <f>IF($C852="","","T"&amp;TEXT(ROW()-6,"00000"))</f>
        <v/>
      </c>
      <c r="C852" s="107" t="n"/>
      <c r="D852" s="113">
        <f>IF($C852="","",IFERROR(INDEX(MUSTERILER!$C$7:$C$106,MATCH($C852,MUSTERILER!$B$7:$B$106,0)),"TANIMSIZ MÜŞTERİ"))</f>
        <v/>
      </c>
      <c r="E852" s="114" t="n"/>
      <c r="F852" s="115" t="n"/>
      <c r="G852" s="107" t="n"/>
      <c r="H852" s="107" t="n"/>
      <c r="I852" s="108" t="n"/>
      <c r="J852" s="108" t="n"/>
      <c r="K852" s="108" t="n"/>
      <c r="L852" s="119">
        <f>IF($E852="","",DATE(YEAR($E852),MONTH($E852),1))</f>
        <v/>
      </c>
      <c r="M852" s="112">
        <f>IF($C852="","",IF($D852="TANIMSIZ MÜŞTERİ","HATA",IF(OR($E852="",$F852&lt;=0,$G852=""),"EKSİK",IF($E852&gt;TODAY(),"İLERİ TARİH","UYGUN"))))</f>
        <v/>
      </c>
      <c r="N852" s="6" t="n"/>
      <c r="O852" s="6" t="n"/>
    </row>
    <row r="853">
      <c r="A853" s="6" t="n"/>
      <c r="B853" s="112">
        <f>IF($C853="","","T"&amp;TEXT(ROW()-6,"00000"))</f>
        <v/>
      </c>
      <c r="C853" s="107" t="n"/>
      <c r="D853" s="113">
        <f>IF($C853="","",IFERROR(INDEX(MUSTERILER!$C$7:$C$106,MATCH($C853,MUSTERILER!$B$7:$B$106,0)),"TANIMSIZ MÜŞTERİ"))</f>
        <v/>
      </c>
      <c r="E853" s="114" t="n"/>
      <c r="F853" s="115" t="n"/>
      <c r="G853" s="107" t="n"/>
      <c r="H853" s="107" t="n"/>
      <c r="I853" s="108" t="n"/>
      <c r="J853" s="108" t="n"/>
      <c r="K853" s="108" t="n"/>
      <c r="L853" s="119">
        <f>IF($E853="","",DATE(YEAR($E853),MONTH($E853),1))</f>
        <v/>
      </c>
      <c r="M853" s="112">
        <f>IF($C853="","",IF($D853="TANIMSIZ MÜŞTERİ","HATA",IF(OR($E853="",$F853&lt;=0,$G853=""),"EKSİK",IF($E853&gt;TODAY(),"İLERİ TARİH","UYGUN"))))</f>
        <v/>
      </c>
      <c r="N853" s="6" t="n"/>
      <c r="O853" s="6" t="n"/>
    </row>
    <row r="854">
      <c r="A854" s="6" t="n"/>
      <c r="B854" s="112">
        <f>IF($C854="","","T"&amp;TEXT(ROW()-6,"00000"))</f>
        <v/>
      </c>
      <c r="C854" s="107" t="n"/>
      <c r="D854" s="113">
        <f>IF($C854="","",IFERROR(INDEX(MUSTERILER!$C$7:$C$106,MATCH($C854,MUSTERILER!$B$7:$B$106,0)),"TANIMSIZ MÜŞTERİ"))</f>
        <v/>
      </c>
      <c r="E854" s="114" t="n"/>
      <c r="F854" s="115" t="n"/>
      <c r="G854" s="107" t="n"/>
      <c r="H854" s="107" t="n"/>
      <c r="I854" s="108" t="n"/>
      <c r="J854" s="108" t="n"/>
      <c r="K854" s="108" t="n"/>
      <c r="L854" s="119">
        <f>IF($E854="","",DATE(YEAR($E854),MONTH($E854),1))</f>
        <v/>
      </c>
      <c r="M854" s="112">
        <f>IF($C854="","",IF($D854="TANIMSIZ MÜŞTERİ","HATA",IF(OR($E854="",$F854&lt;=0,$G854=""),"EKSİK",IF($E854&gt;TODAY(),"İLERİ TARİH","UYGUN"))))</f>
        <v/>
      </c>
      <c r="N854" s="6" t="n"/>
      <c r="O854" s="6" t="n"/>
    </row>
    <row r="855">
      <c r="A855" s="6" t="n"/>
      <c r="B855" s="112">
        <f>IF($C855="","","T"&amp;TEXT(ROW()-6,"00000"))</f>
        <v/>
      </c>
      <c r="C855" s="107" t="n"/>
      <c r="D855" s="113">
        <f>IF($C855="","",IFERROR(INDEX(MUSTERILER!$C$7:$C$106,MATCH($C855,MUSTERILER!$B$7:$B$106,0)),"TANIMSIZ MÜŞTERİ"))</f>
        <v/>
      </c>
      <c r="E855" s="114" t="n"/>
      <c r="F855" s="115" t="n"/>
      <c r="G855" s="107" t="n"/>
      <c r="H855" s="107" t="n"/>
      <c r="I855" s="108" t="n"/>
      <c r="J855" s="108" t="n"/>
      <c r="K855" s="108" t="n"/>
      <c r="L855" s="119">
        <f>IF($E855="","",DATE(YEAR($E855),MONTH($E855),1))</f>
        <v/>
      </c>
      <c r="M855" s="112">
        <f>IF($C855="","",IF($D855="TANIMSIZ MÜŞTERİ","HATA",IF(OR($E855="",$F855&lt;=0,$G855=""),"EKSİK",IF($E855&gt;TODAY(),"İLERİ TARİH","UYGUN"))))</f>
        <v/>
      </c>
      <c r="N855" s="6" t="n"/>
      <c r="O855" s="6" t="n"/>
    </row>
    <row r="856">
      <c r="A856" s="6" t="n"/>
      <c r="B856" s="112">
        <f>IF($C856="","","T"&amp;TEXT(ROW()-6,"00000"))</f>
        <v/>
      </c>
      <c r="C856" s="107" t="n"/>
      <c r="D856" s="113">
        <f>IF($C856="","",IFERROR(INDEX(MUSTERILER!$C$7:$C$106,MATCH($C856,MUSTERILER!$B$7:$B$106,0)),"TANIMSIZ MÜŞTERİ"))</f>
        <v/>
      </c>
      <c r="E856" s="114" t="n"/>
      <c r="F856" s="115" t="n"/>
      <c r="G856" s="107" t="n"/>
      <c r="H856" s="107" t="n"/>
      <c r="I856" s="108" t="n"/>
      <c r="J856" s="108" t="n"/>
      <c r="K856" s="108" t="n"/>
      <c r="L856" s="119">
        <f>IF($E856="","",DATE(YEAR($E856),MONTH($E856),1))</f>
        <v/>
      </c>
      <c r="M856" s="112">
        <f>IF($C856="","",IF($D856="TANIMSIZ MÜŞTERİ","HATA",IF(OR($E856="",$F856&lt;=0,$G856=""),"EKSİK",IF($E856&gt;TODAY(),"İLERİ TARİH","UYGUN"))))</f>
        <v/>
      </c>
      <c r="N856" s="6" t="n"/>
      <c r="O856" s="6" t="n"/>
    </row>
    <row r="857">
      <c r="A857" s="6" t="n"/>
      <c r="B857" s="112">
        <f>IF($C857="","","T"&amp;TEXT(ROW()-6,"00000"))</f>
        <v/>
      </c>
      <c r="C857" s="107" t="n"/>
      <c r="D857" s="113">
        <f>IF($C857="","",IFERROR(INDEX(MUSTERILER!$C$7:$C$106,MATCH($C857,MUSTERILER!$B$7:$B$106,0)),"TANIMSIZ MÜŞTERİ"))</f>
        <v/>
      </c>
      <c r="E857" s="114" t="n"/>
      <c r="F857" s="115" t="n"/>
      <c r="G857" s="107" t="n"/>
      <c r="H857" s="107" t="n"/>
      <c r="I857" s="108" t="n"/>
      <c r="J857" s="108" t="n"/>
      <c r="K857" s="108" t="n"/>
      <c r="L857" s="119">
        <f>IF($E857="","",DATE(YEAR($E857),MONTH($E857),1))</f>
        <v/>
      </c>
      <c r="M857" s="112">
        <f>IF($C857="","",IF($D857="TANIMSIZ MÜŞTERİ","HATA",IF(OR($E857="",$F857&lt;=0,$G857=""),"EKSİK",IF($E857&gt;TODAY(),"İLERİ TARİH","UYGUN"))))</f>
        <v/>
      </c>
      <c r="N857" s="6" t="n"/>
      <c r="O857" s="6" t="n"/>
    </row>
    <row r="858">
      <c r="A858" s="6" t="n"/>
      <c r="B858" s="112">
        <f>IF($C858="","","T"&amp;TEXT(ROW()-6,"00000"))</f>
        <v/>
      </c>
      <c r="C858" s="107" t="n"/>
      <c r="D858" s="113">
        <f>IF($C858="","",IFERROR(INDEX(MUSTERILER!$C$7:$C$106,MATCH($C858,MUSTERILER!$B$7:$B$106,0)),"TANIMSIZ MÜŞTERİ"))</f>
        <v/>
      </c>
      <c r="E858" s="114" t="n"/>
      <c r="F858" s="115" t="n"/>
      <c r="G858" s="107" t="n"/>
      <c r="H858" s="107" t="n"/>
      <c r="I858" s="108" t="n"/>
      <c r="J858" s="108" t="n"/>
      <c r="K858" s="108" t="n"/>
      <c r="L858" s="119">
        <f>IF($E858="","",DATE(YEAR($E858),MONTH($E858),1))</f>
        <v/>
      </c>
      <c r="M858" s="112">
        <f>IF($C858="","",IF($D858="TANIMSIZ MÜŞTERİ","HATA",IF(OR($E858="",$F858&lt;=0,$G858=""),"EKSİK",IF($E858&gt;TODAY(),"İLERİ TARİH","UYGUN"))))</f>
        <v/>
      </c>
      <c r="N858" s="6" t="n"/>
      <c r="O858" s="6" t="n"/>
    </row>
    <row r="859">
      <c r="A859" s="6" t="n"/>
      <c r="B859" s="112">
        <f>IF($C859="","","T"&amp;TEXT(ROW()-6,"00000"))</f>
        <v/>
      </c>
      <c r="C859" s="107" t="n"/>
      <c r="D859" s="113">
        <f>IF($C859="","",IFERROR(INDEX(MUSTERILER!$C$7:$C$106,MATCH($C859,MUSTERILER!$B$7:$B$106,0)),"TANIMSIZ MÜŞTERİ"))</f>
        <v/>
      </c>
      <c r="E859" s="114" t="n"/>
      <c r="F859" s="115" t="n"/>
      <c r="G859" s="107" t="n"/>
      <c r="H859" s="107" t="n"/>
      <c r="I859" s="108" t="n"/>
      <c r="J859" s="108" t="n"/>
      <c r="K859" s="108" t="n"/>
      <c r="L859" s="119">
        <f>IF($E859="","",DATE(YEAR($E859),MONTH($E859),1))</f>
        <v/>
      </c>
      <c r="M859" s="112">
        <f>IF($C859="","",IF($D859="TANIMSIZ MÜŞTERİ","HATA",IF(OR($E859="",$F859&lt;=0,$G859=""),"EKSİK",IF($E859&gt;TODAY(),"İLERİ TARİH","UYGUN"))))</f>
        <v/>
      </c>
      <c r="N859" s="6" t="n"/>
      <c r="O859" s="6" t="n"/>
    </row>
    <row r="860">
      <c r="A860" s="6" t="n"/>
      <c r="B860" s="112">
        <f>IF($C860="","","T"&amp;TEXT(ROW()-6,"00000"))</f>
        <v/>
      </c>
      <c r="C860" s="107" t="n"/>
      <c r="D860" s="113">
        <f>IF($C860="","",IFERROR(INDEX(MUSTERILER!$C$7:$C$106,MATCH($C860,MUSTERILER!$B$7:$B$106,0)),"TANIMSIZ MÜŞTERİ"))</f>
        <v/>
      </c>
      <c r="E860" s="114" t="n"/>
      <c r="F860" s="115" t="n"/>
      <c r="G860" s="107" t="n"/>
      <c r="H860" s="107" t="n"/>
      <c r="I860" s="108" t="n"/>
      <c r="J860" s="108" t="n"/>
      <c r="K860" s="108" t="n"/>
      <c r="L860" s="119">
        <f>IF($E860="","",DATE(YEAR($E860),MONTH($E860),1))</f>
        <v/>
      </c>
      <c r="M860" s="112">
        <f>IF($C860="","",IF($D860="TANIMSIZ MÜŞTERİ","HATA",IF(OR($E860="",$F860&lt;=0,$G860=""),"EKSİK",IF($E860&gt;TODAY(),"İLERİ TARİH","UYGUN"))))</f>
        <v/>
      </c>
      <c r="N860" s="6" t="n"/>
      <c r="O860" s="6" t="n"/>
    </row>
    <row r="861">
      <c r="A861" s="6" t="n"/>
      <c r="B861" s="112">
        <f>IF($C861="","","T"&amp;TEXT(ROW()-6,"00000"))</f>
        <v/>
      </c>
      <c r="C861" s="107" t="n"/>
      <c r="D861" s="113">
        <f>IF($C861="","",IFERROR(INDEX(MUSTERILER!$C$7:$C$106,MATCH($C861,MUSTERILER!$B$7:$B$106,0)),"TANIMSIZ MÜŞTERİ"))</f>
        <v/>
      </c>
      <c r="E861" s="114" t="n"/>
      <c r="F861" s="115" t="n"/>
      <c r="G861" s="107" t="n"/>
      <c r="H861" s="107" t="n"/>
      <c r="I861" s="108" t="n"/>
      <c r="J861" s="108" t="n"/>
      <c r="K861" s="108" t="n"/>
      <c r="L861" s="119">
        <f>IF($E861="","",DATE(YEAR($E861),MONTH($E861),1))</f>
        <v/>
      </c>
      <c r="M861" s="112">
        <f>IF($C861="","",IF($D861="TANIMSIZ MÜŞTERİ","HATA",IF(OR($E861="",$F861&lt;=0,$G861=""),"EKSİK",IF($E861&gt;TODAY(),"İLERİ TARİH","UYGUN"))))</f>
        <v/>
      </c>
      <c r="N861" s="6" t="n"/>
      <c r="O861" s="6" t="n"/>
    </row>
    <row r="862">
      <c r="A862" s="6" t="n"/>
      <c r="B862" s="112">
        <f>IF($C862="","","T"&amp;TEXT(ROW()-6,"00000"))</f>
        <v/>
      </c>
      <c r="C862" s="107" t="n"/>
      <c r="D862" s="113">
        <f>IF($C862="","",IFERROR(INDEX(MUSTERILER!$C$7:$C$106,MATCH($C862,MUSTERILER!$B$7:$B$106,0)),"TANIMSIZ MÜŞTERİ"))</f>
        <v/>
      </c>
      <c r="E862" s="114" t="n"/>
      <c r="F862" s="115" t="n"/>
      <c r="G862" s="107" t="n"/>
      <c r="H862" s="107" t="n"/>
      <c r="I862" s="108" t="n"/>
      <c r="J862" s="108" t="n"/>
      <c r="K862" s="108" t="n"/>
      <c r="L862" s="119">
        <f>IF($E862="","",DATE(YEAR($E862),MONTH($E862),1))</f>
        <v/>
      </c>
      <c r="M862" s="112">
        <f>IF($C862="","",IF($D862="TANIMSIZ MÜŞTERİ","HATA",IF(OR($E862="",$F862&lt;=0,$G862=""),"EKSİK",IF($E862&gt;TODAY(),"İLERİ TARİH","UYGUN"))))</f>
        <v/>
      </c>
      <c r="N862" s="6" t="n"/>
      <c r="O862" s="6" t="n"/>
    </row>
    <row r="863">
      <c r="A863" s="6" t="n"/>
      <c r="B863" s="112">
        <f>IF($C863="","","T"&amp;TEXT(ROW()-6,"00000"))</f>
        <v/>
      </c>
      <c r="C863" s="107" t="n"/>
      <c r="D863" s="113">
        <f>IF($C863="","",IFERROR(INDEX(MUSTERILER!$C$7:$C$106,MATCH($C863,MUSTERILER!$B$7:$B$106,0)),"TANIMSIZ MÜŞTERİ"))</f>
        <v/>
      </c>
      <c r="E863" s="114" t="n"/>
      <c r="F863" s="115" t="n"/>
      <c r="G863" s="107" t="n"/>
      <c r="H863" s="107" t="n"/>
      <c r="I863" s="108" t="n"/>
      <c r="J863" s="108" t="n"/>
      <c r="K863" s="108" t="n"/>
      <c r="L863" s="119">
        <f>IF($E863="","",DATE(YEAR($E863),MONTH($E863),1))</f>
        <v/>
      </c>
      <c r="M863" s="112">
        <f>IF($C863="","",IF($D863="TANIMSIZ MÜŞTERİ","HATA",IF(OR($E863="",$F863&lt;=0,$G863=""),"EKSİK",IF($E863&gt;TODAY(),"İLERİ TARİH","UYGUN"))))</f>
        <v/>
      </c>
      <c r="N863" s="6" t="n"/>
      <c r="O863" s="6" t="n"/>
    </row>
    <row r="864">
      <c r="A864" s="6" t="n"/>
      <c r="B864" s="112">
        <f>IF($C864="","","T"&amp;TEXT(ROW()-6,"00000"))</f>
        <v/>
      </c>
      <c r="C864" s="107" t="n"/>
      <c r="D864" s="113">
        <f>IF($C864="","",IFERROR(INDEX(MUSTERILER!$C$7:$C$106,MATCH($C864,MUSTERILER!$B$7:$B$106,0)),"TANIMSIZ MÜŞTERİ"))</f>
        <v/>
      </c>
      <c r="E864" s="114" t="n"/>
      <c r="F864" s="115" t="n"/>
      <c r="G864" s="107" t="n"/>
      <c r="H864" s="107" t="n"/>
      <c r="I864" s="108" t="n"/>
      <c r="J864" s="108" t="n"/>
      <c r="K864" s="108" t="n"/>
      <c r="L864" s="119">
        <f>IF($E864="","",DATE(YEAR($E864),MONTH($E864),1))</f>
        <v/>
      </c>
      <c r="M864" s="112">
        <f>IF($C864="","",IF($D864="TANIMSIZ MÜŞTERİ","HATA",IF(OR($E864="",$F864&lt;=0,$G864=""),"EKSİK",IF($E864&gt;TODAY(),"İLERİ TARİH","UYGUN"))))</f>
        <v/>
      </c>
      <c r="N864" s="6" t="n"/>
      <c r="O864" s="6" t="n"/>
    </row>
    <row r="865">
      <c r="A865" s="6" t="n"/>
      <c r="B865" s="112">
        <f>IF($C865="","","T"&amp;TEXT(ROW()-6,"00000"))</f>
        <v/>
      </c>
      <c r="C865" s="107" t="n"/>
      <c r="D865" s="113">
        <f>IF($C865="","",IFERROR(INDEX(MUSTERILER!$C$7:$C$106,MATCH($C865,MUSTERILER!$B$7:$B$106,0)),"TANIMSIZ MÜŞTERİ"))</f>
        <v/>
      </c>
      <c r="E865" s="114" t="n"/>
      <c r="F865" s="115" t="n"/>
      <c r="G865" s="107" t="n"/>
      <c r="H865" s="107" t="n"/>
      <c r="I865" s="108" t="n"/>
      <c r="J865" s="108" t="n"/>
      <c r="K865" s="108" t="n"/>
      <c r="L865" s="119">
        <f>IF($E865="","",DATE(YEAR($E865),MONTH($E865),1))</f>
        <v/>
      </c>
      <c r="M865" s="112">
        <f>IF($C865="","",IF($D865="TANIMSIZ MÜŞTERİ","HATA",IF(OR($E865="",$F865&lt;=0,$G865=""),"EKSİK",IF($E865&gt;TODAY(),"İLERİ TARİH","UYGUN"))))</f>
        <v/>
      </c>
      <c r="N865" s="6" t="n"/>
      <c r="O865" s="6" t="n"/>
    </row>
    <row r="866">
      <c r="A866" s="6" t="n"/>
      <c r="B866" s="112">
        <f>IF($C866="","","T"&amp;TEXT(ROW()-6,"00000"))</f>
        <v/>
      </c>
      <c r="C866" s="107" t="n"/>
      <c r="D866" s="113">
        <f>IF($C866="","",IFERROR(INDEX(MUSTERILER!$C$7:$C$106,MATCH($C866,MUSTERILER!$B$7:$B$106,0)),"TANIMSIZ MÜŞTERİ"))</f>
        <v/>
      </c>
      <c r="E866" s="114" t="n"/>
      <c r="F866" s="115" t="n"/>
      <c r="G866" s="107" t="n"/>
      <c r="H866" s="107" t="n"/>
      <c r="I866" s="108" t="n"/>
      <c r="J866" s="108" t="n"/>
      <c r="K866" s="108" t="n"/>
      <c r="L866" s="119">
        <f>IF($E866="","",DATE(YEAR($E866),MONTH($E866),1))</f>
        <v/>
      </c>
      <c r="M866" s="112">
        <f>IF($C866="","",IF($D866="TANIMSIZ MÜŞTERİ","HATA",IF(OR($E866="",$F866&lt;=0,$G866=""),"EKSİK",IF($E866&gt;TODAY(),"İLERİ TARİH","UYGUN"))))</f>
        <v/>
      </c>
      <c r="N866" s="6" t="n"/>
      <c r="O866" s="6" t="n"/>
    </row>
    <row r="867">
      <c r="A867" s="6" t="n"/>
      <c r="B867" s="112">
        <f>IF($C867="","","T"&amp;TEXT(ROW()-6,"00000"))</f>
        <v/>
      </c>
      <c r="C867" s="107" t="n"/>
      <c r="D867" s="113">
        <f>IF($C867="","",IFERROR(INDEX(MUSTERILER!$C$7:$C$106,MATCH($C867,MUSTERILER!$B$7:$B$106,0)),"TANIMSIZ MÜŞTERİ"))</f>
        <v/>
      </c>
      <c r="E867" s="114" t="n"/>
      <c r="F867" s="115" t="n"/>
      <c r="G867" s="107" t="n"/>
      <c r="H867" s="107" t="n"/>
      <c r="I867" s="108" t="n"/>
      <c r="J867" s="108" t="n"/>
      <c r="K867" s="108" t="n"/>
      <c r="L867" s="119">
        <f>IF($E867="","",DATE(YEAR($E867),MONTH($E867),1))</f>
        <v/>
      </c>
      <c r="M867" s="112">
        <f>IF($C867="","",IF($D867="TANIMSIZ MÜŞTERİ","HATA",IF(OR($E867="",$F867&lt;=0,$G867=""),"EKSİK",IF($E867&gt;TODAY(),"İLERİ TARİH","UYGUN"))))</f>
        <v/>
      </c>
      <c r="N867" s="6" t="n"/>
      <c r="O867" s="6" t="n"/>
    </row>
    <row r="868">
      <c r="A868" s="6" t="n"/>
      <c r="B868" s="112">
        <f>IF($C868="","","T"&amp;TEXT(ROW()-6,"00000"))</f>
        <v/>
      </c>
      <c r="C868" s="107" t="n"/>
      <c r="D868" s="113">
        <f>IF($C868="","",IFERROR(INDEX(MUSTERILER!$C$7:$C$106,MATCH($C868,MUSTERILER!$B$7:$B$106,0)),"TANIMSIZ MÜŞTERİ"))</f>
        <v/>
      </c>
      <c r="E868" s="114" t="n"/>
      <c r="F868" s="115" t="n"/>
      <c r="G868" s="107" t="n"/>
      <c r="H868" s="107" t="n"/>
      <c r="I868" s="108" t="n"/>
      <c r="J868" s="108" t="n"/>
      <c r="K868" s="108" t="n"/>
      <c r="L868" s="119">
        <f>IF($E868="","",DATE(YEAR($E868),MONTH($E868),1))</f>
        <v/>
      </c>
      <c r="M868" s="112">
        <f>IF($C868="","",IF($D868="TANIMSIZ MÜŞTERİ","HATA",IF(OR($E868="",$F868&lt;=0,$G868=""),"EKSİK",IF($E868&gt;TODAY(),"İLERİ TARİH","UYGUN"))))</f>
        <v/>
      </c>
      <c r="N868" s="6" t="n"/>
      <c r="O868" s="6" t="n"/>
    </row>
    <row r="869">
      <c r="A869" s="6" t="n"/>
      <c r="B869" s="112">
        <f>IF($C869="","","T"&amp;TEXT(ROW()-6,"00000"))</f>
        <v/>
      </c>
      <c r="C869" s="107" t="n"/>
      <c r="D869" s="113">
        <f>IF($C869="","",IFERROR(INDEX(MUSTERILER!$C$7:$C$106,MATCH($C869,MUSTERILER!$B$7:$B$106,0)),"TANIMSIZ MÜŞTERİ"))</f>
        <v/>
      </c>
      <c r="E869" s="114" t="n"/>
      <c r="F869" s="115" t="n"/>
      <c r="G869" s="107" t="n"/>
      <c r="H869" s="107" t="n"/>
      <c r="I869" s="108" t="n"/>
      <c r="J869" s="108" t="n"/>
      <c r="K869" s="108" t="n"/>
      <c r="L869" s="119">
        <f>IF($E869="","",DATE(YEAR($E869),MONTH($E869),1))</f>
        <v/>
      </c>
      <c r="M869" s="112">
        <f>IF($C869="","",IF($D869="TANIMSIZ MÜŞTERİ","HATA",IF(OR($E869="",$F869&lt;=0,$G869=""),"EKSİK",IF($E869&gt;TODAY(),"İLERİ TARİH","UYGUN"))))</f>
        <v/>
      </c>
      <c r="N869" s="6" t="n"/>
      <c r="O869" s="6" t="n"/>
    </row>
    <row r="870">
      <c r="A870" s="6" t="n"/>
      <c r="B870" s="112">
        <f>IF($C870="","","T"&amp;TEXT(ROW()-6,"00000"))</f>
        <v/>
      </c>
      <c r="C870" s="107" t="n"/>
      <c r="D870" s="113">
        <f>IF($C870="","",IFERROR(INDEX(MUSTERILER!$C$7:$C$106,MATCH($C870,MUSTERILER!$B$7:$B$106,0)),"TANIMSIZ MÜŞTERİ"))</f>
        <v/>
      </c>
      <c r="E870" s="114" t="n"/>
      <c r="F870" s="115" t="n"/>
      <c r="G870" s="107" t="n"/>
      <c r="H870" s="107" t="n"/>
      <c r="I870" s="108" t="n"/>
      <c r="J870" s="108" t="n"/>
      <c r="K870" s="108" t="n"/>
      <c r="L870" s="119">
        <f>IF($E870="","",DATE(YEAR($E870),MONTH($E870),1))</f>
        <v/>
      </c>
      <c r="M870" s="112">
        <f>IF($C870="","",IF($D870="TANIMSIZ MÜŞTERİ","HATA",IF(OR($E870="",$F870&lt;=0,$G870=""),"EKSİK",IF($E870&gt;TODAY(),"İLERİ TARİH","UYGUN"))))</f>
        <v/>
      </c>
      <c r="N870" s="6" t="n"/>
      <c r="O870" s="6" t="n"/>
    </row>
    <row r="871">
      <c r="A871" s="6" t="n"/>
      <c r="B871" s="112">
        <f>IF($C871="","","T"&amp;TEXT(ROW()-6,"00000"))</f>
        <v/>
      </c>
      <c r="C871" s="107" t="n"/>
      <c r="D871" s="113">
        <f>IF($C871="","",IFERROR(INDEX(MUSTERILER!$C$7:$C$106,MATCH($C871,MUSTERILER!$B$7:$B$106,0)),"TANIMSIZ MÜŞTERİ"))</f>
        <v/>
      </c>
      <c r="E871" s="114" t="n"/>
      <c r="F871" s="115" t="n"/>
      <c r="G871" s="107" t="n"/>
      <c r="H871" s="107" t="n"/>
      <c r="I871" s="108" t="n"/>
      <c r="J871" s="108" t="n"/>
      <c r="K871" s="108" t="n"/>
      <c r="L871" s="119">
        <f>IF($E871="","",DATE(YEAR($E871),MONTH($E871),1))</f>
        <v/>
      </c>
      <c r="M871" s="112">
        <f>IF($C871="","",IF($D871="TANIMSIZ MÜŞTERİ","HATA",IF(OR($E871="",$F871&lt;=0,$G871=""),"EKSİK",IF($E871&gt;TODAY(),"İLERİ TARİH","UYGUN"))))</f>
        <v/>
      </c>
      <c r="N871" s="6" t="n"/>
      <c r="O871" s="6" t="n"/>
    </row>
    <row r="872">
      <c r="A872" s="6" t="n"/>
      <c r="B872" s="112">
        <f>IF($C872="","","T"&amp;TEXT(ROW()-6,"00000"))</f>
        <v/>
      </c>
      <c r="C872" s="107" t="n"/>
      <c r="D872" s="113">
        <f>IF($C872="","",IFERROR(INDEX(MUSTERILER!$C$7:$C$106,MATCH($C872,MUSTERILER!$B$7:$B$106,0)),"TANIMSIZ MÜŞTERİ"))</f>
        <v/>
      </c>
      <c r="E872" s="114" t="n"/>
      <c r="F872" s="115" t="n"/>
      <c r="G872" s="107" t="n"/>
      <c r="H872" s="107" t="n"/>
      <c r="I872" s="108" t="n"/>
      <c r="J872" s="108" t="n"/>
      <c r="K872" s="108" t="n"/>
      <c r="L872" s="119">
        <f>IF($E872="","",DATE(YEAR($E872),MONTH($E872),1))</f>
        <v/>
      </c>
      <c r="M872" s="112">
        <f>IF($C872="","",IF($D872="TANIMSIZ MÜŞTERİ","HATA",IF(OR($E872="",$F872&lt;=0,$G872=""),"EKSİK",IF($E872&gt;TODAY(),"İLERİ TARİH","UYGUN"))))</f>
        <v/>
      </c>
      <c r="N872" s="6" t="n"/>
      <c r="O872" s="6" t="n"/>
    </row>
    <row r="873">
      <c r="A873" s="6" t="n"/>
      <c r="B873" s="112">
        <f>IF($C873="","","T"&amp;TEXT(ROW()-6,"00000"))</f>
        <v/>
      </c>
      <c r="C873" s="107" t="n"/>
      <c r="D873" s="113">
        <f>IF($C873="","",IFERROR(INDEX(MUSTERILER!$C$7:$C$106,MATCH($C873,MUSTERILER!$B$7:$B$106,0)),"TANIMSIZ MÜŞTERİ"))</f>
        <v/>
      </c>
      <c r="E873" s="114" t="n"/>
      <c r="F873" s="115" t="n"/>
      <c r="G873" s="107" t="n"/>
      <c r="H873" s="107" t="n"/>
      <c r="I873" s="108" t="n"/>
      <c r="J873" s="108" t="n"/>
      <c r="K873" s="108" t="n"/>
      <c r="L873" s="119">
        <f>IF($E873="","",DATE(YEAR($E873),MONTH($E873),1))</f>
        <v/>
      </c>
      <c r="M873" s="112">
        <f>IF($C873="","",IF($D873="TANIMSIZ MÜŞTERİ","HATA",IF(OR($E873="",$F873&lt;=0,$G873=""),"EKSİK",IF($E873&gt;TODAY(),"İLERİ TARİH","UYGUN"))))</f>
        <v/>
      </c>
      <c r="N873" s="6" t="n"/>
      <c r="O873" s="6" t="n"/>
    </row>
    <row r="874">
      <c r="A874" s="6" t="n"/>
      <c r="B874" s="112">
        <f>IF($C874="","","T"&amp;TEXT(ROW()-6,"00000"))</f>
        <v/>
      </c>
      <c r="C874" s="107" t="n"/>
      <c r="D874" s="113">
        <f>IF($C874="","",IFERROR(INDEX(MUSTERILER!$C$7:$C$106,MATCH($C874,MUSTERILER!$B$7:$B$106,0)),"TANIMSIZ MÜŞTERİ"))</f>
        <v/>
      </c>
      <c r="E874" s="114" t="n"/>
      <c r="F874" s="115" t="n"/>
      <c r="G874" s="107" t="n"/>
      <c r="H874" s="107" t="n"/>
      <c r="I874" s="108" t="n"/>
      <c r="J874" s="108" t="n"/>
      <c r="K874" s="108" t="n"/>
      <c r="L874" s="119">
        <f>IF($E874="","",DATE(YEAR($E874),MONTH($E874),1))</f>
        <v/>
      </c>
      <c r="M874" s="112">
        <f>IF($C874="","",IF($D874="TANIMSIZ MÜŞTERİ","HATA",IF(OR($E874="",$F874&lt;=0,$G874=""),"EKSİK",IF($E874&gt;TODAY(),"İLERİ TARİH","UYGUN"))))</f>
        <v/>
      </c>
      <c r="N874" s="6" t="n"/>
      <c r="O874" s="6" t="n"/>
    </row>
    <row r="875">
      <c r="A875" s="6" t="n"/>
      <c r="B875" s="112">
        <f>IF($C875="","","T"&amp;TEXT(ROW()-6,"00000"))</f>
        <v/>
      </c>
      <c r="C875" s="107" t="n"/>
      <c r="D875" s="113">
        <f>IF($C875="","",IFERROR(INDEX(MUSTERILER!$C$7:$C$106,MATCH($C875,MUSTERILER!$B$7:$B$106,0)),"TANIMSIZ MÜŞTERİ"))</f>
        <v/>
      </c>
      <c r="E875" s="114" t="n"/>
      <c r="F875" s="115" t="n"/>
      <c r="G875" s="107" t="n"/>
      <c r="H875" s="107" t="n"/>
      <c r="I875" s="108" t="n"/>
      <c r="J875" s="108" t="n"/>
      <c r="K875" s="108" t="n"/>
      <c r="L875" s="119">
        <f>IF($E875="","",DATE(YEAR($E875),MONTH($E875),1))</f>
        <v/>
      </c>
      <c r="M875" s="112">
        <f>IF($C875="","",IF($D875="TANIMSIZ MÜŞTERİ","HATA",IF(OR($E875="",$F875&lt;=0,$G875=""),"EKSİK",IF($E875&gt;TODAY(),"İLERİ TARİH","UYGUN"))))</f>
        <v/>
      </c>
      <c r="N875" s="6" t="n"/>
      <c r="O875" s="6" t="n"/>
    </row>
    <row r="876">
      <c r="A876" s="6" t="n"/>
      <c r="B876" s="112">
        <f>IF($C876="","","T"&amp;TEXT(ROW()-6,"00000"))</f>
        <v/>
      </c>
      <c r="C876" s="107" t="n"/>
      <c r="D876" s="113">
        <f>IF($C876="","",IFERROR(INDEX(MUSTERILER!$C$7:$C$106,MATCH($C876,MUSTERILER!$B$7:$B$106,0)),"TANIMSIZ MÜŞTERİ"))</f>
        <v/>
      </c>
      <c r="E876" s="114" t="n"/>
      <c r="F876" s="115" t="n"/>
      <c r="G876" s="107" t="n"/>
      <c r="H876" s="107" t="n"/>
      <c r="I876" s="108" t="n"/>
      <c r="J876" s="108" t="n"/>
      <c r="K876" s="108" t="n"/>
      <c r="L876" s="119">
        <f>IF($E876="","",DATE(YEAR($E876),MONTH($E876),1))</f>
        <v/>
      </c>
      <c r="M876" s="112">
        <f>IF($C876="","",IF($D876="TANIMSIZ MÜŞTERİ","HATA",IF(OR($E876="",$F876&lt;=0,$G876=""),"EKSİK",IF($E876&gt;TODAY(),"İLERİ TARİH","UYGUN"))))</f>
        <v/>
      </c>
      <c r="N876" s="6" t="n"/>
      <c r="O876" s="6" t="n"/>
    </row>
    <row r="877">
      <c r="A877" s="6" t="n"/>
      <c r="B877" s="112">
        <f>IF($C877="","","T"&amp;TEXT(ROW()-6,"00000"))</f>
        <v/>
      </c>
      <c r="C877" s="107" t="n"/>
      <c r="D877" s="113">
        <f>IF($C877="","",IFERROR(INDEX(MUSTERILER!$C$7:$C$106,MATCH($C877,MUSTERILER!$B$7:$B$106,0)),"TANIMSIZ MÜŞTERİ"))</f>
        <v/>
      </c>
      <c r="E877" s="114" t="n"/>
      <c r="F877" s="115" t="n"/>
      <c r="G877" s="107" t="n"/>
      <c r="H877" s="107" t="n"/>
      <c r="I877" s="108" t="n"/>
      <c r="J877" s="108" t="n"/>
      <c r="K877" s="108" t="n"/>
      <c r="L877" s="119">
        <f>IF($E877="","",DATE(YEAR($E877),MONTH($E877),1))</f>
        <v/>
      </c>
      <c r="M877" s="112">
        <f>IF($C877="","",IF($D877="TANIMSIZ MÜŞTERİ","HATA",IF(OR($E877="",$F877&lt;=0,$G877=""),"EKSİK",IF($E877&gt;TODAY(),"İLERİ TARİH","UYGUN"))))</f>
        <v/>
      </c>
      <c r="N877" s="6" t="n"/>
      <c r="O877" s="6" t="n"/>
    </row>
    <row r="878">
      <c r="A878" s="6" t="n"/>
      <c r="B878" s="112">
        <f>IF($C878="","","T"&amp;TEXT(ROW()-6,"00000"))</f>
        <v/>
      </c>
      <c r="C878" s="107" t="n"/>
      <c r="D878" s="113">
        <f>IF($C878="","",IFERROR(INDEX(MUSTERILER!$C$7:$C$106,MATCH($C878,MUSTERILER!$B$7:$B$106,0)),"TANIMSIZ MÜŞTERİ"))</f>
        <v/>
      </c>
      <c r="E878" s="114" t="n"/>
      <c r="F878" s="115" t="n"/>
      <c r="G878" s="107" t="n"/>
      <c r="H878" s="107" t="n"/>
      <c r="I878" s="108" t="n"/>
      <c r="J878" s="108" t="n"/>
      <c r="K878" s="108" t="n"/>
      <c r="L878" s="119">
        <f>IF($E878="","",DATE(YEAR($E878),MONTH($E878),1))</f>
        <v/>
      </c>
      <c r="M878" s="112">
        <f>IF($C878="","",IF($D878="TANIMSIZ MÜŞTERİ","HATA",IF(OR($E878="",$F878&lt;=0,$G878=""),"EKSİK",IF($E878&gt;TODAY(),"İLERİ TARİH","UYGUN"))))</f>
        <v/>
      </c>
      <c r="N878" s="6" t="n"/>
      <c r="O878" s="6" t="n"/>
    </row>
    <row r="879">
      <c r="A879" s="6" t="n"/>
      <c r="B879" s="112">
        <f>IF($C879="","","T"&amp;TEXT(ROW()-6,"00000"))</f>
        <v/>
      </c>
      <c r="C879" s="107" t="n"/>
      <c r="D879" s="113">
        <f>IF($C879="","",IFERROR(INDEX(MUSTERILER!$C$7:$C$106,MATCH($C879,MUSTERILER!$B$7:$B$106,0)),"TANIMSIZ MÜŞTERİ"))</f>
        <v/>
      </c>
      <c r="E879" s="114" t="n"/>
      <c r="F879" s="115" t="n"/>
      <c r="G879" s="107" t="n"/>
      <c r="H879" s="107" t="n"/>
      <c r="I879" s="108" t="n"/>
      <c r="J879" s="108" t="n"/>
      <c r="K879" s="108" t="n"/>
      <c r="L879" s="119">
        <f>IF($E879="","",DATE(YEAR($E879),MONTH($E879),1))</f>
        <v/>
      </c>
      <c r="M879" s="112">
        <f>IF($C879="","",IF($D879="TANIMSIZ MÜŞTERİ","HATA",IF(OR($E879="",$F879&lt;=0,$G879=""),"EKSİK",IF($E879&gt;TODAY(),"İLERİ TARİH","UYGUN"))))</f>
        <v/>
      </c>
      <c r="N879" s="6" t="n"/>
      <c r="O879" s="6" t="n"/>
    </row>
    <row r="880">
      <c r="A880" s="6" t="n"/>
      <c r="B880" s="112">
        <f>IF($C880="","","T"&amp;TEXT(ROW()-6,"00000"))</f>
        <v/>
      </c>
      <c r="C880" s="107" t="n"/>
      <c r="D880" s="113">
        <f>IF($C880="","",IFERROR(INDEX(MUSTERILER!$C$7:$C$106,MATCH($C880,MUSTERILER!$B$7:$B$106,0)),"TANIMSIZ MÜŞTERİ"))</f>
        <v/>
      </c>
      <c r="E880" s="114" t="n"/>
      <c r="F880" s="115" t="n"/>
      <c r="G880" s="107" t="n"/>
      <c r="H880" s="107" t="n"/>
      <c r="I880" s="108" t="n"/>
      <c r="J880" s="108" t="n"/>
      <c r="K880" s="108" t="n"/>
      <c r="L880" s="119">
        <f>IF($E880="","",DATE(YEAR($E880),MONTH($E880),1))</f>
        <v/>
      </c>
      <c r="M880" s="112">
        <f>IF($C880="","",IF($D880="TANIMSIZ MÜŞTERİ","HATA",IF(OR($E880="",$F880&lt;=0,$G880=""),"EKSİK",IF($E880&gt;TODAY(),"İLERİ TARİH","UYGUN"))))</f>
        <v/>
      </c>
      <c r="N880" s="6" t="n"/>
      <c r="O880" s="6" t="n"/>
    </row>
    <row r="881">
      <c r="A881" s="6" t="n"/>
      <c r="B881" s="112">
        <f>IF($C881="","","T"&amp;TEXT(ROW()-6,"00000"))</f>
        <v/>
      </c>
      <c r="C881" s="107" t="n"/>
      <c r="D881" s="113">
        <f>IF($C881="","",IFERROR(INDEX(MUSTERILER!$C$7:$C$106,MATCH($C881,MUSTERILER!$B$7:$B$106,0)),"TANIMSIZ MÜŞTERİ"))</f>
        <v/>
      </c>
      <c r="E881" s="114" t="n"/>
      <c r="F881" s="115" t="n"/>
      <c r="G881" s="107" t="n"/>
      <c r="H881" s="107" t="n"/>
      <c r="I881" s="108" t="n"/>
      <c r="J881" s="108" t="n"/>
      <c r="K881" s="108" t="n"/>
      <c r="L881" s="119">
        <f>IF($E881="","",DATE(YEAR($E881),MONTH($E881),1))</f>
        <v/>
      </c>
      <c r="M881" s="112">
        <f>IF($C881="","",IF($D881="TANIMSIZ MÜŞTERİ","HATA",IF(OR($E881="",$F881&lt;=0,$G881=""),"EKSİK",IF($E881&gt;TODAY(),"İLERİ TARİH","UYGUN"))))</f>
        <v/>
      </c>
      <c r="N881" s="6" t="n"/>
      <c r="O881" s="6" t="n"/>
    </row>
    <row r="882">
      <c r="A882" s="6" t="n"/>
      <c r="B882" s="112">
        <f>IF($C882="","","T"&amp;TEXT(ROW()-6,"00000"))</f>
        <v/>
      </c>
      <c r="C882" s="107" t="n"/>
      <c r="D882" s="113">
        <f>IF($C882="","",IFERROR(INDEX(MUSTERILER!$C$7:$C$106,MATCH($C882,MUSTERILER!$B$7:$B$106,0)),"TANIMSIZ MÜŞTERİ"))</f>
        <v/>
      </c>
      <c r="E882" s="114" t="n"/>
      <c r="F882" s="115" t="n"/>
      <c r="G882" s="107" t="n"/>
      <c r="H882" s="107" t="n"/>
      <c r="I882" s="108" t="n"/>
      <c r="J882" s="108" t="n"/>
      <c r="K882" s="108" t="n"/>
      <c r="L882" s="119">
        <f>IF($E882="","",DATE(YEAR($E882),MONTH($E882),1))</f>
        <v/>
      </c>
      <c r="M882" s="112">
        <f>IF($C882="","",IF($D882="TANIMSIZ MÜŞTERİ","HATA",IF(OR($E882="",$F882&lt;=0,$G882=""),"EKSİK",IF($E882&gt;TODAY(),"İLERİ TARİH","UYGUN"))))</f>
        <v/>
      </c>
      <c r="N882" s="6" t="n"/>
      <c r="O882" s="6" t="n"/>
    </row>
    <row r="883">
      <c r="A883" s="6" t="n"/>
      <c r="B883" s="112">
        <f>IF($C883="","","T"&amp;TEXT(ROW()-6,"00000"))</f>
        <v/>
      </c>
      <c r="C883" s="107" t="n"/>
      <c r="D883" s="113">
        <f>IF($C883="","",IFERROR(INDEX(MUSTERILER!$C$7:$C$106,MATCH($C883,MUSTERILER!$B$7:$B$106,0)),"TANIMSIZ MÜŞTERİ"))</f>
        <v/>
      </c>
      <c r="E883" s="114" t="n"/>
      <c r="F883" s="115" t="n"/>
      <c r="G883" s="107" t="n"/>
      <c r="H883" s="107" t="n"/>
      <c r="I883" s="108" t="n"/>
      <c r="J883" s="108" t="n"/>
      <c r="K883" s="108" t="n"/>
      <c r="L883" s="119">
        <f>IF($E883="","",DATE(YEAR($E883),MONTH($E883),1))</f>
        <v/>
      </c>
      <c r="M883" s="112">
        <f>IF($C883="","",IF($D883="TANIMSIZ MÜŞTERİ","HATA",IF(OR($E883="",$F883&lt;=0,$G883=""),"EKSİK",IF($E883&gt;TODAY(),"İLERİ TARİH","UYGUN"))))</f>
        <v/>
      </c>
      <c r="N883" s="6" t="n"/>
      <c r="O883" s="6" t="n"/>
    </row>
    <row r="884">
      <c r="A884" s="6" t="n"/>
      <c r="B884" s="112">
        <f>IF($C884="","","T"&amp;TEXT(ROW()-6,"00000"))</f>
        <v/>
      </c>
      <c r="C884" s="107" t="n"/>
      <c r="D884" s="113">
        <f>IF($C884="","",IFERROR(INDEX(MUSTERILER!$C$7:$C$106,MATCH($C884,MUSTERILER!$B$7:$B$106,0)),"TANIMSIZ MÜŞTERİ"))</f>
        <v/>
      </c>
      <c r="E884" s="114" t="n"/>
      <c r="F884" s="115" t="n"/>
      <c r="G884" s="107" t="n"/>
      <c r="H884" s="107" t="n"/>
      <c r="I884" s="108" t="n"/>
      <c r="J884" s="108" t="n"/>
      <c r="K884" s="108" t="n"/>
      <c r="L884" s="119">
        <f>IF($E884="","",DATE(YEAR($E884),MONTH($E884),1))</f>
        <v/>
      </c>
      <c r="M884" s="112">
        <f>IF($C884="","",IF($D884="TANIMSIZ MÜŞTERİ","HATA",IF(OR($E884="",$F884&lt;=0,$G884=""),"EKSİK",IF($E884&gt;TODAY(),"İLERİ TARİH","UYGUN"))))</f>
        <v/>
      </c>
      <c r="N884" s="6" t="n"/>
      <c r="O884" s="6" t="n"/>
    </row>
    <row r="885">
      <c r="A885" s="6" t="n"/>
      <c r="B885" s="112">
        <f>IF($C885="","","T"&amp;TEXT(ROW()-6,"00000"))</f>
        <v/>
      </c>
      <c r="C885" s="107" t="n"/>
      <c r="D885" s="113">
        <f>IF($C885="","",IFERROR(INDEX(MUSTERILER!$C$7:$C$106,MATCH($C885,MUSTERILER!$B$7:$B$106,0)),"TANIMSIZ MÜŞTERİ"))</f>
        <v/>
      </c>
      <c r="E885" s="114" t="n"/>
      <c r="F885" s="115" t="n"/>
      <c r="G885" s="107" t="n"/>
      <c r="H885" s="107" t="n"/>
      <c r="I885" s="108" t="n"/>
      <c r="J885" s="108" t="n"/>
      <c r="K885" s="108" t="n"/>
      <c r="L885" s="119">
        <f>IF($E885="","",DATE(YEAR($E885),MONTH($E885),1))</f>
        <v/>
      </c>
      <c r="M885" s="112">
        <f>IF($C885="","",IF($D885="TANIMSIZ MÜŞTERİ","HATA",IF(OR($E885="",$F885&lt;=0,$G885=""),"EKSİK",IF($E885&gt;TODAY(),"İLERİ TARİH","UYGUN"))))</f>
        <v/>
      </c>
      <c r="N885" s="6" t="n"/>
      <c r="O885" s="6" t="n"/>
    </row>
    <row r="886">
      <c r="A886" s="6" t="n"/>
      <c r="B886" s="112">
        <f>IF($C886="","","T"&amp;TEXT(ROW()-6,"00000"))</f>
        <v/>
      </c>
      <c r="C886" s="107" t="n"/>
      <c r="D886" s="113">
        <f>IF($C886="","",IFERROR(INDEX(MUSTERILER!$C$7:$C$106,MATCH($C886,MUSTERILER!$B$7:$B$106,0)),"TANIMSIZ MÜŞTERİ"))</f>
        <v/>
      </c>
      <c r="E886" s="114" t="n"/>
      <c r="F886" s="115" t="n"/>
      <c r="G886" s="107" t="n"/>
      <c r="H886" s="107" t="n"/>
      <c r="I886" s="108" t="n"/>
      <c r="J886" s="108" t="n"/>
      <c r="K886" s="108" t="n"/>
      <c r="L886" s="119">
        <f>IF($E886="","",DATE(YEAR($E886),MONTH($E886),1))</f>
        <v/>
      </c>
      <c r="M886" s="112">
        <f>IF($C886="","",IF($D886="TANIMSIZ MÜŞTERİ","HATA",IF(OR($E886="",$F886&lt;=0,$G886=""),"EKSİK",IF($E886&gt;TODAY(),"İLERİ TARİH","UYGUN"))))</f>
        <v/>
      </c>
      <c r="N886" s="6" t="n"/>
      <c r="O886" s="6" t="n"/>
    </row>
    <row r="887">
      <c r="A887" s="6" t="n"/>
      <c r="B887" s="112">
        <f>IF($C887="","","T"&amp;TEXT(ROW()-6,"00000"))</f>
        <v/>
      </c>
      <c r="C887" s="107" t="n"/>
      <c r="D887" s="113">
        <f>IF($C887="","",IFERROR(INDEX(MUSTERILER!$C$7:$C$106,MATCH($C887,MUSTERILER!$B$7:$B$106,0)),"TANIMSIZ MÜŞTERİ"))</f>
        <v/>
      </c>
      <c r="E887" s="114" t="n"/>
      <c r="F887" s="115" t="n"/>
      <c r="G887" s="107" t="n"/>
      <c r="H887" s="107" t="n"/>
      <c r="I887" s="108" t="n"/>
      <c r="J887" s="108" t="n"/>
      <c r="K887" s="108" t="n"/>
      <c r="L887" s="119">
        <f>IF($E887="","",DATE(YEAR($E887),MONTH($E887),1))</f>
        <v/>
      </c>
      <c r="M887" s="112">
        <f>IF($C887="","",IF($D887="TANIMSIZ MÜŞTERİ","HATA",IF(OR($E887="",$F887&lt;=0,$G887=""),"EKSİK",IF($E887&gt;TODAY(),"İLERİ TARİH","UYGUN"))))</f>
        <v/>
      </c>
      <c r="N887" s="6" t="n"/>
      <c r="O887" s="6" t="n"/>
    </row>
    <row r="888">
      <c r="A888" s="6" t="n"/>
      <c r="B888" s="112">
        <f>IF($C888="","","T"&amp;TEXT(ROW()-6,"00000"))</f>
        <v/>
      </c>
      <c r="C888" s="107" t="n"/>
      <c r="D888" s="113">
        <f>IF($C888="","",IFERROR(INDEX(MUSTERILER!$C$7:$C$106,MATCH($C888,MUSTERILER!$B$7:$B$106,0)),"TANIMSIZ MÜŞTERİ"))</f>
        <v/>
      </c>
      <c r="E888" s="114" t="n"/>
      <c r="F888" s="115" t="n"/>
      <c r="G888" s="107" t="n"/>
      <c r="H888" s="107" t="n"/>
      <c r="I888" s="108" t="n"/>
      <c r="J888" s="108" t="n"/>
      <c r="K888" s="108" t="n"/>
      <c r="L888" s="119">
        <f>IF($E888="","",DATE(YEAR($E888),MONTH($E888),1))</f>
        <v/>
      </c>
      <c r="M888" s="112">
        <f>IF($C888="","",IF($D888="TANIMSIZ MÜŞTERİ","HATA",IF(OR($E888="",$F888&lt;=0,$G888=""),"EKSİK",IF($E888&gt;TODAY(),"İLERİ TARİH","UYGUN"))))</f>
        <v/>
      </c>
      <c r="N888" s="6" t="n"/>
      <c r="O888" s="6" t="n"/>
    </row>
    <row r="889">
      <c r="A889" s="6" t="n"/>
      <c r="B889" s="112">
        <f>IF($C889="","","T"&amp;TEXT(ROW()-6,"00000"))</f>
        <v/>
      </c>
      <c r="C889" s="107" t="n"/>
      <c r="D889" s="113">
        <f>IF($C889="","",IFERROR(INDEX(MUSTERILER!$C$7:$C$106,MATCH($C889,MUSTERILER!$B$7:$B$106,0)),"TANIMSIZ MÜŞTERİ"))</f>
        <v/>
      </c>
      <c r="E889" s="114" t="n"/>
      <c r="F889" s="115" t="n"/>
      <c r="G889" s="107" t="n"/>
      <c r="H889" s="107" t="n"/>
      <c r="I889" s="108" t="n"/>
      <c r="J889" s="108" t="n"/>
      <c r="K889" s="108" t="n"/>
      <c r="L889" s="119">
        <f>IF($E889="","",DATE(YEAR($E889),MONTH($E889),1))</f>
        <v/>
      </c>
      <c r="M889" s="112">
        <f>IF($C889="","",IF($D889="TANIMSIZ MÜŞTERİ","HATA",IF(OR($E889="",$F889&lt;=0,$G889=""),"EKSİK",IF($E889&gt;TODAY(),"İLERİ TARİH","UYGUN"))))</f>
        <v/>
      </c>
      <c r="N889" s="6" t="n"/>
      <c r="O889" s="6" t="n"/>
    </row>
    <row r="890">
      <c r="A890" s="6" t="n"/>
      <c r="B890" s="112">
        <f>IF($C890="","","T"&amp;TEXT(ROW()-6,"00000"))</f>
        <v/>
      </c>
      <c r="C890" s="107" t="n"/>
      <c r="D890" s="113">
        <f>IF($C890="","",IFERROR(INDEX(MUSTERILER!$C$7:$C$106,MATCH($C890,MUSTERILER!$B$7:$B$106,0)),"TANIMSIZ MÜŞTERİ"))</f>
        <v/>
      </c>
      <c r="E890" s="114" t="n"/>
      <c r="F890" s="115" t="n"/>
      <c r="G890" s="107" t="n"/>
      <c r="H890" s="107" t="n"/>
      <c r="I890" s="108" t="n"/>
      <c r="J890" s="108" t="n"/>
      <c r="K890" s="108" t="n"/>
      <c r="L890" s="119">
        <f>IF($E890="","",DATE(YEAR($E890),MONTH($E890),1))</f>
        <v/>
      </c>
      <c r="M890" s="112">
        <f>IF($C890="","",IF($D890="TANIMSIZ MÜŞTERİ","HATA",IF(OR($E890="",$F890&lt;=0,$G890=""),"EKSİK",IF($E890&gt;TODAY(),"İLERİ TARİH","UYGUN"))))</f>
        <v/>
      </c>
      <c r="N890" s="6" t="n"/>
      <c r="O890" s="6" t="n"/>
    </row>
    <row r="891">
      <c r="A891" s="6" t="n"/>
      <c r="B891" s="112">
        <f>IF($C891="","","T"&amp;TEXT(ROW()-6,"00000"))</f>
        <v/>
      </c>
      <c r="C891" s="107" t="n"/>
      <c r="D891" s="113">
        <f>IF($C891="","",IFERROR(INDEX(MUSTERILER!$C$7:$C$106,MATCH($C891,MUSTERILER!$B$7:$B$106,0)),"TANIMSIZ MÜŞTERİ"))</f>
        <v/>
      </c>
      <c r="E891" s="114" t="n"/>
      <c r="F891" s="115" t="n"/>
      <c r="G891" s="107" t="n"/>
      <c r="H891" s="107" t="n"/>
      <c r="I891" s="108" t="n"/>
      <c r="J891" s="108" t="n"/>
      <c r="K891" s="108" t="n"/>
      <c r="L891" s="119">
        <f>IF($E891="","",DATE(YEAR($E891),MONTH($E891),1))</f>
        <v/>
      </c>
      <c r="M891" s="112">
        <f>IF($C891="","",IF($D891="TANIMSIZ MÜŞTERİ","HATA",IF(OR($E891="",$F891&lt;=0,$G891=""),"EKSİK",IF($E891&gt;TODAY(),"İLERİ TARİH","UYGUN"))))</f>
        <v/>
      </c>
      <c r="N891" s="6" t="n"/>
      <c r="O891" s="6" t="n"/>
    </row>
    <row r="892">
      <c r="A892" s="6" t="n"/>
      <c r="B892" s="112">
        <f>IF($C892="","","T"&amp;TEXT(ROW()-6,"00000"))</f>
        <v/>
      </c>
      <c r="C892" s="107" t="n"/>
      <c r="D892" s="113">
        <f>IF($C892="","",IFERROR(INDEX(MUSTERILER!$C$7:$C$106,MATCH($C892,MUSTERILER!$B$7:$B$106,0)),"TANIMSIZ MÜŞTERİ"))</f>
        <v/>
      </c>
      <c r="E892" s="114" t="n"/>
      <c r="F892" s="115" t="n"/>
      <c r="G892" s="107" t="n"/>
      <c r="H892" s="107" t="n"/>
      <c r="I892" s="108" t="n"/>
      <c r="J892" s="108" t="n"/>
      <c r="K892" s="108" t="n"/>
      <c r="L892" s="119">
        <f>IF($E892="","",DATE(YEAR($E892),MONTH($E892),1))</f>
        <v/>
      </c>
      <c r="M892" s="112">
        <f>IF($C892="","",IF($D892="TANIMSIZ MÜŞTERİ","HATA",IF(OR($E892="",$F892&lt;=0,$G892=""),"EKSİK",IF($E892&gt;TODAY(),"İLERİ TARİH","UYGUN"))))</f>
        <v/>
      </c>
      <c r="N892" s="6" t="n"/>
      <c r="O892" s="6" t="n"/>
    </row>
    <row r="893">
      <c r="A893" s="6" t="n"/>
      <c r="B893" s="112">
        <f>IF($C893="","","T"&amp;TEXT(ROW()-6,"00000"))</f>
        <v/>
      </c>
      <c r="C893" s="107" t="n"/>
      <c r="D893" s="113">
        <f>IF($C893="","",IFERROR(INDEX(MUSTERILER!$C$7:$C$106,MATCH($C893,MUSTERILER!$B$7:$B$106,0)),"TANIMSIZ MÜŞTERİ"))</f>
        <v/>
      </c>
      <c r="E893" s="114" t="n"/>
      <c r="F893" s="115" t="n"/>
      <c r="G893" s="107" t="n"/>
      <c r="H893" s="107" t="n"/>
      <c r="I893" s="108" t="n"/>
      <c r="J893" s="108" t="n"/>
      <c r="K893" s="108" t="n"/>
      <c r="L893" s="119">
        <f>IF($E893="","",DATE(YEAR($E893),MONTH($E893),1))</f>
        <v/>
      </c>
      <c r="M893" s="112">
        <f>IF($C893="","",IF($D893="TANIMSIZ MÜŞTERİ","HATA",IF(OR($E893="",$F893&lt;=0,$G893=""),"EKSİK",IF($E893&gt;TODAY(),"İLERİ TARİH","UYGUN"))))</f>
        <v/>
      </c>
      <c r="N893" s="6" t="n"/>
      <c r="O893" s="6" t="n"/>
    </row>
    <row r="894">
      <c r="A894" s="6" t="n"/>
      <c r="B894" s="112">
        <f>IF($C894="","","T"&amp;TEXT(ROW()-6,"00000"))</f>
        <v/>
      </c>
      <c r="C894" s="107" t="n"/>
      <c r="D894" s="113">
        <f>IF($C894="","",IFERROR(INDEX(MUSTERILER!$C$7:$C$106,MATCH($C894,MUSTERILER!$B$7:$B$106,0)),"TANIMSIZ MÜŞTERİ"))</f>
        <v/>
      </c>
      <c r="E894" s="114" t="n"/>
      <c r="F894" s="115" t="n"/>
      <c r="G894" s="107" t="n"/>
      <c r="H894" s="107" t="n"/>
      <c r="I894" s="108" t="n"/>
      <c r="J894" s="108" t="n"/>
      <c r="K894" s="108" t="n"/>
      <c r="L894" s="119">
        <f>IF($E894="","",DATE(YEAR($E894),MONTH($E894),1))</f>
        <v/>
      </c>
      <c r="M894" s="112">
        <f>IF($C894="","",IF($D894="TANIMSIZ MÜŞTERİ","HATA",IF(OR($E894="",$F894&lt;=0,$G894=""),"EKSİK",IF($E894&gt;TODAY(),"İLERİ TARİH","UYGUN"))))</f>
        <v/>
      </c>
      <c r="N894" s="6" t="n"/>
      <c r="O894" s="6" t="n"/>
    </row>
    <row r="895">
      <c r="A895" s="6" t="n"/>
      <c r="B895" s="112">
        <f>IF($C895="","","T"&amp;TEXT(ROW()-6,"00000"))</f>
        <v/>
      </c>
      <c r="C895" s="107" t="n"/>
      <c r="D895" s="113">
        <f>IF($C895="","",IFERROR(INDEX(MUSTERILER!$C$7:$C$106,MATCH($C895,MUSTERILER!$B$7:$B$106,0)),"TANIMSIZ MÜŞTERİ"))</f>
        <v/>
      </c>
      <c r="E895" s="114" t="n"/>
      <c r="F895" s="115" t="n"/>
      <c r="G895" s="107" t="n"/>
      <c r="H895" s="107" t="n"/>
      <c r="I895" s="108" t="n"/>
      <c r="J895" s="108" t="n"/>
      <c r="K895" s="108" t="n"/>
      <c r="L895" s="119">
        <f>IF($E895="","",DATE(YEAR($E895),MONTH($E895),1))</f>
        <v/>
      </c>
      <c r="M895" s="112">
        <f>IF($C895="","",IF($D895="TANIMSIZ MÜŞTERİ","HATA",IF(OR($E895="",$F895&lt;=0,$G895=""),"EKSİK",IF($E895&gt;TODAY(),"İLERİ TARİH","UYGUN"))))</f>
        <v/>
      </c>
      <c r="N895" s="6" t="n"/>
      <c r="O895" s="6" t="n"/>
    </row>
    <row r="896">
      <c r="A896" s="6" t="n"/>
      <c r="B896" s="112">
        <f>IF($C896="","","T"&amp;TEXT(ROW()-6,"00000"))</f>
        <v/>
      </c>
      <c r="C896" s="107" t="n"/>
      <c r="D896" s="113">
        <f>IF($C896="","",IFERROR(INDEX(MUSTERILER!$C$7:$C$106,MATCH($C896,MUSTERILER!$B$7:$B$106,0)),"TANIMSIZ MÜŞTERİ"))</f>
        <v/>
      </c>
      <c r="E896" s="114" t="n"/>
      <c r="F896" s="115" t="n"/>
      <c r="G896" s="107" t="n"/>
      <c r="H896" s="107" t="n"/>
      <c r="I896" s="108" t="n"/>
      <c r="J896" s="108" t="n"/>
      <c r="K896" s="108" t="n"/>
      <c r="L896" s="119">
        <f>IF($E896="","",DATE(YEAR($E896),MONTH($E896),1))</f>
        <v/>
      </c>
      <c r="M896" s="112">
        <f>IF($C896="","",IF($D896="TANIMSIZ MÜŞTERİ","HATA",IF(OR($E896="",$F896&lt;=0,$G896=""),"EKSİK",IF($E896&gt;TODAY(),"İLERİ TARİH","UYGUN"))))</f>
        <v/>
      </c>
      <c r="N896" s="6" t="n"/>
      <c r="O896" s="6" t="n"/>
    </row>
    <row r="897">
      <c r="A897" s="6" t="n"/>
      <c r="B897" s="112">
        <f>IF($C897="","","T"&amp;TEXT(ROW()-6,"00000"))</f>
        <v/>
      </c>
      <c r="C897" s="107" t="n"/>
      <c r="D897" s="113">
        <f>IF($C897="","",IFERROR(INDEX(MUSTERILER!$C$7:$C$106,MATCH($C897,MUSTERILER!$B$7:$B$106,0)),"TANIMSIZ MÜŞTERİ"))</f>
        <v/>
      </c>
      <c r="E897" s="114" t="n"/>
      <c r="F897" s="115" t="n"/>
      <c r="G897" s="107" t="n"/>
      <c r="H897" s="107" t="n"/>
      <c r="I897" s="108" t="n"/>
      <c r="J897" s="108" t="n"/>
      <c r="K897" s="108" t="n"/>
      <c r="L897" s="119">
        <f>IF($E897="","",DATE(YEAR($E897),MONTH($E897),1))</f>
        <v/>
      </c>
      <c r="M897" s="112">
        <f>IF($C897="","",IF($D897="TANIMSIZ MÜŞTERİ","HATA",IF(OR($E897="",$F897&lt;=0,$G897=""),"EKSİK",IF($E897&gt;TODAY(),"İLERİ TARİH","UYGUN"))))</f>
        <v/>
      </c>
      <c r="N897" s="6" t="n"/>
      <c r="O897" s="6" t="n"/>
    </row>
    <row r="898">
      <c r="A898" s="6" t="n"/>
      <c r="B898" s="112">
        <f>IF($C898="","","T"&amp;TEXT(ROW()-6,"00000"))</f>
        <v/>
      </c>
      <c r="C898" s="107" t="n"/>
      <c r="D898" s="113">
        <f>IF($C898="","",IFERROR(INDEX(MUSTERILER!$C$7:$C$106,MATCH($C898,MUSTERILER!$B$7:$B$106,0)),"TANIMSIZ MÜŞTERİ"))</f>
        <v/>
      </c>
      <c r="E898" s="114" t="n"/>
      <c r="F898" s="115" t="n"/>
      <c r="G898" s="107" t="n"/>
      <c r="H898" s="107" t="n"/>
      <c r="I898" s="108" t="n"/>
      <c r="J898" s="108" t="n"/>
      <c r="K898" s="108" t="n"/>
      <c r="L898" s="119">
        <f>IF($E898="","",DATE(YEAR($E898),MONTH($E898),1))</f>
        <v/>
      </c>
      <c r="M898" s="112">
        <f>IF($C898="","",IF($D898="TANIMSIZ MÜŞTERİ","HATA",IF(OR($E898="",$F898&lt;=0,$G898=""),"EKSİK",IF($E898&gt;TODAY(),"İLERİ TARİH","UYGUN"))))</f>
        <v/>
      </c>
      <c r="N898" s="6" t="n"/>
      <c r="O898" s="6" t="n"/>
    </row>
    <row r="899">
      <c r="A899" s="6" t="n"/>
      <c r="B899" s="112">
        <f>IF($C899="","","T"&amp;TEXT(ROW()-6,"00000"))</f>
        <v/>
      </c>
      <c r="C899" s="107" t="n"/>
      <c r="D899" s="113">
        <f>IF($C899="","",IFERROR(INDEX(MUSTERILER!$C$7:$C$106,MATCH($C899,MUSTERILER!$B$7:$B$106,0)),"TANIMSIZ MÜŞTERİ"))</f>
        <v/>
      </c>
      <c r="E899" s="114" t="n"/>
      <c r="F899" s="115" t="n"/>
      <c r="G899" s="107" t="n"/>
      <c r="H899" s="107" t="n"/>
      <c r="I899" s="108" t="n"/>
      <c r="J899" s="108" t="n"/>
      <c r="K899" s="108" t="n"/>
      <c r="L899" s="119">
        <f>IF($E899="","",DATE(YEAR($E899),MONTH($E899),1))</f>
        <v/>
      </c>
      <c r="M899" s="112">
        <f>IF($C899="","",IF($D899="TANIMSIZ MÜŞTERİ","HATA",IF(OR($E899="",$F899&lt;=0,$G899=""),"EKSİK",IF($E899&gt;TODAY(),"İLERİ TARİH","UYGUN"))))</f>
        <v/>
      </c>
      <c r="N899" s="6" t="n"/>
      <c r="O899" s="6" t="n"/>
    </row>
    <row r="900">
      <c r="A900" s="6" t="n"/>
      <c r="B900" s="112">
        <f>IF($C900="","","T"&amp;TEXT(ROW()-6,"00000"))</f>
        <v/>
      </c>
      <c r="C900" s="107" t="n"/>
      <c r="D900" s="113">
        <f>IF($C900="","",IFERROR(INDEX(MUSTERILER!$C$7:$C$106,MATCH($C900,MUSTERILER!$B$7:$B$106,0)),"TANIMSIZ MÜŞTERİ"))</f>
        <v/>
      </c>
      <c r="E900" s="114" t="n"/>
      <c r="F900" s="115" t="n"/>
      <c r="G900" s="107" t="n"/>
      <c r="H900" s="107" t="n"/>
      <c r="I900" s="108" t="n"/>
      <c r="J900" s="108" t="n"/>
      <c r="K900" s="108" t="n"/>
      <c r="L900" s="119">
        <f>IF($E900="","",DATE(YEAR($E900),MONTH($E900),1))</f>
        <v/>
      </c>
      <c r="M900" s="112">
        <f>IF($C900="","",IF($D900="TANIMSIZ MÜŞTERİ","HATA",IF(OR($E900="",$F900&lt;=0,$G900=""),"EKSİK",IF($E900&gt;TODAY(),"İLERİ TARİH","UYGUN"))))</f>
        <v/>
      </c>
      <c r="N900" s="6" t="n"/>
      <c r="O900" s="6" t="n"/>
    </row>
    <row r="901">
      <c r="A901" s="6" t="n"/>
      <c r="B901" s="112">
        <f>IF($C901="","","T"&amp;TEXT(ROW()-6,"00000"))</f>
        <v/>
      </c>
      <c r="C901" s="107" t="n"/>
      <c r="D901" s="113">
        <f>IF($C901="","",IFERROR(INDEX(MUSTERILER!$C$7:$C$106,MATCH($C901,MUSTERILER!$B$7:$B$106,0)),"TANIMSIZ MÜŞTERİ"))</f>
        <v/>
      </c>
      <c r="E901" s="114" t="n"/>
      <c r="F901" s="115" t="n"/>
      <c r="G901" s="107" t="n"/>
      <c r="H901" s="107" t="n"/>
      <c r="I901" s="108" t="n"/>
      <c r="J901" s="108" t="n"/>
      <c r="K901" s="108" t="n"/>
      <c r="L901" s="119">
        <f>IF($E901="","",DATE(YEAR($E901),MONTH($E901),1))</f>
        <v/>
      </c>
      <c r="M901" s="112">
        <f>IF($C901="","",IF($D901="TANIMSIZ MÜŞTERİ","HATA",IF(OR($E901="",$F901&lt;=0,$G901=""),"EKSİK",IF($E901&gt;TODAY(),"İLERİ TARİH","UYGUN"))))</f>
        <v/>
      </c>
      <c r="N901" s="6" t="n"/>
      <c r="O901" s="6" t="n"/>
    </row>
    <row r="902">
      <c r="A902" s="6" t="n"/>
      <c r="B902" s="112">
        <f>IF($C902="","","T"&amp;TEXT(ROW()-6,"00000"))</f>
        <v/>
      </c>
      <c r="C902" s="107" t="n"/>
      <c r="D902" s="113">
        <f>IF($C902="","",IFERROR(INDEX(MUSTERILER!$C$7:$C$106,MATCH($C902,MUSTERILER!$B$7:$B$106,0)),"TANIMSIZ MÜŞTERİ"))</f>
        <v/>
      </c>
      <c r="E902" s="114" t="n"/>
      <c r="F902" s="115" t="n"/>
      <c r="G902" s="107" t="n"/>
      <c r="H902" s="107" t="n"/>
      <c r="I902" s="108" t="n"/>
      <c r="J902" s="108" t="n"/>
      <c r="K902" s="108" t="n"/>
      <c r="L902" s="119">
        <f>IF($E902="","",DATE(YEAR($E902),MONTH($E902),1))</f>
        <v/>
      </c>
      <c r="M902" s="112">
        <f>IF($C902="","",IF($D902="TANIMSIZ MÜŞTERİ","HATA",IF(OR($E902="",$F902&lt;=0,$G902=""),"EKSİK",IF($E902&gt;TODAY(),"İLERİ TARİH","UYGUN"))))</f>
        <v/>
      </c>
      <c r="N902" s="6" t="n"/>
      <c r="O902" s="6" t="n"/>
    </row>
    <row r="903">
      <c r="A903" s="6" t="n"/>
      <c r="B903" s="112">
        <f>IF($C903="","","T"&amp;TEXT(ROW()-6,"00000"))</f>
        <v/>
      </c>
      <c r="C903" s="107" t="n"/>
      <c r="D903" s="113">
        <f>IF($C903="","",IFERROR(INDEX(MUSTERILER!$C$7:$C$106,MATCH($C903,MUSTERILER!$B$7:$B$106,0)),"TANIMSIZ MÜŞTERİ"))</f>
        <v/>
      </c>
      <c r="E903" s="114" t="n"/>
      <c r="F903" s="115" t="n"/>
      <c r="G903" s="107" t="n"/>
      <c r="H903" s="107" t="n"/>
      <c r="I903" s="108" t="n"/>
      <c r="J903" s="108" t="n"/>
      <c r="K903" s="108" t="n"/>
      <c r="L903" s="119">
        <f>IF($E903="","",DATE(YEAR($E903),MONTH($E903),1))</f>
        <v/>
      </c>
      <c r="M903" s="112">
        <f>IF($C903="","",IF($D903="TANIMSIZ MÜŞTERİ","HATA",IF(OR($E903="",$F903&lt;=0,$G903=""),"EKSİK",IF($E903&gt;TODAY(),"İLERİ TARİH","UYGUN"))))</f>
        <v/>
      </c>
      <c r="N903" s="6" t="n"/>
      <c r="O903" s="6" t="n"/>
    </row>
    <row r="904">
      <c r="A904" s="6" t="n"/>
      <c r="B904" s="112">
        <f>IF($C904="","","T"&amp;TEXT(ROW()-6,"00000"))</f>
        <v/>
      </c>
      <c r="C904" s="107" t="n"/>
      <c r="D904" s="113">
        <f>IF($C904="","",IFERROR(INDEX(MUSTERILER!$C$7:$C$106,MATCH($C904,MUSTERILER!$B$7:$B$106,0)),"TANIMSIZ MÜŞTERİ"))</f>
        <v/>
      </c>
      <c r="E904" s="114" t="n"/>
      <c r="F904" s="115" t="n"/>
      <c r="G904" s="107" t="n"/>
      <c r="H904" s="107" t="n"/>
      <c r="I904" s="108" t="n"/>
      <c r="J904" s="108" t="n"/>
      <c r="K904" s="108" t="n"/>
      <c r="L904" s="119">
        <f>IF($E904="","",DATE(YEAR($E904),MONTH($E904),1))</f>
        <v/>
      </c>
      <c r="M904" s="112">
        <f>IF($C904="","",IF($D904="TANIMSIZ MÜŞTERİ","HATA",IF(OR($E904="",$F904&lt;=0,$G904=""),"EKSİK",IF($E904&gt;TODAY(),"İLERİ TARİH","UYGUN"))))</f>
        <v/>
      </c>
      <c r="N904" s="6" t="n"/>
      <c r="O904" s="6" t="n"/>
    </row>
    <row r="905">
      <c r="A905" s="6" t="n"/>
      <c r="B905" s="112">
        <f>IF($C905="","","T"&amp;TEXT(ROW()-6,"00000"))</f>
        <v/>
      </c>
      <c r="C905" s="107" t="n"/>
      <c r="D905" s="113">
        <f>IF($C905="","",IFERROR(INDEX(MUSTERILER!$C$7:$C$106,MATCH($C905,MUSTERILER!$B$7:$B$106,0)),"TANIMSIZ MÜŞTERİ"))</f>
        <v/>
      </c>
      <c r="E905" s="114" t="n"/>
      <c r="F905" s="115" t="n"/>
      <c r="G905" s="107" t="n"/>
      <c r="H905" s="107" t="n"/>
      <c r="I905" s="108" t="n"/>
      <c r="J905" s="108" t="n"/>
      <c r="K905" s="108" t="n"/>
      <c r="L905" s="119">
        <f>IF($E905="","",DATE(YEAR($E905),MONTH($E905),1))</f>
        <v/>
      </c>
      <c r="M905" s="112">
        <f>IF($C905="","",IF($D905="TANIMSIZ MÜŞTERİ","HATA",IF(OR($E905="",$F905&lt;=0,$G905=""),"EKSİK",IF($E905&gt;TODAY(),"İLERİ TARİH","UYGUN"))))</f>
        <v/>
      </c>
      <c r="N905" s="6" t="n"/>
      <c r="O905" s="6" t="n"/>
    </row>
    <row r="906">
      <c r="A906" s="6" t="n"/>
      <c r="B906" s="112">
        <f>IF($C906="","","T"&amp;TEXT(ROW()-6,"00000"))</f>
        <v/>
      </c>
      <c r="C906" s="107" t="n"/>
      <c r="D906" s="113">
        <f>IF($C906="","",IFERROR(INDEX(MUSTERILER!$C$7:$C$106,MATCH($C906,MUSTERILER!$B$7:$B$106,0)),"TANIMSIZ MÜŞTERİ"))</f>
        <v/>
      </c>
      <c r="E906" s="114" t="n"/>
      <c r="F906" s="115" t="n"/>
      <c r="G906" s="107" t="n"/>
      <c r="H906" s="107" t="n"/>
      <c r="I906" s="108" t="n"/>
      <c r="J906" s="108" t="n"/>
      <c r="K906" s="108" t="n"/>
      <c r="L906" s="119">
        <f>IF($E906="","",DATE(YEAR($E906),MONTH($E906),1))</f>
        <v/>
      </c>
      <c r="M906" s="112">
        <f>IF($C906="","",IF($D906="TANIMSIZ MÜŞTERİ","HATA",IF(OR($E906="",$F906&lt;=0,$G906=""),"EKSİK",IF($E906&gt;TODAY(),"İLERİ TARİH","UYGUN"))))</f>
        <v/>
      </c>
      <c r="N906" s="6" t="n"/>
      <c r="O906" s="6" t="n"/>
    </row>
    <row r="907">
      <c r="A907" s="6" t="n"/>
      <c r="B907" s="112">
        <f>IF($C907="","","T"&amp;TEXT(ROW()-6,"00000"))</f>
        <v/>
      </c>
      <c r="C907" s="107" t="n"/>
      <c r="D907" s="113">
        <f>IF($C907="","",IFERROR(INDEX(MUSTERILER!$C$7:$C$106,MATCH($C907,MUSTERILER!$B$7:$B$106,0)),"TANIMSIZ MÜŞTERİ"))</f>
        <v/>
      </c>
      <c r="E907" s="114" t="n"/>
      <c r="F907" s="115" t="n"/>
      <c r="G907" s="107" t="n"/>
      <c r="H907" s="107" t="n"/>
      <c r="I907" s="108" t="n"/>
      <c r="J907" s="108" t="n"/>
      <c r="K907" s="108" t="n"/>
      <c r="L907" s="119">
        <f>IF($E907="","",DATE(YEAR($E907),MONTH($E907),1))</f>
        <v/>
      </c>
      <c r="M907" s="112">
        <f>IF($C907="","",IF($D907="TANIMSIZ MÜŞTERİ","HATA",IF(OR($E907="",$F907&lt;=0,$G907=""),"EKSİK",IF($E907&gt;TODAY(),"İLERİ TARİH","UYGUN"))))</f>
        <v/>
      </c>
      <c r="N907" s="6" t="n"/>
      <c r="O907" s="6" t="n"/>
    </row>
    <row r="908">
      <c r="A908" s="6" t="n"/>
      <c r="B908" s="112">
        <f>IF($C908="","","T"&amp;TEXT(ROW()-6,"00000"))</f>
        <v/>
      </c>
      <c r="C908" s="107" t="n"/>
      <c r="D908" s="113">
        <f>IF($C908="","",IFERROR(INDEX(MUSTERILER!$C$7:$C$106,MATCH($C908,MUSTERILER!$B$7:$B$106,0)),"TANIMSIZ MÜŞTERİ"))</f>
        <v/>
      </c>
      <c r="E908" s="114" t="n"/>
      <c r="F908" s="115" t="n"/>
      <c r="G908" s="107" t="n"/>
      <c r="H908" s="107" t="n"/>
      <c r="I908" s="108" t="n"/>
      <c r="J908" s="108" t="n"/>
      <c r="K908" s="108" t="n"/>
      <c r="L908" s="119">
        <f>IF($E908="","",DATE(YEAR($E908),MONTH($E908),1))</f>
        <v/>
      </c>
      <c r="M908" s="112">
        <f>IF($C908="","",IF($D908="TANIMSIZ MÜŞTERİ","HATA",IF(OR($E908="",$F908&lt;=0,$G908=""),"EKSİK",IF($E908&gt;TODAY(),"İLERİ TARİH","UYGUN"))))</f>
        <v/>
      </c>
      <c r="N908" s="6" t="n"/>
      <c r="O908" s="6" t="n"/>
    </row>
    <row r="909">
      <c r="A909" s="6" t="n"/>
      <c r="B909" s="112">
        <f>IF($C909="","","T"&amp;TEXT(ROW()-6,"00000"))</f>
        <v/>
      </c>
      <c r="C909" s="107" t="n"/>
      <c r="D909" s="113">
        <f>IF($C909="","",IFERROR(INDEX(MUSTERILER!$C$7:$C$106,MATCH($C909,MUSTERILER!$B$7:$B$106,0)),"TANIMSIZ MÜŞTERİ"))</f>
        <v/>
      </c>
      <c r="E909" s="114" t="n"/>
      <c r="F909" s="115" t="n"/>
      <c r="G909" s="107" t="n"/>
      <c r="H909" s="107" t="n"/>
      <c r="I909" s="108" t="n"/>
      <c r="J909" s="108" t="n"/>
      <c r="K909" s="108" t="n"/>
      <c r="L909" s="119">
        <f>IF($E909="","",DATE(YEAR($E909),MONTH($E909),1))</f>
        <v/>
      </c>
      <c r="M909" s="112">
        <f>IF($C909="","",IF($D909="TANIMSIZ MÜŞTERİ","HATA",IF(OR($E909="",$F909&lt;=0,$G909=""),"EKSİK",IF($E909&gt;TODAY(),"İLERİ TARİH","UYGUN"))))</f>
        <v/>
      </c>
      <c r="N909" s="6" t="n"/>
      <c r="O909" s="6" t="n"/>
    </row>
    <row r="910">
      <c r="A910" s="6" t="n"/>
      <c r="B910" s="112">
        <f>IF($C910="","","T"&amp;TEXT(ROW()-6,"00000"))</f>
        <v/>
      </c>
      <c r="C910" s="107" t="n"/>
      <c r="D910" s="113">
        <f>IF($C910="","",IFERROR(INDEX(MUSTERILER!$C$7:$C$106,MATCH($C910,MUSTERILER!$B$7:$B$106,0)),"TANIMSIZ MÜŞTERİ"))</f>
        <v/>
      </c>
      <c r="E910" s="114" t="n"/>
      <c r="F910" s="115" t="n"/>
      <c r="G910" s="107" t="n"/>
      <c r="H910" s="107" t="n"/>
      <c r="I910" s="108" t="n"/>
      <c r="J910" s="108" t="n"/>
      <c r="K910" s="108" t="n"/>
      <c r="L910" s="119">
        <f>IF($E910="","",DATE(YEAR($E910),MONTH($E910),1))</f>
        <v/>
      </c>
      <c r="M910" s="112">
        <f>IF($C910="","",IF($D910="TANIMSIZ MÜŞTERİ","HATA",IF(OR($E910="",$F910&lt;=0,$G910=""),"EKSİK",IF($E910&gt;TODAY(),"İLERİ TARİH","UYGUN"))))</f>
        <v/>
      </c>
      <c r="N910" s="6" t="n"/>
      <c r="O910" s="6" t="n"/>
    </row>
    <row r="911">
      <c r="A911" s="6" t="n"/>
      <c r="B911" s="112">
        <f>IF($C911="","","T"&amp;TEXT(ROW()-6,"00000"))</f>
        <v/>
      </c>
      <c r="C911" s="107" t="n"/>
      <c r="D911" s="113">
        <f>IF($C911="","",IFERROR(INDEX(MUSTERILER!$C$7:$C$106,MATCH($C911,MUSTERILER!$B$7:$B$106,0)),"TANIMSIZ MÜŞTERİ"))</f>
        <v/>
      </c>
      <c r="E911" s="114" t="n"/>
      <c r="F911" s="115" t="n"/>
      <c r="G911" s="107" t="n"/>
      <c r="H911" s="107" t="n"/>
      <c r="I911" s="108" t="n"/>
      <c r="J911" s="108" t="n"/>
      <c r="K911" s="108" t="n"/>
      <c r="L911" s="119">
        <f>IF($E911="","",DATE(YEAR($E911),MONTH($E911),1))</f>
        <v/>
      </c>
      <c r="M911" s="112">
        <f>IF($C911="","",IF($D911="TANIMSIZ MÜŞTERİ","HATA",IF(OR($E911="",$F911&lt;=0,$G911=""),"EKSİK",IF($E911&gt;TODAY(),"İLERİ TARİH","UYGUN"))))</f>
        <v/>
      </c>
      <c r="N911" s="6" t="n"/>
      <c r="O911" s="6" t="n"/>
    </row>
    <row r="912">
      <c r="A912" s="6" t="n"/>
      <c r="B912" s="112">
        <f>IF($C912="","","T"&amp;TEXT(ROW()-6,"00000"))</f>
        <v/>
      </c>
      <c r="C912" s="107" t="n"/>
      <c r="D912" s="113">
        <f>IF($C912="","",IFERROR(INDEX(MUSTERILER!$C$7:$C$106,MATCH($C912,MUSTERILER!$B$7:$B$106,0)),"TANIMSIZ MÜŞTERİ"))</f>
        <v/>
      </c>
      <c r="E912" s="114" t="n"/>
      <c r="F912" s="115" t="n"/>
      <c r="G912" s="107" t="n"/>
      <c r="H912" s="107" t="n"/>
      <c r="I912" s="108" t="n"/>
      <c r="J912" s="108" t="n"/>
      <c r="K912" s="108" t="n"/>
      <c r="L912" s="119">
        <f>IF($E912="","",DATE(YEAR($E912),MONTH($E912),1))</f>
        <v/>
      </c>
      <c r="M912" s="112">
        <f>IF($C912="","",IF($D912="TANIMSIZ MÜŞTERİ","HATA",IF(OR($E912="",$F912&lt;=0,$G912=""),"EKSİK",IF($E912&gt;TODAY(),"İLERİ TARİH","UYGUN"))))</f>
        <v/>
      </c>
      <c r="N912" s="6" t="n"/>
      <c r="O912" s="6" t="n"/>
    </row>
    <row r="913">
      <c r="A913" s="6" t="n"/>
      <c r="B913" s="112">
        <f>IF($C913="","","T"&amp;TEXT(ROW()-6,"00000"))</f>
        <v/>
      </c>
      <c r="C913" s="107" t="n"/>
      <c r="D913" s="113">
        <f>IF($C913="","",IFERROR(INDEX(MUSTERILER!$C$7:$C$106,MATCH($C913,MUSTERILER!$B$7:$B$106,0)),"TANIMSIZ MÜŞTERİ"))</f>
        <v/>
      </c>
      <c r="E913" s="114" t="n"/>
      <c r="F913" s="115" t="n"/>
      <c r="G913" s="107" t="n"/>
      <c r="H913" s="107" t="n"/>
      <c r="I913" s="108" t="n"/>
      <c r="J913" s="108" t="n"/>
      <c r="K913" s="108" t="n"/>
      <c r="L913" s="119">
        <f>IF($E913="","",DATE(YEAR($E913),MONTH($E913),1))</f>
        <v/>
      </c>
      <c r="M913" s="112">
        <f>IF($C913="","",IF($D913="TANIMSIZ MÜŞTERİ","HATA",IF(OR($E913="",$F913&lt;=0,$G913=""),"EKSİK",IF($E913&gt;TODAY(),"İLERİ TARİH","UYGUN"))))</f>
        <v/>
      </c>
      <c r="N913" s="6" t="n"/>
      <c r="O913" s="6" t="n"/>
    </row>
    <row r="914">
      <c r="A914" s="6" t="n"/>
      <c r="B914" s="112">
        <f>IF($C914="","","T"&amp;TEXT(ROW()-6,"00000"))</f>
        <v/>
      </c>
      <c r="C914" s="107" t="n"/>
      <c r="D914" s="113">
        <f>IF($C914="","",IFERROR(INDEX(MUSTERILER!$C$7:$C$106,MATCH($C914,MUSTERILER!$B$7:$B$106,0)),"TANIMSIZ MÜŞTERİ"))</f>
        <v/>
      </c>
      <c r="E914" s="114" t="n"/>
      <c r="F914" s="115" t="n"/>
      <c r="G914" s="107" t="n"/>
      <c r="H914" s="107" t="n"/>
      <c r="I914" s="108" t="n"/>
      <c r="J914" s="108" t="n"/>
      <c r="K914" s="108" t="n"/>
      <c r="L914" s="119">
        <f>IF($E914="","",DATE(YEAR($E914),MONTH($E914),1))</f>
        <v/>
      </c>
      <c r="M914" s="112">
        <f>IF($C914="","",IF($D914="TANIMSIZ MÜŞTERİ","HATA",IF(OR($E914="",$F914&lt;=0,$G914=""),"EKSİK",IF($E914&gt;TODAY(),"İLERİ TARİH","UYGUN"))))</f>
        <v/>
      </c>
      <c r="N914" s="6" t="n"/>
      <c r="O914" s="6" t="n"/>
    </row>
    <row r="915">
      <c r="A915" s="6" t="n"/>
      <c r="B915" s="112">
        <f>IF($C915="","","T"&amp;TEXT(ROW()-6,"00000"))</f>
        <v/>
      </c>
      <c r="C915" s="107" t="n"/>
      <c r="D915" s="113">
        <f>IF($C915="","",IFERROR(INDEX(MUSTERILER!$C$7:$C$106,MATCH($C915,MUSTERILER!$B$7:$B$106,0)),"TANIMSIZ MÜŞTERİ"))</f>
        <v/>
      </c>
      <c r="E915" s="114" t="n"/>
      <c r="F915" s="115" t="n"/>
      <c r="G915" s="107" t="n"/>
      <c r="H915" s="107" t="n"/>
      <c r="I915" s="108" t="n"/>
      <c r="J915" s="108" t="n"/>
      <c r="K915" s="108" t="n"/>
      <c r="L915" s="119">
        <f>IF($E915="","",DATE(YEAR($E915),MONTH($E915),1))</f>
        <v/>
      </c>
      <c r="M915" s="112">
        <f>IF($C915="","",IF($D915="TANIMSIZ MÜŞTERİ","HATA",IF(OR($E915="",$F915&lt;=0,$G915=""),"EKSİK",IF($E915&gt;TODAY(),"İLERİ TARİH","UYGUN"))))</f>
        <v/>
      </c>
      <c r="N915" s="6" t="n"/>
      <c r="O915" s="6" t="n"/>
    </row>
    <row r="916">
      <c r="A916" s="6" t="n"/>
      <c r="B916" s="112">
        <f>IF($C916="","","T"&amp;TEXT(ROW()-6,"00000"))</f>
        <v/>
      </c>
      <c r="C916" s="107" t="n"/>
      <c r="D916" s="113">
        <f>IF($C916="","",IFERROR(INDEX(MUSTERILER!$C$7:$C$106,MATCH($C916,MUSTERILER!$B$7:$B$106,0)),"TANIMSIZ MÜŞTERİ"))</f>
        <v/>
      </c>
      <c r="E916" s="114" t="n"/>
      <c r="F916" s="115" t="n"/>
      <c r="G916" s="107" t="n"/>
      <c r="H916" s="107" t="n"/>
      <c r="I916" s="108" t="n"/>
      <c r="J916" s="108" t="n"/>
      <c r="K916" s="108" t="n"/>
      <c r="L916" s="119">
        <f>IF($E916="","",DATE(YEAR($E916),MONTH($E916),1))</f>
        <v/>
      </c>
      <c r="M916" s="112">
        <f>IF($C916="","",IF($D916="TANIMSIZ MÜŞTERİ","HATA",IF(OR($E916="",$F916&lt;=0,$G916=""),"EKSİK",IF($E916&gt;TODAY(),"İLERİ TARİH","UYGUN"))))</f>
        <v/>
      </c>
      <c r="N916" s="6" t="n"/>
      <c r="O916" s="6" t="n"/>
    </row>
    <row r="917">
      <c r="A917" s="6" t="n"/>
      <c r="B917" s="112">
        <f>IF($C917="","","T"&amp;TEXT(ROW()-6,"00000"))</f>
        <v/>
      </c>
      <c r="C917" s="107" t="n"/>
      <c r="D917" s="113">
        <f>IF($C917="","",IFERROR(INDEX(MUSTERILER!$C$7:$C$106,MATCH($C917,MUSTERILER!$B$7:$B$106,0)),"TANIMSIZ MÜŞTERİ"))</f>
        <v/>
      </c>
      <c r="E917" s="114" t="n"/>
      <c r="F917" s="115" t="n"/>
      <c r="G917" s="107" t="n"/>
      <c r="H917" s="107" t="n"/>
      <c r="I917" s="108" t="n"/>
      <c r="J917" s="108" t="n"/>
      <c r="K917" s="108" t="n"/>
      <c r="L917" s="119">
        <f>IF($E917="","",DATE(YEAR($E917),MONTH($E917),1))</f>
        <v/>
      </c>
      <c r="M917" s="112">
        <f>IF($C917="","",IF($D917="TANIMSIZ MÜŞTERİ","HATA",IF(OR($E917="",$F917&lt;=0,$G917=""),"EKSİK",IF($E917&gt;TODAY(),"İLERİ TARİH","UYGUN"))))</f>
        <v/>
      </c>
      <c r="N917" s="6" t="n"/>
      <c r="O917" s="6" t="n"/>
    </row>
    <row r="918">
      <c r="A918" s="6" t="n"/>
      <c r="B918" s="112">
        <f>IF($C918="","","T"&amp;TEXT(ROW()-6,"00000"))</f>
        <v/>
      </c>
      <c r="C918" s="107" t="n"/>
      <c r="D918" s="113">
        <f>IF($C918="","",IFERROR(INDEX(MUSTERILER!$C$7:$C$106,MATCH($C918,MUSTERILER!$B$7:$B$106,0)),"TANIMSIZ MÜŞTERİ"))</f>
        <v/>
      </c>
      <c r="E918" s="114" t="n"/>
      <c r="F918" s="115" t="n"/>
      <c r="G918" s="107" t="n"/>
      <c r="H918" s="107" t="n"/>
      <c r="I918" s="108" t="n"/>
      <c r="J918" s="108" t="n"/>
      <c r="K918" s="108" t="n"/>
      <c r="L918" s="119">
        <f>IF($E918="","",DATE(YEAR($E918),MONTH($E918),1))</f>
        <v/>
      </c>
      <c r="M918" s="112">
        <f>IF($C918="","",IF($D918="TANIMSIZ MÜŞTERİ","HATA",IF(OR($E918="",$F918&lt;=0,$G918=""),"EKSİK",IF($E918&gt;TODAY(),"İLERİ TARİH","UYGUN"))))</f>
        <v/>
      </c>
      <c r="N918" s="6" t="n"/>
      <c r="O918" s="6" t="n"/>
    </row>
    <row r="919">
      <c r="A919" s="6" t="n"/>
      <c r="B919" s="112">
        <f>IF($C919="","","T"&amp;TEXT(ROW()-6,"00000"))</f>
        <v/>
      </c>
      <c r="C919" s="107" t="n"/>
      <c r="D919" s="113">
        <f>IF($C919="","",IFERROR(INDEX(MUSTERILER!$C$7:$C$106,MATCH($C919,MUSTERILER!$B$7:$B$106,0)),"TANIMSIZ MÜŞTERİ"))</f>
        <v/>
      </c>
      <c r="E919" s="114" t="n"/>
      <c r="F919" s="115" t="n"/>
      <c r="G919" s="107" t="n"/>
      <c r="H919" s="107" t="n"/>
      <c r="I919" s="108" t="n"/>
      <c r="J919" s="108" t="n"/>
      <c r="K919" s="108" t="n"/>
      <c r="L919" s="119">
        <f>IF($E919="","",DATE(YEAR($E919),MONTH($E919),1))</f>
        <v/>
      </c>
      <c r="M919" s="112">
        <f>IF($C919="","",IF($D919="TANIMSIZ MÜŞTERİ","HATA",IF(OR($E919="",$F919&lt;=0,$G919=""),"EKSİK",IF($E919&gt;TODAY(),"İLERİ TARİH","UYGUN"))))</f>
        <v/>
      </c>
      <c r="N919" s="6" t="n"/>
      <c r="O919" s="6" t="n"/>
    </row>
    <row r="920">
      <c r="A920" s="6" t="n"/>
      <c r="B920" s="112">
        <f>IF($C920="","","T"&amp;TEXT(ROW()-6,"00000"))</f>
        <v/>
      </c>
      <c r="C920" s="107" t="n"/>
      <c r="D920" s="113">
        <f>IF($C920="","",IFERROR(INDEX(MUSTERILER!$C$7:$C$106,MATCH($C920,MUSTERILER!$B$7:$B$106,0)),"TANIMSIZ MÜŞTERİ"))</f>
        <v/>
      </c>
      <c r="E920" s="114" t="n"/>
      <c r="F920" s="115" t="n"/>
      <c r="G920" s="107" t="n"/>
      <c r="H920" s="107" t="n"/>
      <c r="I920" s="108" t="n"/>
      <c r="J920" s="108" t="n"/>
      <c r="K920" s="108" t="n"/>
      <c r="L920" s="119">
        <f>IF($E920="","",DATE(YEAR($E920),MONTH($E920),1))</f>
        <v/>
      </c>
      <c r="M920" s="112">
        <f>IF($C920="","",IF($D920="TANIMSIZ MÜŞTERİ","HATA",IF(OR($E920="",$F920&lt;=0,$G920=""),"EKSİK",IF($E920&gt;TODAY(),"İLERİ TARİH","UYGUN"))))</f>
        <v/>
      </c>
      <c r="N920" s="6" t="n"/>
      <c r="O920" s="6" t="n"/>
    </row>
    <row r="921">
      <c r="A921" s="6" t="n"/>
      <c r="B921" s="112">
        <f>IF($C921="","","T"&amp;TEXT(ROW()-6,"00000"))</f>
        <v/>
      </c>
      <c r="C921" s="107" t="n"/>
      <c r="D921" s="113">
        <f>IF($C921="","",IFERROR(INDEX(MUSTERILER!$C$7:$C$106,MATCH($C921,MUSTERILER!$B$7:$B$106,0)),"TANIMSIZ MÜŞTERİ"))</f>
        <v/>
      </c>
      <c r="E921" s="114" t="n"/>
      <c r="F921" s="115" t="n"/>
      <c r="G921" s="107" t="n"/>
      <c r="H921" s="107" t="n"/>
      <c r="I921" s="108" t="n"/>
      <c r="J921" s="108" t="n"/>
      <c r="K921" s="108" t="n"/>
      <c r="L921" s="119">
        <f>IF($E921="","",DATE(YEAR($E921),MONTH($E921),1))</f>
        <v/>
      </c>
      <c r="M921" s="112">
        <f>IF($C921="","",IF($D921="TANIMSIZ MÜŞTERİ","HATA",IF(OR($E921="",$F921&lt;=0,$G921=""),"EKSİK",IF($E921&gt;TODAY(),"İLERİ TARİH","UYGUN"))))</f>
        <v/>
      </c>
      <c r="N921" s="6" t="n"/>
      <c r="O921" s="6" t="n"/>
    </row>
    <row r="922">
      <c r="A922" s="6" t="n"/>
      <c r="B922" s="112">
        <f>IF($C922="","","T"&amp;TEXT(ROW()-6,"00000"))</f>
        <v/>
      </c>
      <c r="C922" s="107" t="n"/>
      <c r="D922" s="113">
        <f>IF($C922="","",IFERROR(INDEX(MUSTERILER!$C$7:$C$106,MATCH($C922,MUSTERILER!$B$7:$B$106,0)),"TANIMSIZ MÜŞTERİ"))</f>
        <v/>
      </c>
      <c r="E922" s="114" t="n"/>
      <c r="F922" s="115" t="n"/>
      <c r="G922" s="107" t="n"/>
      <c r="H922" s="107" t="n"/>
      <c r="I922" s="108" t="n"/>
      <c r="J922" s="108" t="n"/>
      <c r="K922" s="108" t="n"/>
      <c r="L922" s="119">
        <f>IF($E922="","",DATE(YEAR($E922),MONTH($E922),1))</f>
        <v/>
      </c>
      <c r="M922" s="112">
        <f>IF($C922="","",IF($D922="TANIMSIZ MÜŞTERİ","HATA",IF(OR($E922="",$F922&lt;=0,$G922=""),"EKSİK",IF($E922&gt;TODAY(),"İLERİ TARİH","UYGUN"))))</f>
        <v/>
      </c>
      <c r="N922" s="6" t="n"/>
      <c r="O922" s="6" t="n"/>
    </row>
    <row r="923">
      <c r="A923" s="6" t="n"/>
      <c r="B923" s="112">
        <f>IF($C923="","","T"&amp;TEXT(ROW()-6,"00000"))</f>
        <v/>
      </c>
      <c r="C923" s="107" t="n"/>
      <c r="D923" s="113">
        <f>IF($C923="","",IFERROR(INDEX(MUSTERILER!$C$7:$C$106,MATCH($C923,MUSTERILER!$B$7:$B$106,0)),"TANIMSIZ MÜŞTERİ"))</f>
        <v/>
      </c>
      <c r="E923" s="114" t="n"/>
      <c r="F923" s="115" t="n"/>
      <c r="G923" s="107" t="n"/>
      <c r="H923" s="107" t="n"/>
      <c r="I923" s="108" t="n"/>
      <c r="J923" s="108" t="n"/>
      <c r="K923" s="108" t="n"/>
      <c r="L923" s="119">
        <f>IF($E923="","",DATE(YEAR($E923),MONTH($E923),1))</f>
        <v/>
      </c>
      <c r="M923" s="112">
        <f>IF($C923="","",IF($D923="TANIMSIZ MÜŞTERİ","HATA",IF(OR($E923="",$F923&lt;=0,$G923=""),"EKSİK",IF($E923&gt;TODAY(),"İLERİ TARİH","UYGUN"))))</f>
        <v/>
      </c>
      <c r="N923" s="6" t="n"/>
      <c r="O923" s="6" t="n"/>
    </row>
    <row r="924">
      <c r="A924" s="6" t="n"/>
      <c r="B924" s="112">
        <f>IF($C924="","","T"&amp;TEXT(ROW()-6,"00000"))</f>
        <v/>
      </c>
      <c r="C924" s="107" t="n"/>
      <c r="D924" s="113">
        <f>IF($C924="","",IFERROR(INDEX(MUSTERILER!$C$7:$C$106,MATCH($C924,MUSTERILER!$B$7:$B$106,0)),"TANIMSIZ MÜŞTERİ"))</f>
        <v/>
      </c>
      <c r="E924" s="114" t="n"/>
      <c r="F924" s="115" t="n"/>
      <c r="G924" s="107" t="n"/>
      <c r="H924" s="107" t="n"/>
      <c r="I924" s="108" t="n"/>
      <c r="J924" s="108" t="n"/>
      <c r="K924" s="108" t="n"/>
      <c r="L924" s="119">
        <f>IF($E924="","",DATE(YEAR($E924),MONTH($E924),1))</f>
        <v/>
      </c>
      <c r="M924" s="112">
        <f>IF($C924="","",IF($D924="TANIMSIZ MÜŞTERİ","HATA",IF(OR($E924="",$F924&lt;=0,$G924=""),"EKSİK",IF($E924&gt;TODAY(),"İLERİ TARİH","UYGUN"))))</f>
        <v/>
      </c>
      <c r="N924" s="6" t="n"/>
      <c r="O924" s="6" t="n"/>
    </row>
    <row r="925">
      <c r="A925" s="6" t="n"/>
      <c r="B925" s="112">
        <f>IF($C925="","","T"&amp;TEXT(ROW()-6,"00000"))</f>
        <v/>
      </c>
      <c r="C925" s="107" t="n"/>
      <c r="D925" s="113">
        <f>IF($C925="","",IFERROR(INDEX(MUSTERILER!$C$7:$C$106,MATCH($C925,MUSTERILER!$B$7:$B$106,0)),"TANIMSIZ MÜŞTERİ"))</f>
        <v/>
      </c>
      <c r="E925" s="114" t="n"/>
      <c r="F925" s="115" t="n"/>
      <c r="G925" s="107" t="n"/>
      <c r="H925" s="107" t="n"/>
      <c r="I925" s="108" t="n"/>
      <c r="J925" s="108" t="n"/>
      <c r="K925" s="108" t="n"/>
      <c r="L925" s="119">
        <f>IF($E925="","",DATE(YEAR($E925),MONTH($E925),1))</f>
        <v/>
      </c>
      <c r="M925" s="112">
        <f>IF($C925="","",IF($D925="TANIMSIZ MÜŞTERİ","HATA",IF(OR($E925="",$F925&lt;=0,$G925=""),"EKSİK",IF($E925&gt;TODAY(),"İLERİ TARİH","UYGUN"))))</f>
        <v/>
      </c>
      <c r="N925" s="6" t="n"/>
      <c r="O925" s="6" t="n"/>
    </row>
    <row r="926">
      <c r="A926" s="6" t="n"/>
      <c r="B926" s="112">
        <f>IF($C926="","","T"&amp;TEXT(ROW()-6,"00000"))</f>
        <v/>
      </c>
      <c r="C926" s="107" t="n"/>
      <c r="D926" s="113">
        <f>IF($C926="","",IFERROR(INDEX(MUSTERILER!$C$7:$C$106,MATCH($C926,MUSTERILER!$B$7:$B$106,0)),"TANIMSIZ MÜŞTERİ"))</f>
        <v/>
      </c>
      <c r="E926" s="114" t="n"/>
      <c r="F926" s="115" t="n"/>
      <c r="G926" s="107" t="n"/>
      <c r="H926" s="107" t="n"/>
      <c r="I926" s="108" t="n"/>
      <c r="J926" s="108" t="n"/>
      <c r="K926" s="108" t="n"/>
      <c r="L926" s="119">
        <f>IF($E926="","",DATE(YEAR($E926),MONTH($E926),1))</f>
        <v/>
      </c>
      <c r="M926" s="112">
        <f>IF($C926="","",IF($D926="TANIMSIZ MÜŞTERİ","HATA",IF(OR($E926="",$F926&lt;=0,$G926=""),"EKSİK",IF($E926&gt;TODAY(),"İLERİ TARİH","UYGUN"))))</f>
        <v/>
      </c>
      <c r="N926" s="6" t="n"/>
      <c r="O926" s="6" t="n"/>
    </row>
    <row r="927">
      <c r="A927" s="6" t="n"/>
      <c r="B927" s="112">
        <f>IF($C927="","","T"&amp;TEXT(ROW()-6,"00000"))</f>
        <v/>
      </c>
      <c r="C927" s="107" t="n"/>
      <c r="D927" s="113">
        <f>IF($C927="","",IFERROR(INDEX(MUSTERILER!$C$7:$C$106,MATCH($C927,MUSTERILER!$B$7:$B$106,0)),"TANIMSIZ MÜŞTERİ"))</f>
        <v/>
      </c>
      <c r="E927" s="114" t="n"/>
      <c r="F927" s="115" t="n"/>
      <c r="G927" s="107" t="n"/>
      <c r="H927" s="107" t="n"/>
      <c r="I927" s="108" t="n"/>
      <c r="J927" s="108" t="n"/>
      <c r="K927" s="108" t="n"/>
      <c r="L927" s="119">
        <f>IF($E927="","",DATE(YEAR($E927),MONTH($E927),1))</f>
        <v/>
      </c>
      <c r="M927" s="112">
        <f>IF($C927="","",IF($D927="TANIMSIZ MÜŞTERİ","HATA",IF(OR($E927="",$F927&lt;=0,$G927=""),"EKSİK",IF($E927&gt;TODAY(),"İLERİ TARİH","UYGUN"))))</f>
        <v/>
      </c>
      <c r="N927" s="6" t="n"/>
      <c r="O927" s="6" t="n"/>
    </row>
    <row r="928">
      <c r="A928" s="6" t="n"/>
      <c r="B928" s="112">
        <f>IF($C928="","","T"&amp;TEXT(ROW()-6,"00000"))</f>
        <v/>
      </c>
      <c r="C928" s="107" t="n"/>
      <c r="D928" s="113">
        <f>IF($C928="","",IFERROR(INDEX(MUSTERILER!$C$7:$C$106,MATCH($C928,MUSTERILER!$B$7:$B$106,0)),"TANIMSIZ MÜŞTERİ"))</f>
        <v/>
      </c>
      <c r="E928" s="114" t="n"/>
      <c r="F928" s="115" t="n"/>
      <c r="G928" s="107" t="n"/>
      <c r="H928" s="107" t="n"/>
      <c r="I928" s="108" t="n"/>
      <c r="J928" s="108" t="n"/>
      <c r="K928" s="108" t="n"/>
      <c r="L928" s="119">
        <f>IF($E928="","",DATE(YEAR($E928),MONTH($E928),1))</f>
        <v/>
      </c>
      <c r="M928" s="112">
        <f>IF($C928="","",IF($D928="TANIMSIZ MÜŞTERİ","HATA",IF(OR($E928="",$F928&lt;=0,$G928=""),"EKSİK",IF($E928&gt;TODAY(),"İLERİ TARİH","UYGUN"))))</f>
        <v/>
      </c>
      <c r="N928" s="6" t="n"/>
      <c r="O928" s="6" t="n"/>
    </row>
    <row r="929">
      <c r="A929" s="6" t="n"/>
      <c r="B929" s="112">
        <f>IF($C929="","","T"&amp;TEXT(ROW()-6,"00000"))</f>
        <v/>
      </c>
      <c r="C929" s="107" t="n"/>
      <c r="D929" s="113">
        <f>IF($C929="","",IFERROR(INDEX(MUSTERILER!$C$7:$C$106,MATCH($C929,MUSTERILER!$B$7:$B$106,0)),"TANIMSIZ MÜŞTERİ"))</f>
        <v/>
      </c>
      <c r="E929" s="114" t="n"/>
      <c r="F929" s="115" t="n"/>
      <c r="G929" s="107" t="n"/>
      <c r="H929" s="107" t="n"/>
      <c r="I929" s="108" t="n"/>
      <c r="J929" s="108" t="n"/>
      <c r="K929" s="108" t="n"/>
      <c r="L929" s="119">
        <f>IF($E929="","",DATE(YEAR($E929),MONTH($E929),1))</f>
        <v/>
      </c>
      <c r="M929" s="112">
        <f>IF($C929="","",IF($D929="TANIMSIZ MÜŞTERİ","HATA",IF(OR($E929="",$F929&lt;=0,$G929=""),"EKSİK",IF($E929&gt;TODAY(),"İLERİ TARİH","UYGUN"))))</f>
        <v/>
      </c>
      <c r="N929" s="6" t="n"/>
      <c r="O929" s="6" t="n"/>
    </row>
    <row r="930">
      <c r="A930" s="6" t="n"/>
      <c r="B930" s="112">
        <f>IF($C930="","","T"&amp;TEXT(ROW()-6,"00000"))</f>
        <v/>
      </c>
      <c r="C930" s="107" t="n"/>
      <c r="D930" s="113">
        <f>IF($C930="","",IFERROR(INDEX(MUSTERILER!$C$7:$C$106,MATCH($C930,MUSTERILER!$B$7:$B$106,0)),"TANIMSIZ MÜŞTERİ"))</f>
        <v/>
      </c>
      <c r="E930" s="114" t="n"/>
      <c r="F930" s="115" t="n"/>
      <c r="G930" s="107" t="n"/>
      <c r="H930" s="107" t="n"/>
      <c r="I930" s="108" t="n"/>
      <c r="J930" s="108" t="n"/>
      <c r="K930" s="108" t="n"/>
      <c r="L930" s="119">
        <f>IF($E930="","",DATE(YEAR($E930),MONTH($E930),1))</f>
        <v/>
      </c>
      <c r="M930" s="112">
        <f>IF($C930="","",IF($D930="TANIMSIZ MÜŞTERİ","HATA",IF(OR($E930="",$F930&lt;=0,$G930=""),"EKSİK",IF($E930&gt;TODAY(),"İLERİ TARİH","UYGUN"))))</f>
        <v/>
      </c>
      <c r="N930" s="6" t="n"/>
      <c r="O930" s="6" t="n"/>
    </row>
    <row r="931">
      <c r="A931" s="6" t="n"/>
      <c r="B931" s="112">
        <f>IF($C931="","","T"&amp;TEXT(ROW()-6,"00000"))</f>
        <v/>
      </c>
      <c r="C931" s="107" t="n"/>
      <c r="D931" s="113">
        <f>IF($C931="","",IFERROR(INDEX(MUSTERILER!$C$7:$C$106,MATCH($C931,MUSTERILER!$B$7:$B$106,0)),"TANIMSIZ MÜŞTERİ"))</f>
        <v/>
      </c>
      <c r="E931" s="114" t="n"/>
      <c r="F931" s="115" t="n"/>
      <c r="G931" s="107" t="n"/>
      <c r="H931" s="107" t="n"/>
      <c r="I931" s="108" t="n"/>
      <c r="J931" s="108" t="n"/>
      <c r="K931" s="108" t="n"/>
      <c r="L931" s="119">
        <f>IF($E931="","",DATE(YEAR($E931),MONTH($E931),1))</f>
        <v/>
      </c>
      <c r="M931" s="112">
        <f>IF($C931="","",IF($D931="TANIMSIZ MÜŞTERİ","HATA",IF(OR($E931="",$F931&lt;=0,$G931=""),"EKSİK",IF($E931&gt;TODAY(),"İLERİ TARİH","UYGUN"))))</f>
        <v/>
      </c>
      <c r="N931" s="6" t="n"/>
      <c r="O931" s="6" t="n"/>
    </row>
    <row r="932">
      <c r="A932" s="6" t="n"/>
      <c r="B932" s="112">
        <f>IF($C932="","","T"&amp;TEXT(ROW()-6,"00000"))</f>
        <v/>
      </c>
      <c r="C932" s="107" t="n"/>
      <c r="D932" s="113">
        <f>IF($C932="","",IFERROR(INDEX(MUSTERILER!$C$7:$C$106,MATCH($C932,MUSTERILER!$B$7:$B$106,0)),"TANIMSIZ MÜŞTERİ"))</f>
        <v/>
      </c>
      <c r="E932" s="114" t="n"/>
      <c r="F932" s="115" t="n"/>
      <c r="G932" s="107" t="n"/>
      <c r="H932" s="107" t="n"/>
      <c r="I932" s="108" t="n"/>
      <c r="J932" s="108" t="n"/>
      <c r="K932" s="108" t="n"/>
      <c r="L932" s="119">
        <f>IF($E932="","",DATE(YEAR($E932),MONTH($E932),1))</f>
        <v/>
      </c>
      <c r="M932" s="112">
        <f>IF($C932="","",IF($D932="TANIMSIZ MÜŞTERİ","HATA",IF(OR($E932="",$F932&lt;=0,$G932=""),"EKSİK",IF($E932&gt;TODAY(),"İLERİ TARİH","UYGUN"))))</f>
        <v/>
      </c>
      <c r="N932" s="6" t="n"/>
      <c r="O932" s="6" t="n"/>
    </row>
    <row r="933">
      <c r="A933" s="6" t="n"/>
      <c r="B933" s="112">
        <f>IF($C933="","","T"&amp;TEXT(ROW()-6,"00000"))</f>
        <v/>
      </c>
      <c r="C933" s="107" t="n"/>
      <c r="D933" s="113">
        <f>IF($C933="","",IFERROR(INDEX(MUSTERILER!$C$7:$C$106,MATCH($C933,MUSTERILER!$B$7:$B$106,0)),"TANIMSIZ MÜŞTERİ"))</f>
        <v/>
      </c>
      <c r="E933" s="114" t="n"/>
      <c r="F933" s="115" t="n"/>
      <c r="G933" s="107" t="n"/>
      <c r="H933" s="107" t="n"/>
      <c r="I933" s="108" t="n"/>
      <c r="J933" s="108" t="n"/>
      <c r="K933" s="108" t="n"/>
      <c r="L933" s="119">
        <f>IF($E933="","",DATE(YEAR($E933),MONTH($E933),1))</f>
        <v/>
      </c>
      <c r="M933" s="112">
        <f>IF($C933="","",IF($D933="TANIMSIZ MÜŞTERİ","HATA",IF(OR($E933="",$F933&lt;=0,$G933=""),"EKSİK",IF($E933&gt;TODAY(),"İLERİ TARİH","UYGUN"))))</f>
        <v/>
      </c>
      <c r="N933" s="6" t="n"/>
      <c r="O933" s="6" t="n"/>
    </row>
    <row r="934">
      <c r="A934" s="6" t="n"/>
      <c r="B934" s="112">
        <f>IF($C934="","","T"&amp;TEXT(ROW()-6,"00000"))</f>
        <v/>
      </c>
      <c r="C934" s="107" t="n"/>
      <c r="D934" s="113">
        <f>IF($C934="","",IFERROR(INDEX(MUSTERILER!$C$7:$C$106,MATCH($C934,MUSTERILER!$B$7:$B$106,0)),"TANIMSIZ MÜŞTERİ"))</f>
        <v/>
      </c>
      <c r="E934" s="114" t="n"/>
      <c r="F934" s="115" t="n"/>
      <c r="G934" s="107" t="n"/>
      <c r="H934" s="107" t="n"/>
      <c r="I934" s="108" t="n"/>
      <c r="J934" s="108" t="n"/>
      <c r="K934" s="108" t="n"/>
      <c r="L934" s="119">
        <f>IF($E934="","",DATE(YEAR($E934),MONTH($E934),1))</f>
        <v/>
      </c>
      <c r="M934" s="112">
        <f>IF($C934="","",IF($D934="TANIMSIZ MÜŞTERİ","HATA",IF(OR($E934="",$F934&lt;=0,$G934=""),"EKSİK",IF($E934&gt;TODAY(),"İLERİ TARİH","UYGUN"))))</f>
        <v/>
      </c>
      <c r="N934" s="6" t="n"/>
      <c r="O934" s="6" t="n"/>
    </row>
    <row r="935">
      <c r="A935" s="6" t="n"/>
      <c r="B935" s="112">
        <f>IF($C935="","","T"&amp;TEXT(ROW()-6,"00000"))</f>
        <v/>
      </c>
      <c r="C935" s="107" t="n"/>
      <c r="D935" s="113">
        <f>IF($C935="","",IFERROR(INDEX(MUSTERILER!$C$7:$C$106,MATCH($C935,MUSTERILER!$B$7:$B$106,0)),"TANIMSIZ MÜŞTERİ"))</f>
        <v/>
      </c>
      <c r="E935" s="114" t="n"/>
      <c r="F935" s="115" t="n"/>
      <c r="G935" s="107" t="n"/>
      <c r="H935" s="107" t="n"/>
      <c r="I935" s="108" t="n"/>
      <c r="J935" s="108" t="n"/>
      <c r="K935" s="108" t="n"/>
      <c r="L935" s="119">
        <f>IF($E935="","",DATE(YEAR($E935),MONTH($E935),1))</f>
        <v/>
      </c>
      <c r="M935" s="112">
        <f>IF($C935="","",IF($D935="TANIMSIZ MÜŞTERİ","HATA",IF(OR($E935="",$F935&lt;=0,$G935=""),"EKSİK",IF($E935&gt;TODAY(),"İLERİ TARİH","UYGUN"))))</f>
        <v/>
      </c>
      <c r="N935" s="6" t="n"/>
      <c r="O935" s="6" t="n"/>
    </row>
    <row r="936">
      <c r="A936" s="6" t="n"/>
      <c r="B936" s="112">
        <f>IF($C936="","","T"&amp;TEXT(ROW()-6,"00000"))</f>
        <v/>
      </c>
      <c r="C936" s="107" t="n"/>
      <c r="D936" s="113">
        <f>IF($C936="","",IFERROR(INDEX(MUSTERILER!$C$7:$C$106,MATCH($C936,MUSTERILER!$B$7:$B$106,0)),"TANIMSIZ MÜŞTERİ"))</f>
        <v/>
      </c>
      <c r="E936" s="114" t="n"/>
      <c r="F936" s="115" t="n"/>
      <c r="G936" s="107" t="n"/>
      <c r="H936" s="107" t="n"/>
      <c r="I936" s="108" t="n"/>
      <c r="J936" s="108" t="n"/>
      <c r="K936" s="108" t="n"/>
      <c r="L936" s="119">
        <f>IF($E936="","",DATE(YEAR($E936),MONTH($E936),1))</f>
        <v/>
      </c>
      <c r="M936" s="112">
        <f>IF($C936="","",IF($D936="TANIMSIZ MÜŞTERİ","HATA",IF(OR($E936="",$F936&lt;=0,$G936=""),"EKSİK",IF($E936&gt;TODAY(),"İLERİ TARİH","UYGUN"))))</f>
        <v/>
      </c>
      <c r="N936" s="6" t="n"/>
      <c r="O936" s="6" t="n"/>
    </row>
    <row r="937">
      <c r="A937" s="6" t="n"/>
      <c r="B937" s="112">
        <f>IF($C937="","","T"&amp;TEXT(ROW()-6,"00000"))</f>
        <v/>
      </c>
      <c r="C937" s="107" t="n"/>
      <c r="D937" s="113">
        <f>IF($C937="","",IFERROR(INDEX(MUSTERILER!$C$7:$C$106,MATCH($C937,MUSTERILER!$B$7:$B$106,0)),"TANIMSIZ MÜŞTERİ"))</f>
        <v/>
      </c>
      <c r="E937" s="114" t="n"/>
      <c r="F937" s="115" t="n"/>
      <c r="G937" s="107" t="n"/>
      <c r="H937" s="107" t="n"/>
      <c r="I937" s="108" t="n"/>
      <c r="J937" s="108" t="n"/>
      <c r="K937" s="108" t="n"/>
      <c r="L937" s="119">
        <f>IF($E937="","",DATE(YEAR($E937),MONTH($E937),1))</f>
        <v/>
      </c>
      <c r="M937" s="112">
        <f>IF($C937="","",IF($D937="TANIMSIZ MÜŞTERİ","HATA",IF(OR($E937="",$F937&lt;=0,$G937=""),"EKSİK",IF($E937&gt;TODAY(),"İLERİ TARİH","UYGUN"))))</f>
        <v/>
      </c>
      <c r="N937" s="6" t="n"/>
      <c r="O937" s="6" t="n"/>
    </row>
    <row r="938">
      <c r="A938" s="6" t="n"/>
      <c r="B938" s="112">
        <f>IF($C938="","","T"&amp;TEXT(ROW()-6,"00000"))</f>
        <v/>
      </c>
      <c r="C938" s="107" t="n"/>
      <c r="D938" s="113">
        <f>IF($C938="","",IFERROR(INDEX(MUSTERILER!$C$7:$C$106,MATCH($C938,MUSTERILER!$B$7:$B$106,0)),"TANIMSIZ MÜŞTERİ"))</f>
        <v/>
      </c>
      <c r="E938" s="114" t="n"/>
      <c r="F938" s="115" t="n"/>
      <c r="G938" s="107" t="n"/>
      <c r="H938" s="107" t="n"/>
      <c r="I938" s="108" t="n"/>
      <c r="J938" s="108" t="n"/>
      <c r="K938" s="108" t="n"/>
      <c r="L938" s="119">
        <f>IF($E938="","",DATE(YEAR($E938),MONTH($E938),1))</f>
        <v/>
      </c>
      <c r="M938" s="112">
        <f>IF($C938="","",IF($D938="TANIMSIZ MÜŞTERİ","HATA",IF(OR($E938="",$F938&lt;=0,$G938=""),"EKSİK",IF($E938&gt;TODAY(),"İLERİ TARİH","UYGUN"))))</f>
        <v/>
      </c>
      <c r="N938" s="6" t="n"/>
      <c r="O938" s="6" t="n"/>
    </row>
    <row r="939">
      <c r="A939" s="6" t="n"/>
      <c r="B939" s="112">
        <f>IF($C939="","","T"&amp;TEXT(ROW()-6,"00000"))</f>
        <v/>
      </c>
      <c r="C939" s="107" t="n"/>
      <c r="D939" s="113">
        <f>IF($C939="","",IFERROR(INDEX(MUSTERILER!$C$7:$C$106,MATCH($C939,MUSTERILER!$B$7:$B$106,0)),"TANIMSIZ MÜŞTERİ"))</f>
        <v/>
      </c>
      <c r="E939" s="114" t="n"/>
      <c r="F939" s="115" t="n"/>
      <c r="G939" s="107" t="n"/>
      <c r="H939" s="107" t="n"/>
      <c r="I939" s="108" t="n"/>
      <c r="J939" s="108" t="n"/>
      <c r="K939" s="108" t="n"/>
      <c r="L939" s="119">
        <f>IF($E939="","",DATE(YEAR($E939),MONTH($E939),1))</f>
        <v/>
      </c>
      <c r="M939" s="112">
        <f>IF($C939="","",IF($D939="TANIMSIZ MÜŞTERİ","HATA",IF(OR($E939="",$F939&lt;=0,$G939=""),"EKSİK",IF($E939&gt;TODAY(),"İLERİ TARİH","UYGUN"))))</f>
        <v/>
      </c>
      <c r="N939" s="6" t="n"/>
      <c r="O939" s="6" t="n"/>
    </row>
    <row r="940">
      <c r="A940" s="6" t="n"/>
      <c r="B940" s="112">
        <f>IF($C940="","","T"&amp;TEXT(ROW()-6,"00000"))</f>
        <v/>
      </c>
      <c r="C940" s="107" t="n"/>
      <c r="D940" s="113">
        <f>IF($C940="","",IFERROR(INDEX(MUSTERILER!$C$7:$C$106,MATCH($C940,MUSTERILER!$B$7:$B$106,0)),"TANIMSIZ MÜŞTERİ"))</f>
        <v/>
      </c>
      <c r="E940" s="114" t="n"/>
      <c r="F940" s="115" t="n"/>
      <c r="G940" s="107" t="n"/>
      <c r="H940" s="107" t="n"/>
      <c r="I940" s="108" t="n"/>
      <c r="J940" s="108" t="n"/>
      <c r="K940" s="108" t="n"/>
      <c r="L940" s="119">
        <f>IF($E940="","",DATE(YEAR($E940),MONTH($E940),1))</f>
        <v/>
      </c>
      <c r="M940" s="112">
        <f>IF($C940="","",IF($D940="TANIMSIZ MÜŞTERİ","HATA",IF(OR($E940="",$F940&lt;=0,$G940=""),"EKSİK",IF($E940&gt;TODAY(),"İLERİ TARİH","UYGUN"))))</f>
        <v/>
      </c>
      <c r="N940" s="6" t="n"/>
      <c r="O940" s="6" t="n"/>
    </row>
    <row r="941">
      <c r="A941" s="6" t="n"/>
      <c r="B941" s="112">
        <f>IF($C941="","","T"&amp;TEXT(ROW()-6,"00000"))</f>
        <v/>
      </c>
      <c r="C941" s="107" t="n"/>
      <c r="D941" s="113">
        <f>IF($C941="","",IFERROR(INDEX(MUSTERILER!$C$7:$C$106,MATCH($C941,MUSTERILER!$B$7:$B$106,0)),"TANIMSIZ MÜŞTERİ"))</f>
        <v/>
      </c>
      <c r="E941" s="114" t="n"/>
      <c r="F941" s="115" t="n"/>
      <c r="G941" s="107" t="n"/>
      <c r="H941" s="107" t="n"/>
      <c r="I941" s="108" t="n"/>
      <c r="J941" s="108" t="n"/>
      <c r="K941" s="108" t="n"/>
      <c r="L941" s="119">
        <f>IF($E941="","",DATE(YEAR($E941),MONTH($E941),1))</f>
        <v/>
      </c>
      <c r="M941" s="112">
        <f>IF($C941="","",IF($D941="TANIMSIZ MÜŞTERİ","HATA",IF(OR($E941="",$F941&lt;=0,$G941=""),"EKSİK",IF($E941&gt;TODAY(),"İLERİ TARİH","UYGUN"))))</f>
        <v/>
      </c>
      <c r="N941" s="6" t="n"/>
      <c r="O941" s="6" t="n"/>
    </row>
    <row r="942">
      <c r="A942" s="6" t="n"/>
      <c r="B942" s="112">
        <f>IF($C942="","","T"&amp;TEXT(ROW()-6,"00000"))</f>
        <v/>
      </c>
      <c r="C942" s="107" t="n"/>
      <c r="D942" s="113">
        <f>IF($C942="","",IFERROR(INDEX(MUSTERILER!$C$7:$C$106,MATCH($C942,MUSTERILER!$B$7:$B$106,0)),"TANIMSIZ MÜŞTERİ"))</f>
        <v/>
      </c>
      <c r="E942" s="114" t="n"/>
      <c r="F942" s="115" t="n"/>
      <c r="G942" s="107" t="n"/>
      <c r="H942" s="107" t="n"/>
      <c r="I942" s="108" t="n"/>
      <c r="J942" s="108" t="n"/>
      <c r="K942" s="108" t="n"/>
      <c r="L942" s="119">
        <f>IF($E942="","",DATE(YEAR($E942),MONTH($E942),1))</f>
        <v/>
      </c>
      <c r="M942" s="112">
        <f>IF($C942="","",IF($D942="TANIMSIZ MÜŞTERİ","HATA",IF(OR($E942="",$F942&lt;=0,$G942=""),"EKSİK",IF($E942&gt;TODAY(),"İLERİ TARİH","UYGUN"))))</f>
        <v/>
      </c>
      <c r="N942" s="6" t="n"/>
      <c r="O942" s="6" t="n"/>
    </row>
    <row r="943">
      <c r="A943" s="6" t="n"/>
      <c r="B943" s="112">
        <f>IF($C943="","","T"&amp;TEXT(ROW()-6,"00000"))</f>
        <v/>
      </c>
      <c r="C943" s="107" t="n"/>
      <c r="D943" s="113">
        <f>IF($C943="","",IFERROR(INDEX(MUSTERILER!$C$7:$C$106,MATCH($C943,MUSTERILER!$B$7:$B$106,0)),"TANIMSIZ MÜŞTERİ"))</f>
        <v/>
      </c>
      <c r="E943" s="114" t="n"/>
      <c r="F943" s="115" t="n"/>
      <c r="G943" s="107" t="n"/>
      <c r="H943" s="107" t="n"/>
      <c r="I943" s="108" t="n"/>
      <c r="J943" s="108" t="n"/>
      <c r="K943" s="108" t="n"/>
      <c r="L943" s="119">
        <f>IF($E943="","",DATE(YEAR($E943),MONTH($E943),1))</f>
        <v/>
      </c>
      <c r="M943" s="112">
        <f>IF($C943="","",IF($D943="TANIMSIZ MÜŞTERİ","HATA",IF(OR($E943="",$F943&lt;=0,$G943=""),"EKSİK",IF($E943&gt;TODAY(),"İLERİ TARİH","UYGUN"))))</f>
        <v/>
      </c>
      <c r="N943" s="6" t="n"/>
      <c r="O943" s="6" t="n"/>
    </row>
    <row r="944">
      <c r="A944" s="6" t="n"/>
      <c r="B944" s="112">
        <f>IF($C944="","","T"&amp;TEXT(ROW()-6,"00000"))</f>
        <v/>
      </c>
      <c r="C944" s="107" t="n"/>
      <c r="D944" s="113">
        <f>IF($C944="","",IFERROR(INDEX(MUSTERILER!$C$7:$C$106,MATCH($C944,MUSTERILER!$B$7:$B$106,0)),"TANIMSIZ MÜŞTERİ"))</f>
        <v/>
      </c>
      <c r="E944" s="114" t="n"/>
      <c r="F944" s="115" t="n"/>
      <c r="G944" s="107" t="n"/>
      <c r="H944" s="107" t="n"/>
      <c r="I944" s="108" t="n"/>
      <c r="J944" s="108" t="n"/>
      <c r="K944" s="108" t="n"/>
      <c r="L944" s="119">
        <f>IF($E944="","",DATE(YEAR($E944),MONTH($E944),1))</f>
        <v/>
      </c>
      <c r="M944" s="112">
        <f>IF($C944="","",IF($D944="TANIMSIZ MÜŞTERİ","HATA",IF(OR($E944="",$F944&lt;=0,$G944=""),"EKSİK",IF($E944&gt;TODAY(),"İLERİ TARİH","UYGUN"))))</f>
        <v/>
      </c>
      <c r="N944" s="6" t="n"/>
      <c r="O944" s="6" t="n"/>
    </row>
    <row r="945">
      <c r="A945" s="6" t="n"/>
      <c r="B945" s="112">
        <f>IF($C945="","","T"&amp;TEXT(ROW()-6,"00000"))</f>
        <v/>
      </c>
      <c r="C945" s="107" t="n"/>
      <c r="D945" s="113">
        <f>IF($C945="","",IFERROR(INDEX(MUSTERILER!$C$7:$C$106,MATCH($C945,MUSTERILER!$B$7:$B$106,0)),"TANIMSIZ MÜŞTERİ"))</f>
        <v/>
      </c>
      <c r="E945" s="114" t="n"/>
      <c r="F945" s="115" t="n"/>
      <c r="G945" s="107" t="n"/>
      <c r="H945" s="107" t="n"/>
      <c r="I945" s="108" t="n"/>
      <c r="J945" s="108" t="n"/>
      <c r="K945" s="108" t="n"/>
      <c r="L945" s="119">
        <f>IF($E945="","",DATE(YEAR($E945),MONTH($E945),1))</f>
        <v/>
      </c>
      <c r="M945" s="112">
        <f>IF($C945="","",IF($D945="TANIMSIZ MÜŞTERİ","HATA",IF(OR($E945="",$F945&lt;=0,$G945=""),"EKSİK",IF($E945&gt;TODAY(),"İLERİ TARİH","UYGUN"))))</f>
        <v/>
      </c>
      <c r="N945" s="6" t="n"/>
      <c r="O945" s="6" t="n"/>
    </row>
    <row r="946">
      <c r="A946" s="6" t="n"/>
      <c r="B946" s="112">
        <f>IF($C946="","","T"&amp;TEXT(ROW()-6,"00000"))</f>
        <v/>
      </c>
      <c r="C946" s="107" t="n"/>
      <c r="D946" s="113">
        <f>IF($C946="","",IFERROR(INDEX(MUSTERILER!$C$7:$C$106,MATCH($C946,MUSTERILER!$B$7:$B$106,0)),"TANIMSIZ MÜŞTERİ"))</f>
        <v/>
      </c>
      <c r="E946" s="114" t="n"/>
      <c r="F946" s="115" t="n"/>
      <c r="G946" s="107" t="n"/>
      <c r="H946" s="107" t="n"/>
      <c r="I946" s="108" t="n"/>
      <c r="J946" s="108" t="n"/>
      <c r="K946" s="108" t="n"/>
      <c r="L946" s="119">
        <f>IF($E946="","",DATE(YEAR($E946),MONTH($E946),1))</f>
        <v/>
      </c>
      <c r="M946" s="112">
        <f>IF($C946="","",IF($D946="TANIMSIZ MÜŞTERİ","HATA",IF(OR($E946="",$F946&lt;=0,$G946=""),"EKSİK",IF($E946&gt;TODAY(),"İLERİ TARİH","UYGUN"))))</f>
        <v/>
      </c>
      <c r="N946" s="6" t="n"/>
      <c r="O946" s="6" t="n"/>
    </row>
    <row r="947">
      <c r="A947" s="6" t="n"/>
      <c r="B947" s="112">
        <f>IF($C947="","","T"&amp;TEXT(ROW()-6,"00000"))</f>
        <v/>
      </c>
      <c r="C947" s="107" t="n"/>
      <c r="D947" s="113">
        <f>IF($C947="","",IFERROR(INDEX(MUSTERILER!$C$7:$C$106,MATCH($C947,MUSTERILER!$B$7:$B$106,0)),"TANIMSIZ MÜŞTERİ"))</f>
        <v/>
      </c>
      <c r="E947" s="114" t="n"/>
      <c r="F947" s="115" t="n"/>
      <c r="G947" s="107" t="n"/>
      <c r="H947" s="107" t="n"/>
      <c r="I947" s="108" t="n"/>
      <c r="J947" s="108" t="n"/>
      <c r="K947" s="108" t="n"/>
      <c r="L947" s="119">
        <f>IF($E947="","",DATE(YEAR($E947),MONTH($E947),1))</f>
        <v/>
      </c>
      <c r="M947" s="112">
        <f>IF($C947="","",IF($D947="TANIMSIZ MÜŞTERİ","HATA",IF(OR($E947="",$F947&lt;=0,$G947=""),"EKSİK",IF($E947&gt;TODAY(),"İLERİ TARİH","UYGUN"))))</f>
        <v/>
      </c>
      <c r="N947" s="6" t="n"/>
      <c r="O947" s="6" t="n"/>
    </row>
    <row r="948">
      <c r="A948" s="6" t="n"/>
      <c r="B948" s="112">
        <f>IF($C948="","","T"&amp;TEXT(ROW()-6,"00000"))</f>
        <v/>
      </c>
      <c r="C948" s="107" t="n"/>
      <c r="D948" s="113">
        <f>IF($C948="","",IFERROR(INDEX(MUSTERILER!$C$7:$C$106,MATCH($C948,MUSTERILER!$B$7:$B$106,0)),"TANIMSIZ MÜŞTERİ"))</f>
        <v/>
      </c>
      <c r="E948" s="114" t="n"/>
      <c r="F948" s="115" t="n"/>
      <c r="G948" s="107" t="n"/>
      <c r="H948" s="107" t="n"/>
      <c r="I948" s="108" t="n"/>
      <c r="J948" s="108" t="n"/>
      <c r="K948" s="108" t="n"/>
      <c r="L948" s="119">
        <f>IF($E948="","",DATE(YEAR($E948),MONTH($E948),1))</f>
        <v/>
      </c>
      <c r="M948" s="112">
        <f>IF($C948="","",IF($D948="TANIMSIZ MÜŞTERİ","HATA",IF(OR($E948="",$F948&lt;=0,$G948=""),"EKSİK",IF($E948&gt;TODAY(),"İLERİ TARİH","UYGUN"))))</f>
        <v/>
      </c>
      <c r="N948" s="6" t="n"/>
      <c r="O948" s="6" t="n"/>
    </row>
    <row r="949">
      <c r="A949" s="6" t="n"/>
      <c r="B949" s="112">
        <f>IF($C949="","","T"&amp;TEXT(ROW()-6,"00000"))</f>
        <v/>
      </c>
      <c r="C949" s="107" t="n"/>
      <c r="D949" s="113">
        <f>IF($C949="","",IFERROR(INDEX(MUSTERILER!$C$7:$C$106,MATCH($C949,MUSTERILER!$B$7:$B$106,0)),"TANIMSIZ MÜŞTERİ"))</f>
        <v/>
      </c>
      <c r="E949" s="114" t="n"/>
      <c r="F949" s="115" t="n"/>
      <c r="G949" s="107" t="n"/>
      <c r="H949" s="107" t="n"/>
      <c r="I949" s="108" t="n"/>
      <c r="J949" s="108" t="n"/>
      <c r="K949" s="108" t="n"/>
      <c r="L949" s="119">
        <f>IF($E949="","",DATE(YEAR($E949),MONTH($E949),1))</f>
        <v/>
      </c>
      <c r="M949" s="112">
        <f>IF($C949="","",IF($D949="TANIMSIZ MÜŞTERİ","HATA",IF(OR($E949="",$F949&lt;=0,$G949=""),"EKSİK",IF($E949&gt;TODAY(),"İLERİ TARİH","UYGUN"))))</f>
        <v/>
      </c>
      <c r="N949" s="6" t="n"/>
      <c r="O949" s="6" t="n"/>
    </row>
    <row r="950">
      <c r="A950" s="6" t="n"/>
      <c r="B950" s="112">
        <f>IF($C950="","","T"&amp;TEXT(ROW()-6,"00000"))</f>
        <v/>
      </c>
      <c r="C950" s="107" t="n"/>
      <c r="D950" s="113">
        <f>IF($C950="","",IFERROR(INDEX(MUSTERILER!$C$7:$C$106,MATCH($C950,MUSTERILER!$B$7:$B$106,0)),"TANIMSIZ MÜŞTERİ"))</f>
        <v/>
      </c>
      <c r="E950" s="114" t="n"/>
      <c r="F950" s="115" t="n"/>
      <c r="G950" s="107" t="n"/>
      <c r="H950" s="107" t="n"/>
      <c r="I950" s="108" t="n"/>
      <c r="J950" s="108" t="n"/>
      <c r="K950" s="108" t="n"/>
      <c r="L950" s="119">
        <f>IF($E950="","",DATE(YEAR($E950),MONTH($E950),1))</f>
        <v/>
      </c>
      <c r="M950" s="112">
        <f>IF($C950="","",IF($D950="TANIMSIZ MÜŞTERİ","HATA",IF(OR($E950="",$F950&lt;=0,$G950=""),"EKSİK",IF($E950&gt;TODAY(),"İLERİ TARİH","UYGUN"))))</f>
        <v/>
      </c>
      <c r="N950" s="6" t="n"/>
      <c r="O950" s="6" t="n"/>
    </row>
    <row r="951">
      <c r="A951" s="6" t="n"/>
      <c r="B951" s="112">
        <f>IF($C951="","","T"&amp;TEXT(ROW()-6,"00000"))</f>
        <v/>
      </c>
      <c r="C951" s="107" t="n"/>
      <c r="D951" s="113">
        <f>IF($C951="","",IFERROR(INDEX(MUSTERILER!$C$7:$C$106,MATCH($C951,MUSTERILER!$B$7:$B$106,0)),"TANIMSIZ MÜŞTERİ"))</f>
        <v/>
      </c>
      <c r="E951" s="114" t="n"/>
      <c r="F951" s="115" t="n"/>
      <c r="G951" s="107" t="n"/>
      <c r="H951" s="107" t="n"/>
      <c r="I951" s="108" t="n"/>
      <c r="J951" s="108" t="n"/>
      <c r="K951" s="108" t="n"/>
      <c r="L951" s="119">
        <f>IF($E951="","",DATE(YEAR($E951),MONTH($E951),1))</f>
        <v/>
      </c>
      <c r="M951" s="112">
        <f>IF($C951="","",IF($D951="TANIMSIZ MÜŞTERİ","HATA",IF(OR($E951="",$F951&lt;=0,$G951=""),"EKSİK",IF($E951&gt;TODAY(),"İLERİ TARİH","UYGUN"))))</f>
        <v/>
      </c>
      <c r="N951" s="6" t="n"/>
      <c r="O951" s="6" t="n"/>
    </row>
    <row r="952">
      <c r="A952" s="6" t="n"/>
      <c r="B952" s="112">
        <f>IF($C952="","","T"&amp;TEXT(ROW()-6,"00000"))</f>
        <v/>
      </c>
      <c r="C952" s="107" t="n"/>
      <c r="D952" s="113">
        <f>IF($C952="","",IFERROR(INDEX(MUSTERILER!$C$7:$C$106,MATCH($C952,MUSTERILER!$B$7:$B$106,0)),"TANIMSIZ MÜŞTERİ"))</f>
        <v/>
      </c>
      <c r="E952" s="114" t="n"/>
      <c r="F952" s="115" t="n"/>
      <c r="G952" s="107" t="n"/>
      <c r="H952" s="107" t="n"/>
      <c r="I952" s="108" t="n"/>
      <c r="J952" s="108" t="n"/>
      <c r="K952" s="108" t="n"/>
      <c r="L952" s="119">
        <f>IF($E952="","",DATE(YEAR($E952),MONTH($E952),1))</f>
        <v/>
      </c>
      <c r="M952" s="112">
        <f>IF($C952="","",IF($D952="TANIMSIZ MÜŞTERİ","HATA",IF(OR($E952="",$F952&lt;=0,$G952=""),"EKSİK",IF($E952&gt;TODAY(),"İLERİ TARİH","UYGUN"))))</f>
        <v/>
      </c>
      <c r="N952" s="6" t="n"/>
      <c r="O952" s="6" t="n"/>
    </row>
    <row r="953">
      <c r="A953" s="6" t="n"/>
      <c r="B953" s="112">
        <f>IF($C953="","","T"&amp;TEXT(ROW()-6,"00000"))</f>
        <v/>
      </c>
      <c r="C953" s="107" t="n"/>
      <c r="D953" s="113">
        <f>IF($C953="","",IFERROR(INDEX(MUSTERILER!$C$7:$C$106,MATCH($C953,MUSTERILER!$B$7:$B$106,0)),"TANIMSIZ MÜŞTERİ"))</f>
        <v/>
      </c>
      <c r="E953" s="114" t="n"/>
      <c r="F953" s="115" t="n"/>
      <c r="G953" s="107" t="n"/>
      <c r="H953" s="107" t="n"/>
      <c r="I953" s="108" t="n"/>
      <c r="J953" s="108" t="n"/>
      <c r="K953" s="108" t="n"/>
      <c r="L953" s="119">
        <f>IF($E953="","",DATE(YEAR($E953),MONTH($E953),1))</f>
        <v/>
      </c>
      <c r="M953" s="112">
        <f>IF($C953="","",IF($D953="TANIMSIZ MÜŞTERİ","HATA",IF(OR($E953="",$F953&lt;=0,$G953=""),"EKSİK",IF($E953&gt;TODAY(),"İLERİ TARİH","UYGUN"))))</f>
        <v/>
      </c>
      <c r="N953" s="6" t="n"/>
      <c r="O953" s="6" t="n"/>
    </row>
    <row r="954">
      <c r="A954" s="6" t="n"/>
      <c r="B954" s="112">
        <f>IF($C954="","","T"&amp;TEXT(ROW()-6,"00000"))</f>
        <v/>
      </c>
      <c r="C954" s="107" t="n"/>
      <c r="D954" s="113">
        <f>IF($C954="","",IFERROR(INDEX(MUSTERILER!$C$7:$C$106,MATCH($C954,MUSTERILER!$B$7:$B$106,0)),"TANIMSIZ MÜŞTERİ"))</f>
        <v/>
      </c>
      <c r="E954" s="114" t="n"/>
      <c r="F954" s="115" t="n"/>
      <c r="G954" s="107" t="n"/>
      <c r="H954" s="107" t="n"/>
      <c r="I954" s="108" t="n"/>
      <c r="J954" s="108" t="n"/>
      <c r="K954" s="108" t="n"/>
      <c r="L954" s="119">
        <f>IF($E954="","",DATE(YEAR($E954),MONTH($E954),1))</f>
        <v/>
      </c>
      <c r="M954" s="112">
        <f>IF($C954="","",IF($D954="TANIMSIZ MÜŞTERİ","HATA",IF(OR($E954="",$F954&lt;=0,$G954=""),"EKSİK",IF($E954&gt;TODAY(),"İLERİ TARİH","UYGUN"))))</f>
        <v/>
      </c>
      <c r="N954" s="6" t="n"/>
      <c r="O954" s="6" t="n"/>
    </row>
    <row r="955">
      <c r="A955" s="6" t="n"/>
      <c r="B955" s="112">
        <f>IF($C955="","","T"&amp;TEXT(ROW()-6,"00000"))</f>
        <v/>
      </c>
      <c r="C955" s="107" t="n"/>
      <c r="D955" s="113">
        <f>IF($C955="","",IFERROR(INDEX(MUSTERILER!$C$7:$C$106,MATCH($C955,MUSTERILER!$B$7:$B$106,0)),"TANIMSIZ MÜŞTERİ"))</f>
        <v/>
      </c>
      <c r="E955" s="114" t="n"/>
      <c r="F955" s="115" t="n"/>
      <c r="G955" s="107" t="n"/>
      <c r="H955" s="107" t="n"/>
      <c r="I955" s="108" t="n"/>
      <c r="J955" s="108" t="n"/>
      <c r="K955" s="108" t="n"/>
      <c r="L955" s="119">
        <f>IF($E955="","",DATE(YEAR($E955),MONTH($E955),1))</f>
        <v/>
      </c>
      <c r="M955" s="112">
        <f>IF($C955="","",IF($D955="TANIMSIZ MÜŞTERİ","HATA",IF(OR($E955="",$F955&lt;=0,$G955=""),"EKSİK",IF($E955&gt;TODAY(),"İLERİ TARİH","UYGUN"))))</f>
        <v/>
      </c>
      <c r="N955" s="6" t="n"/>
      <c r="O955" s="6" t="n"/>
    </row>
    <row r="956">
      <c r="A956" s="6" t="n"/>
      <c r="B956" s="112">
        <f>IF($C956="","","T"&amp;TEXT(ROW()-6,"00000"))</f>
        <v/>
      </c>
      <c r="C956" s="107" t="n"/>
      <c r="D956" s="113">
        <f>IF($C956="","",IFERROR(INDEX(MUSTERILER!$C$7:$C$106,MATCH($C956,MUSTERILER!$B$7:$B$106,0)),"TANIMSIZ MÜŞTERİ"))</f>
        <v/>
      </c>
      <c r="E956" s="114" t="n"/>
      <c r="F956" s="115" t="n"/>
      <c r="G956" s="107" t="n"/>
      <c r="H956" s="107" t="n"/>
      <c r="I956" s="108" t="n"/>
      <c r="J956" s="108" t="n"/>
      <c r="K956" s="108" t="n"/>
      <c r="L956" s="119">
        <f>IF($E956="","",DATE(YEAR($E956),MONTH($E956),1))</f>
        <v/>
      </c>
      <c r="M956" s="112">
        <f>IF($C956="","",IF($D956="TANIMSIZ MÜŞTERİ","HATA",IF(OR($E956="",$F956&lt;=0,$G956=""),"EKSİK",IF($E956&gt;TODAY(),"İLERİ TARİH","UYGUN"))))</f>
        <v/>
      </c>
      <c r="N956" s="6" t="n"/>
      <c r="O956" s="6" t="n"/>
    </row>
    <row r="957">
      <c r="A957" s="6" t="n"/>
      <c r="B957" s="112">
        <f>IF($C957="","","T"&amp;TEXT(ROW()-6,"00000"))</f>
        <v/>
      </c>
      <c r="C957" s="107" t="n"/>
      <c r="D957" s="113">
        <f>IF($C957="","",IFERROR(INDEX(MUSTERILER!$C$7:$C$106,MATCH($C957,MUSTERILER!$B$7:$B$106,0)),"TANIMSIZ MÜŞTERİ"))</f>
        <v/>
      </c>
      <c r="E957" s="114" t="n"/>
      <c r="F957" s="115" t="n"/>
      <c r="G957" s="107" t="n"/>
      <c r="H957" s="107" t="n"/>
      <c r="I957" s="108" t="n"/>
      <c r="J957" s="108" t="n"/>
      <c r="K957" s="108" t="n"/>
      <c r="L957" s="119">
        <f>IF($E957="","",DATE(YEAR($E957),MONTH($E957),1))</f>
        <v/>
      </c>
      <c r="M957" s="112">
        <f>IF($C957="","",IF($D957="TANIMSIZ MÜŞTERİ","HATA",IF(OR($E957="",$F957&lt;=0,$G957=""),"EKSİK",IF($E957&gt;TODAY(),"İLERİ TARİH","UYGUN"))))</f>
        <v/>
      </c>
      <c r="N957" s="6" t="n"/>
      <c r="O957" s="6" t="n"/>
    </row>
    <row r="958">
      <c r="A958" s="6" t="n"/>
      <c r="B958" s="112">
        <f>IF($C958="","","T"&amp;TEXT(ROW()-6,"00000"))</f>
        <v/>
      </c>
      <c r="C958" s="107" t="n"/>
      <c r="D958" s="113">
        <f>IF($C958="","",IFERROR(INDEX(MUSTERILER!$C$7:$C$106,MATCH($C958,MUSTERILER!$B$7:$B$106,0)),"TANIMSIZ MÜŞTERİ"))</f>
        <v/>
      </c>
      <c r="E958" s="114" t="n"/>
      <c r="F958" s="115" t="n"/>
      <c r="G958" s="107" t="n"/>
      <c r="H958" s="107" t="n"/>
      <c r="I958" s="108" t="n"/>
      <c r="J958" s="108" t="n"/>
      <c r="K958" s="108" t="n"/>
      <c r="L958" s="119">
        <f>IF($E958="","",DATE(YEAR($E958),MONTH($E958),1))</f>
        <v/>
      </c>
      <c r="M958" s="112">
        <f>IF($C958="","",IF($D958="TANIMSIZ MÜŞTERİ","HATA",IF(OR($E958="",$F958&lt;=0,$G958=""),"EKSİK",IF($E958&gt;TODAY(),"İLERİ TARİH","UYGUN"))))</f>
        <v/>
      </c>
      <c r="N958" s="6" t="n"/>
      <c r="O958" s="6" t="n"/>
    </row>
    <row r="959">
      <c r="A959" s="6" t="n"/>
      <c r="B959" s="112">
        <f>IF($C959="","","T"&amp;TEXT(ROW()-6,"00000"))</f>
        <v/>
      </c>
      <c r="C959" s="107" t="n"/>
      <c r="D959" s="113">
        <f>IF($C959="","",IFERROR(INDEX(MUSTERILER!$C$7:$C$106,MATCH($C959,MUSTERILER!$B$7:$B$106,0)),"TANIMSIZ MÜŞTERİ"))</f>
        <v/>
      </c>
      <c r="E959" s="114" t="n"/>
      <c r="F959" s="115" t="n"/>
      <c r="G959" s="107" t="n"/>
      <c r="H959" s="107" t="n"/>
      <c r="I959" s="108" t="n"/>
      <c r="J959" s="108" t="n"/>
      <c r="K959" s="108" t="n"/>
      <c r="L959" s="119">
        <f>IF($E959="","",DATE(YEAR($E959),MONTH($E959),1))</f>
        <v/>
      </c>
      <c r="M959" s="112">
        <f>IF($C959="","",IF($D959="TANIMSIZ MÜŞTERİ","HATA",IF(OR($E959="",$F959&lt;=0,$G959=""),"EKSİK",IF($E959&gt;TODAY(),"İLERİ TARİH","UYGUN"))))</f>
        <v/>
      </c>
      <c r="N959" s="6" t="n"/>
      <c r="O959" s="6" t="n"/>
    </row>
    <row r="960">
      <c r="A960" s="6" t="n"/>
      <c r="B960" s="112">
        <f>IF($C960="","","T"&amp;TEXT(ROW()-6,"00000"))</f>
        <v/>
      </c>
      <c r="C960" s="107" t="n"/>
      <c r="D960" s="113">
        <f>IF($C960="","",IFERROR(INDEX(MUSTERILER!$C$7:$C$106,MATCH($C960,MUSTERILER!$B$7:$B$106,0)),"TANIMSIZ MÜŞTERİ"))</f>
        <v/>
      </c>
      <c r="E960" s="114" t="n"/>
      <c r="F960" s="115" t="n"/>
      <c r="G960" s="107" t="n"/>
      <c r="H960" s="107" t="n"/>
      <c r="I960" s="108" t="n"/>
      <c r="J960" s="108" t="n"/>
      <c r="K960" s="108" t="n"/>
      <c r="L960" s="119">
        <f>IF($E960="","",DATE(YEAR($E960),MONTH($E960),1))</f>
        <v/>
      </c>
      <c r="M960" s="112">
        <f>IF($C960="","",IF($D960="TANIMSIZ MÜŞTERİ","HATA",IF(OR($E960="",$F960&lt;=0,$G960=""),"EKSİK",IF($E960&gt;TODAY(),"İLERİ TARİH","UYGUN"))))</f>
        <v/>
      </c>
      <c r="N960" s="6" t="n"/>
      <c r="O960" s="6" t="n"/>
    </row>
    <row r="961">
      <c r="A961" s="6" t="n"/>
      <c r="B961" s="112">
        <f>IF($C961="","","T"&amp;TEXT(ROW()-6,"00000"))</f>
        <v/>
      </c>
      <c r="C961" s="107" t="n"/>
      <c r="D961" s="113">
        <f>IF($C961="","",IFERROR(INDEX(MUSTERILER!$C$7:$C$106,MATCH($C961,MUSTERILER!$B$7:$B$106,0)),"TANIMSIZ MÜŞTERİ"))</f>
        <v/>
      </c>
      <c r="E961" s="114" t="n"/>
      <c r="F961" s="115" t="n"/>
      <c r="G961" s="107" t="n"/>
      <c r="H961" s="107" t="n"/>
      <c r="I961" s="108" t="n"/>
      <c r="J961" s="108" t="n"/>
      <c r="K961" s="108" t="n"/>
      <c r="L961" s="119">
        <f>IF($E961="","",DATE(YEAR($E961),MONTH($E961),1))</f>
        <v/>
      </c>
      <c r="M961" s="112">
        <f>IF($C961="","",IF($D961="TANIMSIZ MÜŞTERİ","HATA",IF(OR($E961="",$F961&lt;=0,$G961=""),"EKSİK",IF($E961&gt;TODAY(),"İLERİ TARİH","UYGUN"))))</f>
        <v/>
      </c>
      <c r="N961" s="6" t="n"/>
      <c r="O961" s="6" t="n"/>
    </row>
    <row r="962">
      <c r="A962" s="6" t="n"/>
      <c r="B962" s="112">
        <f>IF($C962="","","T"&amp;TEXT(ROW()-6,"00000"))</f>
        <v/>
      </c>
      <c r="C962" s="107" t="n"/>
      <c r="D962" s="113">
        <f>IF($C962="","",IFERROR(INDEX(MUSTERILER!$C$7:$C$106,MATCH($C962,MUSTERILER!$B$7:$B$106,0)),"TANIMSIZ MÜŞTERİ"))</f>
        <v/>
      </c>
      <c r="E962" s="114" t="n"/>
      <c r="F962" s="115" t="n"/>
      <c r="G962" s="107" t="n"/>
      <c r="H962" s="107" t="n"/>
      <c r="I962" s="108" t="n"/>
      <c r="J962" s="108" t="n"/>
      <c r="K962" s="108" t="n"/>
      <c r="L962" s="119">
        <f>IF($E962="","",DATE(YEAR($E962),MONTH($E962),1))</f>
        <v/>
      </c>
      <c r="M962" s="112">
        <f>IF($C962="","",IF($D962="TANIMSIZ MÜŞTERİ","HATA",IF(OR($E962="",$F962&lt;=0,$G962=""),"EKSİK",IF($E962&gt;TODAY(),"İLERİ TARİH","UYGUN"))))</f>
        <v/>
      </c>
      <c r="N962" s="6" t="n"/>
      <c r="O962" s="6" t="n"/>
    </row>
    <row r="963">
      <c r="A963" s="6" t="n"/>
      <c r="B963" s="112">
        <f>IF($C963="","","T"&amp;TEXT(ROW()-6,"00000"))</f>
        <v/>
      </c>
      <c r="C963" s="107" t="n"/>
      <c r="D963" s="113">
        <f>IF($C963="","",IFERROR(INDEX(MUSTERILER!$C$7:$C$106,MATCH($C963,MUSTERILER!$B$7:$B$106,0)),"TANIMSIZ MÜŞTERİ"))</f>
        <v/>
      </c>
      <c r="E963" s="114" t="n"/>
      <c r="F963" s="115" t="n"/>
      <c r="G963" s="107" t="n"/>
      <c r="H963" s="107" t="n"/>
      <c r="I963" s="108" t="n"/>
      <c r="J963" s="108" t="n"/>
      <c r="K963" s="108" t="n"/>
      <c r="L963" s="119">
        <f>IF($E963="","",DATE(YEAR($E963),MONTH($E963),1))</f>
        <v/>
      </c>
      <c r="M963" s="112">
        <f>IF($C963="","",IF($D963="TANIMSIZ MÜŞTERİ","HATA",IF(OR($E963="",$F963&lt;=0,$G963=""),"EKSİK",IF($E963&gt;TODAY(),"İLERİ TARİH","UYGUN"))))</f>
        <v/>
      </c>
      <c r="N963" s="6" t="n"/>
      <c r="O963" s="6" t="n"/>
    </row>
    <row r="964">
      <c r="A964" s="6" t="n"/>
      <c r="B964" s="112">
        <f>IF($C964="","","T"&amp;TEXT(ROW()-6,"00000"))</f>
        <v/>
      </c>
      <c r="C964" s="107" t="n"/>
      <c r="D964" s="113">
        <f>IF($C964="","",IFERROR(INDEX(MUSTERILER!$C$7:$C$106,MATCH($C964,MUSTERILER!$B$7:$B$106,0)),"TANIMSIZ MÜŞTERİ"))</f>
        <v/>
      </c>
      <c r="E964" s="114" t="n"/>
      <c r="F964" s="115" t="n"/>
      <c r="G964" s="107" t="n"/>
      <c r="H964" s="107" t="n"/>
      <c r="I964" s="108" t="n"/>
      <c r="J964" s="108" t="n"/>
      <c r="K964" s="108" t="n"/>
      <c r="L964" s="119">
        <f>IF($E964="","",DATE(YEAR($E964),MONTH($E964),1))</f>
        <v/>
      </c>
      <c r="M964" s="112">
        <f>IF($C964="","",IF($D964="TANIMSIZ MÜŞTERİ","HATA",IF(OR($E964="",$F964&lt;=0,$G964=""),"EKSİK",IF($E964&gt;TODAY(),"İLERİ TARİH","UYGUN"))))</f>
        <v/>
      </c>
      <c r="N964" s="6" t="n"/>
      <c r="O964" s="6" t="n"/>
    </row>
    <row r="965">
      <c r="A965" s="6" t="n"/>
      <c r="B965" s="112">
        <f>IF($C965="","","T"&amp;TEXT(ROW()-6,"00000"))</f>
        <v/>
      </c>
      <c r="C965" s="107" t="n"/>
      <c r="D965" s="113">
        <f>IF($C965="","",IFERROR(INDEX(MUSTERILER!$C$7:$C$106,MATCH($C965,MUSTERILER!$B$7:$B$106,0)),"TANIMSIZ MÜŞTERİ"))</f>
        <v/>
      </c>
      <c r="E965" s="114" t="n"/>
      <c r="F965" s="115" t="n"/>
      <c r="G965" s="107" t="n"/>
      <c r="H965" s="107" t="n"/>
      <c r="I965" s="108" t="n"/>
      <c r="J965" s="108" t="n"/>
      <c r="K965" s="108" t="n"/>
      <c r="L965" s="119">
        <f>IF($E965="","",DATE(YEAR($E965),MONTH($E965),1))</f>
        <v/>
      </c>
      <c r="M965" s="112">
        <f>IF($C965="","",IF($D965="TANIMSIZ MÜŞTERİ","HATA",IF(OR($E965="",$F965&lt;=0,$G965=""),"EKSİK",IF($E965&gt;TODAY(),"İLERİ TARİH","UYGUN"))))</f>
        <v/>
      </c>
      <c r="N965" s="6" t="n"/>
      <c r="O965" s="6" t="n"/>
    </row>
    <row r="966">
      <c r="A966" s="6" t="n"/>
      <c r="B966" s="112">
        <f>IF($C966="","","T"&amp;TEXT(ROW()-6,"00000"))</f>
        <v/>
      </c>
      <c r="C966" s="107" t="n"/>
      <c r="D966" s="113">
        <f>IF($C966="","",IFERROR(INDEX(MUSTERILER!$C$7:$C$106,MATCH($C966,MUSTERILER!$B$7:$B$106,0)),"TANIMSIZ MÜŞTERİ"))</f>
        <v/>
      </c>
      <c r="E966" s="114" t="n"/>
      <c r="F966" s="115" t="n"/>
      <c r="G966" s="107" t="n"/>
      <c r="H966" s="107" t="n"/>
      <c r="I966" s="108" t="n"/>
      <c r="J966" s="108" t="n"/>
      <c r="K966" s="108" t="n"/>
      <c r="L966" s="119">
        <f>IF($E966="","",DATE(YEAR($E966),MONTH($E966),1))</f>
        <v/>
      </c>
      <c r="M966" s="112">
        <f>IF($C966="","",IF($D966="TANIMSIZ MÜŞTERİ","HATA",IF(OR($E966="",$F966&lt;=0,$G966=""),"EKSİK",IF($E966&gt;TODAY(),"İLERİ TARİH","UYGUN"))))</f>
        <v/>
      </c>
      <c r="N966" s="6" t="n"/>
      <c r="O966" s="6" t="n"/>
    </row>
    <row r="967">
      <c r="A967" s="6" t="n"/>
      <c r="B967" s="112">
        <f>IF($C967="","","T"&amp;TEXT(ROW()-6,"00000"))</f>
        <v/>
      </c>
      <c r="C967" s="107" t="n"/>
      <c r="D967" s="113">
        <f>IF($C967="","",IFERROR(INDEX(MUSTERILER!$C$7:$C$106,MATCH($C967,MUSTERILER!$B$7:$B$106,0)),"TANIMSIZ MÜŞTERİ"))</f>
        <v/>
      </c>
      <c r="E967" s="114" t="n"/>
      <c r="F967" s="115" t="n"/>
      <c r="G967" s="107" t="n"/>
      <c r="H967" s="107" t="n"/>
      <c r="I967" s="108" t="n"/>
      <c r="J967" s="108" t="n"/>
      <c r="K967" s="108" t="n"/>
      <c r="L967" s="119">
        <f>IF($E967="","",DATE(YEAR($E967),MONTH($E967),1))</f>
        <v/>
      </c>
      <c r="M967" s="112">
        <f>IF($C967="","",IF($D967="TANIMSIZ MÜŞTERİ","HATA",IF(OR($E967="",$F967&lt;=0,$G967=""),"EKSİK",IF($E967&gt;TODAY(),"İLERİ TARİH","UYGUN"))))</f>
        <v/>
      </c>
      <c r="N967" s="6" t="n"/>
      <c r="O967" s="6" t="n"/>
    </row>
    <row r="968">
      <c r="A968" s="6" t="n"/>
      <c r="B968" s="112">
        <f>IF($C968="","","T"&amp;TEXT(ROW()-6,"00000"))</f>
        <v/>
      </c>
      <c r="C968" s="107" t="n"/>
      <c r="D968" s="113">
        <f>IF($C968="","",IFERROR(INDEX(MUSTERILER!$C$7:$C$106,MATCH($C968,MUSTERILER!$B$7:$B$106,0)),"TANIMSIZ MÜŞTERİ"))</f>
        <v/>
      </c>
      <c r="E968" s="114" t="n"/>
      <c r="F968" s="115" t="n"/>
      <c r="G968" s="107" t="n"/>
      <c r="H968" s="107" t="n"/>
      <c r="I968" s="108" t="n"/>
      <c r="J968" s="108" t="n"/>
      <c r="K968" s="108" t="n"/>
      <c r="L968" s="119">
        <f>IF($E968="","",DATE(YEAR($E968),MONTH($E968),1))</f>
        <v/>
      </c>
      <c r="M968" s="112">
        <f>IF($C968="","",IF($D968="TANIMSIZ MÜŞTERİ","HATA",IF(OR($E968="",$F968&lt;=0,$G968=""),"EKSİK",IF($E968&gt;TODAY(),"İLERİ TARİH","UYGUN"))))</f>
        <v/>
      </c>
      <c r="N968" s="6" t="n"/>
      <c r="O968" s="6" t="n"/>
    </row>
    <row r="969">
      <c r="A969" s="6" t="n"/>
      <c r="B969" s="112">
        <f>IF($C969="","","T"&amp;TEXT(ROW()-6,"00000"))</f>
        <v/>
      </c>
      <c r="C969" s="107" t="n"/>
      <c r="D969" s="113">
        <f>IF($C969="","",IFERROR(INDEX(MUSTERILER!$C$7:$C$106,MATCH($C969,MUSTERILER!$B$7:$B$106,0)),"TANIMSIZ MÜŞTERİ"))</f>
        <v/>
      </c>
      <c r="E969" s="114" t="n"/>
      <c r="F969" s="115" t="n"/>
      <c r="G969" s="107" t="n"/>
      <c r="H969" s="107" t="n"/>
      <c r="I969" s="108" t="n"/>
      <c r="J969" s="108" t="n"/>
      <c r="K969" s="108" t="n"/>
      <c r="L969" s="119">
        <f>IF($E969="","",DATE(YEAR($E969),MONTH($E969),1))</f>
        <v/>
      </c>
      <c r="M969" s="112">
        <f>IF($C969="","",IF($D969="TANIMSIZ MÜŞTERİ","HATA",IF(OR($E969="",$F969&lt;=0,$G969=""),"EKSİK",IF($E969&gt;TODAY(),"İLERİ TARİH","UYGUN"))))</f>
        <v/>
      </c>
      <c r="N969" s="6" t="n"/>
      <c r="O969" s="6" t="n"/>
    </row>
    <row r="970">
      <c r="A970" s="6" t="n"/>
      <c r="B970" s="112">
        <f>IF($C970="","","T"&amp;TEXT(ROW()-6,"00000"))</f>
        <v/>
      </c>
      <c r="C970" s="107" t="n"/>
      <c r="D970" s="113">
        <f>IF($C970="","",IFERROR(INDEX(MUSTERILER!$C$7:$C$106,MATCH($C970,MUSTERILER!$B$7:$B$106,0)),"TANIMSIZ MÜŞTERİ"))</f>
        <v/>
      </c>
      <c r="E970" s="114" t="n"/>
      <c r="F970" s="115" t="n"/>
      <c r="G970" s="107" t="n"/>
      <c r="H970" s="107" t="n"/>
      <c r="I970" s="108" t="n"/>
      <c r="J970" s="108" t="n"/>
      <c r="K970" s="108" t="n"/>
      <c r="L970" s="119">
        <f>IF($E970="","",DATE(YEAR($E970),MONTH($E970),1))</f>
        <v/>
      </c>
      <c r="M970" s="112">
        <f>IF($C970="","",IF($D970="TANIMSIZ MÜŞTERİ","HATA",IF(OR($E970="",$F970&lt;=0,$G970=""),"EKSİK",IF($E970&gt;TODAY(),"İLERİ TARİH","UYGUN"))))</f>
        <v/>
      </c>
      <c r="N970" s="6" t="n"/>
      <c r="O970" s="6" t="n"/>
    </row>
    <row r="971">
      <c r="A971" s="6" t="n"/>
      <c r="B971" s="112">
        <f>IF($C971="","","T"&amp;TEXT(ROW()-6,"00000"))</f>
        <v/>
      </c>
      <c r="C971" s="107" t="n"/>
      <c r="D971" s="113">
        <f>IF($C971="","",IFERROR(INDEX(MUSTERILER!$C$7:$C$106,MATCH($C971,MUSTERILER!$B$7:$B$106,0)),"TANIMSIZ MÜŞTERİ"))</f>
        <v/>
      </c>
      <c r="E971" s="114" t="n"/>
      <c r="F971" s="115" t="n"/>
      <c r="G971" s="107" t="n"/>
      <c r="H971" s="107" t="n"/>
      <c r="I971" s="108" t="n"/>
      <c r="J971" s="108" t="n"/>
      <c r="K971" s="108" t="n"/>
      <c r="L971" s="119">
        <f>IF($E971="","",DATE(YEAR($E971),MONTH($E971),1))</f>
        <v/>
      </c>
      <c r="M971" s="112">
        <f>IF($C971="","",IF($D971="TANIMSIZ MÜŞTERİ","HATA",IF(OR($E971="",$F971&lt;=0,$G971=""),"EKSİK",IF($E971&gt;TODAY(),"İLERİ TARİH","UYGUN"))))</f>
        <v/>
      </c>
      <c r="N971" s="6" t="n"/>
      <c r="O971" s="6" t="n"/>
    </row>
    <row r="972">
      <c r="A972" s="6" t="n"/>
      <c r="B972" s="112">
        <f>IF($C972="","","T"&amp;TEXT(ROW()-6,"00000"))</f>
        <v/>
      </c>
      <c r="C972" s="107" t="n"/>
      <c r="D972" s="113">
        <f>IF($C972="","",IFERROR(INDEX(MUSTERILER!$C$7:$C$106,MATCH($C972,MUSTERILER!$B$7:$B$106,0)),"TANIMSIZ MÜŞTERİ"))</f>
        <v/>
      </c>
      <c r="E972" s="114" t="n"/>
      <c r="F972" s="115" t="n"/>
      <c r="G972" s="107" t="n"/>
      <c r="H972" s="107" t="n"/>
      <c r="I972" s="108" t="n"/>
      <c r="J972" s="108" t="n"/>
      <c r="K972" s="108" t="n"/>
      <c r="L972" s="119">
        <f>IF($E972="","",DATE(YEAR($E972),MONTH($E972),1))</f>
        <v/>
      </c>
      <c r="M972" s="112">
        <f>IF($C972="","",IF($D972="TANIMSIZ MÜŞTERİ","HATA",IF(OR($E972="",$F972&lt;=0,$G972=""),"EKSİK",IF($E972&gt;TODAY(),"İLERİ TARİH","UYGUN"))))</f>
        <v/>
      </c>
      <c r="N972" s="6" t="n"/>
      <c r="O972" s="6" t="n"/>
    </row>
    <row r="973">
      <c r="A973" s="6" t="n"/>
      <c r="B973" s="112">
        <f>IF($C973="","","T"&amp;TEXT(ROW()-6,"00000"))</f>
        <v/>
      </c>
      <c r="C973" s="107" t="n"/>
      <c r="D973" s="113">
        <f>IF($C973="","",IFERROR(INDEX(MUSTERILER!$C$7:$C$106,MATCH($C973,MUSTERILER!$B$7:$B$106,0)),"TANIMSIZ MÜŞTERİ"))</f>
        <v/>
      </c>
      <c r="E973" s="114" t="n"/>
      <c r="F973" s="115" t="n"/>
      <c r="G973" s="107" t="n"/>
      <c r="H973" s="107" t="n"/>
      <c r="I973" s="108" t="n"/>
      <c r="J973" s="108" t="n"/>
      <c r="K973" s="108" t="n"/>
      <c r="L973" s="119">
        <f>IF($E973="","",DATE(YEAR($E973),MONTH($E973),1))</f>
        <v/>
      </c>
      <c r="M973" s="112">
        <f>IF($C973="","",IF($D973="TANIMSIZ MÜŞTERİ","HATA",IF(OR($E973="",$F973&lt;=0,$G973=""),"EKSİK",IF($E973&gt;TODAY(),"İLERİ TARİH","UYGUN"))))</f>
        <v/>
      </c>
      <c r="N973" s="6" t="n"/>
      <c r="O973" s="6" t="n"/>
    </row>
    <row r="974">
      <c r="A974" s="6" t="n"/>
      <c r="B974" s="112">
        <f>IF($C974="","","T"&amp;TEXT(ROW()-6,"00000"))</f>
        <v/>
      </c>
      <c r="C974" s="107" t="n"/>
      <c r="D974" s="113">
        <f>IF($C974="","",IFERROR(INDEX(MUSTERILER!$C$7:$C$106,MATCH($C974,MUSTERILER!$B$7:$B$106,0)),"TANIMSIZ MÜŞTERİ"))</f>
        <v/>
      </c>
      <c r="E974" s="114" t="n"/>
      <c r="F974" s="115" t="n"/>
      <c r="G974" s="107" t="n"/>
      <c r="H974" s="107" t="n"/>
      <c r="I974" s="108" t="n"/>
      <c r="J974" s="108" t="n"/>
      <c r="K974" s="108" t="n"/>
      <c r="L974" s="119">
        <f>IF($E974="","",DATE(YEAR($E974),MONTH($E974),1))</f>
        <v/>
      </c>
      <c r="M974" s="112">
        <f>IF($C974="","",IF($D974="TANIMSIZ MÜŞTERİ","HATA",IF(OR($E974="",$F974&lt;=0,$G974=""),"EKSİK",IF($E974&gt;TODAY(),"İLERİ TARİH","UYGUN"))))</f>
        <v/>
      </c>
      <c r="N974" s="6" t="n"/>
      <c r="O974" s="6" t="n"/>
    </row>
    <row r="975">
      <c r="A975" s="6" t="n"/>
      <c r="B975" s="112">
        <f>IF($C975="","","T"&amp;TEXT(ROW()-6,"00000"))</f>
        <v/>
      </c>
      <c r="C975" s="107" t="n"/>
      <c r="D975" s="113">
        <f>IF($C975="","",IFERROR(INDEX(MUSTERILER!$C$7:$C$106,MATCH($C975,MUSTERILER!$B$7:$B$106,0)),"TANIMSIZ MÜŞTERİ"))</f>
        <v/>
      </c>
      <c r="E975" s="114" t="n"/>
      <c r="F975" s="115" t="n"/>
      <c r="G975" s="107" t="n"/>
      <c r="H975" s="107" t="n"/>
      <c r="I975" s="108" t="n"/>
      <c r="J975" s="108" t="n"/>
      <c r="K975" s="108" t="n"/>
      <c r="L975" s="119">
        <f>IF($E975="","",DATE(YEAR($E975),MONTH($E975),1))</f>
        <v/>
      </c>
      <c r="M975" s="112">
        <f>IF($C975="","",IF($D975="TANIMSIZ MÜŞTERİ","HATA",IF(OR($E975="",$F975&lt;=0,$G975=""),"EKSİK",IF($E975&gt;TODAY(),"İLERİ TARİH","UYGUN"))))</f>
        <v/>
      </c>
      <c r="N975" s="6" t="n"/>
      <c r="O975" s="6" t="n"/>
    </row>
    <row r="976">
      <c r="A976" s="6" t="n"/>
      <c r="B976" s="112">
        <f>IF($C976="","","T"&amp;TEXT(ROW()-6,"00000"))</f>
        <v/>
      </c>
      <c r="C976" s="107" t="n"/>
      <c r="D976" s="113">
        <f>IF($C976="","",IFERROR(INDEX(MUSTERILER!$C$7:$C$106,MATCH($C976,MUSTERILER!$B$7:$B$106,0)),"TANIMSIZ MÜŞTERİ"))</f>
        <v/>
      </c>
      <c r="E976" s="114" t="n"/>
      <c r="F976" s="115" t="n"/>
      <c r="G976" s="107" t="n"/>
      <c r="H976" s="107" t="n"/>
      <c r="I976" s="108" t="n"/>
      <c r="J976" s="108" t="n"/>
      <c r="K976" s="108" t="n"/>
      <c r="L976" s="119">
        <f>IF($E976="","",DATE(YEAR($E976),MONTH($E976),1))</f>
        <v/>
      </c>
      <c r="M976" s="112">
        <f>IF($C976="","",IF($D976="TANIMSIZ MÜŞTERİ","HATA",IF(OR($E976="",$F976&lt;=0,$G976=""),"EKSİK",IF($E976&gt;TODAY(),"İLERİ TARİH","UYGUN"))))</f>
        <v/>
      </c>
      <c r="N976" s="6" t="n"/>
      <c r="O976" s="6" t="n"/>
    </row>
    <row r="977">
      <c r="A977" s="6" t="n"/>
      <c r="B977" s="112">
        <f>IF($C977="","","T"&amp;TEXT(ROW()-6,"00000"))</f>
        <v/>
      </c>
      <c r="C977" s="107" t="n"/>
      <c r="D977" s="113">
        <f>IF($C977="","",IFERROR(INDEX(MUSTERILER!$C$7:$C$106,MATCH($C977,MUSTERILER!$B$7:$B$106,0)),"TANIMSIZ MÜŞTERİ"))</f>
        <v/>
      </c>
      <c r="E977" s="114" t="n"/>
      <c r="F977" s="115" t="n"/>
      <c r="G977" s="107" t="n"/>
      <c r="H977" s="107" t="n"/>
      <c r="I977" s="108" t="n"/>
      <c r="J977" s="108" t="n"/>
      <c r="K977" s="108" t="n"/>
      <c r="L977" s="119">
        <f>IF($E977="","",DATE(YEAR($E977),MONTH($E977),1))</f>
        <v/>
      </c>
      <c r="M977" s="112">
        <f>IF($C977="","",IF($D977="TANIMSIZ MÜŞTERİ","HATA",IF(OR($E977="",$F977&lt;=0,$G977=""),"EKSİK",IF($E977&gt;TODAY(),"İLERİ TARİH","UYGUN"))))</f>
        <v/>
      </c>
      <c r="N977" s="6" t="n"/>
      <c r="O977" s="6" t="n"/>
    </row>
    <row r="978">
      <c r="A978" s="6" t="n"/>
      <c r="B978" s="112">
        <f>IF($C978="","","T"&amp;TEXT(ROW()-6,"00000"))</f>
        <v/>
      </c>
      <c r="C978" s="107" t="n"/>
      <c r="D978" s="113">
        <f>IF($C978="","",IFERROR(INDEX(MUSTERILER!$C$7:$C$106,MATCH($C978,MUSTERILER!$B$7:$B$106,0)),"TANIMSIZ MÜŞTERİ"))</f>
        <v/>
      </c>
      <c r="E978" s="114" t="n"/>
      <c r="F978" s="115" t="n"/>
      <c r="G978" s="107" t="n"/>
      <c r="H978" s="107" t="n"/>
      <c r="I978" s="108" t="n"/>
      <c r="J978" s="108" t="n"/>
      <c r="K978" s="108" t="n"/>
      <c r="L978" s="119">
        <f>IF($E978="","",DATE(YEAR($E978),MONTH($E978),1))</f>
        <v/>
      </c>
      <c r="M978" s="112">
        <f>IF($C978="","",IF($D978="TANIMSIZ MÜŞTERİ","HATA",IF(OR($E978="",$F978&lt;=0,$G978=""),"EKSİK",IF($E978&gt;TODAY(),"İLERİ TARİH","UYGUN"))))</f>
        <v/>
      </c>
      <c r="N978" s="6" t="n"/>
      <c r="O978" s="6" t="n"/>
    </row>
    <row r="979">
      <c r="A979" s="6" t="n"/>
      <c r="B979" s="112">
        <f>IF($C979="","","T"&amp;TEXT(ROW()-6,"00000"))</f>
        <v/>
      </c>
      <c r="C979" s="107" t="n"/>
      <c r="D979" s="113">
        <f>IF($C979="","",IFERROR(INDEX(MUSTERILER!$C$7:$C$106,MATCH($C979,MUSTERILER!$B$7:$B$106,0)),"TANIMSIZ MÜŞTERİ"))</f>
        <v/>
      </c>
      <c r="E979" s="114" t="n"/>
      <c r="F979" s="115" t="n"/>
      <c r="G979" s="107" t="n"/>
      <c r="H979" s="107" t="n"/>
      <c r="I979" s="108" t="n"/>
      <c r="J979" s="108" t="n"/>
      <c r="K979" s="108" t="n"/>
      <c r="L979" s="119">
        <f>IF($E979="","",DATE(YEAR($E979),MONTH($E979),1))</f>
        <v/>
      </c>
      <c r="M979" s="112">
        <f>IF($C979="","",IF($D979="TANIMSIZ MÜŞTERİ","HATA",IF(OR($E979="",$F979&lt;=0,$G979=""),"EKSİK",IF($E979&gt;TODAY(),"İLERİ TARİH","UYGUN"))))</f>
        <v/>
      </c>
      <c r="N979" s="6" t="n"/>
      <c r="O979" s="6" t="n"/>
    </row>
    <row r="980">
      <c r="A980" s="6" t="n"/>
      <c r="B980" s="112">
        <f>IF($C980="","","T"&amp;TEXT(ROW()-6,"00000"))</f>
        <v/>
      </c>
      <c r="C980" s="107" t="n"/>
      <c r="D980" s="113">
        <f>IF($C980="","",IFERROR(INDEX(MUSTERILER!$C$7:$C$106,MATCH($C980,MUSTERILER!$B$7:$B$106,0)),"TANIMSIZ MÜŞTERİ"))</f>
        <v/>
      </c>
      <c r="E980" s="114" t="n"/>
      <c r="F980" s="115" t="n"/>
      <c r="G980" s="107" t="n"/>
      <c r="H980" s="107" t="n"/>
      <c r="I980" s="108" t="n"/>
      <c r="J980" s="108" t="n"/>
      <c r="K980" s="108" t="n"/>
      <c r="L980" s="119">
        <f>IF($E980="","",DATE(YEAR($E980),MONTH($E980),1))</f>
        <v/>
      </c>
      <c r="M980" s="112">
        <f>IF($C980="","",IF($D980="TANIMSIZ MÜŞTERİ","HATA",IF(OR($E980="",$F980&lt;=0,$G980=""),"EKSİK",IF($E980&gt;TODAY(),"İLERİ TARİH","UYGUN"))))</f>
        <v/>
      </c>
      <c r="N980" s="6" t="n"/>
      <c r="O980" s="6" t="n"/>
    </row>
    <row r="981">
      <c r="A981" s="6" t="n"/>
      <c r="B981" s="112">
        <f>IF($C981="","","T"&amp;TEXT(ROW()-6,"00000"))</f>
        <v/>
      </c>
      <c r="C981" s="107" t="n"/>
      <c r="D981" s="113">
        <f>IF($C981="","",IFERROR(INDEX(MUSTERILER!$C$7:$C$106,MATCH($C981,MUSTERILER!$B$7:$B$106,0)),"TANIMSIZ MÜŞTERİ"))</f>
        <v/>
      </c>
      <c r="E981" s="114" t="n"/>
      <c r="F981" s="115" t="n"/>
      <c r="G981" s="107" t="n"/>
      <c r="H981" s="107" t="n"/>
      <c r="I981" s="108" t="n"/>
      <c r="J981" s="108" t="n"/>
      <c r="K981" s="108" t="n"/>
      <c r="L981" s="119">
        <f>IF($E981="","",DATE(YEAR($E981),MONTH($E981),1))</f>
        <v/>
      </c>
      <c r="M981" s="112">
        <f>IF($C981="","",IF($D981="TANIMSIZ MÜŞTERİ","HATA",IF(OR($E981="",$F981&lt;=0,$G981=""),"EKSİK",IF($E981&gt;TODAY(),"İLERİ TARİH","UYGUN"))))</f>
        <v/>
      </c>
      <c r="N981" s="6" t="n"/>
      <c r="O981" s="6" t="n"/>
    </row>
    <row r="982">
      <c r="A982" s="6" t="n"/>
      <c r="B982" s="112">
        <f>IF($C982="","","T"&amp;TEXT(ROW()-6,"00000"))</f>
        <v/>
      </c>
      <c r="C982" s="107" t="n"/>
      <c r="D982" s="113">
        <f>IF($C982="","",IFERROR(INDEX(MUSTERILER!$C$7:$C$106,MATCH($C982,MUSTERILER!$B$7:$B$106,0)),"TANIMSIZ MÜŞTERİ"))</f>
        <v/>
      </c>
      <c r="E982" s="114" t="n"/>
      <c r="F982" s="115" t="n"/>
      <c r="G982" s="107" t="n"/>
      <c r="H982" s="107" t="n"/>
      <c r="I982" s="108" t="n"/>
      <c r="J982" s="108" t="n"/>
      <c r="K982" s="108" t="n"/>
      <c r="L982" s="119">
        <f>IF($E982="","",DATE(YEAR($E982),MONTH($E982),1))</f>
        <v/>
      </c>
      <c r="M982" s="112">
        <f>IF($C982="","",IF($D982="TANIMSIZ MÜŞTERİ","HATA",IF(OR($E982="",$F982&lt;=0,$G982=""),"EKSİK",IF($E982&gt;TODAY(),"İLERİ TARİH","UYGUN"))))</f>
        <v/>
      </c>
      <c r="N982" s="6" t="n"/>
      <c r="O982" s="6" t="n"/>
    </row>
    <row r="983">
      <c r="A983" s="6" t="n"/>
      <c r="B983" s="112">
        <f>IF($C983="","","T"&amp;TEXT(ROW()-6,"00000"))</f>
        <v/>
      </c>
      <c r="C983" s="107" t="n"/>
      <c r="D983" s="113">
        <f>IF($C983="","",IFERROR(INDEX(MUSTERILER!$C$7:$C$106,MATCH($C983,MUSTERILER!$B$7:$B$106,0)),"TANIMSIZ MÜŞTERİ"))</f>
        <v/>
      </c>
      <c r="E983" s="114" t="n"/>
      <c r="F983" s="115" t="n"/>
      <c r="G983" s="107" t="n"/>
      <c r="H983" s="107" t="n"/>
      <c r="I983" s="108" t="n"/>
      <c r="J983" s="108" t="n"/>
      <c r="K983" s="108" t="n"/>
      <c r="L983" s="119">
        <f>IF($E983="","",DATE(YEAR($E983),MONTH($E983),1))</f>
        <v/>
      </c>
      <c r="M983" s="112">
        <f>IF($C983="","",IF($D983="TANIMSIZ MÜŞTERİ","HATA",IF(OR($E983="",$F983&lt;=0,$G983=""),"EKSİK",IF($E983&gt;TODAY(),"İLERİ TARİH","UYGUN"))))</f>
        <v/>
      </c>
      <c r="N983" s="6" t="n"/>
      <c r="O983" s="6" t="n"/>
    </row>
    <row r="984">
      <c r="A984" s="6" t="n"/>
      <c r="B984" s="112">
        <f>IF($C984="","","T"&amp;TEXT(ROW()-6,"00000"))</f>
        <v/>
      </c>
      <c r="C984" s="107" t="n"/>
      <c r="D984" s="113">
        <f>IF($C984="","",IFERROR(INDEX(MUSTERILER!$C$7:$C$106,MATCH($C984,MUSTERILER!$B$7:$B$106,0)),"TANIMSIZ MÜŞTERİ"))</f>
        <v/>
      </c>
      <c r="E984" s="114" t="n"/>
      <c r="F984" s="115" t="n"/>
      <c r="G984" s="107" t="n"/>
      <c r="H984" s="107" t="n"/>
      <c r="I984" s="108" t="n"/>
      <c r="J984" s="108" t="n"/>
      <c r="K984" s="108" t="n"/>
      <c r="L984" s="119">
        <f>IF($E984="","",DATE(YEAR($E984),MONTH($E984),1))</f>
        <v/>
      </c>
      <c r="M984" s="112">
        <f>IF($C984="","",IF($D984="TANIMSIZ MÜŞTERİ","HATA",IF(OR($E984="",$F984&lt;=0,$G984=""),"EKSİK",IF($E984&gt;TODAY(),"İLERİ TARİH","UYGUN"))))</f>
        <v/>
      </c>
      <c r="N984" s="6" t="n"/>
      <c r="O984" s="6" t="n"/>
    </row>
    <row r="985">
      <c r="A985" s="6" t="n"/>
      <c r="B985" s="112">
        <f>IF($C985="","","T"&amp;TEXT(ROW()-6,"00000"))</f>
        <v/>
      </c>
      <c r="C985" s="107" t="n"/>
      <c r="D985" s="113">
        <f>IF($C985="","",IFERROR(INDEX(MUSTERILER!$C$7:$C$106,MATCH($C985,MUSTERILER!$B$7:$B$106,0)),"TANIMSIZ MÜŞTERİ"))</f>
        <v/>
      </c>
      <c r="E985" s="114" t="n"/>
      <c r="F985" s="115" t="n"/>
      <c r="G985" s="107" t="n"/>
      <c r="H985" s="107" t="n"/>
      <c r="I985" s="108" t="n"/>
      <c r="J985" s="108" t="n"/>
      <c r="K985" s="108" t="n"/>
      <c r="L985" s="119">
        <f>IF($E985="","",DATE(YEAR($E985),MONTH($E985),1))</f>
        <v/>
      </c>
      <c r="M985" s="112">
        <f>IF($C985="","",IF($D985="TANIMSIZ MÜŞTERİ","HATA",IF(OR($E985="",$F985&lt;=0,$G985=""),"EKSİK",IF($E985&gt;TODAY(),"İLERİ TARİH","UYGUN"))))</f>
        <v/>
      </c>
      <c r="N985" s="6" t="n"/>
      <c r="O985" s="6" t="n"/>
    </row>
    <row r="986">
      <c r="A986" s="6" t="n"/>
      <c r="B986" s="112">
        <f>IF($C986="","","T"&amp;TEXT(ROW()-6,"00000"))</f>
        <v/>
      </c>
      <c r="C986" s="107" t="n"/>
      <c r="D986" s="113">
        <f>IF($C986="","",IFERROR(INDEX(MUSTERILER!$C$7:$C$106,MATCH($C986,MUSTERILER!$B$7:$B$106,0)),"TANIMSIZ MÜŞTERİ"))</f>
        <v/>
      </c>
      <c r="E986" s="114" t="n"/>
      <c r="F986" s="115" t="n"/>
      <c r="G986" s="107" t="n"/>
      <c r="H986" s="107" t="n"/>
      <c r="I986" s="108" t="n"/>
      <c r="J986" s="108" t="n"/>
      <c r="K986" s="108" t="n"/>
      <c r="L986" s="119">
        <f>IF($E986="","",DATE(YEAR($E986),MONTH($E986),1))</f>
        <v/>
      </c>
      <c r="M986" s="112">
        <f>IF($C986="","",IF($D986="TANIMSIZ MÜŞTERİ","HATA",IF(OR($E986="",$F986&lt;=0,$G986=""),"EKSİK",IF($E986&gt;TODAY(),"İLERİ TARİH","UYGUN"))))</f>
        <v/>
      </c>
      <c r="N986" s="6" t="n"/>
      <c r="O986" s="6" t="n"/>
    </row>
    <row r="987">
      <c r="A987" s="6" t="n"/>
      <c r="B987" s="112">
        <f>IF($C987="","","T"&amp;TEXT(ROW()-6,"00000"))</f>
        <v/>
      </c>
      <c r="C987" s="107" t="n"/>
      <c r="D987" s="113">
        <f>IF($C987="","",IFERROR(INDEX(MUSTERILER!$C$7:$C$106,MATCH($C987,MUSTERILER!$B$7:$B$106,0)),"TANIMSIZ MÜŞTERİ"))</f>
        <v/>
      </c>
      <c r="E987" s="114" t="n"/>
      <c r="F987" s="115" t="n"/>
      <c r="G987" s="107" t="n"/>
      <c r="H987" s="107" t="n"/>
      <c r="I987" s="108" t="n"/>
      <c r="J987" s="108" t="n"/>
      <c r="K987" s="108" t="n"/>
      <c r="L987" s="119">
        <f>IF($E987="","",DATE(YEAR($E987),MONTH($E987),1))</f>
        <v/>
      </c>
      <c r="M987" s="112">
        <f>IF($C987="","",IF($D987="TANIMSIZ MÜŞTERİ","HATA",IF(OR($E987="",$F987&lt;=0,$G987=""),"EKSİK",IF($E987&gt;TODAY(),"İLERİ TARİH","UYGUN"))))</f>
        <v/>
      </c>
      <c r="N987" s="6" t="n"/>
      <c r="O987" s="6" t="n"/>
    </row>
    <row r="988">
      <c r="A988" s="6" t="n"/>
      <c r="B988" s="112">
        <f>IF($C988="","","T"&amp;TEXT(ROW()-6,"00000"))</f>
        <v/>
      </c>
      <c r="C988" s="107" t="n"/>
      <c r="D988" s="113">
        <f>IF($C988="","",IFERROR(INDEX(MUSTERILER!$C$7:$C$106,MATCH($C988,MUSTERILER!$B$7:$B$106,0)),"TANIMSIZ MÜŞTERİ"))</f>
        <v/>
      </c>
      <c r="E988" s="114" t="n"/>
      <c r="F988" s="115" t="n"/>
      <c r="G988" s="107" t="n"/>
      <c r="H988" s="107" t="n"/>
      <c r="I988" s="108" t="n"/>
      <c r="J988" s="108" t="n"/>
      <c r="K988" s="108" t="n"/>
      <c r="L988" s="119">
        <f>IF($E988="","",DATE(YEAR($E988),MONTH($E988),1))</f>
        <v/>
      </c>
      <c r="M988" s="112">
        <f>IF($C988="","",IF($D988="TANIMSIZ MÜŞTERİ","HATA",IF(OR($E988="",$F988&lt;=0,$G988=""),"EKSİK",IF($E988&gt;TODAY(),"İLERİ TARİH","UYGUN"))))</f>
        <v/>
      </c>
      <c r="N988" s="6" t="n"/>
      <c r="O988" s="6" t="n"/>
    </row>
    <row r="989">
      <c r="A989" s="6" t="n"/>
      <c r="B989" s="112">
        <f>IF($C989="","","T"&amp;TEXT(ROW()-6,"00000"))</f>
        <v/>
      </c>
      <c r="C989" s="107" t="n"/>
      <c r="D989" s="113">
        <f>IF($C989="","",IFERROR(INDEX(MUSTERILER!$C$7:$C$106,MATCH($C989,MUSTERILER!$B$7:$B$106,0)),"TANIMSIZ MÜŞTERİ"))</f>
        <v/>
      </c>
      <c r="E989" s="114" t="n"/>
      <c r="F989" s="115" t="n"/>
      <c r="G989" s="107" t="n"/>
      <c r="H989" s="107" t="n"/>
      <c r="I989" s="108" t="n"/>
      <c r="J989" s="108" t="n"/>
      <c r="K989" s="108" t="n"/>
      <c r="L989" s="119">
        <f>IF($E989="","",DATE(YEAR($E989),MONTH($E989),1))</f>
        <v/>
      </c>
      <c r="M989" s="112">
        <f>IF($C989="","",IF($D989="TANIMSIZ MÜŞTERİ","HATA",IF(OR($E989="",$F989&lt;=0,$G989=""),"EKSİK",IF($E989&gt;TODAY(),"İLERİ TARİH","UYGUN"))))</f>
        <v/>
      </c>
      <c r="N989" s="6" t="n"/>
      <c r="O989" s="6" t="n"/>
    </row>
    <row r="990">
      <c r="A990" s="6" t="n"/>
      <c r="B990" s="112">
        <f>IF($C990="","","T"&amp;TEXT(ROW()-6,"00000"))</f>
        <v/>
      </c>
      <c r="C990" s="107" t="n"/>
      <c r="D990" s="113">
        <f>IF($C990="","",IFERROR(INDEX(MUSTERILER!$C$7:$C$106,MATCH($C990,MUSTERILER!$B$7:$B$106,0)),"TANIMSIZ MÜŞTERİ"))</f>
        <v/>
      </c>
      <c r="E990" s="114" t="n"/>
      <c r="F990" s="115" t="n"/>
      <c r="G990" s="107" t="n"/>
      <c r="H990" s="107" t="n"/>
      <c r="I990" s="108" t="n"/>
      <c r="J990" s="108" t="n"/>
      <c r="K990" s="108" t="n"/>
      <c r="L990" s="119">
        <f>IF($E990="","",DATE(YEAR($E990),MONTH($E990),1))</f>
        <v/>
      </c>
      <c r="M990" s="112">
        <f>IF($C990="","",IF($D990="TANIMSIZ MÜŞTERİ","HATA",IF(OR($E990="",$F990&lt;=0,$G990=""),"EKSİK",IF($E990&gt;TODAY(),"İLERİ TARİH","UYGUN"))))</f>
        <v/>
      </c>
      <c r="N990" s="6" t="n"/>
      <c r="O990" s="6" t="n"/>
    </row>
    <row r="991">
      <c r="A991" s="6" t="n"/>
      <c r="B991" s="112">
        <f>IF($C991="","","T"&amp;TEXT(ROW()-6,"00000"))</f>
        <v/>
      </c>
      <c r="C991" s="107" t="n"/>
      <c r="D991" s="113">
        <f>IF($C991="","",IFERROR(INDEX(MUSTERILER!$C$7:$C$106,MATCH($C991,MUSTERILER!$B$7:$B$106,0)),"TANIMSIZ MÜŞTERİ"))</f>
        <v/>
      </c>
      <c r="E991" s="114" t="n"/>
      <c r="F991" s="115" t="n"/>
      <c r="G991" s="107" t="n"/>
      <c r="H991" s="107" t="n"/>
      <c r="I991" s="108" t="n"/>
      <c r="J991" s="108" t="n"/>
      <c r="K991" s="108" t="n"/>
      <c r="L991" s="119">
        <f>IF($E991="","",DATE(YEAR($E991),MONTH($E991),1))</f>
        <v/>
      </c>
      <c r="M991" s="112">
        <f>IF($C991="","",IF($D991="TANIMSIZ MÜŞTERİ","HATA",IF(OR($E991="",$F991&lt;=0,$G991=""),"EKSİK",IF($E991&gt;TODAY(),"İLERİ TARİH","UYGUN"))))</f>
        <v/>
      </c>
      <c r="N991" s="6" t="n"/>
      <c r="O991" s="6" t="n"/>
    </row>
    <row r="992">
      <c r="A992" s="6" t="n"/>
      <c r="B992" s="112">
        <f>IF($C992="","","T"&amp;TEXT(ROW()-6,"00000"))</f>
        <v/>
      </c>
      <c r="C992" s="107" t="n"/>
      <c r="D992" s="113">
        <f>IF($C992="","",IFERROR(INDEX(MUSTERILER!$C$7:$C$106,MATCH($C992,MUSTERILER!$B$7:$B$106,0)),"TANIMSIZ MÜŞTERİ"))</f>
        <v/>
      </c>
      <c r="E992" s="114" t="n"/>
      <c r="F992" s="115" t="n"/>
      <c r="G992" s="107" t="n"/>
      <c r="H992" s="107" t="n"/>
      <c r="I992" s="108" t="n"/>
      <c r="J992" s="108" t="n"/>
      <c r="K992" s="108" t="n"/>
      <c r="L992" s="119">
        <f>IF($E992="","",DATE(YEAR($E992),MONTH($E992),1))</f>
        <v/>
      </c>
      <c r="M992" s="112">
        <f>IF($C992="","",IF($D992="TANIMSIZ MÜŞTERİ","HATA",IF(OR($E992="",$F992&lt;=0,$G992=""),"EKSİK",IF($E992&gt;TODAY(),"İLERİ TARİH","UYGUN"))))</f>
        <v/>
      </c>
      <c r="N992" s="6" t="n"/>
      <c r="O992" s="6" t="n"/>
    </row>
    <row r="993">
      <c r="A993" s="6" t="n"/>
      <c r="B993" s="112">
        <f>IF($C993="","","T"&amp;TEXT(ROW()-6,"00000"))</f>
        <v/>
      </c>
      <c r="C993" s="107" t="n"/>
      <c r="D993" s="113">
        <f>IF($C993="","",IFERROR(INDEX(MUSTERILER!$C$7:$C$106,MATCH($C993,MUSTERILER!$B$7:$B$106,0)),"TANIMSIZ MÜŞTERİ"))</f>
        <v/>
      </c>
      <c r="E993" s="114" t="n"/>
      <c r="F993" s="115" t="n"/>
      <c r="G993" s="107" t="n"/>
      <c r="H993" s="107" t="n"/>
      <c r="I993" s="108" t="n"/>
      <c r="J993" s="108" t="n"/>
      <c r="K993" s="108" t="n"/>
      <c r="L993" s="119">
        <f>IF($E993="","",DATE(YEAR($E993),MONTH($E993),1))</f>
        <v/>
      </c>
      <c r="M993" s="112">
        <f>IF($C993="","",IF($D993="TANIMSIZ MÜŞTERİ","HATA",IF(OR($E993="",$F993&lt;=0,$G993=""),"EKSİK",IF($E993&gt;TODAY(),"İLERİ TARİH","UYGUN"))))</f>
        <v/>
      </c>
      <c r="N993" s="6" t="n"/>
      <c r="O993" s="6" t="n"/>
    </row>
    <row r="994">
      <c r="A994" s="6" t="n"/>
      <c r="B994" s="112">
        <f>IF($C994="","","T"&amp;TEXT(ROW()-6,"00000"))</f>
        <v/>
      </c>
      <c r="C994" s="107" t="n"/>
      <c r="D994" s="113">
        <f>IF($C994="","",IFERROR(INDEX(MUSTERILER!$C$7:$C$106,MATCH($C994,MUSTERILER!$B$7:$B$106,0)),"TANIMSIZ MÜŞTERİ"))</f>
        <v/>
      </c>
      <c r="E994" s="114" t="n"/>
      <c r="F994" s="115" t="n"/>
      <c r="G994" s="107" t="n"/>
      <c r="H994" s="107" t="n"/>
      <c r="I994" s="108" t="n"/>
      <c r="J994" s="108" t="n"/>
      <c r="K994" s="108" t="n"/>
      <c r="L994" s="119">
        <f>IF($E994="","",DATE(YEAR($E994),MONTH($E994),1))</f>
        <v/>
      </c>
      <c r="M994" s="112">
        <f>IF($C994="","",IF($D994="TANIMSIZ MÜŞTERİ","HATA",IF(OR($E994="",$F994&lt;=0,$G994=""),"EKSİK",IF($E994&gt;TODAY(),"İLERİ TARİH","UYGUN"))))</f>
        <v/>
      </c>
      <c r="N994" s="6" t="n"/>
      <c r="O994" s="6" t="n"/>
    </row>
    <row r="995">
      <c r="A995" s="6" t="n"/>
      <c r="B995" s="112">
        <f>IF($C995="","","T"&amp;TEXT(ROW()-6,"00000"))</f>
        <v/>
      </c>
      <c r="C995" s="107" t="n"/>
      <c r="D995" s="113">
        <f>IF($C995="","",IFERROR(INDEX(MUSTERILER!$C$7:$C$106,MATCH($C995,MUSTERILER!$B$7:$B$106,0)),"TANIMSIZ MÜŞTERİ"))</f>
        <v/>
      </c>
      <c r="E995" s="114" t="n"/>
      <c r="F995" s="115" t="n"/>
      <c r="G995" s="107" t="n"/>
      <c r="H995" s="107" t="n"/>
      <c r="I995" s="108" t="n"/>
      <c r="J995" s="108" t="n"/>
      <c r="K995" s="108" t="n"/>
      <c r="L995" s="119">
        <f>IF($E995="","",DATE(YEAR($E995),MONTH($E995),1))</f>
        <v/>
      </c>
      <c r="M995" s="112">
        <f>IF($C995="","",IF($D995="TANIMSIZ MÜŞTERİ","HATA",IF(OR($E995="",$F995&lt;=0,$G995=""),"EKSİK",IF($E995&gt;TODAY(),"İLERİ TARİH","UYGUN"))))</f>
        <v/>
      </c>
      <c r="N995" s="6" t="n"/>
      <c r="O995" s="6" t="n"/>
    </row>
    <row r="996">
      <c r="A996" s="6" t="n"/>
      <c r="B996" s="112">
        <f>IF($C996="","","T"&amp;TEXT(ROW()-6,"00000"))</f>
        <v/>
      </c>
      <c r="C996" s="107" t="n"/>
      <c r="D996" s="113">
        <f>IF($C996="","",IFERROR(INDEX(MUSTERILER!$C$7:$C$106,MATCH($C996,MUSTERILER!$B$7:$B$106,0)),"TANIMSIZ MÜŞTERİ"))</f>
        <v/>
      </c>
      <c r="E996" s="114" t="n"/>
      <c r="F996" s="115" t="n"/>
      <c r="G996" s="107" t="n"/>
      <c r="H996" s="107" t="n"/>
      <c r="I996" s="108" t="n"/>
      <c r="J996" s="108" t="n"/>
      <c r="K996" s="108" t="n"/>
      <c r="L996" s="119">
        <f>IF($E996="","",DATE(YEAR($E996),MONTH($E996),1))</f>
        <v/>
      </c>
      <c r="M996" s="112">
        <f>IF($C996="","",IF($D996="TANIMSIZ MÜŞTERİ","HATA",IF(OR($E996="",$F996&lt;=0,$G996=""),"EKSİK",IF($E996&gt;TODAY(),"İLERİ TARİH","UYGUN"))))</f>
        <v/>
      </c>
      <c r="N996" s="6" t="n"/>
      <c r="O996" s="6" t="n"/>
    </row>
    <row r="997">
      <c r="A997" s="6" t="n"/>
      <c r="B997" s="112">
        <f>IF($C997="","","T"&amp;TEXT(ROW()-6,"00000"))</f>
        <v/>
      </c>
      <c r="C997" s="107" t="n"/>
      <c r="D997" s="113">
        <f>IF($C997="","",IFERROR(INDEX(MUSTERILER!$C$7:$C$106,MATCH($C997,MUSTERILER!$B$7:$B$106,0)),"TANIMSIZ MÜŞTERİ"))</f>
        <v/>
      </c>
      <c r="E997" s="114" t="n"/>
      <c r="F997" s="115" t="n"/>
      <c r="G997" s="107" t="n"/>
      <c r="H997" s="107" t="n"/>
      <c r="I997" s="108" t="n"/>
      <c r="J997" s="108" t="n"/>
      <c r="K997" s="108" t="n"/>
      <c r="L997" s="119">
        <f>IF($E997="","",DATE(YEAR($E997),MONTH($E997),1))</f>
        <v/>
      </c>
      <c r="M997" s="112">
        <f>IF($C997="","",IF($D997="TANIMSIZ MÜŞTERİ","HATA",IF(OR($E997="",$F997&lt;=0,$G997=""),"EKSİK",IF($E997&gt;TODAY(),"İLERİ TARİH","UYGUN"))))</f>
        <v/>
      </c>
      <c r="N997" s="6" t="n"/>
      <c r="O997" s="6" t="n"/>
    </row>
    <row r="998">
      <c r="A998" s="6" t="n"/>
      <c r="B998" s="112">
        <f>IF($C998="","","T"&amp;TEXT(ROW()-6,"00000"))</f>
        <v/>
      </c>
      <c r="C998" s="107" t="n"/>
      <c r="D998" s="113">
        <f>IF($C998="","",IFERROR(INDEX(MUSTERILER!$C$7:$C$106,MATCH($C998,MUSTERILER!$B$7:$B$106,0)),"TANIMSIZ MÜŞTERİ"))</f>
        <v/>
      </c>
      <c r="E998" s="114" t="n"/>
      <c r="F998" s="115" t="n"/>
      <c r="G998" s="107" t="n"/>
      <c r="H998" s="107" t="n"/>
      <c r="I998" s="108" t="n"/>
      <c r="J998" s="108" t="n"/>
      <c r="K998" s="108" t="n"/>
      <c r="L998" s="119">
        <f>IF($E998="","",DATE(YEAR($E998),MONTH($E998),1))</f>
        <v/>
      </c>
      <c r="M998" s="112">
        <f>IF($C998="","",IF($D998="TANIMSIZ MÜŞTERİ","HATA",IF(OR($E998="",$F998&lt;=0,$G998=""),"EKSİK",IF($E998&gt;TODAY(),"İLERİ TARİH","UYGUN"))))</f>
        <v/>
      </c>
      <c r="N998" s="6" t="n"/>
      <c r="O998" s="6" t="n"/>
    </row>
    <row r="999">
      <c r="A999" s="6" t="n"/>
      <c r="B999" s="112">
        <f>IF($C999="","","T"&amp;TEXT(ROW()-6,"00000"))</f>
        <v/>
      </c>
      <c r="C999" s="107" t="n"/>
      <c r="D999" s="113">
        <f>IF($C999="","",IFERROR(INDEX(MUSTERILER!$C$7:$C$106,MATCH($C999,MUSTERILER!$B$7:$B$106,0)),"TANIMSIZ MÜŞTERİ"))</f>
        <v/>
      </c>
      <c r="E999" s="114" t="n"/>
      <c r="F999" s="115" t="n"/>
      <c r="G999" s="107" t="n"/>
      <c r="H999" s="107" t="n"/>
      <c r="I999" s="108" t="n"/>
      <c r="J999" s="108" t="n"/>
      <c r="K999" s="108" t="n"/>
      <c r="L999" s="119">
        <f>IF($E999="","",DATE(YEAR($E999),MONTH($E999),1))</f>
        <v/>
      </c>
      <c r="M999" s="112">
        <f>IF($C999="","",IF($D999="TANIMSIZ MÜŞTERİ","HATA",IF(OR($E999="",$F999&lt;=0,$G999=""),"EKSİK",IF($E999&gt;TODAY(),"İLERİ TARİH","UYGUN"))))</f>
        <v/>
      </c>
      <c r="N999" s="6" t="n"/>
      <c r="O999" s="6" t="n"/>
    </row>
    <row r="1000">
      <c r="A1000" s="6" t="n"/>
      <c r="B1000" s="112">
        <f>IF($C1000="","","T"&amp;TEXT(ROW()-6,"00000"))</f>
        <v/>
      </c>
      <c r="C1000" s="107" t="n"/>
      <c r="D1000" s="113">
        <f>IF($C1000="","",IFERROR(INDEX(MUSTERILER!$C$7:$C$106,MATCH($C1000,MUSTERILER!$B$7:$B$106,0)),"TANIMSIZ MÜŞTERİ"))</f>
        <v/>
      </c>
      <c r="E1000" s="114" t="n"/>
      <c r="F1000" s="115" t="n"/>
      <c r="G1000" s="107" t="n"/>
      <c r="H1000" s="107" t="n"/>
      <c r="I1000" s="108" t="n"/>
      <c r="J1000" s="108" t="n"/>
      <c r="K1000" s="108" t="n"/>
      <c r="L1000" s="119">
        <f>IF($E1000="","",DATE(YEAR($E1000),MONTH($E1000),1))</f>
        <v/>
      </c>
      <c r="M1000" s="112">
        <f>IF($C1000="","",IF($D1000="TANIMSIZ MÜŞTERİ","HATA",IF(OR($E1000="",$F1000&lt;=0,$G1000=""),"EKSİK",IF($E1000&gt;TODAY(),"İLERİ TARİH","UYGUN"))))</f>
        <v/>
      </c>
      <c r="N1000" s="6" t="n"/>
      <c r="O1000" s="6" t="n"/>
    </row>
    <row r="1001">
      <c r="A1001" s="6" t="n"/>
      <c r="B1001" s="112">
        <f>IF($C1001="","","T"&amp;TEXT(ROW()-6,"00000"))</f>
        <v/>
      </c>
      <c r="C1001" s="107" t="n"/>
      <c r="D1001" s="113">
        <f>IF($C1001="","",IFERROR(INDEX(MUSTERILER!$C$7:$C$106,MATCH($C1001,MUSTERILER!$B$7:$B$106,0)),"TANIMSIZ MÜŞTERİ"))</f>
        <v/>
      </c>
      <c r="E1001" s="114" t="n"/>
      <c r="F1001" s="115" t="n"/>
      <c r="G1001" s="107" t="n"/>
      <c r="H1001" s="107" t="n"/>
      <c r="I1001" s="108" t="n"/>
      <c r="J1001" s="108" t="n"/>
      <c r="K1001" s="108" t="n"/>
      <c r="L1001" s="119">
        <f>IF($E1001="","",DATE(YEAR($E1001),MONTH($E1001),1))</f>
        <v/>
      </c>
      <c r="M1001" s="112">
        <f>IF($C1001="","",IF($D1001="TANIMSIZ MÜŞTERİ","HATA",IF(OR($E1001="",$F1001&lt;=0,$G1001=""),"EKSİK",IF($E1001&gt;TODAY(),"İLERİ TARİH","UYGUN"))))</f>
        <v/>
      </c>
      <c r="N1001" s="6" t="n"/>
      <c r="O1001" s="6" t="n"/>
    </row>
    <row r="1002">
      <c r="A1002" s="6" t="n"/>
      <c r="B1002" s="112">
        <f>IF($C1002="","","T"&amp;TEXT(ROW()-6,"00000"))</f>
        <v/>
      </c>
      <c r="C1002" s="107" t="n"/>
      <c r="D1002" s="113">
        <f>IF($C1002="","",IFERROR(INDEX(MUSTERILER!$C$7:$C$106,MATCH($C1002,MUSTERILER!$B$7:$B$106,0)),"TANIMSIZ MÜŞTERİ"))</f>
        <v/>
      </c>
      <c r="E1002" s="114" t="n"/>
      <c r="F1002" s="115" t="n"/>
      <c r="G1002" s="107" t="n"/>
      <c r="H1002" s="107" t="n"/>
      <c r="I1002" s="108" t="n"/>
      <c r="J1002" s="108" t="n"/>
      <c r="K1002" s="108" t="n"/>
      <c r="L1002" s="119">
        <f>IF($E1002="","",DATE(YEAR($E1002),MONTH($E1002),1))</f>
        <v/>
      </c>
      <c r="M1002" s="112">
        <f>IF($C1002="","",IF($D1002="TANIMSIZ MÜŞTERİ","HATA",IF(OR($E1002="",$F1002&lt;=0,$G1002=""),"EKSİK",IF($E1002&gt;TODAY(),"İLERİ TARİH","UYGUN"))))</f>
        <v/>
      </c>
      <c r="N1002" s="6" t="n"/>
      <c r="O1002" s="6" t="n"/>
    </row>
    <row r="1003">
      <c r="A1003" s="6" t="n"/>
      <c r="B1003" s="112">
        <f>IF($C1003="","","T"&amp;TEXT(ROW()-6,"00000"))</f>
        <v/>
      </c>
      <c r="C1003" s="107" t="n"/>
      <c r="D1003" s="113">
        <f>IF($C1003="","",IFERROR(INDEX(MUSTERILER!$C$7:$C$106,MATCH($C1003,MUSTERILER!$B$7:$B$106,0)),"TANIMSIZ MÜŞTERİ"))</f>
        <v/>
      </c>
      <c r="E1003" s="114" t="n"/>
      <c r="F1003" s="115" t="n"/>
      <c r="G1003" s="107" t="n"/>
      <c r="H1003" s="107" t="n"/>
      <c r="I1003" s="108" t="n"/>
      <c r="J1003" s="108" t="n"/>
      <c r="K1003" s="108" t="n"/>
      <c r="L1003" s="119">
        <f>IF($E1003="","",DATE(YEAR($E1003),MONTH($E1003),1))</f>
        <v/>
      </c>
      <c r="M1003" s="112">
        <f>IF($C1003="","",IF($D1003="TANIMSIZ MÜŞTERİ","HATA",IF(OR($E1003="",$F1003&lt;=0,$G1003=""),"EKSİK",IF($E1003&gt;TODAY(),"İLERİ TARİH","UYGUN"))))</f>
        <v/>
      </c>
      <c r="N1003" s="6" t="n"/>
      <c r="O1003" s="6" t="n"/>
    </row>
    <row r="1004">
      <c r="A1004" s="6" t="n"/>
      <c r="B1004" s="112">
        <f>IF($C1004="","","T"&amp;TEXT(ROW()-6,"00000"))</f>
        <v/>
      </c>
      <c r="C1004" s="107" t="n"/>
      <c r="D1004" s="113">
        <f>IF($C1004="","",IFERROR(INDEX(MUSTERILER!$C$7:$C$106,MATCH($C1004,MUSTERILER!$B$7:$B$106,0)),"TANIMSIZ MÜŞTERİ"))</f>
        <v/>
      </c>
      <c r="E1004" s="114" t="n"/>
      <c r="F1004" s="115" t="n"/>
      <c r="G1004" s="107" t="n"/>
      <c r="H1004" s="107" t="n"/>
      <c r="I1004" s="108" t="n"/>
      <c r="J1004" s="108" t="n"/>
      <c r="K1004" s="108" t="n"/>
      <c r="L1004" s="119">
        <f>IF($E1004="","",DATE(YEAR($E1004),MONTH($E1004),1))</f>
        <v/>
      </c>
      <c r="M1004" s="112">
        <f>IF($C1004="","",IF($D1004="TANIMSIZ MÜŞTERİ","HATA",IF(OR($E1004="",$F1004&lt;=0,$G1004=""),"EKSİK",IF($E1004&gt;TODAY(),"İLERİ TARİH","UYGUN"))))</f>
        <v/>
      </c>
      <c r="N1004" s="6" t="n"/>
      <c r="O1004" s="6" t="n"/>
    </row>
    <row r="1005">
      <c r="A1005" s="6" t="n"/>
      <c r="B1005" s="112">
        <f>IF($C1005="","","T"&amp;TEXT(ROW()-6,"00000"))</f>
        <v/>
      </c>
      <c r="C1005" s="107" t="n"/>
      <c r="D1005" s="113">
        <f>IF($C1005="","",IFERROR(INDEX(MUSTERILER!$C$7:$C$106,MATCH($C1005,MUSTERILER!$B$7:$B$106,0)),"TANIMSIZ MÜŞTERİ"))</f>
        <v/>
      </c>
      <c r="E1005" s="114" t="n"/>
      <c r="F1005" s="115" t="n"/>
      <c r="G1005" s="107" t="n"/>
      <c r="H1005" s="107" t="n"/>
      <c r="I1005" s="108" t="n"/>
      <c r="J1005" s="108" t="n"/>
      <c r="K1005" s="108" t="n"/>
      <c r="L1005" s="119">
        <f>IF($E1005="","",DATE(YEAR($E1005),MONTH($E1005),1))</f>
        <v/>
      </c>
      <c r="M1005" s="112">
        <f>IF($C1005="","",IF($D1005="TANIMSIZ MÜŞTERİ","HATA",IF(OR($E1005="",$F1005&lt;=0,$G1005=""),"EKSİK",IF($E1005&gt;TODAY(),"İLERİ TARİH","UYGUN"))))</f>
        <v/>
      </c>
      <c r="N1005" s="6" t="n"/>
      <c r="O1005" s="6" t="n"/>
    </row>
    <row r="1006">
      <c r="A1006" s="6" t="n"/>
      <c r="B1006" s="112">
        <f>IF($C1006="","","T"&amp;TEXT(ROW()-6,"00000"))</f>
        <v/>
      </c>
      <c r="C1006" s="107" t="n"/>
      <c r="D1006" s="113">
        <f>IF($C1006="","",IFERROR(INDEX(MUSTERILER!$C$7:$C$106,MATCH($C1006,MUSTERILER!$B$7:$B$106,0)),"TANIMSIZ MÜŞTERİ"))</f>
        <v/>
      </c>
      <c r="E1006" s="114" t="n"/>
      <c r="F1006" s="115" t="n"/>
      <c r="G1006" s="107" t="n"/>
      <c r="H1006" s="107" t="n"/>
      <c r="I1006" s="108" t="n"/>
      <c r="J1006" s="108" t="n"/>
      <c r="K1006" s="108" t="n"/>
      <c r="L1006" s="119">
        <f>IF($E1006="","",DATE(YEAR($E1006),MONTH($E1006),1))</f>
        <v/>
      </c>
      <c r="M1006" s="112">
        <f>IF($C1006="","",IF($D1006="TANIMSIZ MÜŞTERİ","HATA",IF(OR($E1006="",$F1006&lt;=0,$G1006=""),"EKSİK",IF($E1006&gt;TODAY(),"İLERİ TARİH","UYGUN"))))</f>
        <v/>
      </c>
      <c r="N1006" s="6" t="n"/>
      <c r="O1006" s="6" t="n"/>
    </row>
    <row r="1007">
      <c r="A1007" s="6" t="n"/>
      <c r="B1007" s="112">
        <f>IF($C1007="","","T"&amp;TEXT(ROW()-6,"00000"))</f>
        <v/>
      </c>
      <c r="C1007" s="107" t="n"/>
      <c r="D1007" s="113">
        <f>IF($C1007="","",IFERROR(INDEX(MUSTERILER!$C$7:$C$106,MATCH($C1007,MUSTERILER!$B$7:$B$106,0)),"TANIMSIZ MÜŞTERİ"))</f>
        <v/>
      </c>
      <c r="E1007" s="114" t="n"/>
      <c r="F1007" s="115" t="n"/>
      <c r="G1007" s="107" t="n"/>
      <c r="H1007" s="107" t="n"/>
      <c r="I1007" s="108" t="n"/>
      <c r="J1007" s="108" t="n"/>
      <c r="K1007" s="108" t="n"/>
      <c r="L1007" s="119">
        <f>IF($E1007="","",DATE(YEAR($E1007),MONTH($E1007),1))</f>
        <v/>
      </c>
      <c r="M1007" s="112">
        <f>IF($C1007="","",IF($D1007="TANIMSIZ MÜŞTERİ","HATA",IF(OR($E1007="",$F1007&lt;=0,$G1007=""),"EKSİK",IF($E1007&gt;TODAY(),"İLERİ TARİH","UYGUN"))))</f>
        <v/>
      </c>
      <c r="N1007" s="6" t="n"/>
      <c r="O1007" s="6" t="n"/>
    </row>
    <row r="1008">
      <c r="A1008" s="6" t="n"/>
      <c r="B1008" s="112">
        <f>IF($C1008="","","T"&amp;TEXT(ROW()-6,"00000"))</f>
        <v/>
      </c>
      <c r="C1008" s="107" t="n"/>
      <c r="D1008" s="113">
        <f>IF($C1008="","",IFERROR(INDEX(MUSTERILER!$C$7:$C$106,MATCH($C1008,MUSTERILER!$B$7:$B$106,0)),"TANIMSIZ MÜŞTERİ"))</f>
        <v/>
      </c>
      <c r="E1008" s="114" t="n"/>
      <c r="F1008" s="115" t="n"/>
      <c r="G1008" s="107" t="n"/>
      <c r="H1008" s="107" t="n"/>
      <c r="I1008" s="108" t="n"/>
      <c r="J1008" s="108" t="n"/>
      <c r="K1008" s="108" t="n"/>
      <c r="L1008" s="119">
        <f>IF($E1008="","",DATE(YEAR($E1008),MONTH($E1008),1))</f>
        <v/>
      </c>
      <c r="M1008" s="112">
        <f>IF($C1008="","",IF($D1008="TANIMSIZ MÜŞTERİ","HATA",IF(OR($E1008="",$F1008&lt;=0,$G1008=""),"EKSİK",IF($E1008&gt;TODAY(),"İLERİ TARİH","UYGUN"))))</f>
        <v/>
      </c>
      <c r="N1008" s="6" t="n"/>
      <c r="O1008" s="6" t="n"/>
    </row>
    <row r="1009">
      <c r="A1009" s="6" t="n"/>
      <c r="B1009" s="112">
        <f>IF($C1009="","","T"&amp;TEXT(ROW()-6,"00000"))</f>
        <v/>
      </c>
      <c r="C1009" s="107" t="n"/>
      <c r="D1009" s="113">
        <f>IF($C1009="","",IFERROR(INDEX(MUSTERILER!$C$7:$C$106,MATCH($C1009,MUSTERILER!$B$7:$B$106,0)),"TANIMSIZ MÜŞTERİ"))</f>
        <v/>
      </c>
      <c r="E1009" s="114" t="n"/>
      <c r="F1009" s="115" t="n"/>
      <c r="G1009" s="107" t="n"/>
      <c r="H1009" s="107" t="n"/>
      <c r="I1009" s="108" t="n"/>
      <c r="J1009" s="108" t="n"/>
      <c r="K1009" s="108" t="n"/>
      <c r="L1009" s="119">
        <f>IF($E1009="","",DATE(YEAR($E1009),MONTH($E1009),1))</f>
        <v/>
      </c>
      <c r="M1009" s="112">
        <f>IF($C1009="","",IF($D1009="TANIMSIZ MÜŞTERİ","HATA",IF(OR($E1009="",$F1009&lt;=0,$G1009=""),"EKSİK",IF($E1009&gt;TODAY(),"İLERİ TARİH","UYGUN"))))</f>
        <v/>
      </c>
      <c r="N1009" s="6" t="n"/>
      <c r="O1009" s="6" t="n"/>
    </row>
    <row r="1010">
      <c r="A1010" s="6" t="n"/>
      <c r="B1010" s="112">
        <f>IF($C1010="","","T"&amp;TEXT(ROW()-6,"00000"))</f>
        <v/>
      </c>
      <c r="C1010" s="107" t="n"/>
      <c r="D1010" s="113">
        <f>IF($C1010="","",IFERROR(INDEX(MUSTERILER!$C$7:$C$106,MATCH($C1010,MUSTERILER!$B$7:$B$106,0)),"TANIMSIZ MÜŞTERİ"))</f>
        <v/>
      </c>
      <c r="E1010" s="114" t="n"/>
      <c r="F1010" s="115" t="n"/>
      <c r="G1010" s="107" t="n"/>
      <c r="H1010" s="107" t="n"/>
      <c r="I1010" s="108" t="n"/>
      <c r="J1010" s="108" t="n"/>
      <c r="K1010" s="108" t="n"/>
      <c r="L1010" s="119">
        <f>IF($E1010="","",DATE(YEAR($E1010),MONTH($E1010),1))</f>
        <v/>
      </c>
      <c r="M1010" s="112">
        <f>IF($C1010="","",IF($D1010="TANIMSIZ MÜŞTERİ","HATA",IF(OR($E1010="",$F1010&lt;=0,$G1010=""),"EKSİK",IF($E1010&gt;TODAY(),"İLERİ TARİH","UYGUN"))))</f>
        <v/>
      </c>
      <c r="N1010" s="6" t="n"/>
      <c r="O1010" s="6" t="n"/>
    </row>
    <row r="1011">
      <c r="A1011" s="6" t="n"/>
      <c r="B1011" s="112">
        <f>IF($C1011="","","T"&amp;TEXT(ROW()-6,"00000"))</f>
        <v/>
      </c>
      <c r="C1011" s="107" t="n"/>
      <c r="D1011" s="113">
        <f>IF($C1011="","",IFERROR(INDEX(MUSTERILER!$C$7:$C$106,MATCH($C1011,MUSTERILER!$B$7:$B$106,0)),"TANIMSIZ MÜŞTERİ"))</f>
        <v/>
      </c>
      <c r="E1011" s="114" t="n"/>
      <c r="F1011" s="115" t="n"/>
      <c r="G1011" s="107" t="n"/>
      <c r="H1011" s="107" t="n"/>
      <c r="I1011" s="108" t="n"/>
      <c r="J1011" s="108" t="n"/>
      <c r="K1011" s="108" t="n"/>
      <c r="L1011" s="119">
        <f>IF($E1011="","",DATE(YEAR($E1011),MONTH($E1011),1))</f>
        <v/>
      </c>
      <c r="M1011" s="112">
        <f>IF($C1011="","",IF($D1011="TANIMSIZ MÜŞTERİ","HATA",IF(OR($E1011="",$F1011&lt;=0,$G1011=""),"EKSİK",IF($E1011&gt;TODAY(),"İLERİ TARİH","UYGUN"))))</f>
        <v/>
      </c>
      <c r="N1011" s="6" t="n"/>
      <c r="O1011" s="6" t="n"/>
    </row>
    <row r="1012">
      <c r="A1012" s="6" t="n"/>
      <c r="B1012" s="112">
        <f>IF($C1012="","","T"&amp;TEXT(ROW()-6,"00000"))</f>
        <v/>
      </c>
      <c r="C1012" s="107" t="n"/>
      <c r="D1012" s="113">
        <f>IF($C1012="","",IFERROR(INDEX(MUSTERILER!$C$7:$C$106,MATCH($C1012,MUSTERILER!$B$7:$B$106,0)),"TANIMSIZ MÜŞTERİ"))</f>
        <v/>
      </c>
      <c r="E1012" s="114" t="n"/>
      <c r="F1012" s="115" t="n"/>
      <c r="G1012" s="107" t="n"/>
      <c r="H1012" s="107" t="n"/>
      <c r="I1012" s="108" t="n"/>
      <c r="J1012" s="108" t="n"/>
      <c r="K1012" s="108" t="n"/>
      <c r="L1012" s="119">
        <f>IF($E1012="","",DATE(YEAR($E1012),MONTH($E1012),1))</f>
        <v/>
      </c>
      <c r="M1012" s="112">
        <f>IF($C1012="","",IF($D1012="TANIMSIZ MÜŞTERİ","HATA",IF(OR($E1012="",$F1012&lt;=0,$G1012=""),"EKSİK",IF($E1012&gt;TODAY(),"İLERİ TARİH","UYGUN"))))</f>
        <v/>
      </c>
      <c r="N1012" s="6" t="n"/>
      <c r="O1012" s="6" t="n"/>
    </row>
    <row r="1013">
      <c r="A1013" s="6" t="n"/>
      <c r="B1013" s="112">
        <f>IF($C1013="","","T"&amp;TEXT(ROW()-6,"00000"))</f>
        <v/>
      </c>
      <c r="C1013" s="107" t="n"/>
      <c r="D1013" s="113">
        <f>IF($C1013="","",IFERROR(INDEX(MUSTERILER!$C$7:$C$106,MATCH($C1013,MUSTERILER!$B$7:$B$106,0)),"TANIMSIZ MÜŞTERİ"))</f>
        <v/>
      </c>
      <c r="E1013" s="114" t="n"/>
      <c r="F1013" s="115" t="n"/>
      <c r="G1013" s="107" t="n"/>
      <c r="H1013" s="107" t="n"/>
      <c r="I1013" s="108" t="n"/>
      <c r="J1013" s="108" t="n"/>
      <c r="K1013" s="108" t="n"/>
      <c r="L1013" s="119">
        <f>IF($E1013="","",DATE(YEAR($E1013),MONTH($E1013),1))</f>
        <v/>
      </c>
      <c r="M1013" s="112">
        <f>IF($C1013="","",IF($D1013="TANIMSIZ MÜŞTERİ","HATA",IF(OR($E1013="",$F1013&lt;=0,$G1013=""),"EKSİK",IF($E1013&gt;TODAY(),"İLERİ TARİH","UYGUN"))))</f>
        <v/>
      </c>
      <c r="N1013" s="6" t="n"/>
      <c r="O1013" s="6" t="n"/>
    </row>
    <row r="1014">
      <c r="A1014" s="6" t="n"/>
      <c r="B1014" s="112">
        <f>IF($C1014="","","T"&amp;TEXT(ROW()-6,"00000"))</f>
        <v/>
      </c>
      <c r="C1014" s="107" t="n"/>
      <c r="D1014" s="113">
        <f>IF($C1014="","",IFERROR(INDEX(MUSTERILER!$C$7:$C$106,MATCH($C1014,MUSTERILER!$B$7:$B$106,0)),"TANIMSIZ MÜŞTERİ"))</f>
        <v/>
      </c>
      <c r="E1014" s="114" t="n"/>
      <c r="F1014" s="115" t="n"/>
      <c r="G1014" s="107" t="n"/>
      <c r="H1014" s="107" t="n"/>
      <c r="I1014" s="108" t="n"/>
      <c r="J1014" s="108" t="n"/>
      <c r="K1014" s="108" t="n"/>
      <c r="L1014" s="119">
        <f>IF($E1014="","",DATE(YEAR($E1014),MONTH($E1014),1))</f>
        <v/>
      </c>
      <c r="M1014" s="112">
        <f>IF($C1014="","",IF($D1014="TANIMSIZ MÜŞTERİ","HATA",IF(OR($E1014="",$F1014&lt;=0,$G1014=""),"EKSİK",IF($E1014&gt;TODAY(),"İLERİ TARİH","UYGUN"))))</f>
        <v/>
      </c>
      <c r="N1014" s="6" t="n"/>
      <c r="O1014" s="6" t="n"/>
    </row>
    <row r="1015">
      <c r="A1015" s="6" t="n"/>
      <c r="B1015" s="112">
        <f>IF($C1015="","","T"&amp;TEXT(ROW()-6,"00000"))</f>
        <v/>
      </c>
      <c r="C1015" s="107" t="n"/>
      <c r="D1015" s="113">
        <f>IF($C1015="","",IFERROR(INDEX(MUSTERILER!$C$7:$C$106,MATCH($C1015,MUSTERILER!$B$7:$B$106,0)),"TANIMSIZ MÜŞTERİ"))</f>
        <v/>
      </c>
      <c r="E1015" s="114" t="n"/>
      <c r="F1015" s="115" t="n"/>
      <c r="G1015" s="107" t="n"/>
      <c r="H1015" s="107" t="n"/>
      <c r="I1015" s="108" t="n"/>
      <c r="J1015" s="108" t="n"/>
      <c r="K1015" s="108" t="n"/>
      <c r="L1015" s="119">
        <f>IF($E1015="","",DATE(YEAR($E1015),MONTH($E1015),1))</f>
        <v/>
      </c>
      <c r="M1015" s="112">
        <f>IF($C1015="","",IF($D1015="TANIMSIZ MÜŞTERİ","HATA",IF(OR($E1015="",$F1015&lt;=0,$G1015=""),"EKSİK",IF($E1015&gt;TODAY(),"İLERİ TARİH","UYGUN"))))</f>
        <v/>
      </c>
      <c r="N1015" s="6" t="n"/>
      <c r="O1015" s="6" t="n"/>
    </row>
    <row r="1016">
      <c r="A1016" s="6" t="n"/>
      <c r="B1016" s="112">
        <f>IF($C1016="","","T"&amp;TEXT(ROW()-6,"00000"))</f>
        <v/>
      </c>
      <c r="C1016" s="107" t="n"/>
      <c r="D1016" s="113">
        <f>IF($C1016="","",IFERROR(INDEX(MUSTERILER!$C$7:$C$106,MATCH($C1016,MUSTERILER!$B$7:$B$106,0)),"TANIMSIZ MÜŞTERİ"))</f>
        <v/>
      </c>
      <c r="E1016" s="114" t="n"/>
      <c r="F1016" s="115" t="n"/>
      <c r="G1016" s="107" t="n"/>
      <c r="H1016" s="107" t="n"/>
      <c r="I1016" s="108" t="n"/>
      <c r="J1016" s="108" t="n"/>
      <c r="K1016" s="108" t="n"/>
      <c r="L1016" s="119">
        <f>IF($E1016="","",DATE(YEAR($E1016),MONTH($E1016),1))</f>
        <v/>
      </c>
      <c r="M1016" s="112">
        <f>IF($C1016="","",IF($D1016="TANIMSIZ MÜŞTERİ","HATA",IF(OR($E1016="",$F1016&lt;=0,$G1016=""),"EKSİK",IF($E1016&gt;TODAY(),"İLERİ TARİH","UYGUN"))))</f>
        <v/>
      </c>
      <c r="N1016" s="6" t="n"/>
      <c r="O1016" s="6" t="n"/>
    </row>
    <row r="1017">
      <c r="A1017" s="6" t="n"/>
      <c r="B1017" s="112">
        <f>IF($C1017="","","T"&amp;TEXT(ROW()-6,"00000"))</f>
        <v/>
      </c>
      <c r="C1017" s="107" t="n"/>
      <c r="D1017" s="113">
        <f>IF($C1017="","",IFERROR(INDEX(MUSTERILER!$C$7:$C$106,MATCH($C1017,MUSTERILER!$B$7:$B$106,0)),"TANIMSIZ MÜŞTERİ"))</f>
        <v/>
      </c>
      <c r="E1017" s="114" t="n"/>
      <c r="F1017" s="115" t="n"/>
      <c r="G1017" s="107" t="n"/>
      <c r="H1017" s="107" t="n"/>
      <c r="I1017" s="108" t="n"/>
      <c r="J1017" s="108" t="n"/>
      <c r="K1017" s="108" t="n"/>
      <c r="L1017" s="119">
        <f>IF($E1017="","",DATE(YEAR($E1017),MONTH($E1017),1))</f>
        <v/>
      </c>
      <c r="M1017" s="112">
        <f>IF($C1017="","",IF($D1017="TANIMSIZ MÜŞTERİ","HATA",IF(OR($E1017="",$F1017&lt;=0,$G1017=""),"EKSİK",IF($E1017&gt;TODAY(),"İLERİ TARİH","UYGUN"))))</f>
        <v/>
      </c>
      <c r="N1017" s="6" t="n"/>
      <c r="O1017" s="6" t="n"/>
    </row>
    <row r="1018">
      <c r="A1018" s="6" t="n"/>
      <c r="B1018" s="112">
        <f>IF($C1018="","","T"&amp;TEXT(ROW()-6,"00000"))</f>
        <v/>
      </c>
      <c r="C1018" s="107" t="n"/>
      <c r="D1018" s="113">
        <f>IF($C1018="","",IFERROR(INDEX(MUSTERILER!$C$7:$C$106,MATCH($C1018,MUSTERILER!$B$7:$B$106,0)),"TANIMSIZ MÜŞTERİ"))</f>
        <v/>
      </c>
      <c r="E1018" s="114" t="n"/>
      <c r="F1018" s="115" t="n"/>
      <c r="G1018" s="107" t="n"/>
      <c r="H1018" s="107" t="n"/>
      <c r="I1018" s="108" t="n"/>
      <c r="J1018" s="108" t="n"/>
      <c r="K1018" s="108" t="n"/>
      <c r="L1018" s="119">
        <f>IF($E1018="","",DATE(YEAR($E1018),MONTH($E1018),1))</f>
        <v/>
      </c>
      <c r="M1018" s="112">
        <f>IF($C1018="","",IF($D1018="TANIMSIZ MÜŞTERİ","HATA",IF(OR($E1018="",$F1018&lt;=0,$G1018=""),"EKSİK",IF($E1018&gt;TODAY(),"İLERİ TARİH","UYGUN"))))</f>
        <v/>
      </c>
      <c r="N1018" s="6" t="n"/>
      <c r="O1018" s="6" t="n"/>
    </row>
    <row r="1019">
      <c r="A1019" s="6" t="n"/>
      <c r="B1019" s="112">
        <f>IF($C1019="","","T"&amp;TEXT(ROW()-6,"00000"))</f>
        <v/>
      </c>
      <c r="C1019" s="107" t="n"/>
      <c r="D1019" s="113">
        <f>IF($C1019="","",IFERROR(INDEX(MUSTERILER!$C$7:$C$106,MATCH($C1019,MUSTERILER!$B$7:$B$106,0)),"TANIMSIZ MÜŞTERİ"))</f>
        <v/>
      </c>
      <c r="E1019" s="114" t="n"/>
      <c r="F1019" s="115" t="n"/>
      <c r="G1019" s="107" t="n"/>
      <c r="H1019" s="107" t="n"/>
      <c r="I1019" s="108" t="n"/>
      <c r="J1019" s="108" t="n"/>
      <c r="K1019" s="108" t="n"/>
      <c r="L1019" s="119">
        <f>IF($E1019="","",DATE(YEAR($E1019),MONTH($E1019),1))</f>
        <v/>
      </c>
      <c r="M1019" s="112">
        <f>IF($C1019="","",IF($D1019="TANIMSIZ MÜŞTERİ","HATA",IF(OR($E1019="",$F1019&lt;=0,$G1019=""),"EKSİK",IF($E1019&gt;TODAY(),"İLERİ TARİH","UYGUN"))))</f>
        <v/>
      </c>
      <c r="N1019" s="6" t="n"/>
      <c r="O1019" s="6" t="n"/>
    </row>
    <row r="1020">
      <c r="A1020" s="6" t="n"/>
      <c r="B1020" s="112">
        <f>IF($C1020="","","T"&amp;TEXT(ROW()-6,"00000"))</f>
        <v/>
      </c>
      <c r="C1020" s="107" t="n"/>
      <c r="D1020" s="113">
        <f>IF($C1020="","",IFERROR(INDEX(MUSTERILER!$C$7:$C$106,MATCH($C1020,MUSTERILER!$B$7:$B$106,0)),"TANIMSIZ MÜŞTERİ"))</f>
        <v/>
      </c>
      <c r="E1020" s="114" t="n"/>
      <c r="F1020" s="115" t="n"/>
      <c r="G1020" s="107" t="n"/>
      <c r="H1020" s="107" t="n"/>
      <c r="I1020" s="108" t="n"/>
      <c r="J1020" s="108" t="n"/>
      <c r="K1020" s="108" t="n"/>
      <c r="L1020" s="119">
        <f>IF($E1020="","",DATE(YEAR($E1020),MONTH($E1020),1))</f>
        <v/>
      </c>
      <c r="M1020" s="112">
        <f>IF($C1020="","",IF($D1020="TANIMSIZ MÜŞTERİ","HATA",IF(OR($E1020="",$F1020&lt;=0,$G1020=""),"EKSİK",IF($E1020&gt;TODAY(),"İLERİ TARİH","UYGUN"))))</f>
        <v/>
      </c>
      <c r="N1020" s="6" t="n"/>
      <c r="O1020" s="6" t="n"/>
    </row>
    <row r="1021">
      <c r="A1021" s="6" t="n"/>
      <c r="B1021" s="112">
        <f>IF($C1021="","","T"&amp;TEXT(ROW()-6,"00000"))</f>
        <v/>
      </c>
      <c r="C1021" s="107" t="n"/>
      <c r="D1021" s="113">
        <f>IF($C1021="","",IFERROR(INDEX(MUSTERILER!$C$7:$C$106,MATCH($C1021,MUSTERILER!$B$7:$B$106,0)),"TANIMSIZ MÜŞTERİ"))</f>
        <v/>
      </c>
      <c r="E1021" s="114" t="n"/>
      <c r="F1021" s="115" t="n"/>
      <c r="G1021" s="107" t="n"/>
      <c r="H1021" s="107" t="n"/>
      <c r="I1021" s="108" t="n"/>
      <c r="J1021" s="108" t="n"/>
      <c r="K1021" s="108" t="n"/>
      <c r="L1021" s="119">
        <f>IF($E1021="","",DATE(YEAR($E1021),MONTH($E1021),1))</f>
        <v/>
      </c>
      <c r="M1021" s="112">
        <f>IF($C1021="","",IF($D1021="TANIMSIZ MÜŞTERİ","HATA",IF(OR($E1021="",$F1021&lt;=0,$G1021=""),"EKSİK",IF($E1021&gt;TODAY(),"İLERİ TARİH","UYGUN"))))</f>
        <v/>
      </c>
      <c r="N1021" s="6" t="n"/>
      <c r="O1021" s="6" t="n"/>
    </row>
    <row r="1022">
      <c r="A1022" s="6" t="n"/>
      <c r="B1022" s="112">
        <f>IF($C1022="","","T"&amp;TEXT(ROW()-6,"00000"))</f>
        <v/>
      </c>
      <c r="C1022" s="107" t="n"/>
      <c r="D1022" s="113">
        <f>IF($C1022="","",IFERROR(INDEX(MUSTERILER!$C$7:$C$106,MATCH($C1022,MUSTERILER!$B$7:$B$106,0)),"TANIMSIZ MÜŞTERİ"))</f>
        <v/>
      </c>
      <c r="E1022" s="114" t="n"/>
      <c r="F1022" s="115" t="n"/>
      <c r="G1022" s="107" t="n"/>
      <c r="H1022" s="107" t="n"/>
      <c r="I1022" s="108" t="n"/>
      <c r="J1022" s="108" t="n"/>
      <c r="K1022" s="108" t="n"/>
      <c r="L1022" s="119">
        <f>IF($E1022="","",DATE(YEAR($E1022),MONTH($E1022),1))</f>
        <v/>
      </c>
      <c r="M1022" s="112">
        <f>IF($C1022="","",IF($D1022="TANIMSIZ MÜŞTERİ","HATA",IF(OR($E1022="",$F1022&lt;=0,$G1022=""),"EKSİK",IF($E1022&gt;TODAY(),"İLERİ TARİH","UYGUN"))))</f>
        <v/>
      </c>
      <c r="N1022" s="6" t="n"/>
      <c r="O1022" s="6" t="n"/>
    </row>
    <row r="1023">
      <c r="A1023" s="6" t="n"/>
      <c r="B1023" s="112">
        <f>IF($C1023="","","T"&amp;TEXT(ROW()-6,"00000"))</f>
        <v/>
      </c>
      <c r="C1023" s="107" t="n"/>
      <c r="D1023" s="113">
        <f>IF($C1023="","",IFERROR(INDEX(MUSTERILER!$C$7:$C$106,MATCH($C1023,MUSTERILER!$B$7:$B$106,0)),"TANIMSIZ MÜŞTERİ"))</f>
        <v/>
      </c>
      <c r="E1023" s="114" t="n"/>
      <c r="F1023" s="115" t="n"/>
      <c r="G1023" s="107" t="n"/>
      <c r="H1023" s="107" t="n"/>
      <c r="I1023" s="108" t="n"/>
      <c r="J1023" s="108" t="n"/>
      <c r="K1023" s="108" t="n"/>
      <c r="L1023" s="119">
        <f>IF($E1023="","",DATE(YEAR($E1023),MONTH($E1023),1))</f>
        <v/>
      </c>
      <c r="M1023" s="112">
        <f>IF($C1023="","",IF($D1023="TANIMSIZ MÜŞTERİ","HATA",IF(OR($E1023="",$F1023&lt;=0,$G1023=""),"EKSİK",IF($E1023&gt;TODAY(),"İLERİ TARİH","UYGUN"))))</f>
        <v/>
      </c>
      <c r="N1023" s="6" t="n"/>
      <c r="O1023" s="6" t="n"/>
    </row>
    <row r="1024">
      <c r="A1024" s="6" t="n"/>
      <c r="B1024" s="112">
        <f>IF($C1024="","","T"&amp;TEXT(ROW()-6,"00000"))</f>
        <v/>
      </c>
      <c r="C1024" s="107" t="n"/>
      <c r="D1024" s="113">
        <f>IF($C1024="","",IFERROR(INDEX(MUSTERILER!$C$7:$C$106,MATCH($C1024,MUSTERILER!$B$7:$B$106,0)),"TANIMSIZ MÜŞTERİ"))</f>
        <v/>
      </c>
      <c r="E1024" s="114" t="n"/>
      <c r="F1024" s="115" t="n"/>
      <c r="G1024" s="107" t="n"/>
      <c r="H1024" s="107" t="n"/>
      <c r="I1024" s="108" t="n"/>
      <c r="J1024" s="108" t="n"/>
      <c r="K1024" s="108" t="n"/>
      <c r="L1024" s="119">
        <f>IF($E1024="","",DATE(YEAR($E1024),MONTH($E1024),1))</f>
        <v/>
      </c>
      <c r="M1024" s="112">
        <f>IF($C1024="","",IF($D1024="TANIMSIZ MÜŞTERİ","HATA",IF(OR($E1024="",$F1024&lt;=0,$G1024=""),"EKSİK",IF($E1024&gt;TODAY(),"İLERİ TARİH","UYGUN"))))</f>
        <v/>
      </c>
      <c r="N1024" s="6" t="n"/>
      <c r="O1024" s="6" t="n"/>
    </row>
    <row r="1025">
      <c r="A1025" s="6" t="n"/>
      <c r="B1025" s="112">
        <f>IF($C1025="","","T"&amp;TEXT(ROW()-6,"00000"))</f>
        <v/>
      </c>
      <c r="C1025" s="107" t="n"/>
      <c r="D1025" s="113">
        <f>IF($C1025="","",IFERROR(INDEX(MUSTERILER!$C$7:$C$106,MATCH($C1025,MUSTERILER!$B$7:$B$106,0)),"TANIMSIZ MÜŞTERİ"))</f>
        <v/>
      </c>
      <c r="E1025" s="114" t="n"/>
      <c r="F1025" s="115" t="n"/>
      <c r="G1025" s="107" t="n"/>
      <c r="H1025" s="107" t="n"/>
      <c r="I1025" s="108" t="n"/>
      <c r="J1025" s="108" t="n"/>
      <c r="K1025" s="108" t="n"/>
      <c r="L1025" s="119">
        <f>IF($E1025="","",DATE(YEAR($E1025),MONTH($E1025),1))</f>
        <v/>
      </c>
      <c r="M1025" s="112">
        <f>IF($C1025="","",IF($D1025="TANIMSIZ MÜŞTERİ","HATA",IF(OR($E1025="",$F1025&lt;=0,$G1025=""),"EKSİK",IF($E1025&gt;TODAY(),"İLERİ TARİH","UYGUN"))))</f>
        <v/>
      </c>
      <c r="N1025" s="6" t="n"/>
      <c r="O1025" s="6" t="n"/>
    </row>
    <row r="1026">
      <c r="A1026" s="6" t="n"/>
      <c r="B1026" s="112">
        <f>IF($C1026="","","T"&amp;TEXT(ROW()-6,"00000"))</f>
        <v/>
      </c>
      <c r="C1026" s="107" t="n"/>
      <c r="D1026" s="113">
        <f>IF($C1026="","",IFERROR(INDEX(MUSTERILER!$C$7:$C$106,MATCH($C1026,MUSTERILER!$B$7:$B$106,0)),"TANIMSIZ MÜŞTERİ"))</f>
        <v/>
      </c>
      <c r="E1026" s="114" t="n"/>
      <c r="F1026" s="115" t="n"/>
      <c r="G1026" s="107" t="n"/>
      <c r="H1026" s="107" t="n"/>
      <c r="I1026" s="108" t="n"/>
      <c r="J1026" s="108" t="n"/>
      <c r="K1026" s="108" t="n"/>
      <c r="L1026" s="119">
        <f>IF($E1026="","",DATE(YEAR($E1026),MONTH($E1026),1))</f>
        <v/>
      </c>
      <c r="M1026" s="112">
        <f>IF($C1026="","",IF($D1026="TANIMSIZ MÜŞTERİ","HATA",IF(OR($E1026="",$F1026&lt;=0,$G1026=""),"EKSİK",IF($E1026&gt;TODAY(),"İLERİ TARİH","UYGUN"))))</f>
        <v/>
      </c>
      <c r="N1026" s="6" t="n"/>
      <c r="O1026" s="6" t="n"/>
    </row>
    <row r="1027">
      <c r="A1027" s="6" t="n"/>
      <c r="B1027" s="112">
        <f>IF($C1027="","","T"&amp;TEXT(ROW()-6,"00000"))</f>
        <v/>
      </c>
      <c r="C1027" s="107" t="n"/>
      <c r="D1027" s="113">
        <f>IF($C1027="","",IFERROR(INDEX(MUSTERILER!$C$7:$C$106,MATCH($C1027,MUSTERILER!$B$7:$B$106,0)),"TANIMSIZ MÜŞTERİ"))</f>
        <v/>
      </c>
      <c r="E1027" s="114" t="n"/>
      <c r="F1027" s="115" t="n"/>
      <c r="G1027" s="107" t="n"/>
      <c r="H1027" s="107" t="n"/>
      <c r="I1027" s="108" t="n"/>
      <c r="J1027" s="108" t="n"/>
      <c r="K1027" s="108" t="n"/>
      <c r="L1027" s="119">
        <f>IF($E1027="","",DATE(YEAR($E1027),MONTH($E1027),1))</f>
        <v/>
      </c>
      <c r="M1027" s="112">
        <f>IF($C1027="","",IF($D1027="TANIMSIZ MÜŞTERİ","HATA",IF(OR($E1027="",$F1027&lt;=0,$G1027=""),"EKSİK",IF($E1027&gt;TODAY(),"İLERİ TARİH","UYGUN"))))</f>
        <v/>
      </c>
      <c r="N1027" s="6" t="n"/>
      <c r="O1027" s="6" t="n"/>
    </row>
    <row r="1028">
      <c r="A1028" s="6" t="n"/>
      <c r="B1028" s="112">
        <f>IF($C1028="","","T"&amp;TEXT(ROW()-6,"00000"))</f>
        <v/>
      </c>
      <c r="C1028" s="107" t="n"/>
      <c r="D1028" s="113">
        <f>IF($C1028="","",IFERROR(INDEX(MUSTERILER!$C$7:$C$106,MATCH($C1028,MUSTERILER!$B$7:$B$106,0)),"TANIMSIZ MÜŞTERİ"))</f>
        <v/>
      </c>
      <c r="E1028" s="114" t="n"/>
      <c r="F1028" s="115" t="n"/>
      <c r="G1028" s="107" t="n"/>
      <c r="H1028" s="107" t="n"/>
      <c r="I1028" s="108" t="n"/>
      <c r="J1028" s="108" t="n"/>
      <c r="K1028" s="108" t="n"/>
      <c r="L1028" s="119">
        <f>IF($E1028="","",DATE(YEAR($E1028),MONTH($E1028),1))</f>
        <v/>
      </c>
      <c r="M1028" s="112">
        <f>IF($C1028="","",IF($D1028="TANIMSIZ MÜŞTERİ","HATA",IF(OR($E1028="",$F1028&lt;=0,$G1028=""),"EKSİK",IF($E1028&gt;TODAY(),"İLERİ TARİH","UYGUN"))))</f>
        <v/>
      </c>
      <c r="N1028" s="6" t="n"/>
      <c r="O1028" s="6" t="n"/>
    </row>
    <row r="1029">
      <c r="A1029" s="6" t="n"/>
      <c r="B1029" s="112">
        <f>IF($C1029="","","T"&amp;TEXT(ROW()-6,"00000"))</f>
        <v/>
      </c>
      <c r="C1029" s="107" t="n"/>
      <c r="D1029" s="113">
        <f>IF($C1029="","",IFERROR(INDEX(MUSTERILER!$C$7:$C$106,MATCH($C1029,MUSTERILER!$B$7:$B$106,0)),"TANIMSIZ MÜŞTERİ"))</f>
        <v/>
      </c>
      <c r="E1029" s="114" t="n"/>
      <c r="F1029" s="115" t="n"/>
      <c r="G1029" s="107" t="n"/>
      <c r="H1029" s="107" t="n"/>
      <c r="I1029" s="108" t="n"/>
      <c r="J1029" s="108" t="n"/>
      <c r="K1029" s="108" t="n"/>
      <c r="L1029" s="119">
        <f>IF($E1029="","",DATE(YEAR($E1029),MONTH($E1029),1))</f>
        <v/>
      </c>
      <c r="M1029" s="112">
        <f>IF($C1029="","",IF($D1029="TANIMSIZ MÜŞTERİ","HATA",IF(OR($E1029="",$F1029&lt;=0,$G1029=""),"EKSİK",IF($E1029&gt;TODAY(),"İLERİ TARİH","UYGUN"))))</f>
        <v/>
      </c>
      <c r="N1029" s="6" t="n"/>
      <c r="O1029" s="6" t="n"/>
    </row>
    <row r="1030">
      <c r="A1030" s="6" t="n"/>
      <c r="B1030" s="112">
        <f>IF($C1030="","","T"&amp;TEXT(ROW()-6,"00000"))</f>
        <v/>
      </c>
      <c r="C1030" s="107" t="n"/>
      <c r="D1030" s="113">
        <f>IF($C1030="","",IFERROR(INDEX(MUSTERILER!$C$7:$C$106,MATCH($C1030,MUSTERILER!$B$7:$B$106,0)),"TANIMSIZ MÜŞTERİ"))</f>
        <v/>
      </c>
      <c r="E1030" s="114" t="n"/>
      <c r="F1030" s="115" t="n"/>
      <c r="G1030" s="107" t="n"/>
      <c r="H1030" s="107" t="n"/>
      <c r="I1030" s="108" t="n"/>
      <c r="J1030" s="108" t="n"/>
      <c r="K1030" s="108" t="n"/>
      <c r="L1030" s="119">
        <f>IF($E1030="","",DATE(YEAR($E1030),MONTH($E1030),1))</f>
        <v/>
      </c>
      <c r="M1030" s="112">
        <f>IF($C1030="","",IF($D1030="TANIMSIZ MÜŞTERİ","HATA",IF(OR($E1030="",$F1030&lt;=0,$G1030=""),"EKSİK",IF($E1030&gt;TODAY(),"İLERİ TARİH","UYGUN"))))</f>
        <v/>
      </c>
      <c r="N1030" s="6" t="n"/>
      <c r="O1030" s="6" t="n"/>
    </row>
    <row r="1031">
      <c r="A1031" s="6" t="n"/>
      <c r="B1031" s="112">
        <f>IF($C1031="","","T"&amp;TEXT(ROW()-6,"00000"))</f>
        <v/>
      </c>
      <c r="C1031" s="107" t="n"/>
      <c r="D1031" s="113">
        <f>IF($C1031="","",IFERROR(INDEX(MUSTERILER!$C$7:$C$106,MATCH($C1031,MUSTERILER!$B$7:$B$106,0)),"TANIMSIZ MÜŞTERİ"))</f>
        <v/>
      </c>
      <c r="E1031" s="114" t="n"/>
      <c r="F1031" s="115" t="n"/>
      <c r="G1031" s="107" t="n"/>
      <c r="H1031" s="107" t="n"/>
      <c r="I1031" s="108" t="n"/>
      <c r="J1031" s="108" t="n"/>
      <c r="K1031" s="108" t="n"/>
      <c r="L1031" s="119">
        <f>IF($E1031="","",DATE(YEAR($E1031),MONTH($E1031),1))</f>
        <v/>
      </c>
      <c r="M1031" s="112">
        <f>IF($C1031="","",IF($D1031="TANIMSIZ MÜŞTERİ","HATA",IF(OR($E1031="",$F1031&lt;=0,$G1031=""),"EKSİK",IF($E1031&gt;TODAY(),"İLERİ TARİH","UYGUN"))))</f>
        <v/>
      </c>
      <c r="N1031" s="6" t="n"/>
      <c r="O1031" s="6" t="n"/>
    </row>
    <row r="1032">
      <c r="A1032" s="6" t="n"/>
      <c r="B1032" s="112">
        <f>IF($C1032="","","T"&amp;TEXT(ROW()-6,"00000"))</f>
        <v/>
      </c>
      <c r="C1032" s="107" t="n"/>
      <c r="D1032" s="113">
        <f>IF($C1032="","",IFERROR(INDEX(MUSTERILER!$C$7:$C$106,MATCH($C1032,MUSTERILER!$B$7:$B$106,0)),"TANIMSIZ MÜŞTERİ"))</f>
        <v/>
      </c>
      <c r="E1032" s="114" t="n"/>
      <c r="F1032" s="115" t="n"/>
      <c r="G1032" s="107" t="n"/>
      <c r="H1032" s="107" t="n"/>
      <c r="I1032" s="108" t="n"/>
      <c r="J1032" s="108" t="n"/>
      <c r="K1032" s="108" t="n"/>
      <c r="L1032" s="119">
        <f>IF($E1032="","",DATE(YEAR($E1032),MONTH($E1032),1))</f>
        <v/>
      </c>
      <c r="M1032" s="112">
        <f>IF($C1032="","",IF($D1032="TANIMSIZ MÜŞTERİ","HATA",IF(OR($E1032="",$F1032&lt;=0,$G1032=""),"EKSİK",IF($E1032&gt;TODAY(),"İLERİ TARİH","UYGUN"))))</f>
        <v/>
      </c>
      <c r="N1032" s="6" t="n"/>
      <c r="O1032" s="6" t="n"/>
    </row>
    <row r="1033">
      <c r="A1033" s="6" t="n"/>
      <c r="B1033" s="112">
        <f>IF($C1033="","","T"&amp;TEXT(ROW()-6,"00000"))</f>
        <v/>
      </c>
      <c r="C1033" s="107" t="n"/>
      <c r="D1033" s="113">
        <f>IF($C1033="","",IFERROR(INDEX(MUSTERILER!$C$7:$C$106,MATCH($C1033,MUSTERILER!$B$7:$B$106,0)),"TANIMSIZ MÜŞTERİ"))</f>
        <v/>
      </c>
      <c r="E1033" s="114" t="n"/>
      <c r="F1033" s="115" t="n"/>
      <c r="G1033" s="107" t="n"/>
      <c r="H1033" s="107" t="n"/>
      <c r="I1033" s="108" t="n"/>
      <c r="J1033" s="108" t="n"/>
      <c r="K1033" s="108" t="n"/>
      <c r="L1033" s="119">
        <f>IF($E1033="","",DATE(YEAR($E1033),MONTH($E1033),1))</f>
        <v/>
      </c>
      <c r="M1033" s="112">
        <f>IF($C1033="","",IF($D1033="TANIMSIZ MÜŞTERİ","HATA",IF(OR($E1033="",$F1033&lt;=0,$G1033=""),"EKSİK",IF($E1033&gt;TODAY(),"İLERİ TARİH","UYGUN"))))</f>
        <v/>
      </c>
      <c r="N1033" s="6" t="n"/>
      <c r="O1033" s="6" t="n"/>
    </row>
    <row r="1034">
      <c r="A1034" s="6" t="n"/>
      <c r="B1034" s="112">
        <f>IF($C1034="","","T"&amp;TEXT(ROW()-6,"00000"))</f>
        <v/>
      </c>
      <c r="C1034" s="107" t="n"/>
      <c r="D1034" s="113">
        <f>IF($C1034="","",IFERROR(INDEX(MUSTERILER!$C$7:$C$106,MATCH($C1034,MUSTERILER!$B$7:$B$106,0)),"TANIMSIZ MÜŞTERİ"))</f>
        <v/>
      </c>
      <c r="E1034" s="114" t="n"/>
      <c r="F1034" s="115" t="n"/>
      <c r="G1034" s="107" t="n"/>
      <c r="H1034" s="107" t="n"/>
      <c r="I1034" s="108" t="n"/>
      <c r="J1034" s="108" t="n"/>
      <c r="K1034" s="108" t="n"/>
      <c r="L1034" s="119">
        <f>IF($E1034="","",DATE(YEAR($E1034),MONTH($E1034),1))</f>
        <v/>
      </c>
      <c r="M1034" s="112">
        <f>IF($C1034="","",IF($D1034="TANIMSIZ MÜŞTERİ","HATA",IF(OR($E1034="",$F1034&lt;=0,$G1034=""),"EKSİK",IF($E1034&gt;TODAY(),"İLERİ TARİH","UYGUN"))))</f>
        <v/>
      </c>
      <c r="N1034" s="6" t="n"/>
      <c r="O1034" s="6" t="n"/>
    </row>
    <row r="1035">
      <c r="A1035" s="6" t="n"/>
      <c r="B1035" s="112">
        <f>IF($C1035="","","T"&amp;TEXT(ROW()-6,"00000"))</f>
        <v/>
      </c>
      <c r="C1035" s="107" t="n"/>
      <c r="D1035" s="113">
        <f>IF($C1035="","",IFERROR(INDEX(MUSTERILER!$C$7:$C$106,MATCH($C1035,MUSTERILER!$B$7:$B$106,0)),"TANIMSIZ MÜŞTERİ"))</f>
        <v/>
      </c>
      <c r="E1035" s="114" t="n"/>
      <c r="F1035" s="115" t="n"/>
      <c r="G1035" s="107" t="n"/>
      <c r="H1035" s="107" t="n"/>
      <c r="I1035" s="108" t="n"/>
      <c r="J1035" s="108" t="n"/>
      <c r="K1035" s="108" t="n"/>
      <c r="L1035" s="119">
        <f>IF($E1035="","",DATE(YEAR($E1035),MONTH($E1035),1))</f>
        <v/>
      </c>
      <c r="M1035" s="112">
        <f>IF($C1035="","",IF($D1035="TANIMSIZ MÜŞTERİ","HATA",IF(OR($E1035="",$F1035&lt;=0,$G1035=""),"EKSİK",IF($E1035&gt;TODAY(),"İLERİ TARİH","UYGUN"))))</f>
        <v/>
      </c>
      <c r="N1035" s="6" t="n"/>
      <c r="O1035" s="6" t="n"/>
    </row>
    <row r="1036">
      <c r="A1036" s="6" t="n"/>
      <c r="B1036" s="112">
        <f>IF($C1036="","","T"&amp;TEXT(ROW()-6,"00000"))</f>
        <v/>
      </c>
      <c r="C1036" s="107" t="n"/>
      <c r="D1036" s="113">
        <f>IF($C1036="","",IFERROR(INDEX(MUSTERILER!$C$7:$C$106,MATCH($C1036,MUSTERILER!$B$7:$B$106,0)),"TANIMSIZ MÜŞTERİ"))</f>
        <v/>
      </c>
      <c r="E1036" s="114" t="n"/>
      <c r="F1036" s="115" t="n"/>
      <c r="G1036" s="107" t="n"/>
      <c r="H1036" s="107" t="n"/>
      <c r="I1036" s="108" t="n"/>
      <c r="J1036" s="108" t="n"/>
      <c r="K1036" s="108" t="n"/>
      <c r="L1036" s="119">
        <f>IF($E1036="","",DATE(YEAR($E1036),MONTH($E1036),1))</f>
        <v/>
      </c>
      <c r="M1036" s="112">
        <f>IF($C1036="","",IF($D1036="TANIMSIZ MÜŞTERİ","HATA",IF(OR($E1036="",$F1036&lt;=0,$G1036=""),"EKSİK",IF($E1036&gt;TODAY(),"İLERİ TARİH","UYGUN"))))</f>
        <v/>
      </c>
      <c r="N1036" s="6" t="n"/>
      <c r="O1036" s="6" t="n"/>
    </row>
    <row r="1037">
      <c r="A1037" s="6" t="n"/>
      <c r="B1037" s="112">
        <f>IF($C1037="","","T"&amp;TEXT(ROW()-6,"00000"))</f>
        <v/>
      </c>
      <c r="C1037" s="107" t="n"/>
      <c r="D1037" s="113">
        <f>IF($C1037="","",IFERROR(INDEX(MUSTERILER!$C$7:$C$106,MATCH($C1037,MUSTERILER!$B$7:$B$106,0)),"TANIMSIZ MÜŞTERİ"))</f>
        <v/>
      </c>
      <c r="E1037" s="114" t="n"/>
      <c r="F1037" s="115" t="n"/>
      <c r="G1037" s="107" t="n"/>
      <c r="H1037" s="107" t="n"/>
      <c r="I1037" s="108" t="n"/>
      <c r="J1037" s="108" t="n"/>
      <c r="K1037" s="108" t="n"/>
      <c r="L1037" s="119">
        <f>IF($E1037="","",DATE(YEAR($E1037),MONTH($E1037),1))</f>
        <v/>
      </c>
      <c r="M1037" s="112">
        <f>IF($C1037="","",IF($D1037="TANIMSIZ MÜŞTERİ","HATA",IF(OR($E1037="",$F1037&lt;=0,$G1037=""),"EKSİK",IF($E1037&gt;TODAY(),"İLERİ TARİH","UYGUN"))))</f>
        <v/>
      </c>
      <c r="N1037" s="6" t="n"/>
      <c r="O1037" s="6" t="n"/>
    </row>
    <row r="1038">
      <c r="A1038" s="6" t="n"/>
      <c r="B1038" s="112">
        <f>IF($C1038="","","T"&amp;TEXT(ROW()-6,"00000"))</f>
        <v/>
      </c>
      <c r="C1038" s="107" t="n"/>
      <c r="D1038" s="113">
        <f>IF($C1038="","",IFERROR(INDEX(MUSTERILER!$C$7:$C$106,MATCH($C1038,MUSTERILER!$B$7:$B$106,0)),"TANIMSIZ MÜŞTERİ"))</f>
        <v/>
      </c>
      <c r="E1038" s="114" t="n"/>
      <c r="F1038" s="115" t="n"/>
      <c r="G1038" s="107" t="n"/>
      <c r="H1038" s="107" t="n"/>
      <c r="I1038" s="108" t="n"/>
      <c r="J1038" s="108" t="n"/>
      <c r="K1038" s="108" t="n"/>
      <c r="L1038" s="119">
        <f>IF($E1038="","",DATE(YEAR($E1038),MONTH($E1038),1))</f>
        <v/>
      </c>
      <c r="M1038" s="112">
        <f>IF($C1038="","",IF($D1038="TANIMSIZ MÜŞTERİ","HATA",IF(OR($E1038="",$F1038&lt;=0,$G1038=""),"EKSİK",IF($E1038&gt;TODAY(),"İLERİ TARİH","UYGUN"))))</f>
        <v/>
      </c>
      <c r="N1038" s="6" t="n"/>
      <c r="O1038" s="6" t="n"/>
    </row>
    <row r="1039">
      <c r="A1039" s="6" t="n"/>
      <c r="B1039" s="112">
        <f>IF($C1039="","","T"&amp;TEXT(ROW()-6,"00000"))</f>
        <v/>
      </c>
      <c r="C1039" s="107" t="n"/>
      <c r="D1039" s="113">
        <f>IF($C1039="","",IFERROR(INDEX(MUSTERILER!$C$7:$C$106,MATCH($C1039,MUSTERILER!$B$7:$B$106,0)),"TANIMSIZ MÜŞTERİ"))</f>
        <v/>
      </c>
      <c r="E1039" s="114" t="n"/>
      <c r="F1039" s="115" t="n"/>
      <c r="G1039" s="107" t="n"/>
      <c r="H1039" s="107" t="n"/>
      <c r="I1039" s="108" t="n"/>
      <c r="J1039" s="108" t="n"/>
      <c r="K1039" s="108" t="n"/>
      <c r="L1039" s="119">
        <f>IF($E1039="","",DATE(YEAR($E1039),MONTH($E1039),1))</f>
        <v/>
      </c>
      <c r="M1039" s="112">
        <f>IF($C1039="","",IF($D1039="TANIMSIZ MÜŞTERİ","HATA",IF(OR($E1039="",$F1039&lt;=0,$G1039=""),"EKSİK",IF($E1039&gt;TODAY(),"İLERİ TARİH","UYGUN"))))</f>
        <v/>
      </c>
      <c r="N1039" s="6" t="n"/>
      <c r="O1039" s="6" t="n"/>
    </row>
    <row r="1040">
      <c r="A1040" s="6" t="n"/>
      <c r="B1040" s="112">
        <f>IF($C1040="","","T"&amp;TEXT(ROW()-6,"00000"))</f>
        <v/>
      </c>
      <c r="C1040" s="107" t="n"/>
      <c r="D1040" s="113">
        <f>IF($C1040="","",IFERROR(INDEX(MUSTERILER!$C$7:$C$106,MATCH($C1040,MUSTERILER!$B$7:$B$106,0)),"TANIMSIZ MÜŞTERİ"))</f>
        <v/>
      </c>
      <c r="E1040" s="114" t="n"/>
      <c r="F1040" s="115" t="n"/>
      <c r="G1040" s="107" t="n"/>
      <c r="H1040" s="107" t="n"/>
      <c r="I1040" s="108" t="n"/>
      <c r="J1040" s="108" t="n"/>
      <c r="K1040" s="108" t="n"/>
      <c r="L1040" s="119">
        <f>IF($E1040="","",DATE(YEAR($E1040),MONTH($E1040),1))</f>
        <v/>
      </c>
      <c r="M1040" s="112">
        <f>IF($C1040="","",IF($D1040="TANIMSIZ MÜŞTERİ","HATA",IF(OR($E1040="",$F1040&lt;=0,$G1040=""),"EKSİK",IF($E1040&gt;TODAY(),"İLERİ TARİH","UYGUN"))))</f>
        <v/>
      </c>
      <c r="N1040" s="6" t="n"/>
      <c r="O1040" s="6" t="n"/>
    </row>
    <row r="1041">
      <c r="A1041" s="6" t="n"/>
      <c r="B1041" s="112">
        <f>IF($C1041="","","T"&amp;TEXT(ROW()-6,"00000"))</f>
        <v/>
      </c>
      <c r="C1041" s="107" t="n"/>
      <c r="D1041" s="113">
        <f>IF($C1041="","",IFERROR(INDEX(MUSTERILER!$C$7:$C$106,MATCH($C1041,MUSTERILER!$B$7:$B$106,0)),"TANIMSIZ MÜŞTERİ"))</f>
        <v/>
      </c>
      <c r="E1041" s="114" t="n"/>
      <c r="F1041" s="115" t="n"/>
      <c r="G1041" s="107" t="n"/>
      <c r="H1041" s="107" t="n"/>
      <c r="I1041" s="108" t="n"/>
      <c r="J1041" s="108" t="n"/>
      <c r="K1041" s="108" t="n"/>
      <c r="L1041" s="119">
        <f>IF($E1041="","",DATE(YEAR($E1041),MONTH($E1041),1))</f>
        <v/>
      </c>
      <c r="M1041" s="112">
        <f>IF($C1041="","",IF($D1041="TANIMSIZ MÜŞTERİ","HATA",IF(OR($E1041="",$F1041&lt;=0,$G1041=""),"EKSİK",IF($E1041&gt;TODAY(),"İLERİ TARİH","UYGUN"))))</f>
        <v/>
      </c>
      <c r="N1041" s="6" t="n"/>
      <c r="O1041" s="6" t="n"/>
    </row>
    <row r="1042">
      <c r="A1042" s="6" t="n"/>
      <c r="B1042" s="112">
        <f>IF($C1042="","","T"&amp;TEXT(ROW()-6,"00000"))</f>
        <v/>
      </c>
      <c r="C1042" s="107" t="n"/>
      <c r="D1042" s="113">
        <f>IF($C1042="","",IFERROR(INDEX(MUSTERILER!$C$7:$C$106,MATCH($C1042,MUSTERILER!$B$7:$B$106,0)),"TANIMSIZ MÜŞTERİ"))</f>
        <v/>
      </c>
      <c r="E1042" s="114" t="n"/>
      <c r="F1042" s="115" t="n"/>
      <c r="G1042" s="107" t="n"/>
      <c r="H1042" s="107" t="n"/>
      <c r="I1042" s="108" t="n"/>
      <c r="J1042" s="108" t="n"/>
      <c r="K1042" s="108" t="n"/>
      <c r="L1042" s="119">
        <f>IF($E1042="","",DATE(YEAR($E1042),MONTH($E1042),1))</f>
        <v/>
      </c>
      <c r="M1042" s="112">
        <f>IF($C1042="","",IF($D1042="TANIMSIZ MÜŞTERİ","HATA",IF(OR($E1042="",$F1042&lt;=0,$G1042=""),"EKSİK",IF($E1042&gt;TODAY(),"İLERİ TARİH","UYGUN"))))</f>
        <v/>
      </c>
      <c r="N1042" s="6" t="n"/>
      <c r="O1042" s="6" t="n"/>
    </row>
    <row r="1043">
      <c r="A1043" s="6" t="n"/>
      <c r="B1043" s="112">
        <f>IF($C1043="","","T"&amp;TEXT(ROW()-6,"00000"))</f>
        <v/>
      </c>
      <c r="C1043" s="107" t="n"/>
      <c r="D1043" s="113">
        <f>IF($C1043="","",IFERROR(INDEX(MUSTERILER!$C$7:$C$106,MATCH($C1043,MUSTERILER!$B$7:$B$106,0)),"TANIMSIZ MÜŞTERİ"))</f>
        <v/>
      </c>
      <c r="E1043" s="114" t="n"/>
      <c r="F1043" s="115" t="n"/>
      <c r="G1043" s="107" t="n"/>
      <c r="H1043" s="107" t="n"/>
      <c r="I1043" s="108" t="n"/>
      <c r="J1043" s="108" t="n"/>
      <c r="K1043" s="108" t="n"/>
      <c r="L1043" s="119">
        <f>IF($E1043="","",DATE(YEAR($E1043),MONTH($E1043),1))</f>
        <v/>
      </c>
      <c r="M1043" s="112">
        <f>IF($C1043="","",IF($D1043="TANIMSIZ MÜŞTERİ","HATA",IF(OR($E1043="",$F1043&lt;=0,$G1043=""),"EKSİK",IF($E1043&gt;TODAY(),"İLERİ TARİH","UYGUN"))))</f>
        <v/>
      </c>
      <c r="N1043" s="6" t="n"/>
      <c r="O1043" s="6" t="n"/>
    </row>
    <row r="1044">
      <c r="A1044" s="6" t="n"/>
      <c r="B1044" s="112">
        <f>IF($C1044="","","T"&amp;TEXT(ROW()-6,"00000"))</f>
        <v/>
      </c>
      <c r="C1044" s="107" t="n"/>
      <c r="D1044" s="113">
        <f>IF($C1044="","",IFERROR(INDEX(MUSTERILER!$C$7:$C$106,MATCH($C1044,MUSTERILER!$B$7:$B$106,0)),"TANIMSIZ MÜŞTERİ"))</f>
        <v/>
      </c>
      <c r="E1044" s="114" t="n"/>
      <c r="F1044" s="115" t="n"/>
      <c r="G1044" s="107" t="n"/>
      <c r="H1044" s="107" t="n"/>
      <c r="I1044" s="108" t="n"/>
      <c r="J1044" s="108" t="n"/>
      <c r="K1044" s="108" t="n"/>
      <c r="L1044" s="119">
        <f>IF($E1044="","",DATE(YEAR($E1044),MONTH($E1044),1))</f>
        <v/>
      </c>
      <c r="M1044" s="112">
        <f>IF($C1044="","",IF($D1044="TANIMSIZ MÜŞTERİ","HATA",IF(OR($E1044="",$F1044&lt;=0,$G1044=""),"EKSİK",IF($E1044&gt;TODAY(),"İLERİ TARİH","UYGUN"))))</f>
        <v/>
      </c>
      <c r="N1044" s="6" t="n"/>
      <c r="O1044" s="6" t="n"/>
    </row>
    <row r="1045">
      <c r="A1045" s="6" t="n"/>
      <c r="B1045" s="112">
        <f>IF($C1045="","","T"&amp;TEXT(ROW()-6,"00000"))</f>
        <v/>
      </c>
      <c r="C1045" s="107" t="n"/>
      <c r="D1045" s="113">
        <f>IF($C1045="","",IFERROR(INDEX(MUSTERILER!$C$7:$C$106,MATCH($C1045,MUSTERILER!$B$7:$B$106,0)),"TANIMSIZ MÜŞTERİ"))</f>
        <v/>
      </c>
      <c r="E1045" s="114" t="n"/>
      <c r="F1045" s="115" t="n"/>
      <c r="G1045" s="107" t="n"/>
      <c r="H1045" s="107" t="n"/>
      <c r="I1045" s="108" t="n"/>
      <c r="J1045" s="108" t="n"/>
      <c r="K1045" s="108" t="n"/>
      <c r="L1045" s="119">
        <f>IF($E1045="","",DATE(YEAR($E1045),MONTH($E1045),1))</f>
        <v/>
      </c>
      <c r="M1045" s="112">
        <f>IF($C1045="","",IF($D1045="TANIMSIZ MÜŞTERİ","HATA",IF(OR($E1045="",$F1045&lt;=0,$G1045=""),"EKSİK",IF($E1045&gt;TODAY(),"İLERİ TARİH","UYGUN"))))</f>
        <v/>
      </c>
      <c r="N1045" s="6" t="n"/>
      <c r="O1045" s="6" t="n"/>
    </row>
    <row r="1046">
      <c r="A1046" s="6" t="n"/>
      <c r="B1046" s="112">
        <f>IF($C1046="","","T"&amp;TEXT(ROW()-6,"00000"))</f>
        <v/>
      </c>
      <c r="C1046" s="107" t="n"/>
      <c r="D1046" s="113">
        <f>IF($C1046="","",IFERROR(INDEX(MUSTERILER!$C$7:$C$106,MATCH($C1046,MUSTERILER!$B$7:$B$106,0)),"TANIMSIZ MÜŞTERİ"))</f>
        <v/>
      </c>
      <c r="E1046" s="114" t="n"/>
      <c r="F1046" s="115" t="n"/>
      <c r="G1046" s="107" t="n"/>
      <c r="H1046" s="107" t="n"/>
      <c r="I1046" s="108" t="n"/>
      <c r="J1046" s="108" t="n"/>
      <c r="K1046" s="108" t="n"/>
      <c r="L1046" s="119">
        <f>IF($E1046="","",DATE(YEAR($E1046),MONTH($E1046),1))</f>
        <v/>
      </c>
      <c r="M1046" s="112">
        <f>IF($C1046="","",IF($D1046="TANIMSIZ MÜŞTERİ","HATA",IF(OR($E1046="",$F1046&lt;=0,$G1046=""),"EKSİK",IF($E1046&gt;TODAY(),"İLERİ TARİH","UYGUN"))))</f>
        <v/>
      </c>
      <c r="N1046" s="6" t="n"/>
      <c r="O1046" s="6" t="n"/>
    </row>
    <row r="1047">
      <c r="A1047" s="6" t="n"/>
      <c r="B1047" s="112">
        <f>IF($C1047="","","T"&amp;TEXT(ROW()-6,"00000"))</f>
        <v/>
      </c>
      <c r="C1047" s="107" t="n"/>
      <c r="D1047" s="113">
        <f>IF($C1047="","",IFERROR(INDEX(MUSTERILER!$C$7:$C$106,MATCH($C1047,MUSTERILER!$B$7:$B$106,0)),"TANIMSIZ MÜŞTERİ"))</f>
        <v/>
      </c>
      <c r="E1047" s="114" t="n"/>
      <c r="F1047" s="115" t="n"/>
      <c r="G1047" s="107" t="n"/>
      <c r="H1047" s="107" t="n"/>
      <c r="I1047" s="108" t="n"/>
      <c r="J1047" s="108" t="n"/>
      <c r="K1047" s="108" t="n"/>
      <c r="L1047" s="119">
        <f>IF($E1047="","",DATE(YEAR($E1047),MONTH($E1047),1))</f>
        <v/>
      </c>
      <c r="M1047" s="112">
        <f>IF($C1047="","",IF($D1047="TANIMSIZ MÜŞTERİ","HATA",IF(OR($E1047="",$F1047&lt;=0,$G1047=""),"EKSİK",IF($E1047&gt;TODAY(),"İLERİ TARİH","UYGUN"))))</f>
        <v/>
      </c>
      <c r="N1047" s="6" t="n"/>
      <c r="O1047" s="6" t="n"/>
    </row>
    <row r="1048">
      <c r="A1048" s="6" t="n"/>
      <c r="B1048" s="112">
        <f>IF($C1048="","","T"&amp;TEXT(ROW()-6,"00000"))</f>
        <v/>
      </c>
      <c r="C1048" s="107" t="n"/>
      <c r="D1048" s="113">
        <f>IF($C1048="","",IFERROR(INDEX(MUSTERILER!$C$7:$C$106,MATCH($C1048,MUSTERILER!$B$7:$B$106,0)),"TANIMSIZ MÜŞTERİ"))</f>
        <v/>
      </c>
      <c r="E1048" s="114" t="n"/>
      <c r="F1048" s="115" t="n"/>
      <c r="G1048" s="107" t="n"/>
      <c r="H1048" s="107" t="n"/>
      <c r="I1048" s="108" t="n"/>
      <c r="J1048" s="108" t="n"/>
      <c r="K1048" s="108" t="n"/>
      <c r="L1048" s="119">
        <f>IF($E1048="","",DATE(YEAR($E1048),MONTH($E1048),1))</f>
        <v/>
      </c>
      <c r="M1048" s="112">
        <f>IF($C1048="","",IF($D1048="TANIMSIZ MÜŞTERİ","HATA",IF(OR($E1048="",$F1048&lt;=0,$G1048=""),"EKSİK",IF($E1048&gt;TODAY(),"İLERİ TARİH","UYGUN"))))</f>
        <v/>
      </c>
      <c r="N1048" s="6" t="n"/>
      <c r="O1048" s="6" t="n"/>
    </row>
    <row r="1049">
      <c r="A1049" s="6" t="n"/>
      <c r="B1049" s="112">
        <f>IF($C1049="","","T"&amp;TEXT(ROW()-6,"00000"))</f>
        <v/>
      </c>
      <c r="C1049" s="107" t="n"/>
      <c r="D1049" s="113">
        <f>IF($C1049="","",IFERROR(INDEX(MUSTERILER!$C$7:$C$106,MATCH($C1049,MUSTERILER!$B$7:$B$106,0)),"TANIMSIZ MÜŞTERİ"))</f>
        <v/>
      </c>
      <c r="E1049" s="114" t="n"/>
      <c r="F1049" s="115" t="n"/>
      <c r="G1049" s="107" t="n"/>
      <c r="H1049" s="107" t="n"/>
      <c r="I1049" s="108" t="n"/>
      <c r="J1049" s="108" t="n"/>
      <c r="K1049" s="108" t="n"/>
      <c r="L1049" s="119">
        <f>IF($E1049="","",DATE(YEAR($E1049),MONTH($E1049),1))</f>
        <v/>
      </c>
      <c r="M1049" s="112">
        <f>IF($C1049="","",IF($D1049="TANIMSIZ MÜŞTERİ","HATA",IF(OR($E1049="",$F1049&lt;=0,$G1049=""),"EKSİK",IF($E1049&gt;TODAY(),"İLERİ TARİH","UYGUN"))))</f>
        <v/>
      </c>
      <c r="N1049" s="6" t="n"/>
      <c r="O1049" s="6" t="n"/>
    </row>
    <row r="1050">
      <c r="A1050" s="6" t="n"/>
      <c r="B1050" s="112">
        <f>IF($C1050="","","T"&amp;TEXT(ROW()-6,"00000"))</f>
        <v/>
      </c>
      <c r="C1050" s="107" t="n"/>
      <c r="D1050" s="113">
        <f>IF($C1050="","",IFERROR(INDEX(MUSTERILER!$C$7:$C$106,MATCH($C1050,MUSTERILER!$B$7:$B$106,0)),"TANIMSIZ MÜŞTERİ"))</f>
        <v/>
      </c>
      <c r="E1050" s="114" t="n"/>
      <c r="F1050" s="115" t="n"/>
      <c r="G1050" s="107" t="n"/>
      <c r="H1050" s="107" t="n"/>
      <c r="I1050" s="108" t="n"/>
      <c r="J1050" s="108" t="n"/>
      <c r="K1050" s="108" t="n"/>
      <c r="L1050" s="119">
        <f>IF($E1050="","",DATE(YEAR($E1050),MONTH($E1050),1))</f>
        <v/>
      </c>
      <c r="M1050" s="112">
        <f>IF($C1050="","",IF($D1050="TANIMSIZ MÜŞTERİ","HATA",IF(OR($E1050="",$F1050&lt;=0,$G1050=""),"EKSİK",IF($E1050&gt;TODAY(),"İLERİ TARİH","UYGUN"))))</f>
        <v/>
      </c>
      <c r="N1050" s="6" t="n"/>
      <c r="O1050" s="6" t="n"/>
    </row>
    <row r="1051">
      <c r="A1051" s="6" t="n"/>
      <c r="B1051" s="112">
        <f>IF($C1051="","","T"&amp;TEXT(ROW()-6,"00000"))</f>
        <v/>
      </c>
      <c r="C1051" s="107" t="n"/>
      <c r="D1051" s="113">
        <f>IF($C1051="","",IFERROR(INDEX(MUSTERILER!$C$7:$C$106,MATCH($C1051,MUSTERILER!$B$7:$B$106,0)),"TANIMSIZ MÜŞTERİ"))</f>
        <v/>
      </c>
      <c r="E1051" s="114" t="n"/>
      <c r="F1051" s="115" t="n"/>
      <c r="G1051" s="107" t="n"/>
      <c r="H1051" s="107" t="n"/>
      <c r="I1051" s="108" t="n"/>
      <c r="J1051" s="108" t="n"/>
      <c r="K1051" s="108" t="n"/>
      <c r="L1051" s="119">
        <f>IF($E1051="","",DATE(YEAR($E1051),MONTH($E1051),1))</f>
        <v/>
      </c>
      <c r="M1051" s="112">
        <f>IF($C1051="","",IF($D1051="TANIMSIZ MÜŞTERİ","HATA",IF(OR($E1051="",$F1051&lt;=0,$G1051=""),"EKSİK",IF($E1051&gt;TODAY(),"İLERİ TARİH","UYGUN"))))</f>
        <v/>
      </c>
      <c r="N1051" s="6" t="n"/>
      <c r="O1051" s="6" t="n"/>
    </row>
    <row r="1052">
      <c r="A1052" s="6" t="n"/>
      <c r="B1052" s="112">
        <f>IF($C1052="","","T"&amp;TEXT(ROW()-6,"00000"))</f>
        <v/>
      </c>
      <c r="C1052" s="107" t="n"/>
      <c r="D1052" s="113">
        <f>IF($C1052="","",IFERROR(INDEX(MUSTERILER!$C$7:$C$106,MATCH($C1052,MUSTERILER!$B$7:$B$106,0)),"TANIMSIZ MÜŞTERİ"))</f>
        <v/>
      </c>
      <c r="E1052" s="114" t="n"/>
      <c r="F1052" s="115" t="n"/>
      <c r="G1052" s="107" t="n"/>
      <c r="H1052" s="107" t="n"/>
      <c r="I1052" s="108" t="n"/>
      <c r="J1052" s="108" t="n"/>
      <c r="K1052" s="108" t="n"/>
      <c r="L1052" s="119">
        <f>IF($E1052="","",DATE(YEAR($E1052),MONTH($E1052),1))</f>
        <v/>
      </c>
      <c r="M1052" s="112">
        <f>IF($C1052="","",IF($D1052="TANIMSIZ MÜŞTERİ","HATA",IF(OR($E1052="",$F1052&lt;=0,$G1052=""),"EKSİK",IF($E1052&gt;TODAY(),"İLERİ TARİH","UYGUN"))))</f>
        <v/>
      </c>
      <c r="N1052" s="6" t="n"/>
      <c r="O1052" s="6" t="n"/>
    </row>
    <row r="1053">
      <c r="A1053" s="6" t="n"/>
      <c r="B1053" s="112">
        <f>IF($C1053="","","T"&amp;TEXT(ROW()-6,"00000"))</f>
        <v/>
      </c>
      <c r="C1053" s="107" t="n"/>
      <c r="D1053" s="113">
        <f>IF($C1053="","",IFERROR(INDEX(MUSTERILER!$C$7:$C$106,MATCH($C1053,MUSTERILER!$B$7:$B$106,0)),"TANIMSIZ MÜŞTERİ"))</f>
        <v/>
      </c>
      <c r="E1053" s="114" t="n"/>
      <c r="F1053" s="115" t="n"/>
      <c r="G1053" s="107" t="n"/>
      <c r="H1053" s="107" t="n"/>
      <c r="I1053" s="108" t="n"/>
      <c r="J1053" s="108" t="n"/>
      <c r="K1053" s="108" t="n"/>
      <c r="L1053" s="119">
        <f>IF($E1053="","",DATE(YEAR($E1053),MONTH($E1053),1))</f>
        <v/>
      </c>
      <c r="M1053" s="112">
        <f>IF($C1053="","",IF($D1053="TANIMSIZ MÜŞTERİ","HATA",IF(OR($E1053="",$F1053&lt;=0,$G1053=""),"EKSİK",IF($E1053&gt;TODAY(),"İLERİ TARİH","UYGUN"))))</f>
        <v/>
      </c>
      <c r="N1053" s="6" t="n"/>
      <c r="O1053" s="6" t="n"/>
    </row>
    <row r="1054">
      <c r="A1054" s="6" t="n"/>
      <c r="B1054" s="112">
        <f>IF($C1054="","","T"&amp;TEXT(ROW()-6,"00000"))</f>
        <v/>
      </c>
      <c r="C1054" s="107" t="n"/>
      <c r="D1054" s="113">
        <f>IF($C1054="","",IFERROR(INDEX(MUSTERILER!$C$7:$C$106,MATCH($C1054,MUSTERILER!$B$7:$B$106,0)),"TANIMSIZ MÜŞTERİ"))</f>
        <v/>
      </c>
      <c r="E1054" s="114" t="n"/>
      <c r="F1054" s="115" t="n"/>
      <c r="G1054" s="107" t="n"/>
      <c r="H1054" s="107" t="n"/>
      <c r="I1054" s="108" t="n"/>
      <c r="J1054" s="108" t="n"/>
      <c r="K1054" s="108" t="n"/>
      <c r="L1054" s="119">
        <f>IF($E1054="","",DATE(YEAR($E1054),MONTH($E1054),1))</f>
        <v/>
      </c>
      <c r="M1054" s="112">
        <f>IF($C1054="","",IF($D1054="TANIMSIZ MÜŞTERİ","HATA",IF(OR($E1054="",$F1054&lt;=0,$G1054=""),"EKSİK",IF($E1054&gt;TODAY(),"İLERİ TARİH","UYGUN"))))</f>
        <v/>
      </c>
      <c r="N1054" s="6" t="n"/>
      <c r="O1054" s="6" t="n"/>
    </row>
    <row r="1055">
      <c r="A1055" s="6" t="n"/>
      <c r="B1055" s="112">
        <f>IF($C1055="","","T"&amp;TEXT(ROW()-6,"00000"))</f>
        <v/>
      </c>
      <c r="C1055" s="107" t="n"/>
      <c r="D1055" s="113">
        <f>IF($C1055="","",IFERROR(INDEX(MUSTERILER!$C$7:$C$106,MATCH($C1055,MUSTERILER!$B$7:$B$106,0)),"TANIMSIZ MÜŞTERİ"))</f>
        <v/>
      </c>
      <c r="E1055" s="114" t="n"/>
      <c r="F1055" s="115" t="n"/>
      <c r="G1055" s="107" t="n"/>
      <c r="H1055" s="107" t="n"/>
      <c r="I1055" s="108" t="n"/>
      <c r="J1055" s="108" t="n"/>
      <c r="K1055" s="108" t="n"/>
      <c r="L1055" s="119">
        <f>IF($E1055="","",DATE(YEAR($E1055),MONTH($E1055),1))</f>
        <v/>
      </c>
      <c r="M1055" s="112">
        <f>IF($C1055="","",IF($D1055="TANIMSIZ MÜŞTERİ","HATA",IF(OR($E1055="",$F1055&lt;=0,$G1055=""),"EKSİK",IF($E1055&gt;TODAY(),"İLERİ TARİH","UYGUN"))))</f>
        <v/>
      </c>
      <c r="N1055" s="6" t="n"/>
      <c r="O1055" s="6" t="n"/>
    </row>
    <row r="1056">
      <c r="A1056" s="6" t="n"/>
      <c r="B1056" s="112">
        <f>IF($C1056="","","T"&amp;TEXT(ROW()-6,"00000"))</f>
        <v/>
      </c>
      <c r="C1056" s="107" t="n"/>
      <c r="D1056" s="113">
        <f>IF($C1056="","",IFERROR(INDEX(MUSTERILER!$C$7:$C$106,MATCH($C1056,MUSTERILER!$B$7:$B$106,0)),"TANIMSIZ MÜŞTERİ"))</f>
        <v/>
      </c>
      <c r="E1056" s="114" t="n"/>
      <c r="F1056" s="115" t="n"/>
      <c r="G1056" s="107" t="n"/>
      <c r="H1056" s="107" t="n"/>
      <c r="I1056" s="108" t="n"/>
      <c r="J1056" s="108" t="n"/>
      <c r="K1056" s="108" t="n"/>
      <c r="L1056" s="119">
        <f>IF($E1056="","",DATE(YEAR($E1056),MONTH($E1056),1))</f>
        <v/>
      </c>
      <c r="M1056" s="112">
        <f>IF($C1056="","",IF($D1056="TANIMSIZ MÜŞTERİ","HATA",IF(OR($E1056="",$F1056&lt;=0,$G1056=""),"EKSİK",IF($E1056&gt;TODAY(),"İLERİ TARİH","UYGUN"))))</f>
        <v/>
      </c>
      <c r="N1056" s="6" t="n"/>
      <c r="O1056" s="6" t="n"/>
    </row>
    <row r="1057">
      <c r="A1057" s="6" t="n"/>
      <c r="B1057" s="112">
        <f>IF($C1057="","","T"&amp;TEXT(ROW()-6,"00000"))</f>
        <v/>
      </c>
      <c r="C1057" s="107" t="n"/>
      <c r="D1057" s="113">
        <f>IF($C1057="","",IFERROR(INDEX(MUSTERILER!$C$7:$C$106,MATCH($C1057,MUSTERILER!$B$7:$B$106,0)),"TANIMSIZ MÜŞTERİ"))</f>
        <v/>
      </c>
      <c r="E1057" s="114" t="n"/>
      <c r="F1057" s="115" t="n"/>
      <c r="G1057" s="107" t="n"/>
      <c r="H1057" s="107" t="n"/>
      <c r="I1057" s="108" t="n"/>
      <c r="J1057" s="108" t="n"/>
      <c r="K1057" s="108" t="n"/>
      <c r="L1057" s="119">
        <f>IF($E1057="","",DATE(YEAR($E1057),MONTH($E1057),1))</f>
        <v/>
      </c>
      <c r="M1057" s="112">
        <f>IF($C1057="","",IF($D1057="TANIMSIZ MÜŞTERİ","HATA",IF(OR($E1057="",$F1057&lt;=0,$G1057=""),"EKSİK",IF($E1057&gt;TODAY(),"İLERİ TARİH","UYGUN"))))</f>
        <v/>
      </c>
      <c r="N1057" s="6" t="n"/>
      <c r="O1057" s="6" t="n"/>
    </row>
    <row r="1058">
      <c r="A1058" s="6" t="n"/>
      <c r="B1058" s="112">
        <f>IF($C1058="","","T"&amp;TEXT(ROW()-6,"00000"))</f>
        <v/>
      </c>
      <c r="C1058" s="107" t="n"/>
      <c r="D1058" s="113">
        <f>IF($C1058="","",IFERROR(INDEX(MUSTERILER!$C$7:$C$106,MATCH($C1058,MUSTERILER!$B$7:$B$106,0)),"TANIMSIZ MÜŞTERİ"))</f>
        <v/>
      </c>
      <c r="E1058" s="114" t="n"/>
      <c r="F1058" s="115" t="n"/>
      <c r="G1058" s="107" t="n"/>
      <c r="H1058" s="107" t="n"/>
      <c r="I1058" s="108" t="n"/>
      <c r="J1058" s="108" t="n"/>
      <c r="K1058" s="108" t="n"/>
      <c r="L1058" s="119">
        <f>IF($E1058="","",DATE(YEAR($E1058),MONTH($E1058),1))</f>
        <v/>
      </c>
      <c r="M1058" s="112">
        <f>IF($C1058="","",IF($D1058="TANIMSIZ MÜŞTERİ","HATA",IF(OR($E1058="",$F1058&lt;=0,$G1058=""),"EKSİK",IF($E1058&gt;TODAY(),"İLERİ TARİH","UYGUN"))))</f>
        <v/>
      </c>
      <c r="N1058" s="6" t="n"/>
      <c r="O1058" s="6" t="n"/>
    </row>
    <row r="1059">
      <c r="A1059" s="6" t="n"/>
      <c r="B1059" s="112">
        <f>IF($C1059="","","T"&amp;TEXT(ROW()-6,"00000"))</f>
        <v/>
      </c>
      <c r="C1059" s="107" t="n"/>
      <c r="D1059" s="113">
        <f>IF($C1059="","",IFERROR(INDEX(MUSTERILER!$C$7:$C$106,MATCH($C1059,MUSTERILER!$B$7:$B$106,0)),"TANIMSIZ MÜŞTERİ"))</f>
        <v/>
      </c>
      <c r="E1059" s="114" t="n"/>
      <c r="F1059" s="115" t="n"/>
      <c r="G1059" s="107" t="n"/>
      <c r="H1059" s="107" t="n"/>
      <c r="I1059" s="108" t="n"/>
      <c r="J1059" s="108" t="n"/>
      <c r="K1059" s="108" t="n"/>
      <c r="L1059" s="119">
        <f>IF($E1059="","",DATE(YEAR($E1059),MONTH($E1059),1))</f>
        <v/>
      </c>
      <c r="M1059" s="112">
        <f>IF($C1059="","",IF($D1059="TANIMSIZ MÜŞTERİ","HATA",IF(OR($E1059="",$F1059&lt;=0,$G1059=""),"EKSİK",IF($E1059&gt;TODAY(),"İLERİ TARİH","UYGUN"))))</f>
        <v/>
      </c>
      <c r="N1059" s="6" t="n"/>
      <c r="O1059" s="6" t="n"/>
    </row>
    <row r="1060">
      <c r="A1060" s="6" t="n"/>
      <c r="B1060" s="112">
        <f>IF($C1060="","","T"&amp;TEXT(ROW()-6,"00000"))</f>
        <v/>
      </c>
      <c r="C1060" s="107" t="n"/>
      <c r="D1060" s="113">
        <f>IF($C1060="","",IFERROR(INDEX(MUSTERILER!$C$7:$C$106,MATCH($C1060,MUSTERILER!$B$7:$B$106,0)),"TANIMSIZ MÜŞTERİ"))</f>
        <v/>
      </c>
      <c r="E1060" s="114" t="n"/>
      <c r="F1060" s="115" t="n"/>
      <c r="G1060" s="107" t="n"/>
      <c r="H1060" s="107" t="n"/>
      <c r="I1060" s="108" t="n"/>
      <c r="J1060" s="108" t="n"/>
      <c r="K1060" s="108" t="n"/>
      <c r="L1060" s="119">
        <f>IF($E1060="","",DATE(YEAR($E1060),MONTH($E1060),1))</f>
        <v/>
      </c>
      <c r="M1060" s="112">
        <f>IF($C1060="","",IF($D1060="TANIMSIZ MÜŞTERİ","HATA",IF(OR($E1060="",$F1060&lt;=0,$G1060=""),"EKSİK",IF($E1060&gt;TODAY(),"İLERİ TARİH","UYGUN"))))</f>
        <v/>
      </c>
      <c r="N1060" s="6" t="n"/>
      <c r="O1060" s="6" t="n"/>
    </row>
    <row r="1061">
      <c r="A1061" s="6" t="n"/>
      <c r="B1061" s="112">
        <f>IF($C1061="","","T"&amp;TEXT(ROW()-6,"00000"))</f>
        <v/>
      </c>
      <c r="C1061" s="107" t="n"/>
      <c r="D1061" s="113">
        <f>IF($C1061="","",IFERROR(INDEX(MUSTERILER!$C$7:$C$106,MATCH($C1061,MUSTERILER!$B$7:$B$106,0)),"TANIMSIZ MÜŞTERİ"))</f>
        <v/>
      </c>
      <c r="E1061" s="114" t="n"/>
      <c r="F1061" s="115" t="n"/>
      <c r="G1061" s="107" t="n"/>
      <c r="H1061" s="107" t="n"/>
      <c r="I1061" s="108" t="n"/>
      <c r="J1061" s="108" t="n"/>
      <c r="K1061" s="108" t="n"/>
      <c r="L1061" s="119">
        <f>IF($E1061="","",DATE(YEAR($E1061),MONTH($E1061),1))</f>
        <v/>
      </c>
      <c r="M1061" s="112">
        <f>IF($C1061="","",IF($D1061="TANIMSIZ MÜŞTERİ","HATA",IF(OR($E1061="",$F1061&lt;=0,$G1061=""),"EKSİK",IF($E1061&gt;TODAY(),"İLERİ TARİH","UYGUN"))))</f>
        <v/>
      </c>
      <c r="N1061" s="6" t="n"/>
      <c r="O1061" s="6" t="n"/>
    </row>
    <row r="1062">
      <c r="A1062" s="6" t="n"/>
      <c r="B1062" s="112">
        <f>IF($C1062="","","T"&amp;TEXT(ROW()-6,"00000"))</f>
        <v/>
      </c>
      <c r="C1062" s="107" t="n"/>
      <c r="D1062" s="113">
        <f>IF($C1062="","",IFERROR(INDEX(MUSTERILER!$C$7:$C$106,MATCH($C1062,MUSTERILER!$B$7:$B$106,0)),"TANIMSIZ MÜŞTERİ"))</f>
        <v/>
      </c>
      <c r="E1062" s="114" t="n"/>
      <c r="F1062" s="115" t="n"/>
      <c r="G1062" s="107" t="n"/>
      <c r="H1062" s="107" t="n"/>
      <c r="I1062" s="108" t="n"/>
      <c r="J1062" s="108" t="n"/>
      <c r="K1062" s="108" t="n"/>
      <c r="L1062" s="119">
        <f>IF($E1062="","",DATE(YEAR($E1062),MONTH($E1062),1))</f>
        <v/>
      </c>
      <c r="M1062" s="112">
        <f>IF($C1062="","",IF($D1062="TANIMSIZ MÜŞTERİ","HATA",IF(OR($E1062="",$F1062&lt;=0,$G1062=""),"EKSİK",IF($E1062&gt;TODAY(),"İLERİ TARİH","UYGUN"))))</f>
        <v/>
      </c>
      <c r="N1062" s="6" t="n"/>
      <c r="O1062" s="6" t="n"/>
    </row>
    <row r="1063">
      <c r="A1063" s="6" t="n"/>
      <c r="B1063" s="112">
        <f>IF($C1063="","","T"&amp;TEXT(ROW()-6,"00000"))</f>
        <v/>
      </c>
      <c r="C1063" s="107" t="n"/>
      <c r="D1063" s="113">
        <f>IF($C1063="","",IFERROR(INDEX(MUSTERILER!$C$7:$C$106,MATCH($C1063,MUSTERILER!$B$7:$B$106,0)),"TANIMSIZ MÜŞTERİ"))</f>
        <v/>
      </c>
      <c r="E1063" s="114" t="n"/>
      <c r="F1063" s="115" t="n"/>
      <c r="G1063" s="107" t="n"/>
      <c r="H1063" s="107" t="n"/>
      <c r="I1063" s="108" t="n"/>
      <c r="J1063" s="108" t="n"/>
      <c r="K1063" s="108" t="n"/>
      <c r="L1063" s="119">
        <f>IF($E1063="","",DATE(YEAR($E1063),MONTH($E1063),1))</f>
        <v/>
      </c>
      <c r="M1063" s="112">
        <f>IF($C1063="","",IF($D1063="TANIMSIZ MÜŞTERİ","HATA",IF(OR($E1063="",$F1063&lt;=0,$G1063=""),"EKSİK",IF($E1063&gt;TODAY(),"İLERİ TARİH","UYGUN"))))</f>
        <v/>
      </c>
      <c r="N1063" s="6" t="n"/>
      <c r="O1063" s="6" t="n"/>
    </row>
    <row r="1064">
      <c r="A1064" s="6" t="n"/>
      <c r="B1064" s="112">
        <f>IF($C1064="","","T"&amp;TEXT(ROW()-6,"00000"))</f>
        <v/>
      </c>
      <c r="C1064" s="107" t="n"/>
      <c r="D1064" s="113">
        <f>IF($C1064="","",IFERROR(INDEX(MUSTERILER!$C$7:$C$106,MATCH($C1064,MUSTERILER!$B$7:$B$106,0)),"TANIMSIZ MÜŞTERİ"))</f>
        <v/>
      </c>
      <c r="E1064" s="114" t="n"/>
      <c r="F1064" s="115" t="n"/>
      <c r="G1064" s="107" t="n"/>
      <c r="H1064" s="107" t="n"/>
      <c r="I1064" s="108" t="n"/>
      <c r="J1064" s="108" t="n"/>
      <c r="K1064" s="108" t="n"/>
      <c r="L1064" s="119">
        <f>IF($E1064="","",DATE(YEAR($E1064),MONTH($E1064),1))</f>
        <v/>
      </c>
      <c r="M1064" s="112">
        <f>IF($C1064="","",IF($D1064="TANIMSIZ MÜŞTERİ","HATA",IF(OR($E1064="",$F1064&lt;=0,$G1064=""),"EKSİK",IF($E1064&gt;TODAY(),"İLERİ TARİH","UYGUN"))))</f>
        <v/>
      </c>
      <c r="N1064" s="6" t="n"/>
      <c r="O1064" s="6" t="n"/>
    </row>
    <row r="1065">
      <c r="A1065" s="6" t="n"/>
      <c r="B1065" s="112">
        <f>IF($C1065="","","T"&amp;TEXT(ROW()-6,"00000"))</f>
        <v/>
      </c>
      <c r="C1065" s="107" t="n"/>
      <c r="D1065" s="113">
        <f>IF($C1065="","",IFERROR(INDEX(MUSTERILER!$C$7:$C$106,MATCH($C1065,MUSTERILER!$B$7:$B$106,0)),"TANIMSIZ MÜŞTERİ"))</f>
        <v/>
      </c>
      <c r="E1065" s="114" t="n"/>
      <c r="F1065" s="115" t="n"/>
      <c r="G1065" s="107" t="n"/>
      <c r="H1065" s="107" t="n"/>
      <c r="I1065" s="108" t="n"/>
      <c r="J1065" s="108" t="n"/>
      <c r="K1065" s="108" t="n"/>
      <c r="L1065" s="119">
        <f>IF($E1065="","",DATE(YEAR($E1065),MONTH($E1065),1))</f>
        <v/>
      </c>
      <c r="M1065" s="112">
        <f>IF($C1065="","",IF($D1065="TANIMSIZ MÜŞTERİ","HATA",IF(OR($E1065="",$F1065&lt;=0,$G1065=""),"EKSİK",IF($E1065&gt;TODAY(),"İLERİ TARİH","UYGUN"))))</f>
        <v/>
      </c>
      <c r="N1065" s="6" t="n"/>
      <c r="O1065" s="6" t="n"/>
    </row>
    <row r="1066">
      <c r="A1066" s="6" t="n"/>
      <c r="B1066" s="112">
        <f>IF($C1066="","","T"&amp;TEXT(ROW()-6,"00000"))</f>
        <v/>
      </c>
      <c r="C1066" s="107" t="n"/>
      <c r="D1066" s="113">
        <f>IF($C1066="","",IFERROR(INDEX(MUSTERILER!$C$7:$C$106,MATCH($C1066,MUSTERILER!$B$7:$B$106,0)),"TANIMSIZ MÜŞTERİ"))</f>
        <v/>
      </c>
      <c r="E1066" s="114" t="n"/>
      <c r="F1066" s="115" t="n"/>
      <c r="G1066" s="107" t="n"/>
      <c r="H1066" s="107" t="n"/>
      <c r="I1066" s="108" t="n"/>
      <c r="J1066" s="108" t="n"/>
      <c r="K1066" s="108" t="n"/>
      <c r="L1066" s="119">
        <f>IF($E1066="","",DATE(YEAR($E1066),MONTH($E1066),1))</f>
        <v/>
      </c>
      <c r="M1066" s="112">
        <f>IF($C1066="","",IF($D1066="TANIMSIZ MÜŞTERİ","HATA",IF(OR($E1066="",$F1066&lt;=0,$G1066=""),"EKSİK",IF($E1066&gt;TODAY(),"İLERİ TARİH","UYGUN"))))</f>
        <v/>
      </c>
      <c r="N1066" s="6" t="n"/>
      <c r="O1066" s="6" t="n"/>
    </row>
    <row r="1067">
      <c r="A1067" s="6" t="n"/>
      <c r="B1067" s="112">
        <f>IF($C1067="","","T"&amp;TEXT(ROW()-6,"00000"))</f>
        <v/>
      </c>
      <c r="C1067" s="107" t="n"/>
      <c r="D1067" s="113">
        <f>IF($C1067="","",IFERROR(INDEX(MUSTERILER!$C$7:$C$106,MATCH($C1067,MUSTERILER!$B$7:$B$106,0)),"TANIMSIZ MÜŞTERİ"))</f>
        <v/>
      </c>
      <c r="E1067" s="114" t="n"/>
      <c r="F1067" s="115" t="n"/>
      <c r="G1067" s="107" t="n"/>
      <c r="H1067" s="107" t="n"/>
      <c r="I1067" s="108" t="n"/>
      <c r="J1067" s="108" t="n"/>
      <c r="K1067" s="108" t="n"/>
      <c r="L1067" s="119">
        <f>IF($E1067="","",DATE(YEAR($E1067),MONTH($E1067),1))</f>
        <v/>
      </c>
      <c r="M1067" s="112">
        <f>IF($C1067="","",IF($D1067="TANIMSIZ MÜŞTERİ","HATA",IF(OR($E1067="",$F1067&lt;=0,$G1067=""),"EKSİK",IF($E1067&gt;TODAY(),"İLERİ TARİH","UYGUN"))))</f>
        <v/>
      </c>
      <c r="N1067" s="6" t="n"/>
      <c r="O1067" s="6" t="n"/>
    </row>
    <row r="1068">
      <c r="A1068" s="6" t="n"/>
      <c r="B1068" s="112">
        <f>IF($C1068="","","T"&amp;TEXT(ROW()-6,"00000"))</f>
        <v/>
      </c>
      <c r="C1068" s="107" t="n"/>
      <c r="D1068" s="113">
        <f>IF($C1068="","",IFERROR(INDEX(MUSTERILER!$C$7:$C$106,MATCH($C1068,MUSTERILER!$B$7:$B$106,0)),"TANIMSIZ MÜŞTERİ"))</f>
        <v/>
      </c>
      <c r="E1068" s="114" t="n"/>
      <c r="F1068" s="115" t="n"/>
      <c r="G1068" s="107" t="n"/>
      <c r="H1068" s="107" t="n"/>
      <c r="I1068" s="108" t="n"/>
      <c r="J1068" s="108" t="n"/>
      <c r="K1068" s="108" t="n"/>
      <c r="L1068" s="119">
        <f>IF($E1068="","",DATE(YEAR($E1068),MONTH($E1068),1))</f>
        <v/>
      </c>
      <c r="M1068" s="112">
        <f>IF($C1068="","",IF($D1068="TANIMSIZ MÜŞTERİ","HATA",IF(OR($E1068="",$F1068&lt;=0,$G1068=""),"EKSİK",IF($E1068&gt;TODAY(),"İLERİ TARİH","UYGUN"))))</f>
        <v/>
      </c>
      <c r="N1068" s="6" t="n"/>
      <c r="O1068" s="6" t="n"/>
    </row>
    <row r="1069">
      <c r="A1069" s="6" t="n"/>
      <c r="B1069" s="112">
        <f>IF($C1069="","","T"&amp;TEXT(ROW()-6,"00000"))</f>
        <v/>
      </c>
      <c r="C1069" s="107" t="n"/>
      <c r="D1069" s="113">
        <f>IF($C1069="","",IFERROR(INDEX(MUSTERILER!$C$7:$C$106,MATCH($C1069,MUSTERILER!$B$7:$B$106,0)),"TANIMSIZ MÜŞTERİ"))</f>
        <v/>
      </c>
      <c r="E1069" s="114" t="n"/>
      <c r="F1069" s="115" t="n"/>
      <c r="G1069" s="107" t="n"/>
      <c r="H1069" s="107" t="n"/>
      <c r="I1069" s="108" t="n"/>
      <c r="J1069" s="108" t="n"/>
      <c r="K1069" s="108" t="n"/>
      <c r="L1069" s="119">
        <f>IF($E1069="","",DATE(YEAR($E1069),MONTH($E1069),1))</f>
        <v/>
      </c>
      <c r="M1069" s="112">
        <f>IF($C1069="","",IF($D1069="TANIMSIZ MÜŞTERİ","HATA",IF(OR($E1069="",$F1069&lt;=0,$G1069=""),"EKSİK",IF($E1069&gt;TODAY(),"İLERİ TARİH","UYGUN"))))</f>
        <v/>
      </c>
      <c r="N1069" s="6" t="n"/>
      <c r="O1069" s="6" t="n"/>
    </row>
    <row r="1070">
      <c r="A1070" s="6" t="n"/>
      <c r="B1070" s="112">
        <f>IF($C1070="","","T"&amp;TEXT(ROW()-6,"00000"))</f>
        <v/>
      </c>
      <c r="C1070" s="107" t="n"/>
      <c r="D1070" s="113">
        <f>IF($C1070="","",IFERROR(INDEX(MUSTERILER!$C$7:$C$106,MATCH($C1070,MUSTERILER!$B$7:$B$106,0)),"TANIMSIZ MÜŞTERİ"))</f>
        <v/>
      </c>
      <c r="E1070" s="114" t="n"/>
      <c r="F1070" s="115" t="n"/>
      <c r="G1070" s="107" t="n"/>
      <c r="H1070" s="107" t="n"/>
      <c r="I1070" s="108" t="n"/>
      <c r="J1070" s="108" t="n"/>
      <c r="K1070" s="108" t="n"/>
      <c r="L1070" s="119">
        <f>IF($E1070="","",DATE(YEAR($E1070),MONTH($E1070),1))</f>
        <v/>
      </c>
      <c r="M1070" s="112">
        <f>IF($C1070="","",IF($D1070="TANIMSIZ MÜŞTERİ","HATA",IF(OR($E1070="",$F1070&lt;=0,$G1070=""),"EKSİK",IF($E1070&gt;TODAY(),"İLERİ TARİH","UYGUN"))))</f>
        <v/>
      </c>
      <c r="N1070" s="6" t="n"/>
      <c r="O1070" s="6" t="n"/>
    </row>
    <row r="1071">
      <c r="A1071" s="6" t="n"/>
      <c r="B1071" s="112">
        <f>IF($C1071="","","T"&amp;TEXT(ROW()-6,"00000"))</f>
        <v/>
      </c>
      <c r="C1071" s="107" t="n"/>
      <c r="D1071" s="113">
        <f>IF($C1071="","",IFERROR(INDEX(MUSTERILER!$C$7:$C$106,MATCH($C1071,MUSTERILER!$B$7:$B$106,0)),"TANIMSIZ MÜŞTERİ"))</f>
        <v/>
      </c>
      <c r="E1071" s="114" t="n"/>
      <c r="F1071" s="115" t="n"/>
      <c r="G1071" s="107" t="n"/>
      <c r="H1071" s="107" t="n"/>
      <c r="I1071" s="108" t="n"/>
      <c r="J1071" s="108" t="n"/>
      <c r="K1071" s="108" t="n"/>
      <c r="L1071" s="119">
        <f>IF($E1071="","",DATE(YEAR($E1071),MONTH($E1071),1))</f>
        <v/>
      </c>
      <c r="M1071" s="112">
        <f>IF($C1071="","",IF($D1071="TANIMSIZ MÜŞTERİ","HATA",IF(OR($E1071="",$F1071&lt;=0,$G1071=""),"EKSİK",IF($E1071&gt;TODAY(),"İLERİ TARİH","UYGUN"))))</f>
        <v/>
      </c>
      <c r="N1071" s="6" t="n"/>
      <c r="O1071" s="6" t="n"/>
    </row>
    <row r="1072">
      <c r="A1072" s="6" t="n"/>
      <c r="B1072" s="112">
        <f>IF($C1072="","","T"&amp;TEXT(ROW()-6,"00000"))</f>
        <v/>
      </c>
      <c r="C1072" s="107" t="n"/>
      <c r="D1072" s="113">
        <f>IF($C1072="","",IFERROR(INDEX(MUSTERILER!$C$7:$C$106,MATCH($C1072,MUSTERILER!$B$7:$B$106,0)),"TANIMSIZ MÜŞTERİ"))</f>
        <v/>
      </c>
      <c r="E1072" s="114" t="n"/>
      <c r="F1072" s="115" t="n"/>
      <c r="G1072" s="107" t="n"/>
      <c r="H1072" s="107" t="n"/>
      <c r="I1072" s="108" t="n"/>
      <c r="J1072" s="108" t="n"/>
      <c r="K1072" s="108" t="n"/>
      <c r="L1072" s="119">
        <f>IF($E1072="","",DATE(YEAR($E1072),MONTH($E1072),1))</f>
        <v/>
      </c>
      <c r="M1072" s="112">
        <f>IF($C1072="","",IF($D1072="TANIMSIZ MÜŞTERİ","HATA",IF(OR($E1072="",$F1072&lt;=0,$G1072=""),"EKSİK",IF($E1072&gt;TODAY(),"İLERİ TARİH","UYGUN"))))</f>
        <v/>
      </c>
      <c r="N1072" s="6" t="n"/>
      <c r="O1072" s="6" t="n"/>
    </row>
    <row r="1073">
      <c r="A1073" s="6" t="n"/>
      <c r="B1073" s="112">
        <f>IF($C1073="","","T"&amp;TEXT(ROW()-6,"00000"))</f>
        <v/>
      </c>
      <c r="C1073" s="107" t="n"/>
      <c r="D1073" s="113">
        <f>IF($C1073="","",IFERROR(INDEX(MUSTERILER!$C$7:$C$106,MATCH($C1073,MUSTERILER!$B$7:$B$106,0)),"TANIMSIZ MÜŞTERİ"))</f>
        <v/>
      </c>
      <c r="E1073" s="114" t="n"/>
      <c r="F1073" s="115" t="n"/>
      <c r="G1073" s="107" t="n"/>
      <c r="H1073" s="107" t="n"/>
      <c r="I1073" s="108" t="n"/>
      <c r="J1073" s="108" t="n"/>
      <c r="K1073" s="108" t="n"/>
      <c r="L1073" s="119">
        <f>IF($E1073="","",DATE(YEAR($E1073),MONTH($E1073),1))</f>
        <v/>
      </c>
      <c r="M1073" s="112">
        <f>IF($C1073="","",IF($D1073="TANIMSIZ MÜŞTERİ","HATA",IF(OR($E1073="",$F1073&lt;=0,$G1073=""),"EKSİK",IF($E1073&gt;TODAY(),"İLERİ TARİH","UYGUN"))))</f>
        <v/>
      </c>
      <c r="N1073" s="6" t="n"/>
      <c r="O1073" s="6" t="n"/>
    </row>
    <row r="1074">
      <c r="A1074" s="6" t="n"/>
      <c r="B1074" s="112">
        <f>IF($C1074="","","T"&amp;TEXT(ROW()-6,"00000"))</f>
        <v/>
      </c>
      <c r="C1074" s="107" t="n"/>
      <c r="D1074" s="113">
        <f>IF($C1074="","",IFERROR(INDEX(MUSTERILER!$C$7:$C$106,MATCH($C1074,MUSTERILER!$B$7:$B$106,0)),"TANIMSIZ MÜŞTERİ"))</f>
        <v/>
      </c>
      <c r="E1074" s="114" t="n"/>
      <c r="F1074" s="115" t="n"/>
      <c r="G1074" s="107" t="n"/>
      <c r="H1074" s="107" t="n"/>
      <c r="I1074" s="108" t="n"/>
      <c r="J1074" s="108" t="n"/>
      <c r="K1074" s="108" t="n"/>
      <c r="L1074" s="119">
        <f>IF($E1074="","",DATE(YEAR($E1074),MONTH($E1074),1))</f>
        <v/>
      </c>
      <c r="M1074" s="112">
        <f>IF($C1074="","",IF($D1074="TANIMSIZ MÜŞTERİ","HATA",IF(OR($E1074="",$F1074&lt;=0,$G1074=""),"EKSİK",IF($E1074&gt;TODAY(),"İLERİ TARİH","UYGUN"))))</f>
        <v/>
      </c>
      <c r="N1074" s="6" t="n"/>
      <c r="O1074" s="6" t="n"/>
    </row>
    <row r="1075">
      <c r="A1075" s="6" t="n"/>
      <c r="B1075" s="112">
        <f>IF($C1075="","","T"&amp;TEXT(ROW()-6,"00000"))</f>
        <v/>
      </c>
      <c r="C1075" s="107" t="n"/>
      <c r="D1075" s="113">
        <f>IF($C1075="","",IFERROR(INDEX(MUSTERILER!$C$7:$C$106,MATCH($C1075,MUSTERILER!$B$7:$B$106,0)),"TANIMSIZ MÜŞTERİ"))</f>
        <v/>
      </c>
      <c r="E1075" s="114" t="n"/>
      <c r="F1075" s="115" t="n"/>
      <c r="G1075" s="107" t="n"/>
      <c r="H1075" s="107" t="n"/>
      <c r="I1075" s="108" t="n"/>
      <c r="J1075" s="108" t="n"/>
      <c r="K1075" s="108" t="n"/>
      <c r="L1075" s="119">
        <f>IF($E1075="","",DATE(YEAR($E1075),MONTH($E1075),1))</f>
        <v/>
      </c>
      <c r="M1075" s="112">
        <f>IF($C1075="","",IF($D1075="TANIMSIZ MÜŞTERİ","HATA",IF(OR($E1075="",$F1075&lt;=0,$G1075=""),"EKSİK",IF($E1075&gt;TODAY(),"İLERİ TARİH","UYGUN"))))</f>
        <v/>
      </c>
      <c r="N1075" s="6" t="n"/>
      <c r="O1075" s="6" t="n"/>
    </row>
    <row r="1076">
      <c r="A1076" s="6" t="n"/>
      <c r="B1076" s="112">
        <f>IF($C1076="","","T"&amp;TEXT(ROW()-6,"00000"))</f>
        <v/>
      </c>
      <c r="C1076" s="107" t="n"/>
      <c r="D1076" s="113">
        <f>IF($C1076="","",IFERROR(INDEX(MUSTERILER!$C$7:$C$106,MATCH($C1076,MUSTERILER!$B$7:$B$106,0)),"TANIMSIZ MÜŞTERİ"))</f>
        <v/>
      </c>
      <c r="E1076" s="114" t="n"/>
      <c r="F1076" s="115" t="n"/>
      <c r="G1076" s="107" t="n"/>
      <c r="H1076" s="107" t="n"/>
      <c r="I1076" s="108" t="n"/>
      <c r="J1076" s="108" t="n"/>
      <c r="K1076" s="108" t="n"/>
      <c r="L1076" s="119">
        <f>IF($E1076="","",DATE(YEAR($E1076),MONTH($E1076),1))</f>
        <v/>
      </c>
      <c r="M1076" s="112">
        <f>IF($C1076="","",IF($D1076="TANIMSIZ MÜŞTERİ","HATA",IF(OR($E1076="",$F1076&lt;=0,$G1076=""),"EKSİK",IF($E1076&gt;TODAY(),"İLERİ TARİH","UYGUN"))))</f>
        <v/>
      </c>
      <c r="N1076" s="6" t="n"/>
      <c r="O1076" s="6" t="n"/>
    </row>
    <row r="1077">
      <c r="A1077" s="6" t="n"/>
      <c r="B1077" s="112">
        <f>IF($C1077="","","T"&amp;TEXT(ROW()-6,"00000"))</f>
        <v/>
      </c>
      <c r="C1077" s="107" t="n"/>
      <c r="D1077" s="113">
        <f>IF($C1077="","",IFERROR(INDEX(MUSTERILER!$C$7:$C$106,MATCH($C1077,MUSTERILER!$B$7:$B$106,0)),"TANIMSIZ MÜŞTERİ"))</f>
        <v/>
      </c>
      <c r="E1077" s="114" t="n"/>
      <c r="F1077" s="115" t="n"/>
      <c r="G1077" s="107" t="n"/>
      <c r="H1077" s="107" t="n"/>
      <c r="I1077" s="108" t="n"/>
      <c r="J1077" s="108" t="n"/>
      <c r="K1077" s="108" t="n"/>
      <c r="L1077" s="119">
        <f>IF($E1077="","",DATE(YEAR($E1077),MONTH($E1077),1))</f>
        <v/>
      </c>
      <c r="M1077" s="112">
        <f>IF($C1077="","",IF($D1077="TANIMSIZ MÜŞTERİ","HATA",IF(OR($E1077="",$F1077&lt;=0,$G1077=""),"EKSİK",IF($E1077&gt;TODAY(),"İLERİ TARİH","UYGUN"))))</f>
        <v/>
      </c>
      <c r="N1077" s="6" t="n"/>
      <c r="O1077" s="6" t="n"/>
    </row>
    <row r="1078">
      <c r="A1078" s="6" t="n"/>
      <c r="B1078" s="112">
        <f>IF($C1078="","","T"&amp;TEXT(ROW()-6,"00000"))</f>
        <v/>
      </c>
      <c r="C1078" s="107" t="n"/>
      <c r="D1078" s="113">
        <f>IF($C1078="","",IFERROR(INDEX(MUSTERILER!$C$7:$C$106,MATCH($C1078,MUSTERILER!$B$7:$B$106,0)),"TANIMSIZ MÜŞTERİ"))</f>
        <v/>
      </c>
      <c r="E1078" s="114" t="n"/>
      <c r="F1078" s="115" t="n"/>
      <c r="G1078" s="107" t="n"/>
      <c r="H1078" s="107" t="n"/>
      <c r="I1078" s="108" t="n"/>
      <c r="J1078" s="108" t="n"/>
      <c r="K1078" s="108" t="n"/>
      <c r="L1078" s="119">
        <f>IF($E1078="","",DATE(YEAR($E1078),MONTH($E1078),1))</f>
        <v/>
      </c>
      <c r="M1078" s="112">
        <f>IF($C1078="","",IF($D1078="TANIMSIZ MÜŞTERİ","HATA",IF(OR($E1078="",$F1078&lt;=0,$G1078=""),"EKSİK",IF($E1078&gt;TODAY(),"İLERİ TARİH","UYGUN"))))</f>
        <v/>
      </c>
      <c r="N1078" s="6" t="n"/>
      <c r="O1078" s="6" t="n"/>
    </row>
    <row r="1079">
      <c r="A1079" s="6" t="n"/>
      <c r="B1079" s="112">
        <f>IF($C1079="","","T"&amp;TEXT(ROW()-6,"00000"))</f>
        <v/>
      </c>
      <c r="C1079" s="107" t="n"/>
      <c r="D1079" s="113">
        <f>IF($C1079="","",IFERROR(INDEX(MUSTERILER!$C$7:$C$106,MATCH($C1079,MUSTERILER!$B$7:$B$106,0)),"TANIMSIZ MÜŞTERİ"))</f>
        <v/>
      </c>
      <c r="E1079" s="114" t="n"/>
      <c r="F1079" s="115" t="n"/>
      <c r="G1079" s="107" t="n"/>
      <c r="H1079" s="107" t="n"/>
      <c r="I1079" s="108" t="n"/>
      <c r="J1079" s="108" t="n"/>
      <c r="K1079" s="108" t="n"/>
      <c r="L1079" s="119">
        <f>IF($E1079="","",DATE(YEAR($E1079),MONTH($E1079),1))</f>
        <v/>
      </c>
      <c r="M1079" s="112">
        <f>IF($C1079="","",IF($D1079="TANIMSIZ MÜŞTERİ","HATA",IF(OR($E1079="",$F1079&lt;=0,$G1079=""),"EKSİK",IF($E1079&gt;TODAY(),"İLERİ TARİH","UYGUN"))))</f>
        <v/>
      </c>
      <c r="N1079" s="6" t="n"/>
      <c r="O1079" s="6" t="n"/>
    </row>
    <row r="1080">
      <c r="A1080" s="6" t="n"/>
      <c r="B1080" s="112">
        <f>IF($C1080="","","T"&amp;TEXT(ROW()-6,"00000"))</f>
        <v/>
      </c>
      <c r="C1080" s="107" t="n"/>
      <c r="D1080" s="113">
        <f>IF($C1080="","",IFERROR(INDEX(MUSTERILER!$C$7:$C$106,MATCH($C1080,MUSTERILER!$B$7:$B$106,0)),"TANIMSIZ MÜŞTERİ"))</f>
        <v/>
      </c>
      <c r="E1080" s="114" t="n"/>
      <c r="F1080" s="115" t="n"/>
      <c r="G1080" s="107" t="n"/>
      <c r="H1080" s="107" t="n"/>
      <c r="I1080" s="108" t="n"/>
      <c r="J1080" s="108" t="n"/>
      <c r="K1080" s="108" t="n"/>
      <c r="L1080" s="119">
        <f>IF($E1080="","",DATE(YEAR($E1080),MONTH($E1080),1))</f>
        <v/>
      </c>
      <c r="M1080" s="112">
        <f>IF($C1080="","",IF($D1080="TANIMSIZ MÜŞTERİ","HATA",IF(OR($E1080="",$F1080&lt;=0,$G1080=""),"EKSİK",IF($E1080&gt;TODAY(),"İLERİ TARİH","UYGUN"))))</f>
        <v/>
      </c>
      <c r="N1080" s="6" t="n"/>
      <c r="O1080" s="6" t="n"/>
    </row>
    <row r="1081">
      <c r="A1081" s="6" t="n"/>
      <c r="B1081" s="112">
        <f>IF($C1081="","","T"&amp;TEXT(ROW()-6,"00000"))</f>
        <v/>
      </c>
      <c r="C1081" s="107" t="n"/>
      <c r="D1081" s="113">
        <f>IF($C1081="","",IFERROR(INDEX(MUSTERILER!$C$7:$C$106,MATCH($C1081,MUSTERILER!$B$7:$B$106,0)),"TANIMSIZ MÜŞTERİ"))</f>
        <v/>
      </c>
      <c r="E1081" s="114" t="n"/>
      <c r="F1081" s="115" t="n"/>
      <c r="G1081" s="107" t="n"/>
      <c r="H1081" s="107" t="n"/>
      <c r="I1081" s="108" t="n"/>
      <c r="J1081" s="108" t="n"/>
      <c r="K1081" s="108" t="n"/>
      <c r="L1081" s="119">
        <f>IF($E1081="","",DATE(YEAR($E1081),MONTH($E1081),1))</f>
        <v/>
      </c>
      <c r="M1081" s="112">
        <f>IF($C1081="","",IF($D1081="TANIMSIZ MÜŞTERİ","HATA",IF(OR($E1081="",$F1081&lt;=0,$G1081=""),"EKSİK",IF($E1081&gt;TODAY(),"İLERİ TARİH","UYGUN"))))</f>
        <v/>
      </c>
      <c r="N1081" s="6" t="n"/>
      <c r="O1081" s="6" t="n"/>
    </row>
    <row r="1082">
      <c r="A1082" s="6" t="n"/>
      <c r="B1082" s="112">
        <f>IF($C1082="","","T"&amp;TEXT(ROW()-6,"00000"))</f>
        <v/>
      </c>
      <c r="C1082" s="107" t="n"/>
      <c r="D1082" s="113">
        <f>IF($C1082="","",IFERROR(INDEX(MUSTERILER!$C$7:$C$106,MATCH($C1082,MUSTERILER!$B$7:$B$106,0)),"TANIMSIZ MÜŞTERİ"))</f>
        <v/>
      </c>
      <c r="E1082" s="114" t="n"/>
      <c r="F1082" s="115" t="n"/>
      <c r="G1082" s="107" t="n"/>
      <c r="H1082" s="107" t="n"/>
      <c r="I1082" s="108" t="n"/>
      <c r="J1082" s="108" t="n"/>
      <c r="K1082" s="108" t="n"/>
      <c r="L1082" s="119">
        <f>IF($E1082="","",DATE(YEAR($E1082),MONTH($E1082),1))</f>
        <v/>
      </c>
      <c r="M1082" s="112">
        <f>IF($C1082="","",IF($D1082="TANIMSIZ MÜŞTERİ","HATA",IF(OR($E1082="",$F1082&lt;=0,$G1082=""),"EKSİK",IF($E1082&gt;TODAY(),"İLERİ TARİH","UYGUN"))))</f>
        <v/>
      </c>
      <c r="N1082" s="6" t="n"/>
      <c r="O1082" s="6" t="n"/>
    </row>
    <row r="1083">
      <c r="A1083" s="6" t="n"/>
      <c r="B1083" s="112">
        <f>IF($C1083="","","T"&amp;TEXT(ROW()-6,"00000"))</f>
        <v/>
      </c>
      <c r="C1083" s="107" t="n"/>
      <c r="D1083" s="113">
        <f>IF($C1083="","",IFERROR(INDEX(MUSTERILER!$C$7:$C$106,MATCH($C1083,MUSTERILER!$B$7:$B$106,0)),"TANIMSIZ MÜŞTERİ"))</f>
        <v/>
      </c>
      <c r="E1083" s="114" t="n"/>
      <c r="F1083" s="115" t="n"/>
      <c r="G1083" s="107" t="n"/>
      <c r="H1083" s="107" t="n"/>
      <c r="I1083" s="108" t="n"/>
      <c r="J1083" s="108" t="n"/>
      <c r="K1083" s="108" t="n"/>
      <c r="L1083" s="119">
        <f>IF($E1083="","",DATE(YEAR($E1083),MONTH($E1083),1))</f>
        <v/>
      </c>
      <c r="M1083" s="112">
        <f>IF($C1083="","",IF($D1083="TANIMSIZ MÜŞTERİ","HATA",IF(OR($E1083="",$F1083&lt;=0,$G1083=""),"EKSİK",IF($E1083&gt;TODAY(),"İLERİ TARİH","UYGUN"))))</f>
        <v/>
      </c>
      <c r="N1083" s="6" t="n"/>
      <c r="O1083" s="6" t="n"/>
    </row>
    <row r="1084">
      <c r="A1084" s="6" t="n"/>
      <c r="B1084" s="112">
        <f>IF($C1084="","","T"&amp;TEXT(ROW()-6,"00000"))</f>
        <v/>
      </c>
      <c r="C1084" s="107" t="n"/>
      <c r="D1084" s="113">
        <f>IF($C1084="","",IFERROR(INDEX(MUSTERILER!$C$7:$C$106,MATCH($C1084,MUSTERILER!$B$7:$B$106,0)),"TANIMSIZ MÜŞTERİ"))</f>
        <v/>
      </c>
      <c r="E1084" s="114" t="n"/>
      <c r="F1084" s="115" t="n"/>
      <c r="G1084" s="107" t="n"/>
      <c r="H1084" s="107" t="n"/>
      <c r="I1084" s="108" t="n"/>
      <c r="J1084" s="108" t="n"/>
      <c r="K1084" s="108" t="n"/>
      <c r="L1084" s="119">
        <f>IF($E1084="","",DATE(YEAR($E1084),MONTH($E1084),1))</f>
        <v/>
      </c>
      <c r="M1084" s="112">
        <f>IF($C1084="","",IF($D1084="TANIMSIZ MÜŞTERİ","HATA",IF(OR($E1084="",$F1084&lt;=0,$G1084=""),"EKSİK",IF($E1084&gt;TODAY(),"İLERİ TARİH","UYGUN"))))</f>
        <v/>
      </c>
      <c r="N1084" s="6" t="n"/>
      <c r="O1084" s="6" t="n"/>
    </row>
    <row r="1085">
      <c r="A1085" s="6" t="n"/>
      <c r="B1085" s="112">
        <f>IF($C1085="","","T"&amp;TEXT(ROW()-6,"00000"))</f>
        <v/>
      </c>
      <c r="C1085" s="107" t="n"/>
      <c r="D1085" s="113">
        <f>IF($C1085="","",IFERROR(INDEX(MUSTERILER!$C$7:$C$106,MATCH($C1085,MUSTERILER!$B$7:$B$106,0)),"TANIMSIZ MÜŞTERİ"))</f>
        <v/>
      </c>
      <c r="E1085" s="114" t="n"/>
      <c r="F1085" s="115" t="n"/>
      <c r="G1085" s="107" t="n"/>
      <c r="H1085" s="107" t="n"/>
      <c r="I1085" s="108" t="n"/>
      <c r="J1085" s="108" t="n"/>
      <c r="K1085" s="108" t="n"/>
      <c r="L1085" s="119">
        <f>IF($E1085="","",DATE(YEAR($E1085),MONTH($E1085),1))</f>
        <v/>
      </c>
      <c r="M1085" s="112">
        <f>IF($C1085="","",IF($D1085="TANIMSIZ MÜŞTERİ","HATA",IF(OR($E1085="",$F1085&lt;=0,$G1085=""),"EKSİK",IF($E1085&gt;TODAY(),"İLERİ TARİH","UYGUN"))))</f>
        <v/>
      </c>
      <c r="N1085" s="6" t="n"/>
      <c r="O1085" s="6" t="n"/>
    </row>
    <row r="1086">
      <c r="A1086" s="6" t="n"/>
      <c r="B1086" s="112">
        <f>IF($C1086="","","T"&amp;TEXT(ROW()-6,"00000"))</f>
        <v/>
      </c>
      <c r="C1086" s="107" t="n"/>
      <c r="D1086" s="113">
        <f>IF($C1086="","",IFERROR(INDEX(MUSTERILER!$C$7:$C$106,MATCH($C1086,MUSTERILER!$B$7:$B$106,0)),"TANIMSIZ MÜŞTERİ"))</f>
        <v/>
      </c>
      <c r="E1086" s="114" t="n"/>
      <c r="F1086" s="115" t="n"/>
      <c r="G1086" s="107" t="n"/>
      <c r="H1086" s="107" t="n"/>
      <c r="I1086" s="108" t="n"/>
      <c r="J1086" s="108" t="n"/>
      <c r="K1086" s="108" t="n"/>
      <c r="L1086" s="119">
        <f>IF($E1086="","",DATE(YEAR($E1086),MONTH($E1086),1))</f>
        <v/>
      </c>
      <c r="M1086" s="112">
        <f>IF($C1086="","",IF($D1086="TANIMSIZ MÜŞTERİ","HATA",IF(OR($E1086="",$F1086&lt;=0,$G1086=""),"EKSİK",IF($E1086&gt;TODAY(),"İLERİ TARİH","UYGUN"))))</f>
        <v/>
      </c>
      <c r="N1086" s="6" t="n"/>
      <c r="O1086" s="6" t="n"/>
    </row>
    <row r="1087">
      <c r="A1087" s="6" t="n"/>
      <c r="B1087" s="112">
        <f>IF($C1087="","","T"&amp;TEXT(ROW()-6,"00000"))</f>
        <v/>
      </c>
      <c r="C1087" s="107" t="n"/>
      <c r="D1087" s="113">
        <f>IF($C1087="","",IFERROR(INDEX(MUSTERILER!$C$7:$C$106,MATCH($C1087,MUSTERILER!$B$7:$B$106,0)),"TANIMSIZ MÜŞTERİ"))</f>
        <v/>
      </c>
      <c r="E1087" s="114" t="n"/>
      <c r="F1087" s="115" t="n"/>
      <c r="G1087" s="107" t="n"/>
      <c r="H1087" s="107" t="n"/>
      <c r="I1087" s="108" t="n"/>
      <c r="J1087" s="108" t="n"/>
      <c r="K1087" s="108" t="n"/>
      <c r="L1087" s="119">
        <f>IF($E1087="","",DATE(YEAR($E1087),MONTH($E1087),1))</f>
        <v/>
      </c>
      <c r="M1087" s="112">
        <f>IF($C1087="","",IF($D1087="TANIMSIZ MÜŞTERİ","HATA",IF(OR($E1087="",$F1087&lt;=0,$G1087=""),"EKSİK",IF($E1087&gt;TODAY(),"İLERİ TARİH","UYGUN"))))</f>
        <v/>
      </c>
      <c r="N1087" s="6" t="n"/>
      <c r="O1087" s="6" t="n"/>
    </row>
    <row r="1088">
      <c r="A1088" s="6" t="n"/>
      <c r="B1088" s="112">
        <f>IF($C1088="","","T"&amp;TEXT(ROW()-6,"00000"))</f>
        <v/>
      </c>
      <c r="C1088" s="107" t="n"/>
      <c r="D1088" s="113">
        <f>IF($C1088="","",IFERROR(INDEX(MUSTERILER!$C$7:$C$106,MATCH($C1088,MUSTERILER!$B$7:$B$106,0)),"TANIMSIZ MÜŞTERİ"))</f>
        <v/>
      </c>
      <c r="E1088" s="114" t="n"/>
      <c r="F1088" s="115" t="n"/>
      <c r="G1088" s="107" t="n"/>
      <c r="H1088" s="107" t="n"/>
      <c r="I1088" s="108" t="n"/>
      <c r="J1088" s="108" t="n"/>
      <c r="K1088" s="108" t="n"/>
      <c r="L1088" s="119">
        <f>IF($E1088="","",DATE(YEAR($E1088),MONTH($E1088),1))</f>
        <v/>
      </c>
      <c r="M1088" s="112">
        <f>IF($C1088="","",IF($D1088="TANIMSIZ MÜŞTERİ","HATA",IF(OR($E1088="",$F1088&lt;=0,$G1088=""),"EKSİK",IF($E1088&gt;TODAY(),"İLERİ TARİH","UYGUN"))))</f>
        <v/>
      </c>
      <c r="N1088" s="6" t="n"/>
      <c r="O1088" s="6" t="n"/>
    </row>
    <row r="1089">
      <c r="A1089" s="6" t="n"/>
      <c r="B1089" s="112">
        <f>IF($C1089="","","T"&amp;TEXT(ROW()-6,"00000"))</f>
        <v/>
      </c>
      <c r="C1089" s="107" t="n"/>
      <c r="D1089" s="113">
        <f>IF($C1089="","",IFERROR(INDEX(MUSTERILER!$C$7:$C$106,MATCH($C1089,MUSTERILER!$B$7:$B$106,0)),"TANIMSIZ MÜŞTERİ"))</f>
        <v/>
      </c>
      <c r="E1089" s="114" t="n"/>
      <c r="F1089" s="115" t="n"/>
      <c r="G1089" s="107" t="n"/>
      <c r="H1089" s="107" t="n"/>
      <c r="I1089" s="108" t="n"/>
      <c r="J1089" s="108" t="n"/>
      <c r="K1089" s="108" t="n"/>
      <c r="L1089" s="119">
        <f>IF($E1089="","",DATE(YEAR($E1089),MONTH($E1089),1))</f>
        <v/>
      </c>
      <c r="M1089" s="112">
        <f>IF($C1089="","",IF($D1089="TANIMSIZ MÜŞTERİ","HATA",IF(OR($E1089="",$F1089&lt;=0,$G1089=""),"EKSİK",IF($E1089&gt;TODAY(),"İLERİ TARİH","UYGUN"))))</f>
        <v/>
      </c>
      <c r="N1089" s="6" t="n"/>
      <c r="O1089" s="6" t="n"/>
    </row>
    <row r="1090">
      <c r="A1090" s="6" t="n"/>
      <c r="B1090" s="112">
        <f>IF($C1090="","","T"&amp;TEXT(ROW()-6,"00000"))</f>
        <v/>
      </c>
      <c r="C1090" s="107" t="n"/>
      <c r="D1090" s="113">
        <f>IF($C1090="","",IFERROR(INDEX(MUSTERILER!$C$7:$C$106,MATCH($C1090,MUSTERILER!$B$7:$B$106,0)),"TANIMSIZ MÜŞTERİ"))</f>
        <v/>
      </c>
      <c r="E1090" s="114" t="n"/>
      <c r="F1090" s="115" t="n"/>
      <c r="G1090" s="107" t="n"/>
      <c r="H1090" s="107" t="n"/>
      <c r="I1090" s="108" t="n"/>
      <c r="J1090" s="108" t="n"/>
      <c r="K1090" s="108" t="n"/>
      <c r="L1090" s="119">
        <f>IF($E1090="","",DATE(YEAR($E1090),MONTH($E1090),1))</f>
        <v/>
      </c>
      <c r="M1090" s="112">
        <f>IF($C1090="","",IF($D1090="TANIMSIZ MÜŞTERİ","HATA",IF(OR($E1090="",$F1090&lt;=0,$G1090=""),"EKSİK",IF($E1090&gt;TODAY(),"İLERİ TARİH","UYGUN"))))</f>
        <v/>
      </c>
      <c r="N1090" s="6" t="n"/>
      <c r="O1090" s="6" t="n"/>
    </row>
    <row r="1091">
      <c r="A1091" s="6" t="n"/>
      <c r="B1091" s="112">
        <f>IF($C1091="","","T"&amp;TEXT(ROW()-6,"00000"))</f>
        <v/>
      </c>
      <c r="C1091" s="107" t="n"/>
      <c r="D1091" s="113">
        <f>IF($C1091="","",IFERROR(INDEX(MUSTERILER!$C$7:$C$106,MATCH($C1091,MUSTERILER!$B$7:$B$106,0)),"TANIMSIZ MÜŞTERİ"))</f>
        <v/>
      </c>
      <c r="E1091" s="114" t="n"/>
      <c r="F1091" s="115" t="n"/>
      <c r="G1091" s="107" t="n"/>
      <c r="H1091" s="107" t="n"/>
      <c r="I1091" s="108" t="n"/>
      <c r="J1091" s="108" t="n"/>
      <c r="K1091" s="108" t="n"/>
      <c r="L1091" s="119">
        <f>IF($E1091="","",DATE(YEAR($E1091),MONTH($E1091),1))</f>
        <v/>
      </c>
      <c r="M1091" s="112">
        <f>IF($C1091="","",IF($D1091="TANIMSIZ MÜŞTERİ","HATA",IF(OR($E1091="",$F1091&lt;=0,$G1091=""),"EKSİK",IF($E1091&gt;TODAY(),"İLERİ TARİH","UYGUN"))))</f>
        <v/>
      </c>
      <c r="N1091" s="6" t="n"/>
      <c r="O1091" s="6" t="n"/>
    </row>
    <row r="1092">
      <c r="A1092" s="6" t="n"/>
      <c r="B1092" s="112">
        <f>IF($C1092="","","T"&amp;TEXT(ROW()-6,"00000"))</f>
        <v/>
      </c>
      <c r="C1092" s="107" t="n"/>
      <c r="D1092" s="113">
        <f>IF($C1092="","",IFERROR(INDEX(MUSTERILER!$C$7:$C$106,MATCH($C1092,MUSTERILER!$B$7:$B$106,0)),"TANIMSIZ MÜŞTERİ"))</f>
        <v/>
      </c>
      <c r="E1092" s="114" t="n"/>
      <c r="F1092" s="115" t="n"/>
      <c r="G1092" s="107" t="n"/>
      <c r="H1092" s="107" t="n"/>
      <c r="I1092" s="108" t="n"/>
      <c r="J1092" s="108" t="n"/>
      <c r="K1092" s="108" t="n"/>
      <c r="L1092" s="119">
        <f>IF($E1092="","",DATE(YEAR($E1092),MONTH($E1092),1))</f>
        <v/>
      </c>
      <c r="M1092" s="112">
        <f>IF($C1092="","",IF($D1092="TANIMSIZ MÜŞTERİ","HATA",IF(OR($E1092="",$F1092&lt;=0,$G1092=""),"EKSİK",IF($E1092&gt;TODAY(),"İLERİ TARİH","UYGUN"))))</f>
        <v/>
      </c>
      <c r="N1092" s="6" t="n"/>
      <c r="O1092" s="6" t="n"/>
    </row>
    <row r="1093">
      <c r="A1093" s="6" t="n"/>
      <c r="B1093" s="112">
        <f>IF($C1093="","","T"&amp;TEXT(ROW()-6,"00000"))</f>
        <v/>
      </c>
      <c r="C1093" s="107" t="n"/>
      <c r="D1093" s="113">
        <f>IF($C1093="","",IFERROR(INDEX(MUSTERILER!$C$7:$C$106,MATCH($C1093,MUSTERILER!$B$7:$B$106,0)),"TANIMSIZ MÜŞTERİ"))</f>
        <v/>
      </c>
      <c r="E1093" s="114" t="n"/>
      <c r="F1093" s="115" t="n"/>
      <c r="G1093" s="107" t="n"/>
      <c r="H1093" s="107" t="n"/>
      <c r="I1093" s="108" t="n"/>
      <c r="J1093" s="108" t="n"/>
      <c r="K1093" s="108" t="n"/>
      <c r="L1093" s="119">
        <f>IF($E1093="","",DATE(YEAR($E1093),MONTH($E1093),1))</f>
        <v/>
      </c>
      <c r="M1093" s="112">
        <f>IF($C1093="","",IF($D1093="TANIMSIZ MÜŞTERİ","HATA",IF(OR($E1093="",$F1093&lt;=0,$G1093=""),"EKSİK",IF($E1093&gt;TODAY(),"İLERİ TARİH","UYGUN"))))</f>
        <v/>
      </c>
      <c r="N1093" s="6" t="n"/>
      <c r="O1093" s="6" t="n"/>
    </row>
    <row r="1094">
      <c r="A1094" s="6" t="n"/>
      <c r="B1094" s="112">
        <f>IF($C1094="","","T"&amp;TEXT(ROW()-6,"00000"))</f>
        <v/>
      </c>
      <c r="C1094" s="107" t="n"/>
      <c r="D1094" s="113">
        <f>IF($C1094="","",IFERROR(INDEX(MUSTERILER!$C$7:$C$106,MATCH($C1094,MUSTERILER!$B$7:$B$106,0)),"TANIMSIZ MÜŞTERİ"))</f>
        <v/>
      </c>
      <c r="E1094" s="114" t="n"/>
      <c r="F1094" s="115" t="n"/>
      <c r="G1094" s="107" t="n"/>
      <c r="H1094" s="107" t="n"/>
      <c r="I1094" s="108" t="n"/>
      <c r="J1094" s="108" t="n"/>
      <c r="K1094" s="108" t="n"/>
      <c r="L1094" s="119">
        <f>IF($E1094="","",DATE(YEAR($E1094),MONTH($E1094),1))</f>
        <v/>
      </c>
      <c r="M1094" s="112">
        <f>IF($C1094="","",IF($D1094="TANIMSIZ MÜŞTERİ","HATA",IF(OR($E1094="",$F1094&lt;=0,$G1094=""),"EKSİK",IF($E1094&gt;TODAY(),"İLERİ TARİH","UYGUN"))))</f>
        <v/>
      </c>
      <c r="N1094" s="6" t="n"/>
      <c r="O1094" s="6" t="n"/>
    </row>
    <row r="1095">
      <c r="A1095" s="6" t="n"/>
      <c r="B1095" s="112">
        <f>IF($C1095="","","T"&amp;TEXT(ROW()-6,"00000"))</f>
        <v/>
      </c>
      <c r="C1095" s="107" t="n"/>
      <c r="D1095" s="113">
        <f>IF($C1095="","",IFERROR(INDEX(MUSTERILER!$C$7:$C$106,MATCH($C1095,MUSTERILER!$B$7:$B$106,0)),"TANIMSIZ MÜŞTERİ"))</f>
        <v/>
      </c>
      <c r="E1095" s="114" t="n"/>
      <c r="F1095" s="115" t="n"/>
      <c r="G1095" s="107" t="n"/>
      <c r="H1095" s="107" t="n"/>
      <c r="I1095" s="108" t="n"/>
      <c r="J1095" s="108" t="n"/>
      <c r="K1095" s="108" t="n"/>
      <c r="L1095" s="119">
        <f>IF($E1095="","",DATE(YEAR($E1095),MONTH($E1095),1))</f>
        <v/>
      </c>
      <c r="M1095" s="112">
        <f>IF($C1095="","",IF($D1095="TANIMSIZ MÜŞTERİ","HATA",IF(OR($E1095="",$F1095&lt;=0,$G1095=""),"EKSİK",IF($E1095&gt;TODAY(),"İLERİ TARİH","UYGUN"))))</f>
        <v/>
      </c>
      <c r="N1095" s="6" t="n"/>
      <c r="O1095" s="6" t="n"/>
    </row>
    <row r="1096">
      <c r="A1096" s="6" t="n"/>
      <c r="B1096" s="112">
        <f>IF($C1096="","","T"&amp;TEXT(ROW()-6,"00000"))</f>
        <v/>
      </c>
      <c r="C1096" s="107" t="n"/>
      <c r="D1096" s="113">
        <f>IF($C1096="","",IFERROR(INDEX(MUSTERILER!$C$7:$C$106,MATCH($C1096,MUSTERILER!$B$7:$B$106,0)),"TANIMSIZ MÜŞTERİ"))</f>
        <v/>
      </c>
      <c r="E1096" s="114" t="n"/>
      <c r="F1096" s="115" t="n"/>
      <c r="G1096" s="107" t="n"/>
      <c r="H1096" s="107" t="n"/>
      <c r="I1096" s="108" t="n"/>
      <c r="J1096" s="108" t="n"/>
      <c r="K1096" s="108" t="n"/>
      <c r="L1096" s="119">
        <f>IF($E1096="","",DATE(YEAR($E1096),MONTH($E1096),1))</f>
        <v/>
      </c>
      <c r="M1096" s="112">
        <f>IF($C1096="","",IF($D1096="TANIMSIZ MÜŞTERİ","HATA",IF(OR($E1096="",$F1096&lt;=0,$G1096=""),"EKSİK",IF($E1096&gt;TODAY(),"İLERİ TARİH","UYGUN"))))</f>
        <v/>
      </c>
      <c r="N1096" s="6" t="n"/>
      <c r="O1096" s="6" t="n"/>
    </row>
    <row r="1097">
      <c r="A1097" s="6" t="n"/>
      <c r="B1097" s="112">
        <f>IF($C1097="","","T"&amp;TEXT(ROW()-6,"00000"))</f>
        <v/>
      </c>
      <c r="C1097" s="107" t="n"/>
      <c r="D1097" s="113">
        <f>IF($C1097="","",IFERROR(INDEX(MUSTERILER!$C$7:$C$106,MATCH($C1097,MUSTERILER!$B$7:$B$106,0)),"TANIMSIZ MÜŞTERİ"))</f>
        <v/>
      </c>
      <c r="E1097" s="114" t="n"/>
      <c r="F1097" s="115" t="n"/>
      <c r="G1097" s="107" t="n"/>
      <c r="H1097" s="107" t="n"/>
      <c r="I1097" s="108" t="n"/>
      <c r="J1097" s="108" t="n"/>
      <c r="K1097" s="108" t="n"/>
      <c r="L1097" s="119">
        <f>IF($E1097="","",DATE(YEAR($E1097),MONTH($E1097),1))</f>
        <v/>
      </c>
      <c r="M1097" s="112">
        <f>IF($C1097="","",IF($D1097="TANIMSIZ MÜŞTERİ","HATA",IF(OR($E1097="",$F1097&lt;=0,$G1097=""),"EKSİK",IF($E1097&gt;TODAY(),"İLERİ TARİH","UYGUN"))))</f>
        <v/>
      </c>
      <c r="N1097" s="6" t="n"/>
      <c r="O1097" s="6" t="n"/>
    </row>
    <row r="1098">
      <c r="A1098" s="6" t="n"/>
      <c r="B1098" s="112">
        <f>IF($C1098="","","T"&amp;TEXT(ROW()-6,"00000"))</f>
        <v/>
      </c>
      <c r="C1098" s="107" t="n"/>
      <c r="D1098" s="113">
        <f>IF($C1098="","",IFERROR(INDEX(MUSTERILER!$C$7:$C$106,MATCH($C1098,MUSTERILER!$B$7:$B$106,0)),"TANIMSIZ MÜŞTERİ"))</f>
        <v/>
      </c>
      <c r="E1098" s="114" t="n"/>
      <c r="F1098" s="115" t="n"/>
      <c r="G1098" s="107" t="n"/>
      <c r="H1098" s="107" t="n"/>
      <c r="I1098" s="108" t="n"/>
      <c r="J1098" s="108" t="n"/>
      <c r="K1098" s="108" t="n"/>
      <c r="L1098" s="119">
        <f>IF($E1098="","",DATE(YEAR($E1098),MONTH($E1098),1))</f>
        <v/>
      </c>
      <c r="M1098" s="112">
        <f>IF($C1098="","",IF($D1098="TANIMSIZ MÜŞTERİ","HATA",IF(OR($E1098="",$F1098&lt;=0,$G1098=""),"EKSİK",IF($E1098&gt;TODAY(),"İLERİ TARİH","UYGUN"))))</f>
        <v/>
      </c>
      <c r="N1098" s="6" t="n"/>
      <c r="O1098" s="6" t="n"/>
    </row>
    <row r="1099">
      <c r="A1099" s="6" t="n"/>
      <c r="B1099" s="112">
        <f>IF($C1099="","","T"&amp;TEXT(ROW()-6,"00000"))</f>
        <v/>
      </c>
      <c r="C1099" s="107" t="n"/>
      <c r="D1099" s="113">
        <f>IF($C1099="","",IFERROR(INDEX(MUSTERILER!$C$7:$C$106,MATCH($C1099,MUSTERILER!$B$7:$B$106,0)),"TANIMSIZ MÜŞTERİ"))</f>
        <v/>
      </c>
      <c r="E1099" s="114" t="n"/>
      <c r="F1099" s="115" t="n"/>
      <c r="G1099" s="107" t="n"/>
      <c r="H1099" s="107" t="n"/>
      <c r="I1099" s="108" t="n"/>
      <c r="J1099" s="108" t="n"/>
      <c r="K1099" s="108" t="n"/>
      <c r="L1099" s="119">
        <f>IF($E1099="","",DATE(YEAR($E1099),MONTH($E1099),1))</f>
        <v/>
      </c>
      <c r="M1099" s="112">
        <f>IF($C1099="","",IF($D1099="TANIMSIZ MÜŞTERİ","HATA",IF(OR($E1099="",$F1099&lt;=0,$G1099=""),"EKSİK",IF($E1099&gt;TODAY(),"İLERİ TARİH","UYGUN"))))</f>
        <v/>
      </c>
      <c r="N1099" s="6" t="n"/>
      <c r="O1099" s="6" t="n"/>
    </row>
    <row r="1100">
      <c r="A1100" s="6" t="n"/>
      <c r="B1100" s="112">
        <f>IF($C1100="","","T"&amp;TEXT(ROW()-6,"00000"))</f>
        <v/>
      </c>
      <c r="C1100" s="107" t="n"/>
      <c r="D1100" s="113">
        <f>IF($C1100="","",IFERROR(INDEX(MUSTERILER!$C$7:$C$106,MATCH($C1100,MUSTERILER!$B$7:$B$106,0)),"TANIMSIZ MÜŞTERİ"))</f>
        <v/>
      </c>
      <c r="E1100" s="114" t="n"/>
      <c r="F1100" s="115" t="n"/>
      <c r="G1100" s="107" t="n"/>
      <c r="H1100" s="107" t="n"/>
      <c r="I1100" s="108" t="n"/>
      <c r="J1100" s="108" t="n"/>
      <c r="K1100" s="108" t="n"/>
      <c r="L1100" s="119">
        <f>IF($E1100="","",DATE(YEAR($E1100),MONTH($E1100),1))</f>
        <v/>
      </c>
      <c r="M1100" s="112">
        <f>IF($C1100="","",IF($D1100="TANIMSIZ MÜŞTERİ","HATA",IF(OR($E1100="",$F1100&lt;=0,$G1100=""),"EKSİK",IF($E1100&gt;TODAY(),"İLERİ TARİH","UYGUN"))))</f>
        <v/>
      </c>
      <c r="N1100" s="6" t="n"/>
      <c r="O1100" s="6" t="n"/>
    </row>
    <row r="1101">
      <c r="A1101" s="6" t="n"/>
      <c r="B1101" s="112">
        <f>IF($C1101="","","T"&amp;TEXT(ROW()-6,"00000"))</f>
        <v/>
      </c>
      <c r="C1101" s="107" t="n"/>
      <c r="D1101" s="113">
        <f>IF($C1101="","",IFERROR(INDEX(MUSTERILER!$C$7:$C$106,MATCH($C1101,MUSTERILER!$B$7:$B$106,0)),"TANIMSIZ MÜŞTERİ"))</f>
        <v/>
      </c>
      <c r="E1101" s="114" t="n"/>
      <c r="F1101" s="115" t="n"/>
      <c r="G1101" s="107" t="n"/>
      <c r="H1101" s="107" t="n"/>
      <c r="I1101" s="108" t="n"/>
      <c r="J1101" s="108" t="n"/>
      <c r="K1101" s="108" t="n"/>
      <c r="L1101" s="119">
        <f>IF($E1101="","",DATE(YEAR($E1101),MONTH($E1101),1))</f>
        <v/>
      </c>
      <c r="M1101" s="112">
        <f>IF($C1101="","",IF($D1101="TANIMSIZ MÜŞTERİ","HATA",IF(OR($E1101="",$F1101&lt;=0,$G1101=""),"EKSİK",IF($E1101&gt;TODAY(),"İLERİ TARİH","UYGUN"))))</f>
        <v/>
      </c>
      <c r="N1101" s="6" t="n"/>
      <c r="O1101" s="6" t="n"/>
    </row>
    <row r="1102">
      <c r="A1102" s="6" t="n"/>
      <c r="B1102" s="112">
        <f>IF($C1102="","","T"&amp;TEXT(ROW()-6,"00000"))</f>
        <v/>
      </c>
      <c r="C1102" s="107" t="n"/>
      <c r="D1102" s="113">
        <f>IF($C1102="","",IFERROR(INDEX(MUSTERILER!$C$7:$C$106,MATCH($C1102,MUSTERILER!$B$7:$B$106,0)),"TANIMSIZ MÜŞTERİ"))</f>
        <v/>
      </c>
      <c r="E1102" s="114" t="n"/>
      <c r="F1102" s="115" t="n"/>
      <c r="G1102" s="107" t="n"/>
      <c r="H1102" s="107" t="n"/>
      <c r="I1102" s="108" t="n"/>
      <c r="J1102" s="108" t="n"/>
      <c r="K1102" s="108" t="n"/>
      <c r="L1102" s="119">
        <f>IF($E1102="","",DATE(YEAR($E1102),MONTH($E1102),1))</f>
        <v/>
      </c>
      <c r="M1102" s="112">
        <f>IF($C1102="","",IF($D1102="TANIMSIZ MÜŞTERİ","HATA",IF(OR($E1102="",$F1102&lt;=0,$G1102=""),"EKSİK",IF($E1102&gt;TODAY(),"İLERİ TARİH","UYGUN"))))</f>
        <v/>
      </c>
      <c r="N1102" s="6" t="n"/>
      <c r="O1102" s="6" t="n"/>
    </row>
    <row r="1103">
      <c r="A1103" s="6" t="n"/>
      <c r="B1103" s="112">
        <f>IF($C1103="","","T"&amp;TEXT(ROW()-6,"00000"))</f>
        <v/>
      </c>
      <c r="C1103" s="107" t="n"/>
      <c r="D1103" s="113">
        <f>IF($C1103="","",IFERROR(INDEX(MUSTERILER!$C$7:$C$106,MATCH($C1103,MUSTERILER!$B$7:$B$106,0)),"TANIMSIZ MÜŞTERİ"))</f>
        <v/>
      </c>
      <c r="E1103" s="114" t="n"/>
      <c r="F1103" s="115" t="n"/>
      <c r="G1103" s="107" t="n"/>
      <c r="H1103" s="107" t="n"/>
      <c r="I1103" s="108" t="n"/>
      <c r="J1103" s="108" t="n"/>
      <c r="K1103" s="108" t="n"/>
      <c r="L1103" s="119">
        <f>IF($E1103="","",DATE(YEAR($E1103),MONTH($E1103),1))</f>
        <v/>
      </c>
      <c r="M1103" s="112">
        <f>IF($C1103="","",IF($D1103="TANIMSIZ MÜŞTERİ","HATA",IF(OR($E1103="",$F1103&lt;=0,$G1103=""),"EKSİK",IF($E1103&gt;TODAY(),"İLERİ TARİH","UYGUN"))))</f>
        <v/>
      </c>
      <c r="N1103" s="6" t="n"/>
      <c r="O1103" s="6" t="n"/>
    </row>
    <row r="1104">
      <c r="A1104" s="6" t="n"/>
      <c r="B1104" s="112">
        <f>IF($C1104="","","T"&amp;TEXT(ROW()-6,"00000"))</f>
        <v/>
      </c>
      <c r="C1104" s="107" t="n"/>
      <c r="D1104" s="113">
        <f>IF($C1104="","",IFERROR(INDEX(MUSTERILER!$C$7:$C$106,MATCH($C1104,MUSTERILER!$B$7:$B$106,0)),"TANIMSIZ MÜŞTERİ"))</f>
        <v/>
      </c>
      <c r="E1104" s="114" t="n"/>
      <c r="F1104" s="115" t="n"/>
      <c r="G1104" s="107" t="n"/>
      <c r="H1104" s="107" t="n"/>
      <c r="I1104" s="108" t="n"/>
      <c r="J1104" s="108" t="n"/>
      <c r="K1104" s="108" t="n"/>
      <c r="L1104" s="119">
        <f>IF($E1104="","",DATE(YEAR($E1104),MONTH($E1104),1))</f>
        <v/>
      </c>
      <c r="M1104" s="112">
        <f>IF($C1104="","",IF($D1104="TANIMSIZ MÜŞTERİ","HATA",IF(OR($E1104="",$F1104&lt;=0,$G1104=""),"EKSİK",IF($E1104&gt;TODAY(),"İLERİ TARİH","UYGUN"))))</f>
        <v/>
      </c>
      <c r="N1104" s="6" t="n"/>
      <c r="O1104" s="6" t="n"/>
    </row>
    <row r="1105">
      <c r="A1105" s="6" t="n"/>
      <c r="B1105" s="112">
        <f>IF($C1105="","","T"&amp;TEXT(ROW()-6,"00000"))</f>
        <v/>
      </c>
      <c r="C1105" s="107" t="n"/>
      <c r="D1105" s="113">
        <f>IF($C1105="","",IFERROR(INDEX(MUSTERILER!$C$7:$C$106,MATCH($C1105,MUSTERILER!$B$7:$B$106,0)),"TANIMSIZ MÜŞTERİ"))</f>
        <v/>
      </c>
      <c r="E1105" s="114" t="n"/>
      <c r="F1105" s="115" t="n"/>
      <c r="G1105" s="107" t="n"/>
      <c r="H1105" s="107" t="n"/>
      <c r="I1105" s="108" t="n"/>
      <c r="J1105" s="108" t="n"/>
      <c r="K1105" s="108" t="n"/>
      <c r="L1105" s="119">
        <f>IF($E1105="","",DATE(YEAR($E1105),MONTH($E1105),1))</f>
        <v/>
      </c>
      <c r="M1105" s="112">
        <f>IF($C1105="","",IF($D1105="TANIMSIZ MÜŞTERİ","HATA",IF(OR($E1105="",$F1105&lt;=0,$G1105=""),"EKSİK",IF($E1105&gt;TODAY(),"İLERİ TARİH","UYGUN"))))</f>
        <v/>
      </c>
      <c r="N1105" s="6" t="n"/>
      <c r="O1105" s="6" t="n"/>
    </row>
    <row r="1106">
      <c r="A1106" s="6" t="n"/>
      <c r="B1106" s="112">
        <f>IF($C1106="","","T"&amp;TEXT(ROW()-6,"00000"))</f>
        <v/>
      </c>
      <c r="C1106" s="107" t="n"/>
      <c r="D1106" s="113">
        <f>IF($C1106="","",IFERROR(INDEX(MUSTERILER!$C$7:$C$106,MATCH($C1106,MUSTERILER!$B$7:$B$106,0)),"TANIMSIZ MÜŞTERİ"))</f>
        <v/>
      </c>
      <c r="E1106" s="114" t="n"/>
      <c r="F1106" s="115" t="n"/>
      <c r="G1106" s="107" t="n"/>
      <c r="H1106" s="107" t="n"/>
      <c r="I1106" s="108" t="n"/>
      <c r="J1106" s="108" t="n"/>
      <c r="K1106" s="108" t="n"/>
      <c r="L1106" s="119">
        <f>IF($E1106="","",DATE(YEAR($E1106),MONTH($E1106),1))</f>
        <v/>
      </c>
      <c r="M1106" s="112">
        <f>IF($C1106="","",IF($D1106="TANIMSIZ MÜŞTERİ","HATA",IF(OR($E1106="",$F1106&lt;=0,$G1106=""),"EKSİK",IF($E1106&gt;TODAY(),"İLERİ TARİH","UYGUN"))))</f>
        <v/>
      </c>
      <c r="N1106" s="6" t="n"/>
      <c r="O1106" s="6" t="n"/>
    </row>
    <row r="1107">
      <c r="A1107" s="6" t="n"/>
      <c r="B1107" s="112">
        <f>IF($C1107="","","T"&amp;TEXT(ROW()-6,"00000"))</f>
        <v/>
      </c>
      <c r="C1107" s="107" t="n"/>
      <c r="D1107" s="113">
        <f>IF($C1107="","",IFERROR(INDEX(MUSTERILER!$C$7:$C$106,MATCH($C1107,MUSTERILER!$B$7:$B$106,0)),"TANIMSIZ MÜŞTERİ"))</f>
        <v/>
      </c>
      <c r="E1107" s="114" t="n"/>
      <c r="F1107" s="115" t="n"/>
      <c r="G1107" s="107" t="n"/>
      <c r="H1107" s="107" t="n"/>
      <c r="I1107" s="108" t="n"/>
      <c r="J1107" s="108" t="n"/>
      <c r="K1107" s="108" t="n"/>
      <c r="L1107" s="119">
        <f>IF($E1107="","",DATE(YEAR($E1107),MONTH($E1107),1))</f>
        <v/>
      </c>
      <c r="M1107" s="112">
        <f>IF($C1107="","",IF($D1107="TANIMSIZ MÜŞTERİ","HATA",IF(OR($E1107="",$F1107&lt;=0,$G1107=""),"EKSİK",IF($E1107&gt;TODAY(),"İLERİ TARİH","UYGUN"))))</f>
        <v/>
      </c>
      <c r="N1107" s="6" t="n"/>
      <c r="O1107" s="6" t="n"/>
    </row>
    <row r="1108">
      <c r="A1108" s="6" t="n"/>
      <c r="B1108" s="112">
        <f>IF($C1108="","","T"&amp;TEXT(ROW()-6,"00000"))</f>
        <v/>
      </c>
      <c r="C1108" s="107" t="n"/>
      <c r="D1108" s="113">
        <f>IF($C1108="","",IFERROR(INDEX(MUSTERILER!$C$7:$C$106,MATCH($C1108,MUSTERILER!$B$7:$B$106,0)),"TANIMSIZ MÜŞTERİ"))</f>
        <v/>
      </c>
      <c r="E1108" s="114" t="n"/>
      <c r="F1108" s="115" t="n"/>
      <c r="G1108" s="107" t="n"/>
      <c r="H1108" s="107" t="n"/>
      <c r="I1108" s="108" t="n"/>
      <c r="J1108" s="108" t="n"/>
      <c r="K1108" s="108" t="n"/>
      <c r="L1108" s="119">
        <f>IF($E1108="","",DATE(YEAR($E1108),MONTH($E1108),1))</f>
        <v/>
      </c>
      <c r="M1108" s="112">
        <f>IF($C1108="","",IF($D1108="TANIMSIZ MÜŞTERİ","HATA",IF(OR($E1108="",$F1108&lt;=0,$G1108=""),"EKSİK",IF($E1108&gt;TODAY(),"İLERİ TARİH","UYGUN"))))</f>
        <v/>
      </c>
      <c r="N1108" s="6" t="n"/>
      <c r="O1108" s="6" t="n"/>
    </row>
    <row r="1109">
      <c r="A1109" s="6" t="n"/>
      <c r="B1109" s="112">
        <f>IF($C1109="","","T"&amp;TEXT(ROW()-6,"00000"))</f>
        <v/>
      </c>
      <c r="C1109" s="107" t="n"/>
      <c r="D1109" s="113">
        <f>IF($C1109="","",IFERROR(INDEX(MUSTERILER!$C$7:$C$106,MATCH($C1109,MUSTERILER!$B$7:$B$106,0)),"TANIMSIZ MÜŞTERİ"))</f>
        <v/>
      </c>
      <c r="E1109" s="114" t="n"/>
      <c r="F1109" s="115" t="n"/>
      <c r="G1109" s="107" t="n"/>
      <c r="H1109" s="107" t="n"/>
      <c r="I1109" s="108" t="n"/>
      <c r="J1109" s="108" t="n"/>
      <c r="K1109" s="108" t="n"/>
      <c r="L1109" s="119">
        <f>IF($E1109="","",DATE(YEAR($E1109),MONTH($E1109),1))</f>
        <v/>
      </c>
      <c r="M1109" s="112">
        <f>IF($C1109="","",IF($D1109="TANIMSIZ MÜŞTERİ","HATA",IF(OR($E1109="",$F1109&lt;=0,$G1109=""),"EKSİK",IF($E1109&gt;TODAY(),"İLERİ TARİH","UYGUN"))))</f>
        <v/>
      </c>
      <c r="N1109" s="6" t="n"/>
      <c r="O1109" s="6" t="n"/>
    </row>
    <row r="1110">
      <c r="A1110" s="6" t="n"/>
      <c r="B1110" s="112">
        <f>IF($C1110="","","T"&amp;TEXT(ROW()-6,"00000"))</f>
        <v/>
      </c>
      <c r="C1110" s="107" t="n"/>
      <c r="D1110" s="113">
        <f>IF($C1110="","",IFERROR(INDEX(MUSTERILER!$C$7:$C$106,MATCH($C1110,MUSTERILER!$B$7:$B$106,0)),"TANIMSIZ MÜŞTERİ"))</f>
        <v/>
      </c>
      <c r="E1110" s="114" t="n"/>
      <c r="F1110" s="115" t="n"/>
      <c r="G1110" s="107" t="n"/>
      <c r="H1110" s="107" t="n"/>
      <c r="I1110" s="108" t="n"/>
      <c r="J1110" s="108" t="n"/>
      <c r="K1110" s="108" t="n"/>
      <c r="L1110" s="119">
        <f>IF($E1110="","",DATE(YEAR($E1110),MONTH($E1110),1))</f>
        <v/>
      </c>
      <c r="M1110" s="112">
        <f>IF($C1110="","",IF($D1110="TANIMSIZ MÜŞTERİ","HATA",IF(OR($E1110="",$F1110&lt;=0,$G1110=""),"EKSİK",IF($E1110&gt;TODAY(),"İLERİ TARİH","UYGUN"))))</f>
        <v/>
      </c>
      <c r="N1110" s="6" t="n"/>
      <c r="O1110" s="6" t="n"/>
    </row>
    <row r="1111">
      <c r="A1111" s="6" t="n"/>
      <c r="B1111" s="112">
        <f>IF($C1111="","","T"&amp;TEXT(ROW()-6,"00000"))</f>
        <v/>
      </c>
      <c r="C1111" s="107" t="n"/>
      <c r="D1111" s="113">
        <f>IF($C1111="","",IFERROR(INDEX(MUSTERILER!$C$7:$C$106,MATCH($C1111,MUSTERILER!$B$7:$B$106,0)),"TANIMSIZ MÜŞTERİ"))</f>
        <v/>
      </c>
      <c r="E1111" s="114" t="n"/>
      <c r="F1111" s="115" t="n"/>
      <c r="G1111" s="107" t="n"/>
      <c r="H1111" s="107" t="n"/>
      <c r="I1111" s="108" t="n"/>
      <c r="J1111" s="108" t="n"/>
      <c r="K1111" s="108" t="n"/>
      <c r="L1111" s="119">
        <f>IF($E1111="","",DATE(YEAR($E1111),MONTH($E1111),1))</f>
        <v/>
      </c>
      <c r="M1111" s="112">
        <f>IF($C1111="","",IF($D1111="TANIMSIZ MÜŞTERİ","HATA",IF(OR($E1111="",$F1111&lt;=0,$G1111=""),"EKSİK",IF($E1111&gt;TODAY(),"İLERİ TARİH","UYGUN"))))</f>
        <v/>
      </c>
      <c r="N1111" s="6" t="n"/>
      <c r="O1111" s="6" t="n"/>
    </row>
    <row r="1112">
      <c r="A1112" s="6" t="n"/>
      <c r="B1112" s="112">
        <f>IF($C1112="","","T"&amp;TEXT(ROW()-6,"00000"))</f>
        <v/>
      </c>
      <c r="C1112" s="107" t="n"/>
      <c r="D1112" s="113">
        <f>IF($C1112="","",IFERROR(INDEX(MUSTERILER!$C$7:$C$106,MATCH($C1112,MUSTERILER!$B$7:$B$106,0)),"TANIMSIZ MÜŞTERİ"))</f>
        <v/>
      </c>
      <c r="E1112" s="114" t="n"/>
      <c r="F1112" s="115" t="n"/>
      <c r="G1112" s="107" t="n"/>
      <c r="H1112" s="107" t="n"/>
      <c r="I1112" s="108" t="n"/>
      <c r="J1112" s="108" t="n"/>
      <c r="K1112" s="108" t="n"/>
      <c r="L1112" s="119">
        <f>IF($E1112="","",DATE(YEAR($E1112),MONTH($E1112),1))</f>
        <v/>
      </c>
      <c r="M1112" s="112">
        <f>IF($C1112="","",IF($D1112="TANIMSIZ MÜŞTERİ","HATA",IF(OR($E1112="",$F1112&lt;=0,$G1112=""),"EKSİK",IF($E1112&gt;TODAY(),"İLERİ TARİH","UYGUN"))))</f>
        <v/>
      </c>
      <c r="N1112" s="6" t="n"/>
      <c r="O1112" s="6" t="n"/>
    </row>
    <row r="1113">
      <c r="A1113" s="6" t="n"/>
      <c r="B1113" s="112">
        <f>IF($C1113="","","T"&amp;TEXT(ROW()-6,"00000"))</f>
        <v/>
      </c>
      <c r="C1113" s="107" t="n"/>
      <c r="D1113" s="113">
        <f>IF($C1113="","",IFERROR(INDEX(MUSTERILER!$C$7:$C$106,MATCH($C1113,MUSTERILER!$B$7:$B$106,0)),"TANIMSIZ MÜŞTERİ"))</f>
        <v/>
      </c>
      <c r="E1113" s="114" t="n"/>
      <c r="F1113" s="115" t="n"/>
      <c r="G1113" s="107" t="n"/>
      <c r="H1113" s="107" t="n"/>
      <c r="I1113" s="108" t="n"/>
      <c r="J1113" s="108" t="n"/>
      <c r="K1113" s="108" t="n"/>
      <c r="L1113" s="119">
        <f>IF($E1113="","",DATE(YEAR($E1113),MONTH($E1113),1))</f>
        <v/>
      </c>
      <c r="M1113" s="112">
        <f>IF($C1113="","",IF($D1113="TANIMSIZ MÜŞTERİ","HATA",IF(OR($E1113="",$F1113&lt;=0,$G1113=""),"EKSİK",IF($E1113&gt;TODAY(),"İLERİ TARİH","UYGUN"))))</f>
        <v/>
      </c>
      <c r="N1113" s="6" t="n"/>
      <c r="O1113" s="6" t="n"/>
    </row>
    <row r="1114">
      <c r="A1114" s="6" t="n"/>
      <c r="B1114" s="112">
        <f>IF($C1114="","","T"&amp;TEXT(ROW()-6,"00000"))</f>
        <v/>
      </c>
      <c r="C1114" s="107" t="n"/>
      <c r="D1114" s="113">
        <f>IF($C1114="","",IFERROR(INDEX(MUSTERILER!$C$7:$C$106,MATCH($C1114,MUSTERILER!$B$7:$B$106,0)),"TANIMSIZ MÜŞTERİ"))</f>
        <v/>
      </c>
      <c r="E1114" s="114" t="n"/>
      <c r="F1114" s="115" t="n"/>
      <c r="G1114" s="107" t="n"/>
      <c r="H1114" s="107" t="n"/>
      <c r="I1114" s="108" t="n"/>
      <c r="J1114" s="108" t="n"/>
      <c r="K1114" s="108" t="n"/>
      <c r="L1114" s="119">
        <f>IF($E1114="","",DATE(YEAR($E1114),MONTH($E1114),1))</f>
        <v/>
      </c>
      <c r="M1114" s="112">
        <f>IF($C1114="","",IF($D1114="TANIMSIZ MÜŞTERİ","HATA",IF(OR($E1114="",$F1114&lt;=0,$G1114=""),"EKSİK",IF($E1114&gt;TODAY(),"İLERİ TARİH","UYGUN"))))</f>
        <v/>
      </c>
      <c r="N1114" s="6" t="n"/>
      <c r="O1114" s="6" t="n"/>
    </row>
    <row r="1115">
      <c r="A1115" s="6" t="n"/>
      <c r="B1115" s="112">
        <f>IF($C1115="","","T"&amp;TEXT(ROW()-6,"00000"))</f>
        <v/>
      </c>
      <c r="C1115" s="107" t="n"/>
      <c r="D1115" s="113">
        <f>IF($C1115="","",IFERROR(INDEX(MUSTERILER!$C$7:$C$106,MATCH($C1115,MUSTERILER!$B$7:$B$106,0)),"TANIMSIZ MÜŞTERİ"))</f>
        <v/>
      </c>
      <c r="E1115" s="114" t="n"/>
      <c r="F1115" s="115" t="n"/>
      <c r="G1115" s="107" t="n"/>
      <c r="H1115" s="107" t="n"/>
      <c r="I1115" s="108" t="n"/>
      <c r="J1115" s="108" t="n"/>
      <c r="K1115" s="108" t="n"/>
      <c r="L1115" s="119">
        <f>IF($E1115="","",DATE(YEAR($E1115),MONTH($E1115),1))</f>
        <v/>
      </c>
      <c r="M1115" s="112">
        <f>IF($C1115="","",IF($D1115="TANIMSIZ MÜŞTERİ","HATA",IF(OR($E1115="",$F1115&lt;=0,$G1115=""),"EKSİK",IF($E1115&gt;TODAY(),"İLERİ TARİH","UYGUN"))))</f>
        <v/>
      </c>
      <c r="N1115" s="6" t="n"/>
      <c r="O1115" s="6" t="n"/>
    </row>
    <row r="1116">
      <c r="A1116" s="6" t="n"/>
      <c r="B1116" s="112">
        <f>IF($C1116="","","T"&amp;TEXT(ROW()-6,"00000"))</f>
        <v/>
      </c>
      <c r="C1116" s="107" t="n"/>
      <c r="D1116" s="113">
        <f>IF($C1116="","",IFERROR(INDEX(MUSTERILER!$C$7:$C$106,MATCH($C1116,MUSTERILER!$B$7:$B$106,0)),"TANIMSIZ MÜŞTERİ"))</f>
        <v/>
      </c>
      <c r="E1116" s="114" t="n"/>
      <c r="F1116" s="115" t="n"/>
      <c r="G1116" s="107" t="n"/>
      <c r="H1116" s="107" t="n"/>
      <c r="I1116" s="108" t="n"/>
      <c r="J1116" s="108" t="n"/>
      <c r="K1116" s="108" t="n"/>
      <c r="L1116" s="119">
        <f>IF($E1116="","",DATE(YEAR($E1116),MONTH($E1116),1))</f>
        <v/>
      </c>
      <c r="M1116" s="112">
        <f>IF($C1116="","",IF($D1116="TANIMSIZ MÜŞTERİ","HATA",IF(OR($E1116="",$F1116&lt;=0,$G1116=""),"EKSİK",IF($E1116&gt;TODAY(),"İLERİ TARİH","UYGUN"))))</f>
        <v/>
      </c>
      <c r="N1116" s="6" t="n"/>
      <c r="O1116" s="6" t="n"/>
    </row>
    <row r="1117">
      <c r="A1117" s="6" t="n"/>
      <c r="B1117" s="112">
        <f>IF($C1117="","","T"&amp;TEXT(ROW()-6,"00000"))</f>
        <v/>
      </c>
      <c r="C1117" s="107" t="n"/>
      <c r="D1117" s="113">
        <f>IF($C1117="","",IFERROR(INDEX(MUSTERILER!$C$7:$C$106,MATCH($C1117,MUSTERILER!$B$7:$B$106,0)),"TANIMSIZ MÜŞTERİ"))</f>
        <v/>
      </c>
      <c r="E1117" s="114" t="n"/>
      <c r="F1117" s="115" t="n"/>
      <c r="G1117" s="107" t="n"/>
      <c r="H1117" s="107" t="n"/>
      <c r="I1117" s="108" t="n"/>
      <c r="J1117" s="108" t="n"/>
      <c r="K1117" s="108" t="n"/>
      <c r="L1117" s="119">
        <f>IF($E1117="","",DATE(YEAR($E1117),MONTH($E1117),1))</f>
        <v/>
      </c>
      <c r="M1117" s="112">
        <f>IF($C1117="","",IF($D1117="TANIMSIZ MÜŞTERİ","HATA",IF(OR($E1117="",$F1117&lt;=0,$G1117=""),"EKSİK",IF($E1117&gt;TODAY(),"İLERİ TARİH","UYGUN"))))</f>
        <v/>
      </c>
      <c r="N1117" s="6" t="n"/>
      <c r="O1117" s="6" t="n"/>
    </row>
    <row r="1118">
      <c r="A1118" s="6" t="n"/>
      <c r="B1118" s="112">
        <f>IF($C1118="","","T"&amp;TEXT(ROW()-6,"00000"))</f>
        <v/>
      </c>
      <c r="C1118" s="107" t="n"/>
      <c r="D1118" s="113">
        <f>IF($C1118="","",IFERROR(INDEX(MUSTERILER!$C$7:$C$106,MATCH($C1118,MUSTERILER!$B$7:$B$106,0)),"TANIMSIZ MÜŞTERİ"))</f>
        <v/>
      </c>
      <c r="E1118" s="114" t="n"/>
      <c r="F1118" s="115" t="n"/>
      <c r="G1118" s="107" t="n"/>
      <c r="H1118" s="107" t="n"/>
      <c r="I1118" s="108" t="n"/>
      <c r="J1118" s="108" t="n"/>
      <c r="K1118" s="108" t="n"/>
      <c r="L1118" s="119">
        <f>IF($E1118="","",DATE(YEAR($E1118),MONTH($E1118),1))</f>
        <v/>
      </c>
      <c r="M1118" s="112">
        <f>IF($C1118="","",IF($D1118="TANIMSIZ MÜŞTERİ","HATA",IF(OR($E1118="",$F1118&lt;=0,$G1118=""),"EKSİK",IF($E1118&gt;TODAY(),"İLERİ TARİH","UYGUN"))))</f>
        <v/>
      </c>
      <c r="N1118" s="6" t="n"/>
      <c r="O1118" s="6" t="n"/>
    </row>
    <row r="1119">
      <c r="A1119" s="6" t="n"/>
      <c r="B1119" s="112">
        <f>IF($C1119="","","T"&amp;TEXT(ROW()-6,"00000"))</f>
        <v/>
      </c>
      <c r="C1119" s="107" t="n"/>
      <c r="D1119" s="113">
        <f>IF($C1119="","",IFERROR(INDEX(MUSTERILER!$C$7:$C$106,MATCH($C1119,MUSTERILER!$B$7:$B$106,0)),"TANIMSIZ MÜŞTERİ"))</f>
        <v/>
      </c>
      <c r="E1119" s="114" t="n"/>
      <c r="F1119" s="115" t="n"/>
      <c r="G1119" s="107" t="n"/>
      <c r="H1119" s="107" t="n"/>
      <c r="I1119" s="108" t="n"/>
      <c r="J1119" s="108" t="n"/>
      <c r="K1119" s="108" t="n"/>
      <c r="L1119" s="119">
        <f>IF($E1119="","",DATE(YEAR($E1119),MONTH($E1119),1))</f>
        <v/>
      </c>
      <c r="M1119" s="112">
        <f>IF($C1119="","",IF($D1119="TANIMSIZ MÜŞTERİ","HATA",IF(OR($E1119="",$F1119&lt;=0,$G1119=""),"EKSİK",IF($E1119&gt;TODAY(),"İLERİ TARİH","UYGUN"))))</f>
        <v/>
      </c>
      <c r="N1119" s="6" t="n"/>
      <c r="O1119" s="6" t="n"/>
    </row>
    <row r="1120">
      <c r="A1120" s="6" t="n"/>
      <c r="B1120" s="112">
        <f>IF($C1120="","","T"&amp;TEXT(ROW()-6,"00000"))</f>
        <v/>
      </c>
      <c r="C1120" s="107" t="n"/>
      <c r="D1120" s="113">
        <f>IF($C1120="","",IFERROR(INDEX(MUSTERILER!$C$7:$C$106,MATCH($C1120,MUSTERILER!$B$7:$B$106,0)),"TANIMSIZ MÜŞTERİ"))</f>
        <v/>
      </c>
      <c r="E1120" s="114" t="n"/>
      <c r="F1120" s="115" t="n"/>
      <c r="G1120" s="107" t="n"/>
      <c r="H1120" s="107" t="n"/>
      <c r="I1120" s="108" t="n"/>
      <c r="J1120" s="108" t="n"/>
      <c r="K1120" s="108" t="n"/>
      <c r="L1120" s="119">
        <f>IF($E1120="","",DATE(YEAR($E1120),MONTH($E1120),1))</f>
        <v/>
      </c>
      <c r="M1120" s="112">
        <f>IF($C1120="","",IF($D1120="TANIMSIZ MÜŞTERİ","HATA",IF(OR($E1120="",$F1120&lt;=0,$G1120=""),"EKSİK",IF($E1120&gt;TODAY(),"İLERİ TARİH","UYGUN"))))</f>
        <v/>
      </c>
      <c r="N1120" s="6" t="n"/>
      <c r="O1120" s="6" t="n"/>
    </row>
    <row r="1121">
      <c r="A1121" s="6" t="n"/>
      <c r="B1121" s="112">
        <f>IF($C1121="","","T"&amp;TEXT(ROW()-6,"00000"))</f>
        <v/>
      </c>
      <c r="C1121" s="107" t="n"/>
      <c r="D1121" s="113">
        <f>IF($C1121="","",IFERROR(INDEX(MUSTERILER!$C$7:$C$106,MATCH($C1121,MUSTERILER!$B$7:$B$106,0)),"TANIMSIZ MÜŞTERİ"))</f>
        <v/>
      </c>
      <c r="E1121" s="114" t="n"/>
      <c r="F1121" s="115" t="n"/>
      <c r="G1121" s="107" t="n"/>
      <c r="H1121" s="107" t="n"/>
      <c r="I1121" s="108" t="n"/>
      <c r="J1121" s="108" t="n"/>
      <c r="K1121" s="108" t="n"/>
      <c r="L1121" s="119">
        <f>IF($E1121="","",DATE(YEAR($E1121),MONTH($E1121),1))</f>
        <v/>
      </c>
      <c r="M1121" s="112">
        <f>IF($C1121="","",IF($D1121="TANIMSIZ MÜŞTERİ","HATA",IF(OR($E1121="",$F1121&lt;=0,$G1121=""),"EKSİK",IF($E1121&gt;TODAY(),"İLERİ TARİH","UYGUN"))))</f>
        <v/>
      </c>
      <c r="N1121" s="6" t="n"/>
      <c r="O1121" s="6" t="n"/>
    </row>
    <row r="1122">
      <c r="A1122" s="6" t="n"/>
      <c r="B1122" s="112">
        <f>IF($C1122="","","T"&amp;TEXT(ROW()-6,"00000"))</f>
        <v/>
      </c>
      <c r="C1122" s="107" t="n"/>
      <c r="D1122" s="113">
        <f>IF($C1122="","",IFERROR(INDEX(MUSTERILER!$C$7:$C$106,MATCH($C1122,MUSTERILER!$B$7:$B$106,0)),"TANIMSIZ MÜŞTERİ"))</f>
        <v/>
      </c>
      <c r="E1122" s="114" t="n"/>
      <c r="F1122" s="115" t="n"/>
      <c r="G1122" s="107" t="n"/>
      <c r="H1122" s="107" t="n"/>
      <c r="I1122" s="108" t="n"/>
      <c r="J1122" s="108" t="n"/>
      <c r="K1122" s="108" t="n"/>
      <c r="L1122" s="119">
        <f>IF($E1122="","",DATE(YEAR($E1122),MONTH($E1122),1))</f>
        <v/>
      </c>
      <c r="M1122" s="112">
        <f>IF($C1122="","",IF($D1122="TANIMSIZ MÜŞTERİ","HATA",IF(OR($E1122="",$F1122&lt;=0,$G1122=""),"EKSİK",IF($E1122&gt;TODAY(),"İLERİ TARİH","UYGUN"))))</f>
        <v/>
      </c>
      <c r="N1122" s="6" t="n"/>
      <c r="O1122" s="6" t="n"/>
    </row>
    <row r="1123">
      <c r="A1123" s="6" t="n"/>
      <c r="B1123" s="112">
        <f>IF($C1123="","","T"&amp;TEXT(ROW()-6,"00000"))</f>
        <v/>
      </c>
      <c r="C1123" s="107" t="n"/>
      <c r="D1123" s="113">
        <f>IF($C1123="","",IFERROR(INDEX(MUSTERILER!$C$7:$C$106,MATCH($C1123,MUSTERILER!$B$7:$B$106,0)),"TANIMSIZ MÜŞTERİ"))</f>
        <v/>
      </c>
      <c r="E1123" s="114" t="n"/>
      <c r="F1123" s="115" t="n"/>
      <c r="G1123" s="107" t="n"/>
      <c r="H1123" s="107" t="n"/>
      <c r="I1123" s="108" t="n"/>
      <c r="J1123" s="108" t="n"/>
      <c r="K1123" s="108" t="n"/>
      <c r="L1123" s="119">
        <f>IF($E1123="","",DATE(YEAR($E1123),MONTH($E1123),1))</f>
        <v/>
      </c>
      <c r="M1123" s="112">
        <f>IF($C1123="","",IF($D1123="TANIMSIZ MÜŞTERİ","HATA",IF(OR($E1123="",$F1123&lt;=0,$G1123=""),"EKSİK",IF($E1123&gt;TODAY(),"İLERİ TARİH","UYGUN"))))</f>
        <v/>
      </c>
      <c r="N1123" s="6" t="n"/>
      <c r="O1123" s="6" t="n"/>
    </row>
    <row r="1124">
      <c r="A1124" s="6" t="n"/>
      <c r="B1124" s="112">
        <f>IF($C1124="","","T"&amp;TEXT(ROW()-6,"00000"))</f>
        <v/>
      </c>
      <c r="C1124" s="107" t="n"/>
      <c r="D1124" s="113">
        <f>IF($C1124="","",IFERROR(INDEX(MUSTERILER!$C$7:$C$106,MATCH($C1124,MUSTERILER!$B$7:$B$106,0)),"TANIMSIZ MÜŞTERİ"))</f>
        <v/>
      </c>
      <c r="E1124" s="114" t="n"/>
      <c r="F1124" s="115" t="n"/>
      <c r="G1124" s="107" t="n"/>
      <c r="H1124" s="107" t="n"/>
      <c r="I1124" s="108" t="n"/>
      <c r="J1124" s="108" t="n"/>
      <c r="K1124" s="108" t="n"/>
      <c r="L1124" s="119">
        <f>IF($E1124="","",DATE(YEAR($E1124),MONTH($E1124),1))</f>
        <v/>
      </c>
      <c r="M1124" s="112">
        <f>IF($C1124="","",IF($D1124="TANIMSIZ MÜŞTERİ","HATA",IF(OR($E1124="",$F1124&lt;=0,$G1124=""),"EKSİK",IF($E1124&gt;TODAY(),"İLERİ TARİH","UYGUN"))))</f>
        <v/>
      </c>
      <c r="N1124" s="6" t="n"/>
      <c r="O1124" s="6" t="n"/>
    </row>
    <row r="1125">
      <c r="A1125" s="6" t="n"/>
      <c r="B1125" s="112">
        <f>IF($C1125="","","T"&amp;TEXT(ROW()-6,"00000"))</f>
        <v/>
      </c>
      <c r="C1125" s="107" t="n"/>
      <c r="D1125" s="113">
        <f>IF($C1125="","",IFERROR(INDEX(MUSTERILER!$C$7:$C$106,MATCH($C1125,MUSTERILER!$B$7:$B$106,0)),"TANIMSIZ MÜŞTERİ"))</f>
        <v/>
      </c>
      <c r="E1125" s="114" t="n"/>
      <c r="F1125" s="115" t="n"/>
      <c r="G1125" s="107" t="n"/>
      <c r="H1125" s="107" t="n"/>
      <c r="I1125" s="108" t="n"/>
      <c r="J1125" s="108" t="n"/>
      <c r="K1125" s="108" t="n"/>
      <c r="L1125" s="119">
        <f>IF($E1125="","",DATE(YEAR($E1125),MONTH($E1125),1))</f>
        <v/>
      </c>
      <c r="M1125" s="112">
        <f>IF($C1125="","",IF($D1125="TANIMSIZ MÜŞTERİ","HATA",IF(OR($E1125="",$F1125&lt;=0,$G1125=""),"EKSİK",IF($E1125&gt;TODAY(),"İLERİ TARİH","UYGUN"))))</f>
        <v/>
      </c>
      <c r="N1125" s="6" t="n"/>
      <c r="O1125" s="6" t="n"/>
    </row>
    <row r="1126">
      <c r="A1126" s="6" t="n"/>
      <c r="B1126" s="112">
        <f>IF($C1126="","","T"&amp;TEXT(ROW()-6,"00000"))</f>
        <v/>
      </c>
      <c r="C1126" s="107" t="n"/>
      <c r="D1126" s="113">
        <f>IF($C1126="","",IFERROR(INDEX(MUSTERILER!$C$7:$C$106,MATCH($C1126,MUSTERILER!$B$7:$B$106,0)),"TANIMSIZ MÜŞTERİ"))</f>
        <v/>
      </c>
      <c r="E1126" s="114" t="n"/>
      <c r="F1126" s="115" t="n"/>
      <c r="G1126" s="107" t="n"/>
      <c r="H1126" s="107" t="n"/>
      <c r="I1126" s="108" t="n"/>
      <c r="J1126" s="108" t="n"/>
      <c r="K1126" s="108" t="n"/>
      <c r="L1126" s="119">
        <f>IF($E1126="","",DATE(YEAR($E1126),MONTH($E1126),1))</f>
        <v/>
      </c>
      <c r="M1126" s="112">
        <f>IF($C1126="","",IF($D1126="TANIMSIZ MÜŞTERİ","HATA",IF(OR($E1126="",$F1126&lt;=0,$G1126=""),"EKSİK",IF($E1126&gt;TODAY(),"İLERİ TARİH","UYGUN"))))</f>
        <v/>
      </c>
      <c r="N1126" s="6" t="n"/>
      <c r="O1126" s="6" t="n"/>
    </row>
    <row r="1127">
      <c r="A1127" s="6" t="n"/>
      <c r="B1127" s="112">
        <f>IF($C1127="","","T"&amp;TEXT(ROW()-6,"00000"))</f>
        <v/>
      </c>
      <c r="C1127" s="107" t="n"/>
      <c r="D1127" s="113">
        <f>IF($C1127="","",IFERROR(INDEX(MUSTERILER!$C$7:$C$106,MATCH($C1127,MUSTERILER!$B$7:$B$106,0)),"TANIMSIZ MÜŞTERİ"))</f>
        <v/>
      </c>
      <c r="E1127" s="114" t="n"/>
      <c r="F1127" s="115" t="n"/>
      <c r="G1127" s="107" t="n"/>
      <c r="H1127" s="107" t="n"/>
      <c r="I1127" s="108" t="n"/>
      <c r="J1127" s="108" t="n"/>
      <c r="K1127" s="108" t="n"/>
      <c r="L1127" s="119">
        <f>IF($E1127="","",DATE(YEAR($E1127),MONTH($E1127),1))</f>
        <v/>
      </c>
      <c r="M1127" s="112">
        <f>IF($C1127="","",IF($D1127="TANIMSIZ MÜŞTERİ","HATA",IF(OR($E1127="",$F1127&lt;=0,$G1127=""),"EKSİK",IF($E1127&gt;TODAY(),"İLERİ TARİH","UYGUN"))))</f>
        <v/>
      </c>
      <c r="N1127" s="6" t="n"/>
      <c r="O1127" s="6" t="n"/>
    </row>
    <row r="1128">
      <c r="A1128" s="6" t="n"/>
      <c r="B1128" s="112">
        <f>IF($C1128="","","T"&amp;TEXT(ROW()-6,"00000"))</f>
        <v/>
      </c>
      <c r="C1128" s="107" t="n"/>
      <c r="D1128" s="113">
        <f>IF($C1128="","",IFERROR(INDEX(MUSTERILER!$C$7:$C$106,MATCH($C1128,MUSTERILER!$B$7:$B$106,0)),"TANIMSIZ MÜŞTERİ"))</f>
        <v/>
      </c>
      <c r="E1128" s="114" t="n"/>
      <c r="F1128" s="115" t="n"/>
      <c r="G1128" s="107" t="n"/>
      <c r="H1128" s="107" t="n"/>
      <c r="I1128" s="108" t="n"/>
      <c r="J1128" s="108" t="n"/>
      <c r="K1128" s="108" t="n"/>
      <c r="L1128" s="119">
        <f>IF($E1128="","",DATE(YEAR($E1128),MONTH($E1128),1))</f>
        <v/>
      </c>
      <c r="M1128" s="112">
        <f>IF($C1128="","",IF($D1128="TANIMSIZ MÜŞTERİ","HATA",IF(OR($E1128="",$F1128&lt;=0,$G1128=""),"EKSİK",IF($E1128&gt;TODAY(),"İLERİ TARİH","UYGUN"))))</f>
        <v/>
      </c>
      <c r="N1128" s="6" t="n"/>
      <c r="O1128" s="6" t="n"/>
    </row>
    <row r="1129">
      <c r="A1129" s="6" t="n"/>
      <c r="B1129" s="112">
        <f>IF($C1129="","","T"&amp;TEXT(ROW()-6,"00000"))</f>
        <v/>
      </c>
      <c r="C1129" s="107" t="n"/>
      <c r="D1129" s="113">
        <f>IF($C1129="","",IFERROR(INDEX(MUSTERILER!$C$7:$C$106,MATCH($C1129,MUSTERILER!$B$7:$B$106,0)),"TANIMSIZ MÜŞTERİ"))</f>
        <v/>
      </c>
      <c r="E1129" s="114" t="n"/>
      <c r="F1129" s="115" t="n"/>
      <c r="G1129" s="107" t="n"/>
      <c r="H1129" s="107" t="n"/>
      <c r="I1129" s="108" t="n"/>
      <c r="J1129" s="108" t="n"/>
      <c r="K1129" s="108" t="n"/>
      <c r="L1129" s="119">
        <f>IF($E1129="","",DATE(YEAR($E1129),MONTH($E1129),1))</f>
        <v/>
      </c>
      <c r="M1129" s="112">
        <f>IF($C1129="","",IF($D1129="TANIMSIZ MÜŞTERİ","HATA",IF(OR($E1129="",$F1129&lt;=0,$G1129=""),"EKSİK",IF($E1129&gt;TODAY(),"İLERİ TARİH","UYGUN"))))</f>
        <v/>
      </c>
      <c r="N1129" s="6" t="n"/>
      <c r="O1129" s="6" t="n"/>
    </row>
    <row r="1130">
      <c r="A1130" s="6" t="n"/>
      <c r="B1130" s="112">
        <f>IF($C1130="","","T"&amp;TEXT(ROW()-6,"00000"))</f>
        <v/>
      </c>
      <c r="C1130" s="107" t="n"/>
      <c r="D1130" s="113">
        <f>IF($C1130="","",IFERROR(INDEX(MUSTERILER!$C$7:$C$106,MATCH($C1130,MUSTERILER!$B$7:$B$106,0)),"TANIMSIZ MÜŞTERİ"))</f>
        <v/>
      </c>
      <c r="E1130" s="114" t="n"/>
      <c r="F1130" s="115" t="n"/>
      <c r="G1130" s="107" t="n"/>
      <c r="H1130" s="107" t="n"/>
      <c r="I1130" s="108" t="n"/>
      <c r="J1130" s="108" t="n"/>
      <c r="K1130" s="108" t="n"/>
      <c r="L1130" s="119">
        <f>IF($E1130="","",DATE(YEAR($E1130),MONTH($E1130),1))</f>
        <v/>
      </c>
      <c r="M1130" s="112">
        <f>IF($C1130="","",IF($D1130="TANIMSIZ MÜŞTERİ","HATA",IF(OR($E1130="",$F1130&lt;=0,$G1130=""),"EKSİK",IF($E1130&gt;TODAY(),"İLERİ TARİH","UYGUN"))))</f>
        <v/>
      </c>
      <c r="N1130" s="6" t="n"/>
      <c r="O1130" s="6" t="n"/>
    </row>
    <row r="1131">
      <c r="A1131" s="6" t="n"/>
      <c r="B1131" s="112">
        <f>IF($C1131="","","T"&amp;TEXT(ROW()-6,"00000"))</f>
        <v/>
      </c>
      <c r="C1131" s="107" t="n"/>
      <c r="D1131" s="113">
        <f>IF($C1131="","",IFERROR(INDEX(MUSTERILER!$C$7:$C$106,MATCH($C1131,MUSTERILER!$B$7:$B$106,0)),"TANIMSIZ MÜŞTERİ"))</f>
        <v/>
      </c>
      <c r="E1131" s="114" t="n"/>
      <c r="F1131" s="115" t="n"/>
      <c r="G1131" s="107" t="n"/>
      <c r="H1131" s="107" t="n"/>
      <c r="I1131" s="108" t="n"/>
      <c r="J1131" s="108" t="n"/>
      <c r="K1131" s="108" t="n"/>
      <c r="L1131" s="119">
        <f>IF($E1131="","",DATE(YEAR($E1131),MONTH($E1131),1))</f>
        <v/>
      </c>
      <c r="M1131" s="112">
        <f>IF($C1131="","",IF($D1131="TANIMSIZ MÜŞTERİ","HATA",IF(OR($E1131="",$F1131&lt;=0,$G1131=""),"EKSİK",IF($E1131&gt;TODAY(),"İLERİ TARİH","UYGUN"))))</f>
        <v/>
      </c>
      <c r="N1131" s="6" t="n"/>
      <c r="O1131" s="6" t="n"/>
    </row>
    <row r="1132">
      <c r="A1132" s="6" t="n"/>
      <c r="B1132" s="112">
        <f>IF($C1132="","","T"&amp;TEXT(ROW()-6,"00000"))</f>
        <v/>
      </c>
      <c r="C1132" s="107" t="n"/>
      <c r="D1132" s="113">
        <f>IF($C1132="","",IFERROR(INDEX(MUSTERILER!$C$7:$C$106,MATCH($C1132,MUSTERILER!$B$7:$B$106,0)),"TANIMSIZ MÜŞTERİ"))</f>
        <v/>
      </c>
      <c r="E1132" s="114" t="n"/>
      <c r="F1132" s="115" t="n"/>
      <c r="G1132" s="107" t="n"/>
      <c r="H1132" s="107" t="n"/>
      <c r="I1132" s="108" t="n"/>
      <c r="J1132" s="108" t="n"/>
      <c r="K1132" s="108" t="n"/>
      <c r="L1132" s="119">
        <f>IF($E1132="","",DATE(YEAR($E1132),MONTH($E1132),1))</f>
        <v/>
      </c>
      <c r="M1132" s="112">
        <f>IF($C1132="","",IF($D1132="TANIMSIZ MÜŞTERİ","HATA",IF(OR($E1132="",$F1132&lt;=0,$G1132=""),"EKSİK",IF($E1132&gt;TODAY(),"İLERİ TARİH","UYGUN"))))</f>
        <v/>
      </c>
      <c r="N1132" s="6" t="n"/>
      <c r="O1132" s="6" t="n"/>
    </row>
    <row r="1133">
      <c r="A1133" s="6" t="n"/>
      <c r="B1133" s="112">
        <f>IF($C1133="","","T"&amp;TEXT(ROW()-6,"00000"))</f>
        <v/>
      </c>
      <c r="C1133" s="107" t="n"/>
      <c r="D1133" s="113">
        <f>IF($C1133="","",IFERROR(INDEX(MUSTERILER!$C$7:$C$106,MATCH($C1133,MUSTERILER!$B$7:$B$106,0)),"TANIMSIZ MÜŞTERİ"))</f>
        <v/>
      </c>
      <c r="E1133" s="114" t="n"/>
      <c r="F1133" s="115" t="n"/>
      <c r="G1133" s="107" t="n"/>
      <c r="H1133" s="107" t="n"/>
      <c r="I1133" s="108" t="n"/>
      <c r="J1133" s="108" t="n"/>
      <c r="K1133" s="108" t="n"/>
      <c r="L1133" s="119">
        <f>IF($E1133="","",DATE(YEAR($E1133),MONTH($E1133),1))</f>
        <v/>
      </c>
      <c r="M1133" s="112">
        <f>IF($C1133="","",IF($D1133="TANIMSIZ MÜŞTERİ","HATA",IF(OR($E1133="",$F1133&lt;=0,$G1133=""),"EKSİK",IF($E1133&gt;TODAY(),"İLERİ TARİH","UYGUN"))))</f>
        <v/>
      </c>
      <c r="N1133" s="6" t="n"/>
      <c r="O1133" s="6" t="n"/>
    </row>
    <row r="1134">
      <c r="A1134" s="6" t="n"/>
      <c r="B1134" s="112">
        <f>IF($C1134="","","T"&amp;TEXT(ROW()-6,"00000"))</f>
        <v/>
      </c>
      <c r="C1134" s="107" t="n"/>
      <c r="D1134" s="113">
        <f>IF($C1134="","",IFERROR(INDEX(MUSTERILER!$C$7:$C$106,MATCH($C1134,MUSTERILER!$B$7:$B$106,0)),"TANIMSIZ MÜŞTERİ"))</f>
        <v/>
      </c>
      <c r="E1134" s="114" t="n"/>
      <c r="F1134" s="115" t="n"/>
      <c r="G1134" s="107" t="n"/>
      <c r="H1134" s="107" t="n"/>
      <c r="I1134" s="108" t="n"/>
      <c r="J1134" s="108" t="n"/>
      <c r="K1134" s="108" t="n"/>
      <c r="L1134" s="119">
        <f>IF($E1134="","",DATE(YEAR($E1134),MONTH($E1134),1))</f>
        <v/>
      </c>
      <c r="M1134" s="112">
        <f>IF($C1134="","",IF($D1134="TANIMSIZ MÜŞTERİ","HATA",IF(OR($E1134="",$F1134&lt;=0,$G1134=""),"EKSİK",IF($E1134&gt;TODAY(),"İLERİ TARİH","UYGUN"))))</f>
        <v/>
      </c>
      <c r="N1134" s="6" t="n"/>
      <c r="O1134" s="6" t="n"/>
    </row>
    <row r="1135">
      <c r="A1135" s="6" t="n"/>
      <c r="B1135" s="112">
        <f>IF($C1135="","","T"&amp;TEXT(ROW()-6,"00000"))</f>
        <v/>
      </c>
      <c r="C1135" s="107" t="n"/>
      <c r="D1135" s="113">
        <f>IF($C1135="","",IFERROR(INDEX(MUSTERILER!$C$7:$C$106,MATCH($C1135,MUSTERILER!$B$7:$B$106,0)),"TANIMSIZ MÜŞTERİ"))</f>
        <v/>
      </c>
      <c r="E1135" s="114" t="n"/>
      <c r="F1135" s="115" t="n"/>
      <c r="G1135" s="107" t="n"/>
      <c r="H1135" s="107" t="n"/>
      <c r="I1135" s="108" t="n"/>
      <c r="J1135" s="108" t="n"/>
      <c r="K1135" s="108" t="n"/>
      <c r="L1135" s="119">
        <f>IF($E1135="","",DATE(YEAR($E1135),MONTH($E1135),1))</f>
        <v/>
      </c>
      <c r="M1135" s="112">
        <f>IF($C1135="","",IF($D1135="TANIMSIZ MÜŞTERİ","HATA",IF(OR($E1135="",$F1135&lt;=0,$G1135=""),"EKSİK",IF($E1135&gt;TODAY(),"İLERİ TARİH","UYGUN"))))</f>
        <v/>
      </c>
      <c r="N1135" s="6" t="n"/>
      <c r="O1135" s="6" t="n"/>
    </row>
    <row r="1136">
      <c r="A1136" s="6" t="n"/>
      <c r="B1136" s="112">
        <f>IF($C1136="","","T"&amp;TEXT(ROW()-6,"00000"))</f>
        <v/>
      </c>
      <c r="C1136" s="107" t="n"/>
      <c r="D1136" s="113">
        <f>IF($C1136="","",IFERROR(INDEX(MUSTERILER!$C$7:$C$106,MATCH($C1136,MUSTERILER!$B$7:$B$106,0)),"TANIMSIZ MÜŞTERİ"))</f>
        <v/>
      </c>
      <c r="E1136" s="114" t="n"/>
      <c r="F1136" s="115" t="n"/>
      <c r="G1136" s="107" t="n"/>
      <c r="H1136" s="107" t="n"/>
      <c r="I1136" s="108" t="n"/>
      <c r="J1136" s="108" t="n"/>
      <c r="K1136" s="108" t="n"/>
      <c r="L1136" s="119">
        <f>IF($E1136="","",DATE(YEAR($E1136),MONTH($E1136),1))</f>
        <v/>
      </c>
      <c r="M1136" s="112">
        <f>IF($C1136="","",IF($D1136="TANIMSIZ MÜŞTERİ","HATA",IF(OR($E1136="",$F1136&lt;=0,$G1136=""),"EKSİK",IF($E1136&gt;TODAY(),"İLERİ TARİH","UYGUN"))))</f>
        <v/>
      </c>
      <c r="N1136" s="6" t="n"/>
      <c r="O1136" s="6" t="n"/>
    </row>
    <row r="1137">
      <c r="A1137" s="6" t="n"/>
      <c r="B1137" s="112">
        <f>IF($C1137="","","T"&amp;TEXT(ROW()-6,"00000"))</f>
        <v/>
      </c>
      <c r="C1137" s="107" t="n"/>
      <c r="D1137" s="113">
        <f>IF($C1137="","",IFERROR(INDEX(MUSTERILER!$C$7:$C$106,MATCH($C1137,MUSTERILER!$B$7:$B$106,0)),"TANIMSIZ MÜŞTERİ"))</f>
        <v/>
      </c>
      <c r="E1137" s="114" t="n"/>
      <c r="F1137" s="115" t="n"/>
      <c r="G1137" s="107" t="n"/>
      <c r="H1137" s="107" t="n"/>
      <c r="I1137" s="108" t="n"/>
      <c r="J1137" s="108" t="n"/>
      <c r="K1137" s="108" t="n"/>
      <c r="L1137" s="119">
        <f>IF($E1137="","",DATE(YEAR($E1137),MONTH($E1137),1))</f>
        <v/>
      </c>
      <c r="M1137" s="112">
        <f>IF($C1137="","",IF($D1137="TANIMSIZ MÜŞTERİ","HATA",IF(OR($E1137="",$F1137&lt;=0,$G1137=""),"EKSİK",IF($E1137&gt;TODAY(),"İLERİ TARİH","UYGUN"))))</f>
        <v/>
      </c>
      <c r="N1137" s="6" t="n"/>
      <c r="O1137" s="6" t="n"/>
    </row>
    <row r="1138">
      <c r="A1138" s="6" t="n"/>
      <c r="B1138" s="112">
        <f>IF($C1138="","","T"&amp;TEXT(ROW()-6,"00000"))</f>
        <v/>
      </c>
      <c r="C1138" s="107" t="n"/>
      <c r="D1138" s="113">
        <f>IF($C1138="","",IFERROR(INDEX(MUSTERILER!$C$7:$C$106,MATCH($C1138,MUSTERILER!$B$7:$B$106,0)),"TANIMSIZ MÜŞTERİ"))</f>
        <v/>
      </c>
      <c r="E1138" s="114" t="n"/>
      <c r="F1138" s="115" t="n"/>
      <c r="G1138" s="107" t="n"/>
      <c r="H1138" s="107" t="n"/>
      <c r="I1138" s="108" t="n"/>
      <c r="J1138" s="108" t="n"/>
      <c r="K1138" s="108" t="n"/>
      <c r="L1138" s="119">
        <f>IF($E1138="","",DATE(YEAR($E1138),MONTH($E1138),1))</f>
        <v/>
      </c>
      <c r="M1138" s="112">
        <f>IF($C1138="","",IF($D1138="TANIMSIZ MÜŞTERİ","HATA",IF(OR($E1138="",$F1138&lt;=0,$G1138=""),"EKSİK",IF($E1138&gt;TODAY(),"İLERİ TARİH","UYGUN"))))</f>
        <v/>
      </c>
      <c r="N1138" s="6" t="n"/>
      <c r="O1138" s="6" t="n"/>
    </row>
    <row r="1139">
      <c r="A1139" s="6" t="n"/>
      <c r="B1139" s="112">
        <f>IF($C1139="","","T"&amp;TEXT(ROW()-6,"00000"))</f>
        <v/>
      </c>
      <c r="C1139" s="107" t="n"/>
      <c r="D1139" s="113">
        <f>IF($C1139="","",IFERROR(INDEX(MUSTERILER!$C$7:$C$106,MATCH($C1139,MUSTERILER!$B$7:$B$106,0)),"TANIMSIZ MÜŞTERİ"))</f>
        <v/>
      </c>
      <c r="E1139" s="114" t="n"/>
      <c r="F1139" s="115" t="n"/>
      <c r="G1139" s="107" t="n"/>
      <c r="H1139" s="107" t="n"/>
      <c r="I1139" s="108" t="n"/>
      <c r="J1139" s="108" t="n"/>
      <c r="K1139" s="108" t="n"/>
      <c r="L1139" s="119">
        <f>IF($E1139="","",DATE(YEAR($E1139),MONTH($E1139),1))</f>
        <v/>
      </c>
      <c r="M1139" s="112">
        <f>IF($C1139="","",IF($D1139="TANIMSIZ MÜŞTERİ","HATA",IF(OR($E1139="",$F1139&lt;=0,$G1139=""),"EKSİK",IF($E1139&gt;TODAY(),"İLERİ TARİH","UYGUN"))))</f>
        <v/>
      </c>
      <c r="N1139" s="6" t="n"/>
      <c r="O1139" s="6" t="n"/>
    </row>
    <row r="1140">
      <c r="A1140" s="6" t="n"/>
      <c r="B1140" s="112">
        <f>IF($C1140="","","T"&amp;TEXT(ROW()-6,"00000"))</f>
        <v/>
      </c>
      <c r="C1140" s="107" t="n"/>
      <c r="D1140" s="113">
        <f>IF($C1140="","",IFERROR(INDEX(MUSTERILER!$C$7:$C$106,MATCH($C1140,MUSTERILER!$B$7:$B$106,0)),"TANIMSIZ MÜŞTERİ"))</f>
        <v/>
      </c>
      <c r="E1140" s="114" t="n"/>
      <c r="F1140" s="115" t="n"/>
      <c r="G1140" s="107" t="n"/>
      <c r="H1140" s="107" t="n"/>
      <c r="I1140" s="108" t="n"/>
      <c r="J1140" s="108" t="n"/>
      <c r="K1140" s="108" t="n"/>
      <c r="L1140" s="119">
        <f>IF($E1140="","",DATE(YEAR($E1140),MONTH($E1140),1))</f>
        <v/>
      </c>
      <c r="M1140" s="112">
        <f>IF($C1140="","",IF($D1140="TANIMSIZ MÜŞTERİ","HATA",IF(OR($E1140="",$F1140&lt;=0,$G1140=""),"EKSİK",IF($E1140&gt;TODAY(),"İLERİ TARİH","UYGUN"))))</f>
        <v/>
      </c>
      <c r="N1140" s="6" t="n"/>
      <c r="O1140" s="6" t="n"/>
    </row>
    <row r="1141">
      <c r="A1141" s="6" t="n"/>
      <c r="B1141" s="112">
        <f>IF($C1141="","","T"&amp;TEXT(ROW()-6,"00000"))</f>
        <v/>
      </c>
      <c r="C1141" s="107" t="n"/>
      <c r="D1141" s="113">
        <f>IF($C1141="","",IFERROR(INDEX(MUSTERILER!$C$7:$C$106,MATCH($C1141,MUSTERILER!$B$7:$B$106,0)),"TANIMSIZ MÜŞTERİ"))</f>
        <v/>
      </c>
      <c r="E1141" s="114" t="n"/>
      <c r="F1141" s="115" t="n"/>
      <c r="G1141" s="107" t="n"/>
      <c r="H1141" s="107" t="n"/>
      <c r="I1141" s="108" t="n"/>
      <c r="J1141" s="108" t="n"/>
      <c r="K1141" s="108" t="n"/>
      <c r="L1141" s="119">
        <f>IF($E1141="","",DATE(YEAR($E1141),MONTH($E1141),1))</f>
        <v/>
      </c>
      <c r="M1141" s="112">
        <f>IF($C1141="","",IF($D1141="TANIMSIZ MÜŞTERİ","HATA",IF(OR($E1141="",$F1141&lt;=0,$G1141=""),"EKSİK",IF($E1141&gt;TODAY(),"İLERİ TARİH","UYGUN"))))</f>
        <v/>
      </c>
      <c r="N1141" s="6" t="n"/>
      <c r="O1141" s="6" t="n"/>
    </row>
    <row r="1142">
      <c r="A1142" s="6" t="n"/>
      <c r="B1142" s="112">
        <f>IF($C1142="","","T"&amp;TEXT(ROW()-6,"00000"))</f>
        <v/>
      </c>
      <c r="C1142" s="107" t="n"/>
      <c r="D1142" s="113">
        <f>IF($C1142="","",IFERROR(INDEX(MUSTERILER!$C$7:$C$106,MATCH($C1142,MUSTERILER!$B$7:$B$106,0)),"TANIMSIZ MÜŞTERİ"))</f>
        <v/>
      </c>
      <c r="E1142" s="114" t="n"/>
      <c r="F1142" s="115" t="n"/>
      <c r="G1142" s="107" t="n"/>
      <c r="H1142" s="107" t="n"/>
      <c r="I1142" s="108" t="n"/>
      <c r="J1142" s="108" t="n"/>
      <c r="K1142" s="108" t="n"/>
      <c r="L1142" s="119">
        <f>IF($E1142="","",DATE(YEAR($E1142),MONTH($E1142),1))</f>
        <v/>
      </c>
      <c r="M1142" s="112">
        <f>IF($C1142="","",IF($D1142="TANIMSIZ MÜŞTERİ","HATA",IF(OR($E1142="",$F1142&lt;=0,$G1142=""),"EKSİK",IF($E1142&gt;TODAY(),"İLERİ TARİH","UYGUN"))))</f>
        <v/>
      </c>
      <c r="N1142" s="6" t="n"/>
      <c r="O1142" s="6" t="n"/>
    </row>
    <row r="1143">
      <c r="A1143" s="6" t="n"/>
      <c r="B1143" s="112">
        <f>IF($C1143="","","T"&amp;TEXT(ROW()-6,"00000"))</f>
        <v/>
      </c>
      <c r="C1143" s="107" t="n"/>
      <c r="D1143" s="113">
        <f>IF($C1143="","",IFERROR(INDEX(MUSTERILER!$C$7:$C$106,MATCH($C1143,MUSTERILER!$B$7:$B$106,0)),"TANIMSIZ MÜŞTERİ"))</f>
        <v/>
      </c>
      <c r="E1143" s="114" t="n"/>
      <c r="F1143" s="115" t="n"/>
      <c r="G1143" s="107" t="n"/>
      <c r="H1143" s="107" t="n"/>
      <c r="I1143" s="108" t="n"/>
      <c r="J1143" s="108" t="n"/>
      <c r="K1143" s="108" t="n"/>
      <c r="L1143" s="119">
        <f>IF($E1143="","",DATE(YEAR($E1143),MONTH($E1143),1))</f>
        <v/>
      </c>
      <c r="M1143" s="112">
        <f>IF($C1143="","",IF($D1143="TANIMSIZ MÜŞTERİ","HATA",IF(OR($E1143="",$F1143&lt;=0,$G1143=""),"EKSİK",IF($E1143&gt;TODAY(),"İLERİ TARİH","UYGUN"))))</f>
        <v/>
      </c>
      <c r="N1143" s="6" t="n"/>
      <c r="O1143" s="6" t="n"/>
    </row>
    <row r="1144">
      <c r="A1144" s="6" t="n"/>
      <c r="B1144" s="112">
        <f>IF($C1144="","","T"&amp;TEXT(ROW()-6,"00000"))</f>
        <v/>
      </c>
      <c r="C1144" s="107" t="n"/>
      <c r="D1144" s="113">
        <f>IF($C1144="","",IFERROR(INDEX(MUSTERILER!$C$7:$C$106,MATCH($C1144,MUSTERILER!$B$7:$B$106,0)),"TANIMSIZ MÜŞTERİ"))</f>
        <v/>
      </c>
      <c r="E1144" s="114" t="n"/>
      <c r="F1144" s="115" t="n"/>
      <c r="G1144" s="107" t="n"/>
      <c r="H1144" s="107" t="n"/>
      <c r="I1144" s="108" t="n"/>
      <c r="J1144" s="108" t="n"/>
      <c r="K1144" s="108" t="n"/>
      <c r="L1144" s="119">
        <f>IF($E1144="","",DATE(YEAR($E1144),MONTH($E1144),1))</f>
        <v/>
      </c>
      <c r="M1144" s="112">
        <f>IF($C1144="","",IF($D1144="TANIMSIZ MÜŞTERİ","HATA",IF(OR($E1144="",$F1144&lt;=0,$G1144=""),"EKSİK",IF($E1144&gt;TODAY(),"İLERİ TARİH","UYGUN"))))</f>
        <v/>
      </c>
      <c r="N1144" s="6" t="n"/>
      <c r="O1144" s="6" t="n"/>
    </row>
    <row r="1145">
      <c r="A1145" s="6" t="n"/>
      <c r="B1145" s="112">
        <f>IF($C1145="","","T"&amp;TEXT(ROW()-6,"00000"))</f>
        <v/>
      </c>
      <c r="C1145" s="107" t="n"/>
      <c r="D1145" s="113">
        <f>IF($C1145="","",IFERROR(INDEX(MUSTERILER!$C$7:$C$106,MATCH($C1145,MUSTERILER!$B$7:$B$106,0)),"TANIMSIZ MÜŞTERİ"))</f>
        <v/>
      </c>
      <c r="E1145" s="114" t="n"/>
      <c r="F1145" s="115" t="n"/>
      <c r="G1145" s="107" t="n"/>
      <c r="H1145" s="107" t="n"/>
      <c r="I1145" s="108" t="n"/>
      <c r="J1145" s="108" t="n"/>
      <c r="K1145" s="108" t="n"/>
      <c r="L1145" s="119">
        <f>IF($E1145="","",DATE(YEAR($E1145),MONTH($E1145),1))</f>
        <v/>
      </c>
      <c r="M1145" s="112">
        <f>IF($C1145="","",IF($D1145="TANIMSIZ MÜŞTERİ","HATA",IF(OR($E1145="",$F1145&lt;=0,$G1145=""),"EKSİK",IF($E1145&gt;TODAY(),"İLERİ TARİH","UYGUN"))))</f>
        <v/>
      </c>
      <c r="N1145" s="6" t="n"/>
      <c r="O1145" s="6" t="n"/>
    </row>
    <row r="1146">
      <c r="A1146" s="6" t="n"/>
      <c r="B1146" s="112">
        <f>IF($C1146="","","T"&amp;TEXT(ROW()-6,"00000"))</f>
        <v/>
      </c>
      <c r="C1146" s="107" t="n"/>
      <c r="D1146" s="113">
        <f>IF($C1146="","",IFERROR(INDEX(MUSTERILER!$C$7:$C$106,MATCH($C1146,MUSTERILER!$B$7:$B$106,0)),"TANIMSIZ MÜŞTERİ"))</f>
        <v/>
      </c>
      <c r="E1146" s="114" t="n"/>
      <c r="F1146" s="115" t="n"/>
      <c r="G1146" s="107" t="n"/>
      <c r="H1146" s="107" t="n"/>
      <c r="I1146" s="108" t="n"/>
      <c r="J1146" s="108" t="n"/>
      <c r="K1146" s="108" t="n"/>
      <c r="L1146" s="119">
        <f>IF($E1146="","",DATE(YEAR($E1146),MONTH($E1146),1))</f>
        <v/>
      </c>
      <c r="M1146" s="112">
        <f>IF($C1146="","",IF($D1146="TANIMSIZ MÜŞTERİ","HATA",IF(OR($E1146="",$F1146&lt;=0,$G1146=""),"EKSİK",IF($E1146&gt;TODAY(),"İLERİ TARİH","UYGUN"))))</f>
        <v/>
      </c>
      <c r="N1146" s="6" t="n"/>
      <c r="O1146" s="6" t="n"/>
    </row>
    <row r="1147">
      <c r="A1147" s="6" t="n"/>
      <c r="B1147" s="112">
        <f>IF($C1147="","","T"&amp;TEXT(ROW()-6,"00000"))</f>
        <v/>
      </c>
      <c r="C1147" s="107" t="n"/>
      <c r="D1147" s="113">
        <f>IF($C1147="","",IFERROR(INDEX(MUSTERILER!$C$7:$C$106,MATCH($C1147,MUSTERILER!$B$7:$B$106,0)),"TANIMSIZ MÜŞTERİ"))</f>
        <v/>
      </c>
      <c r="E1147" s="114" t="n"/>
      <c r="F1147" s="115" t="n"/>
      <c r="G1147" s="107" t="n"/>
      <c r="H1147" s="107" t="n"/>
      <c r="I1147" s="108" t="n"/>
      <c r="J1147" s="108" t="n"/>
      <c r="K1147" s="108" t="n"/>
      <c r="L1147" s="119">
        <f>IF($E1147="","",DATE(YEAR($E1147),MONTH($E1147),1))</f>
        <v/>
      </c>
      <c r="M1147" s="112">
        <f>IF($C1147="","",IF($D1147="TANIMSIZ MÜŞTERİ","HATA",IF(OR($E1147="",$F1147&lt;=0,$G1147=""),"EKSİK",IF($E1147&gt;TODAY(),"İLERİ TARİH","UYGUN"))))</f>
        <v/>
      </c>
      <c r="N1147" s="6" t="n"/>
      <c r="O1147" s="6" t="n"/>
    </row>
    <row r="1148">
      <c r="A1148" s="6" t="n"/>
      <c r="B1148" s="112">
        <f>IF($C1148="","","T"&amp;TEXT(ROW()-6,"00000"))</f>
        <v/>
      </c>
      <c r="C1148" s="107" t="n"/>
      <c r="D1148" s="113">
        <f>IF($C1148="","",IFERROR(INDEX(MUSTERILER!$C$7:$C$106,MATCH($C1148,MUSTERILER!$B$7:$B$106,0)),"TANIMSIZ MÜŞTERİ"))</f>
        <v/>
      </c>
      <c r="E1148" s="114" t="n"/>
      <c r="F1148" s="115" t="n"/>
      <c r="G1148" s="107" t="n"/>
      <c r="H1148" s="107" t="n"/>
      <c r="I1148" s="108" t="n"/>
      <c r="J1148" s="108" t="n"/>
      <c r="K1148" s="108" t="n"/>
      <c r="L1148" s="119">
        <f>IF($E1148="","",DATE(YEAR($E1148),MONTH($E1148),1))</f>
        <v/>
      </c>
      <c r="M1148" s="112">
        <f>IF($C1148="","",IF($D1148="TANIMSIZ MÜŞTERİ","HATA",IF(OR($E1148="",$F1148&lt;=0,$G1148=""),"EKSİK",IF($E1148&gt;TODAY(),"İLERİ TARİH","UYGUN"))))</f>
        <v/>
      </c>
      <c r="N1148" s="6" t="n"/>
      <c r="O1148" s="6" t="n"/>
    </row>
    <row r="1149">
      <c r="A1149" s="6" t="n"/>
      <c r="B1149" s="112">
        <f>IF($C1149="","","T"&amp;TEXT(ROW()-6,"00000"))</f>
        <v/>
      </c>
      <c r="C1149" s="107" t="n"/>
      <c r="D1149" s="113">
        <f>IF($C1149="","",IFERROR(INDEX(MUSTERILER!$C$7:$C$106,MATCH($C1149,MUSTERILER!$B$7:$B$106,0)),"TANIMSIZ MÜŞTERİ"))</f>
        <v/>
      </c>
      <c r="E1149" s="114" t="n"/>
      <c r="F1149" s="115" t="n"/>
      <c r="G1149" s="107" t="n"/>
      <c r="H1149" s="107" t="n"/>
      <c r="I1149" s="108" t="n"/>
      <c r="J1149" s="108" t="n"/>
      <c r="K1149" s="108" t="n"/>
      <c r="L1149" s="119">
        <f>IF($E1149="","",DATE(YEAR($E1149),MONTH($E1149),1))</f>
        <v/>
      </c>
      <c r="M1149" s="112">
        <f>IF($C1149="","",IF($D1149="TANIMSIZ MÜŞTERİ","HATA",IF(OR($E1149="",$F1149&lt;=0,$G1149=""),"EKSİK",IF($E1149&gt;TODAY(),"İLERİ TARİH","UYGUN"))))</f>
        <v/>
      </c>
      <c r="N1149" s="6" t="n"/>
      <c r="O1149" s="6" t="n"/>
    </row>
    <row r="1150">
      <c r="A1150" s="6" t="n"/>
      <c r="B1150" s="112">
        <f>IF($C1150="","","T"&amp;TEXT(ROW()-6,"00000"))</f>
        <v/>
      </c>
      <c r="C1150" s="107" t="n"/>
      <c r="D1150" s="113">
        <f>IF($C1150="","",IFERROR(INDEX(MUSTERILER!$C$7:$C$106,MATCH($C1150,MUSTERILER!$B$7:$B$106,0)),"TANIMSIZ MÜŞTERİ"))</f>
        <v/>
      </c>
      <c r="E1150" s="114" t="n"/>
      <c r="F1150" s="115" t="n"/>
      <c r="G1150" s="107" t="n"/>
      <c r="H1150" s="107" t="n"/>
      <c r="I1150" s="108" t="n"/>
      <c r="J1150" s="108" t="n"/>
      <c r="K1150" s="108" t="n"/>
      <c r="L1150" s="119">
        <f>IF($E1150="","",DATE(YEAR($E1150),MONTH($E1150),1))</f>
        <v/>
      </c>
      <c r="M1150" s="112">
        <f>IF($C1150="","",IF($D1150="TANIMSIZ MÜŞTERİ","HATA",IF(OR($E1150="",$F1150&lt;=0,$G1150=""),"EKSİK",IF($E1150&gt;TODAY(),"İLERİ TARİH","UYGUN"))))</f>
        <v/>
      </c>
      <c r="N1150" s="6" t="n"/>
      <c r="O1150" s="6" t="n"/>
    </row>
    <row r="1151">
      <c r="A1151" s="6" t="n"/>
      <c r="B1151" s="112">
        <f>IF($C1151="","","T"&amp;TEXT(ROW()-6,"00000"))</f>
        <v/>
      </c>
      <c r="C1151" s="107" t="n"/>
      <c r="D1151" s="113">
        <f>IF($C1151="","",IFERROR(INDEX(MUSTERILER!$C$7:$C$106,MATCH($C1151,MUSTERILER!$B$7:$B$106,0)),"TANIMSIZ MÜŞTERİ"))</f>
        <v/>
      </c>
      <c r="E1151" s="114" t="n"/>
      <c r="F1151" s="115" t="n"/>
      <c r="G1151" s="107" t="n"/>
      <c r="H1151" s="107" t="n"/>
      <c r="I1151" s="108" t="n"/>
      <c r="J1151" s="108" t="n"/>
      <c r="K1151" s="108" t="n"/>
      <c r="L1151" s="119">
        <f>IF($E1151="","",DATE(YEAR($E1151),MONTH($E1151),1))</f>
        <v/>
      </c>
      <c r="M1151" s="112">
        <f>IF($C1151="","",IF($D1151="TANIMSIZ MÜŞTERİ","HATA",IF(OR($E1151="",$F1151&lt;=0,$G1151=""),"EKSİK",IF($E1151&gt;TODAY(),"İLERİ TARİH","UYGUN"))))</f>
        <v/>
      </c>
      <c r="N1151" s="6" t="n"/>
      <c r="O1151" s="6" t="n"/>
    </row>
    <row r="1152">
      <c r="A1152" s="6" t="n"/>
      <c r="B1152" s="112">
        <f>IF($C1152="","","T"&amp;TEXT(ROW()-6,"00000"))</f>
        <v/>
      </c>
      <c r="C1152" s="107" t="n"/>
      <c r="D1152" s="113">
        <f>IF($C1152="","",IFERROR(INDEX(MUSTERILER!$C$7:$C$106,MATCH($C1152,MUSTERILER!$B$7:$B$106,0)),"TANIMSIZ MÜŞTERİ"))</f>
        <v/>
      </c>
      <c r="E1152" s="114" t="n"/>
      <c r="F1152" s="115" t="n"/>
      <c r="G1152" s="107" t="n"/>
      <c r="H1152" s="107" t="n"/>
      <c r="I1152" s="108" t="n"/>
      <c r="J1152" s="108" t="n"/>
      <c r="K1152" s="108" t="n"/>
      <c r="L1152" s="119">
        <f>IF($E1152="","",DATE(YEAR($E1152),MONTH($E1152),1))</f>
        <v/>
      </c>
      <c r="M1152" s="112">
        <f>IF($C1152="","",IF($D1152="TANIMSIZ MÜŞTERİ","HATA",IF(OR($E1152="",$F1152&lt;=0,$G1152=""),"EKSİK",IF($E1152&gt;TODAY(),"İLERİ TARİH","UYGUN"))))</f>
        <v/>
      </c>
      <c r="N1152" s="6" t="n"/>
      <c r="O1152" s="6" t="n"/>
    </row>
    <row r="1153">
      <c r="A1153" s="6" t="n"/>
      <c r="B1153" s="112">
        <f>IF($C1153="","","T"&amp;TEXT(ROW()-6,"00000"))</f>
        <v/>
      </c>
      <c r="C1153" s="107" t="n"/>
      <c r="D1153" s="113">
        <f>IF($C1153="","",IFERROR(INDEX(MUSTERILER!$C$7:$C$106,MATCH($C1153,MUSTERILER!$B$7:$B$106,0)),"TANIMSIZ MÜŞTERİ"))</f>
        <v/>
      </c>
      <c r="E1153" s="114" t="n"/>
      <c r="F1153" s="115" t="n"/>
      <c r="G1153" s="107" t="n"/>
      <c r="H1153" s="107" t="n"/>
      <c r="I1153" s="108" t="n"/>
      <c r="J1153" s="108" t="n"/>
      <c r="K1153" s="108" t="n"/>
      <c r="L1153" s="119">
        <f>IF($E1153="","",DATE(YEAR($E1153),MONTH($E1153),1))</f>
        <v/>
      </c>
      <c r="M1153" s="112">
        <f>IF($C1153="","",IF($D1153="TANIMSIZ MÜŞTERİ","HATA",IF(OR($E1153="",$F1153&lt;=0,$G1153=""),"EKSİK",IF($E1153&gt;TODAY(),"İLERİ TARİH","UYGUN"))))</f>
        <v/>
      </c>
      <c r="N1153" s="6" t="n"/>
      <c r="O1153" s="6" t="n"/>
    </row>
    <row r="1154">
      <c r="A1154" s="6" t="n"/>
      <c r="B1154" s="112">
        <f>IF($C1154="","","T"&amp;TEXT(ROW()-6,"00000"))</f>
        <v/>
      </c>
      <c r="C1154" s="107" t="n"/>
      <c r="D1154" s="113">
        <f>IF($C1154="","",IFERROR(INDEX(MUSTERILER!$C$7:$C$106,MATCH($C1154,MUSTERILER!$B$7:$B$106,0)),"TANIMSIZ MÜŞTERİ"))</f>
        <v/>
      </c>
      <c r="E1154" s="114" t="n"/>
      <c r="F1154" s="115" t="n"/>
      <c r="G1154" s="107" t="n"/>
      <c r="H1154" s="107" t="n"/>
      <c r="I1154" s="108" t="n"/>
      <c r="J1154" s="108" t="n"/>
      <c r="K1154" s="108" t="n"/>
      <c r="L1154" s="119">
        <f>IF($E1154="","",DATE(YEAR($E1154),MONTH($E1154),1))</f>
        <v/>
      </c>
      <c r="M1154" s="112">
        <f>IF($C1154="","",IF($D1154="TANIMSIZ MÜŞTERİ","HATA",IF(OR($E1154="",$F1154&lt;=0,$G1154=""),"EKSİK",IF($E1154&gt;TODAY(),"İLERİ TARİH","UYGUN"))))</f>
        <v/>
      </c>
      <c r="N1154" s="6" t="n"/>
      <c r="O1154" s="6" t="n"/>
    </row>
    <row r="1155">
      <c r="A1155" s="6" t="n"/>
      <c r="B1155" s="112">
        <f>IF($C1155="","","T"&amp;TEXT(ROW()-6,"00000"))</f>
        <v/>
      </c>
      <c r="C1155" s="107" t="n"/>
      <c r="D1155" s="113">
        <f>IF($C1155="","",IFERROR(INDEX(MUSTERILER!$C$7:$C$106,MATCH($C1155,MUSTERILER!$B$7:$B$106,0)),"TANIMSIZ MÜŞTERİ"))</f>
        <v/>
      </c>
      <c r="E1155" s="114" t="n"/>
      <c r="F1155" s="115" t="n"/>
      <c r="G1155" s="107" t="n"/>
      <c r="H1155" s="107" t="n"/>
      <c r="I1155" s="108" t="n"/>
      <c r="J1155" s="108" t="n"/>
      <c r="K1155" s="108" t="n"/>
      <c r="L1155" s="119">
        <f>IF($E1155="","",DATE(YEAR($E1155),MONTH($E1155),1))</f>
        <v/>
      </c>
      <c r="M1155" s="112">
        <f>IF($C1155="","",IF($D1155="TANIMSIZ MÜŞTERİ","HATA",IF(OR($E1155="",$F1155&lt;=0,$G1155=""),"EKSİK",IF($E1155&gt;TODAY(),"İLERİ TARİH","UYGUN"))))</f>
        <v/>
      </c>
      <c r="N1155" s="6" t="n"/>
      <c r="O1155" s="6" t="n"/>
    </row>
    <row r="1156">
      <c r="A1156" s="6" t="n"/>
      <c r="B1156" s="112">
        <f>IF($C1156="","","T"&amp;TEXT(ROW()-6,"00000"))</f>
        <v/>
      </c>
      <c r="C1156" s="107" t="n"/>
      <c r="D1156" s="113">
        <f>IF($C1156="","",IFERROR(INDEX(MUSTERILER!$C$7:$C$106,MATCH($C1156,MUSTERILER!$B$7:$B$106,0)),"TANIMSIZ MÜŞTERİ"))</f>
        <v/>
      </c>
      <c r="E1156" s="114" t="n"/>
      <c r="F1156" s="115" t="n"/>
      <c r="G1156" s="107" t="n"/>
      <c r="H1156" s="107" t="n"/>
      <c r="I1156" s="108" t="n"/>
      <c r="J1156" s="108" t="n"/>
      <c r="K1156" s="108" t="n"/>
      <c r="L1156" s="119">
        <f>IF($E1156="","",DATE(YEAR($E1156),MONTH($E1156),1))</f>
        <v/>
      </c>
      <c r="M1156" s="112">
        <f>IF($C1156="","",IF($D1156="TANIMSIZ MÜŞTERİ","HATA",IF(OR($E1156="",$F1156&lt;=0,$G1156=""),"EKSİK",IF($E1156&gt;TODAY(),"İLERİ TARİH","UYGUN"))))</f>
        <v/>
      </c>
      <c r="N1156" s="6" t="n"/>
      <c r="O1156" s="6" t="n"/>
    </row>
    <row r="1157">
      <c r="A1157" s="6" t="n"/>
      <c r="B1157" s="112">
        <f>IF($C1157="","","T"&amp;TEXT(ROW()-6,"00000"))</f>
        <v/>
      </c>
      <c r="C1157" s="107" t="n"/>
      <c r="D1157" s="113">
        <f>IF($C1157="","",IFERROR(INDEX(MUSTERILER!$C$7:$C$106,MATCH($C1157,MUSTERILER!$B$7:$B$106,0)),"TANIMSIZ MÜŞTERİ"))</f>
        <v/>
      </c>
      <c r="E1157" s="114" t="n"/>
      <c r="F1157" s="115" t="n"/>
      <c r="G1157" s="107" t="n"/>
      <c r="H1157" s="107" t="n"/>
      <c r="I1157" s="108" t="n"/>
      <c r="J1157" s="108" t="n"/>
      <c r="K1157" s="108" t="n"/>
      <c r="L1157" s="119">
        <f>IF($E1157="","",DATE(YEAR($E1157),MONTH($E1157),1))</f>
        <v/>
      </c>
      <c r="M1157" s="112">
        <f>IF($C1157="","",IF($D1157="TANIMSIZ MÜŞTERİ","HATA",IF(OR($E1157="",$F1157&lt;=0,$G1157=""),"EKSİK",IF($E1157&gt;TODAY(),"İLERİ TARİH","UYGUN"))))</f>
        <v/>
      </c>
      <c r="N1157" s="6" t="n"/>
      <c r="O1157" s="6" t="n"/>
    </row>
    <row r="1158">
      <c r="A1158" s="6" t="n"/>
      <c r="B1158" s="112">
        <f>IF($C1158="","","T"&amp;TEXT(ROW()-6,"00000"))</f>
        <v/>
      </c>
      <c r="C1158" s="107" t="n"/>
      <c r="D1158" s="113">
        <f>IF($C1158="","",IFERROR(INDEX(MUSTERILER!$C$7:$C$106,MATCH($C1158,MUSTERILER!$B$7:$B$106,0)),"TANIMSIZ MÜŞTERİ"))</f>
        <v/>
      </c>
      <c r="E1158" s="114" t="n"/>
      <c r="F1158" s="115" t="n"/>
      <c r="G1158" s="107" t="n"/>
      <c r="H1158" s="107" t="n"/>
      <c r="I1158" s="108" t="n"/>
      <c r="J1158" s="108" t="n"/>
      <c r="K1158" s="108" t="n"/>
      <c r="L1158" s="119">
        <f>IF($E1158="","",DATE(YEAR($E1158),MONTH($E1158),1))</f>
        <v/>
      </c>
      <c r="M1158" s="112">
        <f>IF($C1158="","",IF($D1158="TANIMSIZ MÜŞTERİ","HATA",IF(OR($E1158="",$F1158&lt;=0,$G1158=""),"EKSİK",IF($E1158&gt;TODAY(),"İLERİ TARİH","UYGUN"))))</f>
        <v/>
      </c>
      <c r="N1158" s="6" t="n"/>
      <c r="O1158" s="6" t="n"/>
    </row>
    <row r="1159">
      <c r="A1159" s="6" t="n"/>
      <c r="B1159" s="112">
        <f>IF($C1159="","","T"&amp;TEXT(ROW()-6,"00000"))</f>
        <v/>
      </c>
      <c r="C1159" s="107" t="n"/>
      <c r="D1159" s="113">
        <f>IF($C1159="","",IFERROR(INDEX(MUSTERILER!$C$7:$C$106,MATCH($C1159,MUSTERILER!$B$7:$B$106,0)),"TANIMSIZ MÜŞTERİ"))</f>
        <v/>
      </c>
      <c r="E1159" s="114" t="n"/>
      <c r="F1159" s="115" t="n"/>
      <c r="G1159" s="107" t="n"/>
      <c r="H1159" s="107" t="n"/>
      <c r="I1159" s="108" t="n"/>
      <c r="J1159" s="108" t="n"/>
      <c r="K1159" s="108" t="n"/>
      <c r="L1159" s="119">
        <f>IF($E1159="","",DATE(YEAR($E1159),MONTH($E1159),1))</f>
        <v/>
      </c>
      <c r="M1159" s="112">
        <f>IF($C1159="","",IF($D1159="TANIMSIZ MÜŞTERİ","HATA",IF(OR($E1159="",$F1159&lt;=0,$G1159=""),"EKSİK",IF($E1159&gt;TODAY(),"İLERİ TARİH","UYGUN"))))</f>
        <v/>
      </c>
      <c r="N1159" s="6" t="n"/>
      <c r="O1159" s="6" t="n"/>
    </row>
    <row r="1160">
      <c r="A1160" s="6" t="n"/>
      <c r="B1160" s="112">
        <f>IF($C1160="","","T"&amp;TEXT(ROW()-6,"00000"))</f>
        <v/>
      </c>
      <c r="C1160" s="107" t="n"/>
      <c r="D1160" s="113">
        <f>IF($C1160="","",IFERROR(INDEX(MUSTERILER!$C$7:$C$106,MATCH($C1160,MUSTERILER!$B$7:$B$106,0)),"TANIMSIZ MÜŞTERİ"))</f>
        <v/>
      </c>
      <c r="E1160" s="114" t="n"/>
      <c r="F1160" s="115" t="n"/>
      <c r="G1160" s="107" t="n"/>
      <c r="H1160" s="107" t="n"/>
      <c r="I1160" s="108" t="n"/>
      <c r="J1160" s="108" t="n"/>
      <c r="K1160" s="108" t="n"/>
      <c r="L1160" s="119">
        <f>IF($E1160="","",DATE(YEAR($E1160),MONTH($E1160),1))</f>
        <v/>
      </c>
      <c r="M1160" s="112">
        <f>IF($C1160="","",IF($D1160="TANIMSIZ MÜŞTERİ","HATA",IF(OR($E1160="",$F1160&lt;=0,$G1160=""),"EKSİK",IF($E1160&gt;TODAY(),"İLERİ TARİH","UYGUN"))))</f>
        <v/>
      </c>
      <c r="N1160" s="6" t="n"/>
      <c r="O1160" s="6" t="n"/>
    </row>
    <row r="1161">
      <c r="A1161" s="6" t="n"/>
      <c r="B1161" s="112">
        <f>IF($C1161="","","T"&amp;TEXT(ROW()-6,"00000"))</f>
        <v/>
      </c>
      <c r="C1161" s="107" t="n"/>
      <c r="D1161" s="113">
        <f>IF($C1161="","",IFERROR(INDEX(MUSTERILER!$C$7:$C$106,MATCH($C1161,MUSTERILER!$B$7:$B$106,0)),"TANIMSIZ MÜŞTERİ"))</f>
        <v/>
      </c>
      <c r="E1161" s="114" t="n"/>
      <c r="F1161" s="115" t="n"/>
      <c r="G1161" s="107" t="n"/>
      <c r="H1161" s="107" t="n"/>
      <c r="I1161" s="108" t="n"/>
      <c r="J1161" s="108" t="n"/>
      <c r="K1161" s="108" t="n"/>
      <c r="L1161" s="119">
        <f>IF($E1161="","",DATE(YEAR($E1161),MONTH($E1161),1))</f>
        <v/>
      </c>
      <c r="M1161" s="112">
        <f>IF($C1161="","",IF($D1161="TANIMSIZ MÜŞTERİ","HATA",IF(OR($E1161="",$F1161&lt;=0,$G1161=""),"EKSİK",IF($E1161&gt;TODAY(),"İLERİ TARİH","UYGUN"))))</f>
        <v/>
      </c>
      <c r="N1161" s="6" t="n"/>
      <c r="O1161" s="6" t="n"/>
    </row>
    <row r="1162">
      <c r="A1162" s="6" t="n"/>
      <c r="B1162" s="112">
        <f>IF($C1162="","","T"&amp;TEXT(ROW()-6,"00000"))</f>
        <v/>
      </c>
      <c r="C1162" s="107" t="n"/>
      <c r="D1162" s="113">
        <f>IF($C1162="","",IFERROR(INDEX(MUSTERILER!$C$7:$C$106,MATCH($C1162,MUSTERILER!$B$7:$B$106,0)),"TANIMSIZ MÜŞTERİ"))</f>
        <v/>
      </c>
      <c r="E1162" s="114" t="n"/>
      <c r="F1162" s="115" t="n"/>
      <c r="G1162" s="107" t="n"/>
      <c r="H1162" s="107" t="n"/>
      <c r="I1162" s="108" t="n"/>
      <c r="J1162" s="108" t="n"/>
      <c r="K1162" s="108" t="n"/>
      <c r="L1162" s="119">
        <f>IF($E1162="","",DATE(YEAR($E1162),MONTH($E1162),1))</f>
        <v/>
      </c>
      <c r="M1162" s="112">
        <f>IF($C1162="","",IF($D1162="TANIMSIZ MÜŞTERİ","HATA",IF(OR($E1162="",$F1162&lt;=0,$G1162=""),"EKSİK",IF($E1162&gt;TODAY(),"İLERİ TARİH","UYGUN"))))</f>
        <v/>
      </c>
      <c r="N1162" s="6" t="n"/>
      <c r="O1162" s="6" t="n"/>
    </row>
    <row r="1163">
      <c r="A1163" s="6" t="n"/>
      <c r="B1163" s="112">
        <f>IF($C1163="","","T"&amp;TEXT(ROW()-6,"00000"))</f>
        <v/>
      </c>
      <c r="C1163" s="107" t="n"/>
      <c r="D1163" s="113">
        <f>IF($C1163="","",IFERROR(INDEX(MUSTERILER!$C$7:$C$106,MATCH($C1163,MUSTERILER!$B$7:$B$106,0)),"TANIMSIZ MÜŞTERİ"))</f>
        <v/>
      </c>
      <c r="E1163" s="114" t="n"/>
      <c r="F1163" s="115" t="n"/>
      <c r="G1163" s="107" t="n"/>
      <c r="H1163" s="107" t="n"/>
      <c r="I1163" s="108" t="n"/>
      <c r="J1163" s="108" t="n"/>
      <c r="K1163" s="108" t="n"/>
      <c r="L1163" s="119">
        <f>IF($E1163="","",DATE(YEAR($E1163),MONTH($E1163),1))</f>
        <v/>
      </c>
      <c r="M1163" s="112">
        <f>IF($C1163="","",IF($D1163="TANIMSIZ MÜŞTERİ","HATA",IF(OR($E1163="",$F1163&lt;=0,$G1163=""),"EKSİK",IF($E1163&gt;TODAY(),"İLERİ TARİH","UYGUN"))))</f>
        <v/>
      </c>
      <c r="N1163" s="6" t="n"/>
      <c r="O1163" s="6" t="n"/>
    </row>
    <row r="1164">
      <c r="A1164" s="6" t="n"/>
      <c r="B1164" s="112">
        <f>IF($C1164="","","T"&amp;TEXT(ROW()-6,"00000"))</f>
        <v/>
      </c>
      <c r="C1164" s="107" t="n"/>
      <c r="D1164" s="113">
        <f>IF($C1164="","",IFERROR(INDEX(MUSTERILER!$C$7:$C$106,MATCH($C1164,MUSTERILER!$B$7:$B$106,0)),"TANIMSIZ MÜŞTERİ"))</f>
        <v/>
      </c>
      <c r="E1164" s="114" t="n"/>
      <c r="F1164" s="115" t="n"/>
      <c r="G1164" s="107" t="n"/>
      <c r="H1164" s="107" t="n"/>
      <c r="I1164" s="108" t="n"/>
      <c r="J1164" s="108" t="n"/>
      <c r="K1164" s="108" t="n"/>
      <c r="L1164" s="119">
        <f>IF($E1164="","",DATE(YEAR($E1164),MONTH($E1164),1))</f>
        <v/>
      </c>
      <c r="M1164" s="112">
        <f>IF($C1164="","",IF($D1164="TANIMSIZ MÜŞTERİ","HATA",IF(OR($E1164="",$F1164&lt;=0,$G1164=""),"EKSİK",IF($E1164&gt;TODAY(),"İLERİ TARİH","UYGUN"))))</f>
        <v/>
      </c>
      <c r="N1164" s="6" t="n"/>
      <c r="O1164" s="6" t="n"/>
    </row>
    <row r="1165">
      <c r="A1165" s="6" t="n"/>
      <c r="B1165" s="112">
        <f>IF($C1165="","","T"&amp;TEXT(ROW()-6,"00000"))</f>
        <v/>
      </c>
      <c r="C1165" s="107" t="n"/>
      <c r="D1165" s="113">
        <f>IF($C1165="","",IFERROR(INDEX(MUSTERILER!$C$7:$C$106,MATCH($C1165,MUSTERILER!$B$7:$B$106,0)),"TANIMSIZ MÜŞTERİ"))</f>
        <v/>
      </c>
      <c r="E1165" s="114" t="n"/>
      <c r="F1165" s="115" t="n"/>
      <c r="G1165" s="107" t="n"/>
      <c r="H1165" s="107" t="n"/>
      <c r="I1165" s="108" t="n"/>
      <c r="J1165" s="108" t="n"/>
      <c r="K1165" s="108" t="n"/>
      <c r="L1165" s="119">
        <f>IF($E1165="","",DATE(YEAR($E1165),MONTH($E1165),1))</f>
        <v/>
      </c>
      <c r="M1165" s="112">
        <f>IF($C1165="","",IF($D1165="TANIMSIZ MÜŞTERİ","HATA",IF(OR($E1165="",$F1165&lt;=0,$G1165=""),"EKSİK",IF($E1165&gt;TODAY(),"İLERİ TARİH","UYGUN"))))</f>
        <v/>
      </c>
      <c r="N1165" s="6" t="n"/>
      <c r="O1165" s="6" t="n"/>
    </row>
    <row r="1166">
      <c r="A1166" s="6" t="n"/>
      <c r="B1166" s="112">
        <f>IF($C1166="","","T"&amp;TEXT(ROW()-6,"00000"))</f>
        <v/>
      </c>
      <c r="C1166" s="107" t="n"/>
      <c r="D1166" s="113">
        <f>IF($C1166="","",IFERROR(INDEX(MUSTERILER!$C$7:$C$106,MATCH($C1166,MUSTERILER!$B$7:$B$106,0)),"TANIMSIZ MÜŞTERİ"))</f>
        <v/>
      </c>
      <c r="E1166" s="114" t="n"/>
      <c r="F1166" s="115" t="n"/>
      <c r="G1166" s="107" t="n"/>
      <c r="H1166" s="107" t="n"/>
      <c r="I1166" s="108" t="n"/>
      <c r="J1166" s="108" t="n"/>
      <c r="K1166" s="108" t="n"/>
      <c r="L1166" s="119">
        <f>IF($E1166="","",DATE(YEAR($E1166),MONTH($E1166),1))</f>
        <v/>
      </c>
      <c r="M1166" s="112">
        <f>IF($C1166="","",IF($D1166="TANIMSIZ MÜŞTERİ","HATA",IF(OR($E1166="",$F1166&lt;=0,$G1166=""),"EKSİK",IF($E1166&gt;TODAY(),"İLERİ TARİH","UYGUN"))))</f>
        <v/>
      </c>
      <c r="N1166" s="6" t="n"/>
      <c r="O1166" s="6" t="n"/>
    </row>
    <row r="1167">
      <c r="A1167" s="6" t="n"/>
      <c r="B1167" s="112">
        <f>IF($C1167="","","T"&amp;TEXT(ROW()-6,"00000"))</f>
        <v/>
      </c>
      <c r="C1167" s="107" t="n"/>
      <c r="D1167" s="113">
        <f>IF($C1167="","",IFERROR(INDEX(MUSTERILER!$C$7:$C$106,MATCH($C1167,MUSTERILER!$B$7:$B$106,0)),"TANIMSIZ MÜŞTERİ"))</f>
        <v/>
      </c>
      <c r="E1167" s="114" t="n"/>
      <c r="F1167" s="115" t="n"/>
      <c r="G1167" s="107" t="n"/>
      <c r="H1167" s="107" t="n"/>
      <c r="I1167" s="108" t="n"/>
      <c r="J1167" s="108" t="n"/>
      <c r="K1167" s="108" t="n"/>
      <c r="L1167" s="119">
        <f>IF($E1167="","",DATE(YEAR($E1167),MONTH($E1167),1))</f>
        <v/>
      </c>
      <c r="M1167" s="112">
        <f>IF($C1167="","",IF($D1167="TANIMSIZ MÜŞTERİ","HATA",IF(OR($E1167="",$F1167&lt;=0,$G1167=""),"EKSİK",IF($E1167&gt;TODAY(),"İLERİ TARİH","UYGUN"))))</f>
        <v/>
      </c>
      <c r="N1167" s="6" t="n"/>
      <c r="O1167" s="6" t="n"/>
    </row>
    <row r="1168">
      <c r="A1168" s="6" t="n"/>
      <c r="B1168" s="112">
        <f>IF($C1168="","","T"&amp;TEXT(ROW()-6,"00000"))</f>
        <v/>
      </c>
      <c r="C1168" s="107" t="n"/>
      <c r="D1168" s="113">
        <f>IF($C1168="","",IFERROR(INDEX(MUSTERILER!$C$7:$C$106,MATCH($C1168,MUSTERILER!$B$7:$B$106,0)),"TANIMSIZ MÜŞTERİ"))</f>
        <v/>
      </c>
      <c r="E1168" s="114" t="n"/>
      <c r="F1168" s="115" t="n"/>
      <c r="G1168" s="107" t="n"/>
      <c r="H1168" s="107" t="n"/>
      <c r="I1168" s="108" t="n"/>
      <c r="J1168" s="108" t="n"/>
      <c r="K1168" s="108" t="n"/>
      <c r="L1168" s="119">
        <f>IF($E1168="","",DATE(YEAR($E1168),MONTH($E1168),1))</f>
        <v/>
      </c>
      <c r="M1168" s="112">
        <f>IF($C1168="","",IF($D1168="TANIMSIZ MÜŞTERİ","HATA",IF(OR($E1168="",$F1168&lt;=0,$G1168=""),"EKSİK",IF($E1168&gt;TODAY(),"İLERİ TARİH","UYGUN"))))</f>
        <v/>
      </c>
      <c r="N1168" s="6" t="n"/>
      <c r="O1168" s="6" t="n"/>
    </row>
    <row r="1169">
      <c r="A1169" s="6" t="n"/>
      <c r="B1169" s="112">
        <f>IF($C1169="","","T"&amp;TEXT(ROW()-6,"00000"))</f>
        <v/>
      </c>
      <c r="C1169" s="107" t="n"/>
      <c r="D1169" s="113">
        <f>IF($C1169="","",IFERROR(INDEX(MUSTERILER!$C$7:$C$106,MATCH($C1169,MUSTERILER!$B$7:$B$106,0)),"TANIMSIZ MÜŞTERİ"))</f>
        <v/>
      </c>
      <c r="E1169" s="114" t="n"/>
      <c r="F1169" s="115" t="n"/>
      <c r="G1169" s="107" t="n"/>
      <c r="H1169" s="107" t="n"/>
      <c r="I1169" s="108" t="n"/>
      <c r="J1169" s="108" t="n"/>
      <c r="K1169" s="108" t="n"/>
      <c r="L1169" s="119">
        <f>IF($E1169="","",DATE(YEAR($E1169),MONTH($E1169),1))</f>
        <v/>
      </c>
      <c r="M1169" s="112">
        <f>IF($C1169="","",IF($D1169="TANIMSIZ MÜŞTERİ","HATA",IF(OR($E1169="",$F1169&lt;=0,$G1169=""),"EKSİK",IF($E1169&gt;TODAY(),"İLERİ TARİH","UYGUN"))))</f>
        <v/>
      </c>
      <c r="N1169" s="6" t="n"/>
      <c r="O1169" s="6" t="n"/>
    </row>
    <row r="1170">
      <c r="A1170" s="6" t="n"/>
      <c r="B1170" s="112">
        <f>IF($C1170="","","T"&amp;TEXT(ROW()-6,"00000"))</f>
        <v/>
      </c>
      <c r="C1170" s="107" t="n"/>
      <c r="D1170" s="113">
        <f>IF($C1170="","",IFERROR(INDEX(MUSTERILER!$C$7:$C$106,MATCH($C1170,MUSTERILER!$B$7:$B$106,0)),"TANIMSIZ MÜŞTERİ"))</f>
        <v/>
      </c>
      <c r="E1170" s="114" t="n"/>
      <c r="F1170" s="115" t="n"/>
      <c r="G1170" s="107" t="n"/>
      <c r="H1170" s="107" t="n"/>
      <c r="I1170" s="108" t="n"/>
      <c r="J1170" s="108" t="n"/>
      <c r="K1170" s="108" t="n"/>
      <c r="L1170" s="119">
        <f>IF($E1170="","",DATE(YEAR($E1170),MONTH($E1170),1))</f>
        <v/>
      </c>
      <c r="M1170" s="112">
        <f>IF($C1170="","",IF($D1170="TANIMSIZ MÜŞTERİ","HATA",IF(OR($E1170="",$F1170&lt;=0,$G1170=""),"EKSİK",IF($E1170&gt;TODAY(),"İLERİ TARİH","UYGUN"))))</f>
        <v/>
      </c>
      <c r="N1170" s="6" t="n"/>
      <c r="O1170" s="6" t="n"/>
    </row>
    <row r="1171">
      <c r="A1171" s="6" t="n"/>
      <c r="B1171" s="112">
        <f>IF($C1171="","","T"&amp;TEXT(ROW()-6,"00000"))</f>
        <v/>
      </c>
      <c r="C1171" s="107" t="n"/>
      <c r="D1171" s="113">
        <f>IF($C1171="","",IFERROR(INDEX(MUSTERILER!$C$7:$C$106,MATCH($C1171,MUSTERILER!$B$7:$B$106,0)),"TANIMSIZ MÜŞTERİ"))</f>
        <v/>
      </c>
      <c r="E1171" s="114" t="n"/>
      <c r="F1171" s="115" t="n"/>
      <c r="G1171" s="107" t="n"/>
      <c r="H1171" s="107" t="n"/>
      <c r="I1171" s="108" t="n"/>
      <c r="J1171" s="108" t="n"/>
      <c r="K1171" s="108" t="n"/>
      <c r="L1171" s="119">
        <f>IF($E1171="","",DATE(YEAR($E1171),MONTH($E1171),1))</f>
        <v/>
      </c>
      <c r="M1171" s="112">
        <f>IF($C1171="","",IF($D1171="TANIMSIZ MÜŞTERİ","HATA",IF(OR($E1171="",$F1171&lt;=0,$G1171=""),"EKSİK",IF($E1171&gt;TODAY(),"İLERİ TARİH","UYGUN"))))</f>
        <v/>
      </c>
      <c r="N1171" s="6" t="n"/>
      <c r="O1171" s="6" t="n"/>
    </row>
    <row r="1172">
      <c r="A1172" s="6" t="n"/>
      <c r="B1172" s="112">
        <f>IF($C1172="","","T"&amp;TEXT(ROW()-6,"00000"))</f>
        <v/>
      </c>
      <c r="C1172" s="107" t="n"/>
      <c r="D1172" s="113">
        <f>IF($C1172="","",IFERROR(INDEX(MUSTERILER!$C$7:$C$106,MATCH($C1172,MUSTERILER!$B$7:$B$106,0)),"TANIMSIZ MÜŞTERİ"))</f>
        <v/>
      </c>
      <c r="E1172" s="114" t="n"/>
      <c r="F1172" s="115" t="n"/>
      <c r="G1172" s="107" t="n"/>
      <c r="H1172" s="107" t="n"/>
      <c r="I1172" s="108" t="n"/>
      <c r="J1172" s="108" t="n"/>
      <c r="K1172" s="108" t="n"/>
      <c r="L1172" s="119">
        <f>IF($E1172="","",DATE(YEAR($E1172),MONTH($E1172),1))</f>
        <v/>
      </c>
      <c r="M1172" s="112">
        <f>IF($C1172="","",IF($D1172="TANIMSIZ MÜŞTERİ","HATA",IF(OR($E1172="",$F1172&lt;=0,$G1172=""),"EKSİK",IF($E1172&gt;TODAY(),"İLERİ TARİH","UYGUN"))))</f>
        <v/>
      </c>
      <c r="N1172" s="6" t="n"/>
      <c r="O1172" s="6" t="n"/>
    </row>
    <row r="1173">
      <c r="A1173" s="6" t="n"/>
      <c r="B1173" s="112">
        <f>IF($C1173="","","T"&amp;TEXT(ROW()-6,"00000"))</f>
        <v/>
      </c>
      <c r="C1173" s="107" t="n"/>
      <c r="D1173" s="113">
        <f>IF($C1173="","",IFERROR(INDEX(MUSTERILER!$C$7:$C$106,MATCH($C1173,MUSTERILER!$B$7:$B$106,0)),"TANIMSIZ MÜŞTERİ"))</f>
        <v/>
      </c>
      <c r="E1173" s="114" t="n"/>
      <c r="F1173" s="115" t="n"/>
      <c r="G1173" s="107" t="n"/>
      <c r="H1173" s="107" t="n"/>
      <c r="I1173" s="108" t="n"/>
      <c r="J1173" s="108" t="n"/>
      <c r="K1173" s="108" t="n"/>
      <c r="L1173" s="119">
        <f>IF($E1173="","",DATE(YEAR($E1173),MONTH($E1173),1))</f>
        <v/>
      </c>
      <c r="M1173" s="112">
        <f>IF($C1173="","",IF($D1173="TANIMSIZ MÜŞTERİ","HATA",IF(OR($E1173="",$F1173&lt;=0,$G1173=""),"EKSİK",IF($E1173&gt;TODAY(),"İLERİ TARİH","UYGUN"))))</f>
        <v/>
      </c>
      <c r="N1173" s="6" t="n"/>
      <c r="O1173" s="6" t="n"/>
    </row>
    <row r="1174">
      <c r="A1174" s="6" t="n"/>
      <c r="B1174" s="112">
        <f>IF($C1174="","","T"&amp;TEXT(ROW()-6,"00000"))</f>
        <v/>
      </c>
      <c r="C1174" s="107" t="n"/>
      <c r="D1174" s="113">
        <f>IF($C1174="","",IFERROR(INDEX(MUSTERILER!$C$7:$C$106,MATCH($C1174,MUSTERILER!$B$7:$B$106,0)),"TANIMSIZ MÜŞTERİ"))</f>
        <v/>
      </c>
      <c r="E1174" s="114" t="n"/>
      <c r="F1174" s="115" t="n"/>
      <c r="G1174" s="107" t="n"/>
      <c r="H1174" s="107" t="n"/>
      <c r="I1174" s="108" t="n"/>
      <c r="J1174" s="108" t="n"/>
      <c r="K1174" s="108" t="n"/>
      <c r="L1174" s="119">
        <f>IF($E1174="","",DATE(YEAR($E1174),MONTH($E1174),1))</f>
        <v/>
      </c>
      <c r="M1174" s="112">
        <f>IF($C1174="","",IF($D1174="TANIMSIZ MÜŞTERİ","HATA",IF(OR($E1174="",$F1174&lt;=0,$G1174=""),"EKSİK",IF($E1174&gt;TODAY(),"İLERİ TARİH","UYGUN"))))</f>
        <v/>
      </c>
      <c r="N1174" s="6" t="n"/>
      <c r="O1174" s="6" t="n"/>
    </row>
    <row r="1175">
      <c r="A1175" s="6" t="n"/>
      <c r="B1175" s="112">
        <f>IF($C1175="","","T"&amp;TEXT(ROW()-6,"00000"))</f>
        <v/>
      </c>
      <c r="C1175" s="107" t="n"/>
      <c r="D1175" s="113">
        <f>IF($C1175="","",IFERROR(INDEX(MUSTERILER!$C$7:$C$106,MATCH($C1175,MUSTERILER!$B$7:$B$106,0)),"TANIMSIZ MÜŞTERİ"))</f>
        <v/>
      </c>
      <c r="E1175" s="114" t="n"/>
      <c r="F1175" s="115" t="n"/>
      <c r="G1175" s="107" t="n"/>
      <c r="H1175" s="107" t="n"/>
      <c r="I1175" s="108" t="n"/>
      <c r="J1175" s="108" t="n"/>
      <c r="K1175" s="108" t="n"/>
      <c r="L1175" s="119">
        <f>IF($E1175="","",DATE(YEAR($E1175),MONTH($E1175),1))</f>
        <v/>
      </c>
      <c r="M1175" s="112">
        <f>IF($C1175="","",IF($D1175="TANIMSIZ MÜŞTERİ","HATA",IF(OR($E1175="",$F1175&lt;=0,$G1175=""),"EKSİK",IF($E1175&gt;TODAY(),"İLERİ TARİH","UYGUN"))))</f>
        <v/>
      </c>
      <c r="N1175" s="6" t="n"/>
      <c r="O1175" s="6" t="n"/>
    </row>
    <row r="1176">
      <c r="A1176" s="6" t="n"/>
      <c r="B1176" s="112">
        <f>IF($C1176="","","T"&amp;TEXT(ROW()-6,"00000"))</f>
        <v/>
      </c>
      <c r="C1176" s="107" t="n"/>
      <c r="D1176" s="113">
        <f>IF($C1176="","",IFERROR(INDEX(MUSTERILER!$C$7:$C$106,MATCH($C1176,MUSTERILER!$B$7:$B$106,0)),"TANIMSIZ MÜŞTERİ"))</f>
        <v/>
      </c>
      <c r="E1176" s="114" t="n"/>
      <c r="F1176" s="115" t="n"/>
      <c r="G1176" s="107" t="n"/>
      <c r="H1176" s="107" t="n"/>
      <c r="I1176" s="108" t="n"/>
      <c r="J1176" s="108" t="n"/>
      <c r="K1176" s="108" t="n"/>
      <c r="L1176" s="119">
        <f>IF($E1176="","",DATE(YEAR($E1176),MONTH($E1176),1))</f>
        <v/>
      </c>
      <c r="M1176" s="112">
        <f>IF($C1176="","",IF($D1176="TANIMSIZ MÜŞTERİ","HATA",IF(OR($E1176="",$F1176&lt;=0,$G1176=""),"EKSİK",IF($E1176&gt;TODAY(),"İLERİ TARİH","UYGUN"))))</f>
        <v/>
      </c>
      <c r="N1176" s="6" t="n"/>
      <c r="O1176" s="6" t="n"/>
    </row>
    <row r="1177">
      <c r="A1177" s="6" t="n"/>
      <c r="B1177" s="112">
        <f>IF($C1177="","","T"&amp;TEXT(ROW()-6,"00000"))</f>
        <v/>
      </c>
      <c r="C1177" s="107" t="n"/>
      <c r="D1177" s="113">
        <f>IF($C1177="","",IFERROR(INDEX(MUSTERILER!$C$7:$C$106,MATCH($C1177,MUSTERILER!$B$7:$B$106,0)),"TANIMSIZ MÜŞTERİ"))</f>
        <v/>
      </c>
      <c r="E1177" s="114" t="n"/>
      <c r="F1177" s="115" t="n"/>
      <c r="G1177" s="107" t="n"/>
      <c r="H1177" s="107" t="n"/>
      <c r="I1177" s="108" t="n"/>
      <c r="J1177" s="108" t="n"/>
      <c r="K1177" s="108" t="n"/>
      <c r="L1177" s="119">
        <f>IF($E1177="","",DATE(YEAR($E1177),MONTH($E1177),1))</f>
        <v/>
      </c>
      <c r="M1177" s="112">
        <f>IF($C1177="","",IF($D1177="TANIMSIZ MÜŞTERİ","HATA",IF(OR($E1177="",$F1177&lt;=0,$G1177=""),"EKSİK",IF($E1177&gt;TODAY(),"İLERİ TARİH","UYGUN"))))</f>
        <v/>
      </c>
      <c r="N1177" s="6" t="n"/>
      <c r="O1177" s="6" t="n"/>
    </row>
    <row r="1178">
      <c r="A1178" s="6" t="n"/>
      <c r="B1178" s="112">
        <f>IF($C1178="","","T"&amp;TEXT(ROW()-6,"00000"))</f>
        <v/>
      </c>
      <c r="C1178" s="107" t="n"/>
      <c r="D1178" s="113">
        <f>IF($C1178="","",IFERROR(INDEX(MUSTERILER!$C$7:$C$106,MATCH($C1178,MUSTERILER!$B$7:$B$106,0)),"TANIMSIZ MÜŞTERİ"))</f>
        <v/>
      </c>
      <c r="E1178" s="114" t="n"/>
      <c r="F1178" s="115" t="n"/>
      <c r="G1178" s="107" t="n"/>
      <c r="H1178" s="107" t="n"/>
      <c r="I1178" s="108" t="n"/>
      <c r="J1178" s="108" t="n"/>
      <c r="K1178" s="108" t="n"/>
      <c r="L1178" s="119">
        <f>IF($E1178="","",DATE(YEAR($E1178),MONTH($E1178),1))</f>
        <v/>
      </c>
      <c r="M1178" s="112">
        <f>IF($C1178="","",IF($D1178="TANIMSIZ MÜŞTERİ","HATA",IF(OR($E1178="",$F1178&lt;=0,$G1178=""),"EKSİK",IF($E1178&gt;TODAY(),"İLERİ TARİH","UYGUN"))))</f>
        <v/>
      </c>
      <c r="N1178" s="6" t="n"/>
      <c r="O1178" s="6" t="n"/>
    </row>
    <row r="1179">
      <c r="A1179" s="6" t="n"/>
      <c r="B1179" s="112">
        <f>IF($C1179="","","T"&amp;TEXT(ROW()-6,"00000"))</f>
        <v/>
      </c>
      <c r="C1179" s="107" t="n"/>
      <c r="D1179" s="113">
        <f>IF($C1179="","",IFERROR(INDEX(MUSTERILER!$C$7:$C$106,MATCH($C1179,MUSTERILER!$B$7:$B$106,0)),"TANIMSIZ MÜŞTERİ"))</f>
        <v/>
      </c>
      <c r="E1179" s="114" t="n"/>
      <c r="F1179" s="115" t="n"/>
      <c r="G1179" s="107" t="n"/>
      <c r="H1179" s="107" t="n"/>
      <c r="I1179" s="108" t="n"/>
      <c r="J1179" s="108" t="n"/>
      <c r="K1179" s="108" t="n"/>
      <c r="L1179" s="119">
        <f>IF($E1179="","",DATE(YEAR($E1179),MONTH($E1179),1))</f>
        <v/>
      </c>
      <c r="M1179" s="112">
        <f>IF($C1179="","",IF($D1179="TANIMSIZ MÜŞTERİ","HATA",IF(OR($E1179="",$F1179&lt;=0,$G1179=""),"EKSİK",IF($E1179&gt;TODAY(),"İLERİ TARİH","UYGUN"))))</f>
        <v/>
      </c>
      <c r="N1179" s="6" t="n"/>
      <c r="O1179" s="6" t="n"/>
    </row>
    <row r="1180">
      <c r="A1180" s="6" t="n"/>
      <c r="B1180" s="112">
        <f>IF($C1180="","","T"&amp;TEXT(ROW()-6,"00000"))</f>
        <v/>
      </c>
      <c r="C1180" s="107" t="n"/>
      <c r="D1180" s="113">
        <f>IF($C1180="","",IFERROR(INDEX(MUSTERILER!$C$7:$C$106,MATCH($C1180,MUSTERILER!$B$7:$B$106,0)),"TANIMSIZ MÜŞTERİ"))</f>
        <v/>
      </c>
      <c r="E1180" s="114" t="n"/>
      <c r="F1180" s="115" t="n"/>
      <c r="G1180" s="107" t="n"/>
      <c r="H1180" s="107" t="n"/>
      <c r="I1180" s="108" t="n"/>
      <c r="J1180" s="108" t="n"/>
      <c r="K1180" s="108" t="n"/>
      <c r="L1180" s="119">
        <f>IF($E1180="","",DATE(YEAR($E1180),MONTH($E1180),1))</f>
        <v/>
      </c>
      <c r="M1180" s="112">
        <f>IF($C1180="","",IF($D1180="TANIMSIZ MÜŞTERİ","HATA",IF(OR($E1180="",$F1180&lt;=0,$G1180=""),"EKSİK",IF($E1180&gt;TODAY(),"İLERİ TARİH","UYGUN"))))</f>
        <v/>
      </c>
      <c r="N1180" s="6" t="n"/>
      <c r="O1180" s="6" t="n"/>
    </row>
    <row r="1181">
      <c r="A1181" s="6" t="n"/>
      <c r="B1181" s="112">
        <f>IF($C1181="","","T"&amp;TEXT(ROW()-6,"00000"))</f>
        <v/>
      </c>
      <c r="C1181" s="107" t="n"/>
      <c r="D1181" s="113">
        <f>IF($C1181="","",IFERROR(INDEX(MUSTERILER!$C$7:$C$106,MATCH($C1181,MUSTERILER!$B$7:$B$106,0)),"TANIMSIZ MÜŞTERİ"))</f>
        <v/>
      </c>
      <c r="E1181" s="114" t="n"/>
      <c r="F1181" s="115" t="n"/>
      <c r="G1181" s="107" t="n"/>
      <c r="H1181" s="107" t="n"/>
      <c r="I1181" s="108" t="n"/>
      <c r="J1181" s="108" t="n"/>
      <c r="K1181" s="108" t="n"/>
      <c r="L1181" s="119">
        <f>IF($E1181="","",DATE(YEAR($E1181),MONTH($E1181),1))</f>
        <v/>
      </c>
      <c r="M1181" s="112">
        <f>IF($C1181="","",IF($D1181="TANIMSIZ MÜŞTERİ","HATA",IF(OR($E1181="",$F1181&lt;=0,$G1181=""),"EKSİK",IF($E1181&gt;TODAY(),"İLERİ TARİH","UYGUN"))))</f>
        <v/>
      </c>
      <c r="N1181" s="6" t="n"/>
      <c r="O1181" s="6" t="n"/>
    </row>
    <row r="1182">
      <c r="A1182" s="6" t="n"/>
      <c r="B1182" s="112">
        <f>IF($C1182="","","T"&amp;TEXT(ROW()-6,"00000"))</f>
        <v/>
      </c>
      <c r="C1182" s="107" t="n"/>
      <c r="D1182" s="113">
        <f>IF($C1182="","",IFERROR(INDEX(MUSTERILER!$C$7:$C$106,MATCH($C1182,MUSTERILER!$B$7:$B$106,0)),"TANIMSIZ MÜŞTERİ"))</f>
        <v/>
      </c>
      <c r="E1182" s="114" t="n"/>
      <c r="F1182" s="115" t="n"/>
      <c r="G1182" s="107" t="n"/>
      <c r="H1182" s="107" t="n"/>
      <c r="I1182" s="108" t="n"/>
      <c r="J1182" s="108" t="n"/>
      <c r="K1182" s="108" t="n"/>
      <c r="L1182" s="119">
        <f>IF($E1182="","",DATE(YEAR($E1182),MONTH($E1182),1))</f>
        <v/>
      </c>
      <c r="M1182" s="112">
        <f>IF($C1182="","",IF($D1182="TANIMSIZ MÜŞTERİ","HATA",IF(OR($E1182="",$F1182&lt;=0,$G1182=""),"EKSİK",IF($E1182&gt;TODAY(),"İLERİ TARİH","UYGUN"))))</f>
        <v/>
      </c>
      <c r="N1182" s="6" t="n"/>
      <c r="O1182" s="6" t="n"/>
    </row>
    <row r="1183">
      <c r="A1183" s="6" t="n"/>
      <c r="B1183" s="112">
        <f>IF($C1183="","","T"&amp;TEXT(ROW()-6,"00000"))</f>
        <v/>
      </c>
      <c r="C1183" s="107" t="n"/>
      <c r="D1183" s="113">
        <f>IF($C1183="","",IFERROR(INDEX(MUSTERILER!$C$7:$C$106,MATCH($C1183,MUSTERILER!$B$7:$B$106,0)),"TANIMSIZ MÜŞTERİ"))</f>
        <v/>
      </c>
      <c r="E1183" s="114" t="n"/>
      <c r="F1183" s="115" t="n"/>
      <c r="G1183" s="107" t="n"/>
      <c r="H1183" s="107" t="n"/>
      <c r="I1183" s="108" t="n"/>
      <c r="J1183" s="108" t="n"/>
      <c r="K1183" s="108" t="n"/>
      <c r="L1183" s="119">
        <f>IF($E1183="","",DATE(YEAR($E1183),MONTH($E1183),1))</f>
        <v/>
      </c>
      <c r="M1183" s="112">
        <f>IF($C1183="","",IF($D1183="TANIMSIZ MÜŞTERİ","HATA",IF(OR($E1183="",$F1183&lt;=0,$G1183=""),"EKSİK",IF($E1183&gt;TODAY(),"İLERİ TARİH","UYGUN"))))</f>
        <v/>
      </c>
      <c r="N1183" s="6" t="n"/>
      <c r="O1183" s="6" t="n"/>
    </row>
    <row r="1184">
      <c r="A1184" s="6" t="n"/>
      <c r="B1184" s="112">
        <f>IF($C1184="","","T"&amp;TEXT(ROW()-6,"00000"))</f>
        <v/>
      </c>
      <c r="C1184" s="107" t="n"/>
      <c r="D1184" s="113">
        <f>IF($C1184="","",IFERROR(INDEX(MUSTERILER!$C$7:$C$106,MATCH($C1184,MUSTERILER!$B$7:$B$106,0)),"TANIMSIZ MÜŞTERİ"))</f>
        <v/>
      </c>
      <c r="E1184" s="114" t="n"/>
      <c r="F1184" s="115" t="n"/>
      <c r="G1184" s="107" t="n"/>
      <c r="H1184" s="107" t="n"/>
      <c r="I1184" s="108" t="n"/>
      <c r="J1184" s="108" t="n"/>
      <c r="K1184" s="108" t="n"/>
      <c r="L1184" s="119">
        <f>IF($E1184="","",DATE(YEAR($E1184),MONTH($E1184),1))</f>
        <v/>
      </c>
      <c r="M1184" s="112">
        <f>IF($C1184="","",IF($D1184="TANIMSIZ MÜŞTERİ","HATA",IF(OR($E1184="",$F1184&lt;=0,$G1184=""),"EKSİK",IF($E1184&gt;TODAY(),"İLERİ TARİH","UYGUN"))))</f>
        <v/>
      </c>
      <c r="N1184" s="6" t="n"/>
      <c r="O1184" s="6" t="n"/>
    </row>
    <row r="1185">
      <c r="A1185" s="6" t="n"/>
      <c r="B1185" s="112">
        <f>IF($C1185="","","T"&amp;TEXT(ROW()-6,"00000"))</f>
        <v/>
      </c>
      <c r="C1185" s="107" t="n"/>
      <c r="D1185" s="113">
        <f>IF($C1185="","",IFERROR(INDEX(MUSTERILER!$C$7:$C$106,MATCH($C1185,MUSTERILER!$B$7:$B$106,0)),"TANIMSIZ MÜŞTERİ"))</f>
        <v/>
      </c>
      <c r="E1185" s="114" t="n"/>
      <c r="F1185" s="115" t="n"/>
      <c r="G1185" s="107" t="n"/>
      <c r="H1185" s="107" t="n"/>
      <c r="I1185" s="108" t="n"/>
      <c r="J1185" s="108" t="n"/>
      <c r="K1185" s="108" t="n"/>
      <c r="L1185" s="119">
        <f>IF($E1185="","",DATE(YEAR($E1185),MONTH($E1185),1))</f>
        <v/>
      </c>
      <c r="M1185" s="112">
        <f>IF($C1185="","",IF($D1185="TANIMSIZ MÜŞTERİ","HATA",IF(OR($E1185="",$F1185&lt;=0,$G1185=""),"EKSİK",IF($E1185&gt;TODAY(),"İLERİ TARİH","UYGUN"))))</f>
        <v/>
      </c>
      <c r="N1185" s="6" t="n"/>
      <c r="O1185" s="6" t="n"/>
    </row>
    <row r="1186">
      <c r="A1186" s="6" t="n"/>
      <c r="B1186" s="112">
        <f>IF($C1186="","","T"&amp;TEXT(ROW()-6,"00000"))</f>
        <v/>
      </c>
      <c r="C1186" s="107" t="n"/>
      <c r="D1186" s="113">
        <f>IF($C1186="","",IFERROR(INDEX(MUSTERILER!$C$7:$C$106,MATCH($C1186,MUSTERILER!$B$7:$B$106,0)),"TANIMSIZ MÜŞTERİ"))</f>
        <v/>
      </c>
      <c r="E1186" s="114" t="n"/>
      <c r="F1186" s="115" t="n"/>
      <c r="G1186" s="107" t="n"/>
      <c r="H1186" s="107" t="n"/>
      <c r="I1186" s="108" t="n"/>
      <c r="J1186" s="108" t="n"/>
      <c r="K1186" s="108" t="n"/>
      <c r="L1186" s="119">
        <f>IF($E1186="","",DATE(YEAR($E1186),MONTH($E1186),1))</f>
        <v/>
      </c>
      <c r="M1186" s="112">
        <f>IF($C1186="","",IF($D1186="TANIMSIZ MÜŞTERİ","HATA",IF(OR($E1186="",$F1186&lt;=0,$G1186=""),"EKSİK",IF($E1186&gt;TODAY(),"İLERİ TARİH","UYGUN"))))</f>
        <v/>
      </c>
      <c r="N1186" s="6" t="n"/>
      <c r="O1186" s="6" t="n"/>
    </row>
    <row r="1187">
      <c r="A1187" s="6" t="n"/>
      <c r="B1187" s="112">
        <f>IF($C1187="","","T"&amp;TEXT(ROW()-6,"00000"))</f>
        <v/>
      </c>
      <c r="C1187" s="107" t="n"/>
      <c r="D1187" s="113">
        <f>IF($C1187="","",IFERROR(INDEX(MUSTERILER!$C$7:$C$106,MATCH($C1187,MUSTERILER!$B$7:$B$106,0)),"TANIMSIZ MÜŞTERİ"))</f>
        <v/>
      </c>
      <c r="E1187" s="114" t="n"/>
      <c r="F1187" s="115" t="n"/>
      <c r="G1187" s="107" t="n"/>
      <c r="H1187" s="107" t="n"/>
      <c r="I1187" s="108" t="n"/>
      <c r="J1187" s="108" t="n"/>
      <c r="K1187" s="108" t="n"/>
      <c r="L1187" s="119">
        <f>IF($E1187="","",DATE(YEAR($E1187),MONTH($E1187),1))</f>
        <v/>
      </c>
      <c r="M1187" s="112">
        <f>IF($C1187="","",IF($D1187="TANIMSIZ MÜŞTERİ","HATA",IF(OR($E1187="",$F1187&lt;=0,$G1187=""),"EKSİK",IF($E1187&gt;TODAY(),"İLERİ TARİH","UYGUN"))))</f>
        <v/>
      </c>
      <c r="N1187" s="6" t="n"/>
      <c r="O1187" s="6" t="n"/>
    </row>
    <row r="1188">
      <c r="A1188" s="6" t="n"/>
      <c r="B1188" s="112">
        <f>IF($C1188="","","T"&amp;TEXT(ROW()-6,"00000"))</f>
        <v/>
      </c>
      <c r="C1188" s="107" t="n"/>
      <c r="D1188" s="113">
        <f>IF($C1188="","",IFERROR(INDEX(MUSTERILER!$C$7:$C$106,MATCH($C1188,MUSTERILER!$B$7:$B$106,0)),"TANIMSIZ MÜŞTERİ"))</f>
        <v/>
      </c>
      <c r="E1188" s="114" t="n"/>
      <c r="F1188" s="115" t="n"/>
      <c r="G1188" s="107" t="n"/>
      <c r="H1188" s="107" t="n"/>
      <c r="I1188" s="108" t="n"/>
      <c r="J1188" s="108" t="n"/>
      <c r="K1188" s="108" t="n"/>
      <c r="L1188" s="119">
        <f>IF($E1188="","",DATE(YEAR($E1188),MONTH($E1188),1))</f>
        <v/>
      </c>
      <c r="M1188" s="112">
        <f>IF($C1188="","",IF($D1188="TANIMSIZ MÜŞTERİ","HATA",IF(OR($E1188="",$F1188&lt;=0,$G1188=""),"EKSİK",IF($E1188&gt;TODAY(),"İLERİ TARİH","UYGUN"))))</f>
        <v/>
      </c>
      <c r="N1188" s="6" t="n"/>
      <c r="O1188" s="6" t="n"/>
    </row>
    <row r="1189">
      <c r="A1189" s="6" t="n"/>
      <c r="B1189" s="112">
        <f>IF($C1189="","","T"&amp;TEXT(ROW()-6,"00000"))</f>
        <v/>
      </c>
      <c r="C1189" s="107" t="n"/>
      <c r="D1189" s="113">
        <f>IF($C1189="","",IFERROR(INDEX(MUSTERILER!$C$7:$C$106,MATCH($C1189,MUSTERILER!$B$7:$B$106,0)),"TANIMSIZ MÜŞTERİ"))</f>
        <v/>
      </c>
      <c r="E1189" s="114" t="n"/>
      <c r="F1189" s="115" t="n"/>
      <c r="G1189" s="107" t="n"/>
      <c r="H1189" s="107" t="n"/>
      <c r="I1189" s="108" t="n"/>
      <c r="J1189" s="108" t="n"/>
      <c r="K1189" s="108" t="n"/>
      <c r="L1189" s="119">
        <f>IF($E1189="","",DATE(YEAR($E1189),MONTH($E1189),1))</f>
        <v/>
      </c>
      <c r="M1189" s="112">
        <f>IF($C1189="","",IF($D1189="TANIMSIZ MÜŞTERİ","HATA",IF(OR($E1189="",$F1189&lt;=0,$G1189=""),"EKSİK",IF($E1189&gt;TODAY(),"İLERİ TARİH","UYGUN"))))</f>
        <v/>
      </c>
      <c r="N1189" s="6" t="n"/>
      <c r="O1189" s="6" t="n"/>
    </row>
    <row r="1190">
      <c r="A1190" s="6" t="n"/>
      <c r="B1190" s="112">
        <f>IF($C1190="","","T"&amp;TEXT(ROW()-6,"00000"))</f>
        <v/>
      </c>
      <c r="C1190" s="107" t="n"/>
      <c r="D1190" s="113">
        <f>IF($C1190="","",IFERROR(INDEX(MUSTERILER!$C$7:$C$106,MATCH($C1190,MUSTERILER!$B$7:$B$106,0)),"TANIMSIZ MÜŞTERİ"))</f>
        <v/>
      </c>
      <c r="E1190" s="114" t="n"/>
      <c r="F1190" s="115" t="n"/>
      <c r="G1190" s="107" t="n"/>
      <c r="H1190" s="107" t="n"/>
      <c r="I1190" s="108" t="n"/>
      <c r="J1190" s="108" t="n"/>
      <c r="K1190" s="108" t="n"/>
      <c r="L1190" s="119">
        <f>IF($E1190="","",DATE(YEAR($E1190),MONTH($E1190),1))</f>
        <v/>
      </c>
      <c r="M1190" s="112">
        <f>IF($C1190="","",IF($D1190="TANIMSIZ MÜŞTERİ","HATA",IF(OR($E1190="",$F1190&lt;=0,$G1190=""),"EKSİK",IF($E1190&gt;TODAY(),"İLERİ TARİH","UYGUN"))))</f>
        <v/>
      </c>
      <c r="N1190" s="6" t="n"/>
      <c r="O1190" s="6" t="n"/>
    </row>
    <row r="1191">
      <c r="A1191" s="6" t="n"/>
      <c r="B1191" s="112">
        <f>IF($C1191="","","T"&amp;TEXT(ROW()-6,"00000"))</f>
        <v/>
      </c>
      <c r="C1191" s="107" t="n"/>
      <c r="D1191" s="113">
        <f>IF($C1191="","",IFERROR(INDEX(MUSTERILER!$C$7:$C$106,MATCH($C1191,MUSTERILER!$B$7:$B$106,0)),"TANIMSIZ MÜŞTERİ"))</f>
        <v/>
      </c>
      <c r="E1191" s="114" t="n"/>
      <c r="F1191" s="115" t="n"/>
      <c r="G1191" s="107" t="n"/>
      <c r="H1191" s="107" t="n"/>
      <c r="I1191" s="108" t="n"/>
      <c r="J1191" s="108" t="n"/>
      <c r="K1191" s="108" t="n"/>
      <c r="L1191" s="119">
        <f>IF($E1191="","",DATE(YEAR($E1191),MONTH($E1191),1))</f>
        <v/>
      </c>
      <c r="M1191" s="112">
        <f>IF($C1191="","",IF($D1191="TANIMSIZ MÜŞTERİ","HATA",IF(OR($E1191="",$F1191&lt;=0,$G1191=""),"EKSİK",IF($E1191&gt;TODAY(),"İLERİ TARİH","UYGUN"))))</f>
        <v/>
      </c>
      <c r="N1191" s="6" t="n"/>
      <c r="O1191" s="6" t="n"/>
    </row>
    <row r="1192">
      <c r="A1192" s="6" t="n"/>
      <c r="B1192" s="112">
        <f>IF($C1192="","","T"&amp;TEXT(ROW()-6,"00000"))</f>
        <v/>
      </c>
      <c r="C1192" s="107" t="n"/>
      <c r="D1192" s="113">
        <f>IF($C1192="","",IFERROR(INDEX(MUSTERILER!$C$7:$C$106,MATCH($C1192,MUSTERILER!$B$7:$B$106,0)),"TANIMSIZ MÜŞTERİ"))</f>
        <v/>
      </c>
      <c r="E1192" s="114" t="n"/>
      <c r="F1192" s="115" t="n"/>
      <c r="G1192" s="107" t="n"/>
      <c r="H1192" s="107" t="n"/>
      <c r="I1192" s="108" t="n"/>
      <c r="J1192" s="108" t="n"/>
      <c r="K1192" s="108" t="n"/>
      <c r="L1192" s="119">
        <f>IF($E1192="","",DATE(YEAR($E1192),MONTH($E1192),1))</f>
        <v/>
      </c>
      <c r="M1192" s="112">
        <f>IF($C1192="","",IF($D1192="TANIMSIZ MÜŞTERİ","HATA",IF(OR($E1192="",$F1192&lt;=0,$G1192=""),"EKSİK",IF($E1192&gt;TODAY(),"İLERİ TARİH","UYGUN"))))</f>
        <v/>
      </c>
      <c r="N1192" s="6" t="n"/>
      <c r="O1192" s="6" t="n"/>
    </row>
    <row r="1193">
      <c r="A1193" s="6" t="n"/>
      <c r="B1193" s="112">
        <f>IF($C1193="","","T"&amp;TEXT(ROW()-6,"00000"))</f>
        <v/>
      </c>
      <c r="C1193" s="107" t="n"/>
      <c r="D1193" s="113">
        <f>IF($C1193="","",IFERROR(INDEX(MUSTERILER!$C$7:$C$106,MATCH($C1193,MUSTERILER!$B$7:$B$106,0)),"TANIMSIZ MÜŞTERİ"))</f>
        <v/>
      </c>
      <c r="E1193" s="114" t="n"/>
      <c r="F1193" s="115" t="n"/>
      <c r="G1193" s="107" t="n"/>
      <c r="H1193" s="107" t="n"/>
      <c r="I1193" s="108" t="n"/>
      <c r="J1193" s="108" t="n"/>
      <c r="K1193" s="108" t="n"/>
      <c r="L1193" s="119">
        <f>IF($E1193="","",DATE(YEAR($E1193),MONTH($E1193),1))</f>
        <v/>
      </c>
      <c r="M1193" s="112">
        <f>IF($C1193="","",IF($D1193="TANIMSIZ MÜŞTERİ","HATA",IF(OR($E1193="",$F1193&lt;=0,$G1193=""),"EKSİK",IF($E1193&gt;TODAY(),"İLERİ TARİH","UYGUN"))))</f>
        <v/>
      </c>
      <c r="N1193" s="6" t="n"/>
      <c r="O1193" s="6" t="n"/>
    </row>
    <row r="1194">
      <c r="A1194" s="6" t="n"/>
      <c r="B1194" s="112">
        <f>IF($C1194="","","T"&amp;TEXT(ROW()-6,"00000"))</f>
        <v/>
      </c>
      <c r="C1194" s="107" t="n"/>
      <c r="D1194" s="113">
        <f>IF($C1194="","",IFERROR(INDEX(MUSTERILER!$C$7:$C$106,MATCH($C1194,MUSTERILER!$B$7:$B$106,0)),"TANIMSIZ MÜŞTERİ"))</f>
        <v/>
      </c>
      <c r="E1194" s="114" t="n"/>
      <c r="F1194" s="115" t="n"/>
      <c r="G1194" s="107" t="n"/>
      <c r="H1194" s="107" t="n"/>
      <c r="I1194" s="108" t="n"/>
      <c r="J1194" s="108" t="n"/>
      <c r="K1194" s="108" t="n"/>
      <c r="L1194" s="119">
        <f>IF($E1194="","",DATE(YEAR($E1194),MONTH($E1194),1))</f>
        <v/>
      </c>
      <c r="M1194" s="112">
        <f>IF($C1194="","",IF($D1194="TANIMSIZ MÜŞTERİ","HATA",IF(OR($E1194="",$F1194&lt;=0,$G1194=""),"EKSİK",IF($E1194&gt;TODAY(),"İLERİ TARİH","UYGUN"))))</f>
        <v/>
      </c>
      <c r="N1194" s="6" t="n"/>
      <c r="O1194" s="6" t="n"/>
    </row>
    <row r="1195">
      <c r="A1195" s="6" t="n"/>
      <c r="B1195" s="112">
        <f>IF($C1195="","","T"&amp;TEXT(ROW()-6,"00000"))</f>
        <v/>
      </c>
      <c r="C1195" s="107" t="n"/>
      <c r="D1195" s="113">
        <f>IF($C1195="","",IFERROR(INDEX(MUSTERILER!$C$7:$C$106,MATCH($C1195,MUSTERILER!$B$7:$B$106,0)),"TANIMSIZ MÜŞTERİ"))</f>
        <v/>
      </c>
      <c r="E1195" s="114" t="n"/>
      <c r="F1195" s="115" t="n"/>
      <c r="G1195" s="107" t="n"/>
      <c r="H1195" s="107" t="n"/>
      <c r="I1195" s="108" t="n"/>
      <c r="J1195" s="108" t="n"/>
      <c r="K1195" s="108" t="n"/>
      <c r="L1195" s="119">
        <f>IF($E1195="","",DATE(YEAR($E1195),MONTH($E1195),1))</f>
        <v/>
      </c>
      <c r="M1195" s="112">
        <f>IF($C1195="","",IF($D1195="TANIMSIZ MÜŞTERİ","HATA",IF(OR($E1195="",$F1195&lt;=0,$G1195=""),"EKSİK",IF($E1195&gt;TODAY(),"İLERİ TARİH","UYGUN"))))</f>
        <v/>
      </c>
      <c r="N1195" s="6" t="n"/>
      <c r="O1195" s="6" t="n"/>
    </row>
    <row r="1196">
      <c r="A1196" s="6" t="n"/>
      <c r="B1196" s="112">
        <f>IF($C1196="","","T"&amp;TEXT(ROW()-6,"00000"))</f>
        <v/>
      </c>
      <c r="C1196" s="107" t="n"/>
      <c r="D1196" s="113">
        <f>IF($C1196="","",IFERROR(INDEX(MUSTERILER!$C$7:$C$106,MATCH($C1196,MUSTERILER!$B$7:$B$106,0)),"TANIMSIZ MÜŞTERİ"))</f>
        <v/>
      </c>
      <c r="E1196" s="114" t="n"/>
      <c r="F1196" s="115" t="n"/>
      <c r="G1196" s="107" t="n"/>
      <c r="H1196" s="107" t="n"/>
      <c r="I1196" s="108" t="n"/>
      <c r="J1196" s="108" t="n"/>
      <c r="K1196" s="108" t="n"/>
      <c r="L1196" s="119">
        <f>IF($E1196="","",DATE(YEAR($E1196),MONTH($E1196),1))</f>
        <v/>
      </c>
      <c r="M1196" s="112">
        <f>IF($C1196="","",IF($D1196="TANIMSIZ MÜŞTERİ","HATA",IF(OR($E1196="",$F1196&lt;=0,$G1196=""),"EKSİK",IF($E1196&gt;TODAY(),"İLERİ TARİH","UYGUN"))))</f>
        <v/>
      </c>
      <c r="N1196" s="6" t="n"/>
      <c r="O1196" s="6" t="n"/>
    </row>
    <row r="1197">
      <c r="A1197" s="6" t="n"/>
      <c r="B1197" s="112">
        <f>IF($C1197="","","T"&amp;TEXT(ROW()-6,"00000"))</f>
        <v/>
      </c>
      <c r="C1197" s="107" t="n"/>
      <c r="D1197" s="113">
        <f>IF($C1197="","",IFERROR(INDEX(MUSTERILER!$C$7:$C$106,MATCH($C1197,MUSTERILER!$B$7:$B$106,0)),"TANIMSIZ MÜŞTERİ"))</f>
        <v/>
      </c>
      <c r="E1197" s="114" t="n"/>
      <c r="F1197" s="115" t="n"/>
      <c r="G1197" s="107" t="n"/>
      <c r="H1197" s="107" t="n"/>
      <c r="I1197" s="108" t="n"/>
      <c r="J1197" s="108" t="n"/>
      <c r="K1197" s="108" t="n"/>
      <c r="L1197" s="119">
        <f>IF($E1197="","",DATE(YEAR($E1197),MONTH($E1197),1))</f>
        <v/>
      </c>
      <c r="M1197" s="112">
        <f>IF($C1197="","",IF($D1197="TANIMSIZ MÜŞTERİ","HATA",IF(OR($E1197="",$F1197&lt;=0,$G1197=""),"EKSİK",IF($E1197&gt;TODAY(),"İLERİ TARİH","UYGUN"))))</f>
        <v/>
      </c>
      <c r="N1197" s="6" t="n"/>
      <c r="O1197" s="6" t="n"/>
    </row>
    <row r="1198">
      <c r="A1198" s="6" t="n"/>
      <c r="B1198" s="112">
        <f>IF($C1198="","","T"&amp;TEXT(ROW()-6,"00000"))</f>
        <v/>
      </c>
      <c r="C1198" s="107" t="n"/>
      <c r="D1198" s="113">
        <f>IF($C1198="","",IFERROR(INDEX(MUSTERILER!$C$7:$C$106,MATCH($C1198,MUSTERILER!$B$7:$B$106,0)),"TANIMSIZ MÜŞTERİ"))</f>
        <v/>
      </c>
      <c r="E1198" s="114" t="n"/>
      <c r="F1198" s="115" t="n"/>
      <c r="G1198" s="107" t="n"/>
      <c r="H1198" s="107" t="n"/>
      <c r="I1198" s="108" t="n"/>
      <c r="J1198" s="108" t="n"/>
      <c r="K1198" s="108" t="n"/>
      <c r="L1198" s="119">
        <f>IF($E1198="","",DATE(YEAR($E1198),MONTH($E1198),1))</f>
        <v/>
      </c>
      <c r="M1198" s="112">
        <f>IF($C1198="","",IF($D1198="TANIMSIZ MÜŞTERİ","HATA",IF(OR($E1198="",$F1198&lt;=0,$G1198=""),"EKSİK",IF($E1198&gt;TODAY(),"İLERİ TARİH","UYGUN"))))</f>
        <v/>
      </c>
      <c r="N1198" s="6" t="n"/>
      <c r="O1198" s="6" t="n"/>
    </row>
    <row r="1199">
      <c r="A1199" s="6" t="n"/>
      <c r="B1199" s="112">
        <f>IF($C1199="","","T"&amp;TEXT(ROW()-6,"00000"))</f>
        <v/>
      </c>
      <c r="C1199" s="107" t="n"/>
      <c r="D1199" s="113">
        <f>IF($C1199="","",IFERROR(INDEX(MUSTERILER!$C$7:$C$106,MATCH($C1199,MUSTERILER!$B$7:$B$106,0)),"TANIMSIZ MÜŞTERİ"))</f>
        <v/>
      </c>
      <c r="E1199" s="114" t="n"/>
      <c r="F1199" s="115" t="n"/>
      <c r="G1199" s="107" t="n"/>
      <c r="H1199" s="107" t="n"/>
      <c r="I1199" s="108" t="n"/>
      <c r="J1199" s="108" t="n"/>
      <c r="K1199" s="108" t="n"/>
      <c r="L1199" s="119">
        <f>IF($E1199="","",DATE(YEAR($E1199),MONTH($E1199),1))</f>
        <v/>
      </c>
      <c r="M1199" s="112">
        <f>IF($C1199="","",IF($D1199="TANIMSIZ MÜŞTERİ","HATA",IF(OR($E1199="",$F1199&lt;=0,$G1199=""),"EKSİK",IF($E1199&gt;TODAY(),"İLERİ TARİH","UYGUN"))))</f>
        <v/>
      </c>
      <c r="N1199" s="6" t="n"/>
      <c r="O1199" s="6" t="n"/>
    </row>
    <row r="1200">
      <c r="A1200" s="6" t="n"/>
      <c r="B1200" s="112">
        <f>IF($C1200="","","T"&amp;TEXT(ROW()-6,"00000"))</f>
        <v/>
      </c>
      <c r="C1200" s="107" t="n"/>
      <c r="D1200" s="113">
        <f>IF($C1200="","",IFERROR(INDEX(MUSTERILER!$C$7:$C$106,MATCH($C1200,MUSTERILER!$B$7:$B$106,0)),"TANIMSIZ MÜŞTERİ"))</f>
        <v/>
      </c>
      <c r="E1200" s="114" t="n"/>
      <c r="F1200" s="115" t="n"/>
      <c r="G1200" s="107" t="n"/>
      <c r="H1200" s="107" t="n"/>
      <c r="I1200" s="108" t="n"/>
      <c r="J1200" s="108" t="n"/>
      <c r="K1200" s="108" t="n"/>
      <c r="L1200" s="119">
        <f>IF($E1200="","",DATE(YEAR($E1200),MONTH($E1200),1))</f>
        <v/>
      </c>
      <c r="M1200" s="112">
        <f>IF($C1200="","",IF($D1200="TANIMSIZ MÜŞTERİ","HATA",IF(OR($E1200="",$F1200&lt;=0,$G1200=""),"EKSİK",IF($E1200&gt;TODAY(),"İLERİ TARİH","UYGUN"))))</f>
        <v/>
      </c>
      <c r="N1200" s="6" t="n"/>
      <c r="O1200" s="6" t="n"/>
    </row>
    <row r="1201">
      <c r="A1201" s="6" t="n"/>
      <c r="B1201" s="112">
        <f>IF($C1201="","","T"&amp;TEXT(ROW()-6,"00000"))</f>
        <v/>
      </c>
      <c r="C1201" s="107" t="n"/>
      <c r="D1201" s="113">
        <f>IF($C1201="","",IFERROR(INDEX(MUSTERILER!$C$7:$C$106,MATCH($C1201,MUSTERILER!$B$7:$B$106,0)),"TANIMSIZ MÜŞTERİ"))</f>
        <v/>
      </c>
      <c r="E1201" s="114" t="n"/>
      <c r="F1201" s="115" t="n"/>
      <c r="G1201" s="107" t="n"/>
      <c r="H1201" s="107" t="n"/>
      <c r="I1201" s="108" t="n"/>
      <c r="J1201" s="108" t="n"/>
      <c r="K1201" s="108" t="n"/>
      <c r="L1201" s="119">
        <f>IF($E1201="","",DATE(YEAR($E1201),MONTH($E1201),1))</f>
        <v/>
      </c>
      <c r="M1201" s="112">
        <f>IF($C1201="","",IF($D1201="TANIMSIZ MÜŞTERİ","HATA",IF(OR($E1201="",$F1201&lt;=0,$G1201=""),"EKSİK",IF($E1201&gt;TODAY(),"İLERİ TARİH","UYGUN"))))</f>
        <v/>
      </c>
      <c r="N1201" s="6" t="n"/>
      <c r="O1201" s="6" t="n"/>
    </row>
    <row r="1202">
      <c r="A1202" s="6" t="n"/>
      <c r="B1202" s="112">
        <f>IF($C1202="","","T"&amp;TEXT(ROW()-6,"00000"))</f>
        <v/>
      </c>
      <c r="C1202" s="107" t="n"/>
      <c r="D1202" s="113">
        <f>IF($C1202="","",IFERROR(INDEX(MUSTERILER!$C$7:$C$106,MATCH($C1202,MUSTERILER!$B$7:$B$106,0)),"TANIMSIZ MÜŞTERİ"))</f>
        <v/>
      </c>
      <c r="E1202" s="114" t="n"/>
      <c r="F1202" s="115" t="n"/>
      <c r="G1202" s="107" t="n"/>
      <c r="H1202" s="107" t="n"/>
      <c r="I1202" s="108" t="n"/>
      <c r="J1202" s="108" t="n"/>
      <c r="K1202" s="108" t="n"/>
      <c r="L1202" s="119">
        <f>IF($E1202="","",DATE(YEAR($E1202),MONTH($E1202),1))</f>
        <v/>
      </c>
      <c r="M1202" s="112">
        <f>IF($C1202="","",IF($D1202="TANIMSIZ MÜŞTERİ","HATA",IF(OR($E1202="",$F1202&lt;=0,$G1202=""),"EKSİK",IF($E1202&gt;TODAY(),"İLERİ TARİH","UYGUN"))))</f>
        <v/>
      </c>
      <c r="N1202" s="6" t="n"/>
      <c r="O1202" s="6" t="n"/>
    </row>
    <row r="1203">
      <c r="A1203" s="6" t="n"/>
      <c r="B1203" s="112">
        <f>IF($C1203="","","T"&amp;TEXT(ROW()-6,"00000"))</f>
        <v/>
      </c>
      <c r="C1203" s="107" t="n"/>
      <c r="D1203" s="113">
        <f>IF($C1203="","",IFERROR(INDEX(MUSTERILER!$C$7:$C$106,MATCH($C1203,MUSTERILER!$B$7:$B$106,0)),"TANIMSIZ MÜŞTERİ"))</f>
        <v/>
      </c>
      <c r="E1203" s="114" t="n"/>
      <c r="F1203" s="115" t="n"/>
      <c r="G1203" s="107" t="n"/>
      <c r="H1203" s="107" t="n"/>
      <c r="I1203" s="108" t="n"/>
      <c r="J1203" s="108" t="n"/>
      <c r="K1203" s="108" t="n"/>
      <c r="L1203" s="119">
        <f>IF($E1203="","",DATE(YEAR($E1203),MONTH($E1203),1))</f>
        <v/>
      </c>
      <c r="M1203" s="112">
        <f>IF($C1203="","",IF($D1203="TANIMSIZ MÜŞTERİ","HATA",IF(OR($E1203="",$F1203&lt;=0,$G1203=""),"EKSİK",IF($E1203&gt;TODAY(),"İLERİ TARİH","UYGUN"))))</f>
        <v/>
      </c>
      <c r="N1203" s="6" t="n"/>
      <c r="O1203" s="6" t="n"/>
    </row>
    <row r="1204">
      <c r="A1204" s="6" t="n"/>
      <c r="B1204" s="112">
        <f>IF($C1204="","","T"&amp;TEXT(ROW()-6,"00000"))</f>
        <v/>
      </c>
      <c r="C1204" s="107" t="n"/>
      <c r="D1204" s="113">
        <f>IF($C1204="","",IFERROR(INDEX(MUSTERILER!$C$7:$C$106,MATCH($C1204,MUSTERILER!$B$7:$B$106,0)),"TANIMSIZ MÜŞTERİ"))</f>
        <v/>
      </c>
      <c r="E1204" s="114" t="n"/>
      <c r="F1204" s="115" t="n"/>
      <c r="G1204" s="107" t="n"/>
      <c r="H1204" s="107" t="n"/>
      <c r="I1204" s="108" t="n"/>
      <c r="J1204" s="108" t="n"/>
      <c r="K1204" s="108" t="n"/>
      <c r="L1204" s="119">
        <f>IF($E1204="","",DATE(YEAR($E1204),MONTH($E1204),1))</f>
        <v/>
      </c>
      <c r="M1204" s="112">
        <f>IF($C1204="","",IF($D1204="TANIMSIZ MÜŞTERİ","HATA",IF(OR($E1204="",$F1204&lt;=0,$G1204=""),"EKSİK",IF($E1204&gt;TODAY(),"İLERİ TARİH","UYGUN"))))</f>
        <v/>
      </c>
      <c r="N1204" s="6" t="n"/>
      <c r="O1204" s="6" t="n"/>
    </row>
    <row r="1205">
      <c r="A1205" s="6" t="n"/>
      <c r="B1205" s="112">
        <f>IF($C1205="","","T"&amp;TEXT(ROW()-6,"00000"))</f>
        <v/>
      </c>
      <c r="C1205" s="107" t="n"/>
      <c r="D1205" s="113">
        <f>IF($C1205="","",IFERROR(INDEX(MUSTERILER!$C$7:$C$106,MATCH($C1205,MUSTERILER!$B$7:$B$106,0)),"TANIMSIZ MÜŞTERİ"))</f>
        <v/>
      </c>
      <c r="E1205" s="114" t="n"/>
      <c r="F1205" s="115" t="n"/>
      <c r="G1205" s="107" t="n"/>
      <c r="H1205" s="107" t="n"/>
      <c r="I1205" s="108" t="n"/>
      <c r="J1205" s="108" t="n"/>
      <c r="K1205" s="108" t="n"/>
      <c r="L1205" s="119">
        <f>IF($E1205="","",DATE(YEAR($E1205),MONTH($E1205),1))</f>
        <v/>
      </c>
      <c r="M1205" s="112">
        <f>IF($C1205="","",IF($D1205="TANIMSIZ MÜŞTERİ","HATA",IF(OR($E1205="",$F1205&lt;=0,$G1205=""),"EKSİK",IF($E1205&gt;TODAY(),"İLERİ TARİH","UYGUN"))))</f>
        <v/>
      </c>
      <c r="N1205" s="6" t="n"/>
      <c r="O1205" s="6" t="n"/>
    </row>
    <row r="1206">
      <c r="A1206" s="6" t="n"/>
      <c r="B1206" s="112">
        <f>IF($C1206="","","T"&amp;TEXT(ROW()-6,"00000"))</f>
        <v/>
      </c>
      <c r="C1206" s="107" t="n"/>
      <c r="D1206" s="113">
        <f>IF($C1206="","",IFERROR(INDEX(MUSTERILER!$C$7:$C$106,MATCH($C1206,MUSTERILER!$B$7:$B$106,0)),"TANIMSIZ MÜŞTERİ"))</f>
        <v/>
      </c>
      <c r="E1206" s="114" t="n"/>
      <c r="F1206" s="115" t="n"/>
      <c r="G1206" s="107" t="n"/>
      <c r="H1206" s="107" t="n"/>
      <c r="I1206" s="108" t="n"/>
      <c r="J1206" s="108" t="n"/>
      <c r="K1206" s="108" t="n"/>
      <c r="L1206" s="119">
        <f>IF($E1206="","",DATE(YEAR($E1206),MONTH($E1206),1))</f>
        <v/>
      </c>
      <c r="M1206" s="112">
        <f>IF($C1206="","",IF($D1206="TANIMSIZ MÜŞTERİ","HATA",IF(OR($E1206="",$F1206&lt;=0,$G1206=""),"EKSİK",IF($E1206&gt;TODAY(),"İLERİ TARİH","UYGUN"))))</f>
        <v/>
      </c>
      <c r="N1206" s="6" t="n"/>
      <c r="O1206" s="6" t="n"/>
    </row>
    <row r="1207">
      <c r="A1207" s="6" t="n"/>
      <c r="B1207" s="112">
        <f>IF($C1207="","","T"&amp;TEXT(ROW()-6,"00000"))</f>
        <v/>
      </c>
      <c r="C1207" s="107" t="n"/>
      <c r="D1207" s="113">
        <f>IF($C1207="","",IFERROR(INDEX(MUSTERILER!$C$7:$C$106,MATCH($C1207,MUSTERILER!$B$7:$B$106,0)),"TANIMSIZ MÜŞTERİ"))</f>
        <v/>
      </c>
      <c r="E1207" s="114" t="n"/>
      <c r="F1207" s="115" t="n"/>
      <c r="G1207" s="107" t="n"/>
      <c r="H1207" s="107" t="n"/>
      <c r="I1207" s="108" t="n"/>
      <c r="J1207" s="108" t="n"/>
      <c r="K1207" s="108" t="n"/>
      <c r="L1207" s="119">
        <f>IF($E1207="","",DATE(YEAR($E1207),MONTH($E1207),1))</f>
        <v/>
      </c>
      <c r="M1207" s="112">
        <f>IF($C1207="","",IF($D1207="TANIMSIZ MÜŞTERİ","HATA",IF(OR($E1207="",$F1207&lt;=0,$G1207=""),"EKSİK",IF($E1207&gt;TODAY(),"İLERİ TARİH","UYGUN"))))</f>
        <v/>
      </c>
      <c r="N1207" s="6" t="n"/>
      <c r="O1207" s="6" t="n"/>
    </row>
    <row r="1208">
      <c r="A1208" s="6" t="n"/>
      <c r="B1208" s="112">
        <f>IF($C1208="","","T"&amp;TEXT(ROW()-6,"00000"))</f>
        <v/>
      </c>
      <c r="C1208" s="107" t="n"/>
      <c r="D1208" s="113">
        <f>IF($C1208="","",IFERROR(INDEX(MUSTERILER!$C$7:$C$106,MATCH($C1208,MUSTERILER!$B$7:$B$106,0)),"TANIMSIZ MÜŞTERİ"))</f>
        <v/>
      </c>
      <c r="E1208" s="114" t="n"/>
      <c r="F1208" s="115" t="n"/>
      <c r="G1208" s="107" t="n"/>
      <c r="H1208" s="107" t="n"/>
      <c r="I1208" s="108" t="n"/>
      <c r="J1208" s="108" t="n"/>
      <c r="K1208" s="108" t="n"/>
      <c r="L1208" s="119">
        <f>IF($E1208="","",DATE(YEAR($E1208),MONTH($E1208),1))</f>
        <v/>
      </c>
      <c r="M1208" s="112">
        <f>IF($C1208="","",IF($D1208="TANIMSIZ MÜŞTERİ","HATA",IF(OR($E1208="",$F1208&lt;=0,$G1208=""),"EKSİK",IF($E1208&gt;TODAY(),"İLERİ TARİH","UYGUN"))))</f>
        <v/>
      </c>
      <c r="N1208" s="6" t="n"/>
      <c r="O1208" s="6" t="n"/>
    </row>
    <row r="1209">
      <c r="A1209" s="6" t="n"/>
      <c r="B1209" s="112">
        <f>IF($C1209="","","T"&amp;TEXT(ROW()-6,"00000"))</f>
        <v/>
      </c>
      <c r="C1209" s="107" t="n"/>
      <c r="D1209" s="113">
        <f>IF($C1209="","",IFERROR(INDEX(MUSTERILER!$C$7:$C$106,MATCH($C1209,MUSTERILER!$B$7:$B$106,0)),"TANIMSIZ MÜŞTERİ"))</f>
        <v/>
      </c>
      <c r="E1209" s="114" t="n"/>
      <c r="F1209" s="115" t="n"/>
      <c r="G1209" s="107" t="n"/>
      <c r="H1209" s="107" t="n"/>
      <c r="I1209" s="108" t="n"/>
      <c r="J1209" s="108" t="n"/>
      <c r="K1209" s="108" t="n"/>
      <c r="L1209" s="119">
        <f>IF($E1209="","",DATE(YEAR($E1209),MONTH($E1209),1))</f>
        <v/>
      </c>
      <c r="M1209" s="112">
        <f>IF($C1209="","",IF($D1209="TANIMSIZ MÜŞTERİ","HATA",IF(OR($E1209="",$F1209&lt;=0,$G1209=""),"EKSİK",IF($E1209&gt;TODAY(),"İLERİ TARİH","UYGUN"))))</f>
        <v/>
      </c>
      <c r="N1209" s="6" t="n"/>
      <c r="O1209" s="6" t="n"/>
    </row>
    <row r="1210">
      <c r="A1210" s="6" t="n"/>
      <c r="B1210" s="112">
        <f>IF($C1210="","","T"&amp;TEXT(ROW()-6,"00000"))</f>
        <v/>
      </c>
      <c r="C1210" s="107" t="n"/>
      <c r="D1210" s="113">
        <f>IF($C1210="","",IFERROR(INDEX(MUSTERILER!$C$7:$C$106,MATCH($C1210,MUSTERILER!$B$7:$B$106,0)),"TANIMSIZ MÜŞTERİ"))</f>
        <v/>
      </c>
      <c r="E1210" s="114" t="n"/>
      <c r="F1210" s="115" t="n"/>
      <c r="G1210" s="107" t="n"/>
      <c r="H1210" s="107" t="n"/>
      <c r="I1210" s="108" t="n"/>
      <c r="J1210" s="108" t="n"/>
      <c r="K1210" s="108" t="n"/>
      <c r="L1210" s="119">
        <f>IF($E1210="","",DATE(YEAR($E1210),MONTH($E1210),1))</f>
        <v/>
      </c>
      <c r="M1210" s="112">
        <f>IF($C1210="","",IF($D1210="TANIMSIZ MÜŞTERİ","HATA",IF(OR($E1210="",$F1210&lt;=0,$G1210=""),"EKSİK",IF($E1210&gt;TODAY(),"İLERİ TARİH","UYGUN"))))</f>
        <v/>
      </c>
      <c r="N1210" s="6" t="n"/>
      <c r="O1210" s="6" t="n"/>
    </row>
    <row r="1211">
      <c r="A1211" s="6" t="n"/>
      <c r="B1211" s="112">
        <f>IF($C1211="","","T"&amp;TEXT(ROW()-6,"00000"))</f>
        <v/>
      </c>
      <c r="C1211" s="107" t="n"/>
      <c r="D1211" s="113">
        <f>IF($C1211="","",IFERROR(INDEX(MUSTERILER!$C$7:$C$106,MATCH($C1211,MUSTERILER!$B$7:$B$106,0)),"TANIMSIZ MÜŞTERİ"))</f>
        <v/>
      </c>
      <c r="E1211" s="114" t="n"/>
      <c r="F1211" s="115" t="n"/>
      <c r="G1211" s="107" t="n"/>
      <c r="H1211" s="107" t="n"/>
      <c r="I1211" s="108" t="n"/>
      <c r="J1211" s="108" t="n"/>
      <c r="K1211" s="108" t="n"/>
      <c r="L1211" s="119">
        <f>IF($E1211="","",DATE(YEAR($E1211),MONTH($E1211),1))</f>
        <v/>
      </c>
      <c r="M1211" s="112">
        <f>IF($C1211="","",IF($D1211="TANIMSIZ MÜŞTERİ","HATA",IF(OR($E1211="",$F1211&lt;=0,$G1211=""),"EKSİK",IF($E1211&gt;TODAY(),"İLERİ TARİH","UYGUN"))))</f>
        <v/>
      </c>
      <c r="N1211" s="6" t="n"/>
      <c r="O1211" s="6" t="n"/>
    </row>
    <row r="1212">
      <c r="A1212" s="6" t="n"/>
      <c r="B1212" s="112">
        <f>IF($C1212="","","T"&amp;TEXT(ROW()-6,"00000"))</f>
        <v/>
      </c>
      <c r="C1212" s="107" t="n"/>
      <c r="D1212" s="113">
        <f>IF($C1212="","",IFERROR(INDEX(MUSTERILER!$C$7:$C$106,MATCH($C1212,MUSTERILER!$B$7:$B$106,0)),"TANIMSIZ MÜŞTERİ"))</f>
        <v/>
      </c>
      <c r="E1212" s="114" t="n"/>
      <c r="F1212" s="115" t="n"/>
      <c r="G1212" s="107" t="n"/>
      <c r="H1212" s="107" t="n"/>
      <c r="I1212" s="108" t="n"/>
      <c r="J1212" s="108" t="n"/>
      <c r="K1212" s="108" t="n"/>
      <c r="L1212" s="119">
        <f>IF($E1212="","",DATE(YEAR($E1212),MONTH($E1212),1))</f>
        <v/>
      </c>
      <c r="M1212" s="112">
        <f>IF($C1212="","",IF($D1212="TANIMSIZ MÜŞTERİ","HATA",IF(OR($E1212="",$F1212&lt;=0,$G1212=""),"EKSİK",IF($E1212&gt;TODAY(),"İLERİ TARİH","UYGUN"))))</f>
        <v/>
      </c>
      <c r="N1212" s="6" t="n"/>
      <c r="O1212" s="6" t="n"/>
    </row>
    <row r="1213">
      <c r="A1213" s="6" t="n"/>
      <c r="B1213" s="112">
        <f>IF($C1213="","","T"&amp;TEXT(ROW()-6,"00000"))</f>
        <v/>
      </c>
      <c r="C1213" s="107" t="n"/>
      <c r="D1213" s="113">
        <f>IF($C1213="","",IFERROR(INDEX(MUSTERILER!$C$7:$C$106,MATCH($C1213,MUSTERILER!$B$7:$B$106,0)),"TANIMSIZ MÜŞTERİ"))</f>
        <v/>
      </c>
      <c r="E1213" s="114" t="n"/>
      <c r="F1213" s="115" t="n"/>
      <c r="G1213" s="107" t="n"/>
      <c r="H1213" s="107" t="n"/>
      <c r="I1213" s="108" t="n"/>
      <c r="J1213" s="108" t="n"/>
      <c r="K1213" s="108" t="n"/>
      <c r="L1213" s="119">
        <f>IF($E1213="","",DATE(YEAR($E1213),MONTH($E1213),1))</f>
        <v/>
      </c>
      <c r="M1213" s="112">
        <f>IF($C1213="","",IF($D1213="TANIMSIZ MÜŞTERİ","HATA",IF(OR($E1213="",$F1213&lt;=0,$G1213=""),"EKSİK",IF($E1213&gt;TODAY(),"İLERİ TARİH","UYGUN"))))</f>
        <v/>
      </c>
      <c r="N1213" s="6" t="n"/>
      <c r="O1213" s="6" t="n"/>
    </row>
    <row r="1214">
      <c r="A1214" s="6" t="n"/>
      <c r="B1214" s="112">
        <f>IF($C1214="","","T"&amp;TEXT(ROW()-6,"00000"))</f>
        <v/>
      </c>
      <c r="C1214" s="107" t="n"/>
      <c r="D1214" s="113">
        <f>IF($C1214="","",IFERROR(INDEX(MUSTERILER!$C$7:$C$106,MATCH($C1214,MUSTERILER!$B$7:$B$106,0)),"TANIMSIZ MÜŞTERİ"))</f>
        <v/>
      </c>
      <c r="E1214" s="114" t="n"/>
      <c r="F1214" s="115" t="n"/>
      <c r="G1214" s="107" t="n"/>
      <c r="H1214" s="107" t="n"/>
      <c r="I1214" s="108" t="n"/>
      <c r="J1214" s="108" t="n"/>
      <c r="K1214" s="108" t="n"/>
      <c r="L1214" s="119">
        <f>IF($E1214="","",DATE(YEAR($E1214),MONTH($E1214),1))</f>
        <v/>
      </c>
      <c r="M1214" s="112">
        <f>IF($C1214="","",IF($D1214="TANIMSIZ MÜŞTERİ","HATA",IF(OR($E1214="",$F1214&lt;=0,$G1214=""),"EKSİK",IF($E1214&gt;TODAY(),"İLERİ TARİH","UYGUN"))))</f>
        <v/>
      </c>
      <c r="N1214" s="6" t="n"/>
      <c r="O1214" s="6" t="n"/>
    </row>
    <row r="1215">
      <c r="A1215" s="6" t="n"/>
      <c r="B1215" s="112">
        <f>IF($C1215="","","T"&amp;TEXT(ROW()-6,"00000"))</f>
        <v/>
      </c>
      <c r="C1215" s="107" t="n"/>
      <c r="D1215" s="113">
        <f>IF($C1215="","",IFERROR(INDEX(MUSTERILER!$C$7:$C$106,MATCH($C1215,MUSTERILER!$B$7:$B$106,0)),"TANIMSIZ MÜŞTERİ"))</f>
        <v/>
      </c>
      <c r="E1215" s="114" t="n"/>
      <c r="F1215" s="115" t="n"/>
      <c r="G1215" s="107" t="n"/>
      <c r="H1215" s="107" t="n"/>
      <c r="I1215" s="108" t="n"/>
      <c r="J1215" s="108" t="n"/>
      <c r="K1215" s="108" t="n"/>
      <c r="L1215" s="119">
        <f>IF($E1215="","",DATE(YEAR($E1215),MONTH($E1215),1))</f>
        <v/>
      </c>
      <c r="M1215" s="112">
        <f>IF($C1215="","",IF($D1215="TANIMSIZ MÜŞTERİ","HATA",IF(OR($E1215="",$F1215&lt;=0,$G1215=""),"EKSİK",IF($E1215&gt;TODAY(),"İLERİ TARİH","UYGUN"))))</f>
        <v/>
      </c>
      <c r="N1215" s="6" t="n"/>
      <c r="O1215" s="6" t="n"/>
    </row>
    <row r="1216">
      <c r="A1216" s="6" t="n"/>
      <c r="B1216" s="112">
        <f>IF($C1216="","","T"&amp;TEXT(ROW()-6,"00000"))</f>
        <v/>
      </c>
      <c r="C1216" s="107" t="n"/>
      <c r="D1216" s="113">
        <f>IF($C1216="","",IFERROR(INDEX(MUSTERILER!$C$7:$C$106,MATCH($C1216,MUSTERILER!$B$7:$B$106,0)),"TANIMSIZ MÜŞTERİ"))</f>
        <v/>
      </c>
      <c r="E1216" s="114" t="n"/>
      <c r="F1216" s="115" t="n"/>
      <c r="G1216" s="107" t="n"/>
      <c r="H1216" s="107" t="n"/>
      <c r="I1216" s="108" t="n"/>
      <c r="J1216" s="108" t="n"/>
      <c r="K1216" s="108" t="n"/>
      <c r="L1216" s="119">
        <f>IF($E1216="","",DATE(YEAR($E1216),MONTH($E1216),1))</f>
        <v/>
      </c>
      <c r="M1216" s="112">
        <f>IF($C1216="","",IF($D1216="TANIMSIZ MÜŞTERİ","HATA",IF(OR($E1216="",$F1216&lt;=0,$G1216=""),"EKSİK",IF($E1216&gt;TODAY(),"İLERİ TARİH","UYGUN"))))</f>
        <v/>
      </c>
      <c r="N1216" s="6" t="n"/>
      <c r="O1216" s="6" t="n"/>
    </row>
    <row r="1217">
      <c r="A1217" s="6" t="n"/>
      <c r="B1217" s="112">
        <f>IF($C1217="","","T"&amp;TEXT(ROW()-6,"00000"))</f>
        <v/>
      </c>
      <c r="C1217" s="107" t="n"/>
      <c r="D1217" s="113">
        <f>IF($C1217="","",IFERROR(INDEX(MUSTERILER!$C$7:$C$106,MATCH($C1217,MUSTERILER!$B$7:$B$106,0)),"TANIMSIZ MÜŞTERİ"))</f>
        <v/>
      </c>
      <c r="E1217" s="114" t="n"/>
      <c r="F1217" s="115" t="n"/>
      <c r="G1217" s="107" t="n"/>
      <c r="H1217" s="107" t="n"/>
      <c r="I1217" s="108" t="n"/>
      <c r="J1217" s="108" t="n"/>
      <c r="K1217" s="108" t="n"/>
      <c r="L1217" s="119">
        <f>IF($E1217="","",DATE(YEAR($E1217),MONTH($E1217),1))</f>
        <v/>
      </c>
      <c r="M1217" s="112">
        <f>IF($C1217="","",IF($D1217="TANIMSIZ MÜŞTERİ","HATA",IF(OR($E1217="",$F1217&lt;=0,$G1217=""),"EKSİK",IF($E1217&gt;TODAY(),"İLERİ TARİH","UYGUN"))))</f>
        <v/>
      </c>
      <c r="N1217" s="6" t="n"/>
      <c r="O1217" s="6" t="n"/>
    </row>
    <row r="1218">
      <c r="A1218" s="6" t="n"/>
      <c r="B1218" s="112">
        <f>IF($C1218="","","T"&amp;TEXT(ROW()-6,"00000"))</f>
        <v/>
      </c>
      <c r="C1218" s="107" t="n"/>
      <c r="D1218" s="113">
        <f>IF($C1218="","",IFERROR(INDEX(MUSTERILER!$C$7:$C$106,MATCH($C1218,MUSTERILER!$B$7:$B$106,0)),"TANIMSIZ MÜŞTERİ"))</f>
        <v/>
      </c>
      <c r="E1218" s="114" t="n"/>
      <c r="F1218" s="115" t="n"/>
      <c r="G1218" s="107" t="n"/>
      <c r="H1218" s="107" t="n"/>
      <c r="I1218" s="108" t="n"/>
      <c r="J1218" s="108" t="n"/>
      <c r="K1218" s="108" t="n"/>
      <c r="L1218" s="119">
        <f>IF($E1218="","",DATE(YEAR($E1218),MONTH($E1218),1))</f>
        <v/>
      </c>
      <c r="M1218" s="112">
        <f>IF($C1218="","",IF($D1218="TANIMSIZ MÜŞTERİ","HATA",IF(OR($E1218="",$F1218&lt;=0,$G1218=""),"EKSİK",IF($E1218&gt;TODAY(),"İLERİ TARİH","UYGUN"))))</f>
        <v/>
      </c>
      <c r="N1218" s="6" t="n"/>
      <c r="O1218" s="6" t="n"/>
    </row>
    <row r="1219">
      <c r="A1219" s="6" t="n"/>
      <c r="B1219" s="112">
        <f>IF($C1219="","","T"&amp;TEXT(ROW()-6,"00000"))</f>
        <v/>
      </c>
      <c r="C1219" s="107" t="n"/>
      <c r="D1219" s="113">
        <f>IF($C1219="","",IFERROR(INDEX(MUSTERILER!$C$7:$C$106,MATCH($C1219,MUSTERILER!$B$7:$B$106,0)),"TANIMSIZ MÜŞTERİ"))</f>
        <v/>
      </c>
      <c r="E1219" s="114" t="n"/>
      <c r="F1219" s="115" t="n"/>
      <c r="G1219" s="107" t="n"/>
      <c r="H1219" s="107" t="n"/>
      <c r="I1219" s="108" t="n"/>
      <c r="J1219" s="108" t="n"/>
      <c r="K1219" s="108" t="n"/>
      <c r="L1219" s="119">
        <f>IF($E1219="","",DATE(YEAR($E1219),MONTH($E1219),1))</f>
        <v/>
      </c>
      <c r="M1219" s="112">
        <f>IF($C1219="","",IF($D1219="TANIMSIZ MÜŞTERİ","HATA",IF(OR($E1219="",$F1219&lt;=0,$G1219=""),"EKSİK",IF($E1219&gt;TODAY(),"İLERİ TARİH","UYGUN"))))</f>
        <v/>
      </c>
      <c r="N1219" s="6" t="n"/>
      <c r="O1219" s="6" t="n"/>
    </row>
    <row r="1220">
      <c r="A1220" s="6" t="n"/>
      <c r="B1220" s="112">
        <f>IF($C1220="","","T"&amp;TEXT(ROW()-6,"00000"))</f>
        <v/>
      </c>
      <c r="C1220" s="107" t="n"/>
      <c r="D1220" s="113">
        <f>IF($C1220="","",IFERROR(INDEX(MUSTERILER!$C$7:$C$106,MATCH($C1220,MUSTERILER!$B$7:$B$106,0)),"TANIMSIZ MÜŞTERİ"))</f>
        <v/>
      </c>
      <c r="E1220" s="114" t="n"/>
      <c r="F1220" s="115" t="n"/>
      <c r="G1220" s="107" t="n"/>
      <c r="H1220" s="107" t="n"/>
      <c r="I1220" s="108" t="n"/>
      <c r="J1220" s="108" t="n"/>
      <c r="K1220" s="108" t="n"/>
      <c r="L1220" s="119">
        <f>IF($E1220="","",DATE(YEAR($E1220),MONTH($E1220),1))</f>
        <v/>
      </c>
      <c r="M1220" s="112">
        <f>IF($C1220="","",IF($D1220="TANIMSIZ MÜŞTERİ","HATA",IF(OR($E1220="",$F1220&lt;=0,$G1220=""),"EKSİK",IF($E1220&gt;TODAY(),"İLERİ TARİH","UYGUN"))))</f>
        <v/>
      </c>
      <c r="N1220" s="6" t="n"/>
      <c r="O1220" s="6" t="n"/>
    </row>
    <row r="1221">
      <c r="A1221" s="6" t="n"/>
      <c r="B1221" s="112">
        <f>IF($C1221="","","T"&amp;TEXT(ROW()-6,"00000"))</f>
        <v/>
      </c>
      <c r="C1221" s="107" t="n"/>
      <c r="D1221" s="113">
        <f>IF($C1221="","",IFERROR(INDEX(MUSTERILER!$C$7:$C$106,MATCH($C1221,MUSTERILER!$B$7:$B$106,0)),"TANIMSIZ MÜŞTERİ"))</f>
        <v/>
      </c>
      <c r="E1221" s="114" t="n"/>
      <c r="F1221" s="115" t="n"/>
      <c r="G1221" s="107" t="n"/>
      <c r="H1221" s="107" t="n"/>
      <c r="I1221" s="108" t="n"/>
      <c r="J1221" s="108" t="n"/>
      <c r="K1221" s="108" t="n"/>
      <c r="L1221" s="119">
        <f>IF($E1221="","",DATE(YEAR($E1221),MONTH($E1221),1))</f>
        <v/>
      </c>
      <c r="M1221" s="112">
        <f>IF($C1221="","",IF($D1221="TANIMSIZ MÜŞTERİ","HATA",IF(OR($E1221="",$F1221&lt;=0,$G1221=""),"EKSİK",IF($E1221&gt;TODAY(),"İLERİ TARİH","UYGUN"))))</f>
        <v/>
      </c>
      <c r="N1221" s="6" t="n"/>
      <c r="O1221" s="6" t="n"/>
    </row>
    <row r="1222">
      <c r="A1222" s="6" t="n"/>
      <c r="B1222" s="112">
        <f>IF($C1222="","","T"&amp;TEXT(ROW()-6,"00000"))</f>
        <v/>
      </c>
      <c r="C1222" s="107" t="n"/>
      <c r="D1222" s="113">
        <f>IF($C1222="","",IFERROR(INDEX(MUSTERILER!$C$7:$C$106,MATCH($C1222,MUSTERILER!$B$7:$B$106,0)),"TANIMSIZ MÜŞTERİ"))</f>
        <v/>
      </c>
      <c r="E1222" s="114" t="n"/>
      <c r="F1222" s="115" t="n"/>
      <c r="G1222" s="107" t="n"/>
      <c r="H1222" s="107" t="n"/>
      <c r="I1222" s="108" t="n"/>
      <c r="J1222" s="108" t="n"/>
      <c r="K1222" s="108" t="n"/>
      <c r="L1222" s="119">
        <f>IF($E1222="","",DATE(YEAR($E1222),MONTH($E1222),1))</f>
        <v/>
      </c>
      <c r="M1222" s="112">
        <f>IF($C1222="","",IF($D1222="TANIMSIZ MÜŞTERİ","HATA",IF(OR($E1222="",$F1222&lt;=0,$G1222=""),"EKSİK",IF($E1222&gt;TODAY(),"İLERİ TARİH","UYGUN"))))</f>
        <v/>
      </c>
      <c r="N1222" s="6" t="n"/>
      <c r="O1222" s="6" t="n"/>
    </row>
    <row r="1223">
      <c r="A1223" s="6" t="n"/>
      <c r="B1223" s="112">
        <f>IF($C1223="","","T"&amp;TEXT(ROW()-6,"00000"))</f>
        <v/>
      </c>
      <c r="C1223" s="107" t="n"/>
      <c r="D1223" s="113">
        <f>IF($C1223="","",IFERROR(INDEX(MUSTERILER!$C$7:$C$106,MATCH($C1223,MUSTERILER!$B$7:$B$106,0)),"TANIMSIZ MÜŞTERİ"))</f>
        <v/>
      </c>
      <c r="E1223" s="114" t="n"/>
      <c r="F1223" s="115" t="n"/>
      <c r="G1223" s="107" t="n"/>
      <c r="H1223" s="107" t="n"/>
      <c r="I1223" s="108" t="n"/>
      <c r="J1223" s="108" t="n"/>
      <c r="K1223" s="108" t="n"/>
      <c r="L1223" s="119">
        <f>IF($E1223="","",DATE(YEAR($E1223),MONTH($E1223),1))</f>
        <v/>
      </c>
      <c r="M1223" s="112">
        <f>IF($C1223="","",IF($D1223="TANIMSIZ MÜŞTERİ","HATA",IF(OR($E1223="",$F1223&lt;=0,$G1223=""),"EKSİK",IF($E1223&gt;TODAY(),"İLERİ TARİH","UYGUN"))))</f>
        <v/>
      </c>
      <c r="N1223" s="6" t="n"/>
      <c r="O1223" s="6" t="n"/>
    </row>
    <row r="1224">
      <c r="A1224" s="6" t="n"/>
      <c r="B1224" s="112">
        <f>IF($C1224="","","T"&amp;TEXT(ROW()-6,"00000"))</f>
        <v/>
      </c>
      <c r="C1224" s="107" t="n"/>
      <c r="D1224" s="113">
        <f>IF($C1224="","",IFERROR(INDEX(MUSTERILER!$C$7:$C$106,MATCH($C1224,MUSTERILER!$B$7:$B$106,0)),"TANIMSIZ MÜŞTERİ"))</f>
        <v/>
      </c>
      <c r="E1224" s="114" t="n"/>
      <c r="F1224" s="115" t="n"/>
      <c r="G1224" s="107" t="n"/>
      <c r="H1224" s="107" t="n"/>
      <c r="I1224" s="108" t="n"/>
      <c r="J1224" s="108" t="n"/>
      <c r="K1224" s="108" t="n"/>
      <c r="L1224" s="119">
        <f>IF($E1224="","",DATE(YEAR($E1224),MONTH($E1224),1))</f>
        <v/>
      </c>
      <c r="M1224" s="112">
        <f>IF($C1224="","",IF($D1224="TANIMSIZ MÜŞTERİ","HATA",IF(OR($E1224="",$F1224&lt;=0,$G1224=""),"EKSİK",IF($E1224&gt;TODAY(),"İLERİ TARİH","UYGUN"))))</f>
        <v/>
      </c>
      <c r="N1224" s="6" t="n"/>
      <c r="O1224" s="6" t="n"/>
    </row>
    <row r="1225">
      <c r="A1225" s="6" t="n"/>
      <c r="B1225" s="112">
        <f>IF($C1225="","","T"&amp;TEXT(ROW()-6,"00000"))</f>
        <v/>
      </c>
      <c r="C1225" s="107" t="n"/>
      <c r="D1225" s="113">
        <f>IF($C1225="","",IFERROR(INDEX(MUSTERILER!$C$7:$C$106,MATCH($C1225,MUSTERILER!$B$7:$B$106,0)),"TANIMSIZ MÜŞTERİ"))</f>
        <v/>
      </c>
      <c r="E1225" s="114" t="n"/>
      <c r="F1225" s="115" t="n"/>
      <c r="G1225" s="107" t="n"/>
      <c r="H1225" s="107" t="n"/>
      <c r="I1225" s="108" t="n"/>
      <c r="J1225" s="108" t="n"/>
      <c r="K1225" s="108" t="n"/>
      <c r="L1225" s="119">
        <f>IF($E1225="","",DATE(YEAR($E1225),MONTH($E1225),1))</f>
        <v/>
      </c>
      <c r="M1225" s="112">
        <f>IF($C1225="","",IF($D1225="TANIMSIZ MÜŞTERİ","HATA",IF(OR($E1225="",$F1225&lt;=0,$G1225=""),"EKSİK",IF($E1225&gt;TODAY(),"İLERİ TARİH","UYGUN"))))</f>
        <v/>
      </c>
      <c r="N1225" s="6" t="n"/>
      <c r="O1225" s="6" t="n"/>
    </row>
    <row r="1226">
      <c r="A1226" s="6" t="n"/>
      <c r="B1226" s="112">
        <f>IF($C1226="","","T"&amp;TEXT(ROW()-6,"00000"))</f>
        <v/>
      </c>
      <c r="C1226" s="107" t="n"/>
      <c r="D1226" s="113">
        <f>IF($C1226="","",IFERROR(INDEX(MUSTERILER!$C$7:$C$106,MATCH($C1226,MUSTERILER!$B$7:$B$106,0)),"TANIMSIZ MÜŞTERİ"))</f>
        <v/>
      </c>
      <c r="E1226" s="114" t="n"/>
      <c r="F1226" s="115" t="n"/>
      <c r="G1226" s="107" t="n"/>
      <c r="H1226" s="107" t="n"/>
      <c r="I1226" s="108" t="n"/>
      <c r="J1226" s="108" t="n"/>
      <c r="K1226" s="108" t="n"/>
      <c r="L1226" s="119">
        <f>IF($E1226="","",DATE(YEAR($E1226),MONTH($E1226),1))</f>
        <v/>
      </c>
      <c r="M1226" s="112">
        <f>IF($C1226="","",IF($D1226="TANIMSIZ MÜŞTERİ","HATA",IF(OR($E1226="",$F1226&lt;=0,$G1226=""),"EKSİK",IF($E1226&gt;TODAY(),"İLERİ TARİH","UYGUN"))))</f>
        <v/>
      </c>
      <c r="N1226" s="6" t="n"/>
      <c r="O1226" s="6" t="n"/>
    </row>
    <row r="1227">
      <c r="A1227" s="6" t="n"/>
      <c r="B1227" s="112">
        <f>IF($C1227="","","T"&amp;TEXT(ROW()-6,"00000"))</f>
        <v/>
      </c>
      <c r="C1227" s="107" t="n"/>
      <c r="D1227" s="113">
        <f>IF($C1227="","",IFERROR(INDEX(MUSTERILER!$C$7:$C$106,MATCH($C1227,MUSTERILER!$B$7:$B$106,0)),"TANIMSIZ MÜŞTERİ"))</f>
        <v/>
      </c>
      <c r="E1227" s="114" t="n"/>
      <c r="F1227" s="115" t="n"/>
      <c r="G1227" s="107" t="n"/>
      <c r="H1227" s="107" t="n"/>
      <c r="I1227" s="108" t="n"/>
      <c r="J1227" s="108" t="n"/>
      <c r="K1227" s="108" t="n"/>
      <c r="L1227" s="119">
        <f>IF($E1227="","",DATE(YEAR($E1227),MONTH($E1227),1))</f>
        <v/>
      </c>
      <c r="M1227" s="112">
        <f>IF($C1227="","",IF($D1227="TANIMSIZ MÜŞTERİ","HATA",IF(OR($E1227="",$F1227&lt;=0,$G1227=""),"EKSİK",IF($E1227&gt;TODAY(),"İLERİ TARİH","UYGUN"))))</f>
        <v/>
      </c>
      <c r="N1227" s="6" t="n"/>
      <c r="O1227" s="6" t="n"/>
    </row>
    <row r="1228">
      <c r="A1228" s="6" t="n"/>
      <c r="B1228" s="112">
        <f>IF($C1228="","","T"&amp;TEXT(ROW()-6,"00000"))</f>
        <v/>
      </c>
      <c r="C1228" s="107" t="n"/>
      <c r="D1228" s="113">
        <f>IF($C1228="","",IFERROR(INDEX(MUSTERILER!$C$7:$C$106,MATCH($C1228,MUSTERILER!$B$7:$B$106,0)),"TANIMSIZ MÜŞTERİ"))</f>
        <v/>
      </c>
      <c r="E1228" s="114" t="n"/>
      <c r="F1228" s="115" t="n"/>
      <c r="G1228" s="107" t="n"/>
      <c r="H1228" s="107" t="n"/>
      <c r="I1228" s="108" t="n"/>
      <c r="J1228" s="108" t="n"/>
      <c r="K1228" s="108" t="n"/>
      <c r="L1228" s="119">
        <f>IF($E1228="","",DATE(YEAR($E1228),MONTH($E1228),1))</f>
        <v/>
      </c>
      <c r="M1228" s="112">
        <f>IF($C1228="","",IF($D1228="TANIMSIZ MÜŞTERİ","HATA",IF(OR($E1228="",$F1228&lt;=0,$G1228=""),"EKSİK",IF($E1228&gt;TODAY(),"İLERİ TARİH","UYGUN"))))</f>
        <v/>
      </c>
      <c r="N1228" s="6" t="n"/>
      <c r="O1228" s="6" t="n"/>
    </row>
    <row r="1229">
      <c r="A1229" s="6" t="n"/>
      <c r="B1229" s="112">
        <f>IF($C1229="","","T"&amp;TEXT(ROW()-6,"00000"))</f>
        <v/>
      </c>
      <c r="C1229" s="107" t="n"/>
      <c r="D1229" s="113">
        <f>IF($C1229="","",IFERROR(INDEX(MUSTERILER!$C$7:$C$106,MATCH($C1229,MUSTERILER!$B$7:$B$106,0)),"TANIMSIZ MÜŞTERİ"))</f>
        <v/>
      </c>
      <c r="E1229" s="114" t="n"/>
      <c r="F1229" s="115" t="n"/>
      <c r="G1229" s="107" t="n"/>
      <c r="H1229" s="107" t="n"/>
      <c r="I1229" s="108" t="n"/>
      <c r="J1229" s="108" t="n"/>
      <c r="K1229" s="108" t="n"/>
      <c r="L1229" s="119">
        <f>IF($E1229="","",DATE(YEAR($E1229),MONTH($E1229),1))</f>
        <v/>
      </c>
      <c r="M1229" s="112">
        <f>IF($C1229="","",IF($D1229="TANIMSIZ MÜŞTERİ","HATA",IF(OR($E1229="",$F1229&lt;=0,$G1229=""),"EKSİK",IF($E1229&gt;TODAY(),"İLERİ TARİH","UYGUN"))))</f>
        <v/>
      </c>
      <c r="N1229" s="6" t="n"/>
      <c r="O1229" s="6" t="n"/>
    </row>
    <row r="1230">
      <c r="A1230" s="6" t="n"/>
      <c r="B1230" s="112">
        <f>IF($C1230="","","T"&amp;TEXT(ROW()-6,"00000"))</f>
        <v/>
      </c>
      <c r="C1230" s="107" t="n"/>
      <c r="D1230" s="113">
        <f>IF($C1230="","",IFERROR(INDEX(MUSTERILER!$C$7:$C$106,MATCH($C1230,MUSTERILER!$B$7:$B$106,0)),"TANIMSIZ MÜŞTERİ"))</f>
        <v/>
      </c>
      <c r="E1230" s="114" t="n"/>
      <c r="F1230" s="115" t="n"/>
      <c r="G1230" s="107" t="n"/>
      <c r="H1230" s="107" t="n"/>
      <c r="I1230" s="108" t="n"/>
      <c r="J1230" s="108" t="n"/>
      <c r="K1230" s="108" t="n"/>
      <c r="L1230" s="119">
        <f>IF($E1230="","",DATE(YEAR($E1230),MONTH($E1230),1))</f>
        <v/>
      </c>
      <c r="M1230" s="112">
        <f>IF($C1230="","",IF($D1230="TANIMSIZ MÜŞTERİ","HATA",IF(OR($E1230="",$F1230&lt;=0,$G1230=""),"EKSİK",IF($E1230&gt;TODAY(),"İLERİ TARİH","UYGUN"))))</f>
        <v/>
      </c>
      <c r="N1230" s="6" t="n"/>
      <c r="O1230" s="6" t="n"/>
    </row>
    <row r="1231">
      <c r="A1231" s="6" t="n"/>
      <c r="B1231" s="112">
        <f>IF($C1231="","","T"&amp;TEXT(ROW()-6,"00000"))</f>
        <v/>
      </c>
      <c r="C1231" s="107" t="n"/>
      <c r="D1231" s="113">
        <f>IF($C1231="","",IFERROR(INDEX(MUSTERILER!$C$7:$C$106,MATCH($C1231,MUSTERILER!$B$7:$B$106,0)),"TANIMSIZ MÜŞTERİ"))</f>
        <v/>
      </c>
      <c r="E1231" s="114" t="n"/>
      <c r="F1231" s="115" t="n"/>
      <c r="G1231" s="107" t="n"/>
      <c r="H1231" s="107" t="n"/>
      <c r="I1231" s="108" t="n"/>
      <c r="J1231" s="108" t="n"/>
      <c r="K1231" s="108" t="n"/>
      <c r="L1231" s="119">
        <f>IF($E1231="","",DATE(YEAR($E1231),MONTH($E1231),1))</f>
        <v/>
      </c>
      <c r="M1231" s="112">
        <f>IF($C1231="","",IF($D1231="TANIMSIZ MÜŞTERİ","HATA",IF(OR($E1231="",$F1231&lt;=0,$G1231=""),"EKSİK",IF($E1231&gt;TODAY(),"İLERİ TARİH","UYGUN"))))</f>
        <v/>
      </c>
      <c r="N1231" s="6" t="n"/>
      <c r="O1231" s="6" t="n"/>
    </row>
    <row r="1232">
      <c r="A1232" s="6" t="n"/>
      <c r="B1232" s="112">
        <f>IF($C1232="","","T"&amp;TEXT(ROW()-6,"00000"))</f>
        <v/>
      </c>
      <c r="C1232" s="107" t="n"/>
      <c r="D1232" s="113">
        <f>IF($C1232="","",IFERROR(INDEX(MUSTERILER!$C$7:$C$106,MATCH($C1232,MUSTERILER!$B$7:$B$106,0)),"TANIMSIZ MÜŞTERİ"))</f>
        <v/>
      </c>
      <c r="E1232" s="114" t="n"/>
      <c r="F1232" s="115" t="n"/>
      <c r="G1232" s="107" t="n"/>
      <c r="H1232" s="107" t="n"/>
      <c r="I1232" s="108" t="n"/>
      <c r="J1232" s="108" t="n"/>
      <c r="K1232" s="108" t="n"/>
      <c r="L1232" s="119">
        <f>IF($E1232="","",DATE(YEAR($E1232),MONTH($E1232),1))</f>
        <v/>
      </c>
      <c r="M1232" s="112">
        <f>IF($C1232="","",IF($D1232="TANIMSIZ MÜŞTERİ","HATA",IF(OR($E1232="",$F1232&lt;=0,$G1232=""),"EKSİK",IF($E1232&gt;TODAY(),"İLERİ TARİH","UYGUN"))))</f>
        <v/>
      </c>
      <c r="N1232" s="6" t="n"/>
      <c r="O1232" s="6" t="n"/>
    </row>
    <row r="1233">
      <c r="A1233" s="6" t="n"/>
      <c r="B1233" s="112">
        <f>IF($C1233="","","T"&amp;TEXT(ROW()-6,"00000"))</f>
        <v/>
      </c>
      <c r="C1233" s="107" t="n"/>
      <c r="D1233" s="113">
        <f>IF($C1233="","",IFERROR(INDEX(MUSTERILER!$C$7:$C$106,MATCH($C1233,MUSTERILER!$B$7:$B$106,0)),"TANIMSIZ MÜŞTERİ"))</f>
        <v/>
      </c>
      <c r="E1233" s="114" t="n"/>
      <c r="F1233" s="115" t="n"/>
      <c r="G1233" s="107" t="n"/>
      <c r="H1233" s="107" t="n"/>
      <c r="I1233" s="108" t="n"/>
      <c r="J1233" s="108" t="n"/>
      <c r="K1233" s="108" t="n"/>
      <c r="L1233" s="119">
        <f>IF($E1233="","",DATE(YEAR($E1233),MONTH($E1233),1))</f>
        <v/>
      </c>
      <c r="M1233" s="112">
        <f>IF($C1233="","",IF($D1233="TANIMSIZ MÜŞTERİ","HATA",IF(OR($E1233="",$F1233&lt;=0,$G1233=""),"EKSİK",IF($E1233&gt;TODAY(),"İLERİ TARİH","UYGUN"))))</f>
        <v/>
      </c>
      <c r="N1233" s="6" t="n"/>
      <c r="O1233" s="6" t="n"/>
    </row>
    <row r="1234">
      <c r="A1234" s="6" t="n"/>
      <c r="B1234" s="112">
        <f>IF($C1234="","","T"&amp;TEXT(ROW()-6,"00000"))</f>
        <v/>
      </c>
      <c r="C1234" s="107" t="n"/>
      <c r="D1234" s="113">
        <f>IF($C1234="","",IFERROR(INDEX(MUSTERILER!$C$7:$C$106,MATCH($C1234,MUSTERILER!$B$7:$B$106,0)),"TANIMSIZ MÜŞTERİ"))</f>
        <v/>
      </c>
      <c r="E1234" s="114" t="n"/>
      <c r="F1234" s="115" t="n"/>
      <c r="G1234" s="107" t="n"/>
      <c r="H1234" s="107" t="n"/>
      <c r="I1234" s="108" t="n"/>
      <c r="J1234" s="108" t="n"/>
      <c r="K1234" s="108" t="n"/>
      <c r="L1234" s="119">
        <f>IF($E1234="","",DATE(YEAR($E1234),MONTH($E1234),1))</f>
        <v/>
      </c>
      <c r="M1234" s="112">
        <f>IF($C1234="","",IF($D1234="TANIMSIZ MÜŞTERİ","HATA",IF(OR($E1234="",$F1234&lt;=0,$G1234=""),"EKSİK",IF($E1234&gt;TODAY(),"İLERİ TARİH","UYGUN"))))</f>
        <v/>
      </c>
      <c r="N1234" s="6" t="n"/>
      <c r="O1234" s="6" t="n"/>
    </row>
    <row r="1235">
      <c r="A1235" s="6" t="n"/>
      <c r="B1235" s="112">
        <f>IF($C1235="","","T"&amp;TEXT(ROW()-6,"00000"))</f>
        <v/>
      </c>
      <c r="C1235" s="107" t="n"/>
      <c r="D1235" s="113">
        <f>IF($C1235="","",IFERROR(INDEX(MUSTERILER!$C$7:$C$106,MATCH($C1235,MUSTERILER!$B$7:$B$106,0)),"TANIMSIZ MÜŞTERİ"))</f>
        <v/>
      </c>
      <c r="E1235" s="114" t="n"/>
      <c r="F1235" s="115" t="n"/>
      <c r="G1235" s="107" t="n"/>
      <c r="H1235" s="107" t="n"/>
      <c r="I1235" s="108" t="n"/>
      <c r="J1235" s="108" t="n"/>
      <c r="K1235" s="108" t="n"/>
      <c r="L1235" s="119">
        <f>IF($E1235="","",DATE(YEAR($E1235),MONTH($E1235),1))</f>
        <v/>
      </c>
      <c r="M1235" s="112">
        <f>IF($C1235="","",IF($D1235="TANIMSIZ MÜŞTERİ","HATA",IF(OR($E1235="",$F1235&lt;=0,$G1235=""),"EKSİK",IF($E1235&gt;TODAY(),"İLERİ TARİH","UYGUN"))))</f>
        <v/>
      </c>
      <c r="N1235" s="6" t="n"/>
      <c r="O1235" s="6" t="n"/>
    </row>
    <row r="1236">
      <c r="A1236" s="6" t="n"/>
      <c r="B1236" s="112">
        <f>IF($C1236="","","T"&amp;TEXT(ROW()-6,"00000"))</f>
        <v/>
      </c>
      <c r="C1236" s="107" t="n"/>
      <c r="D1236" s="113">
        <f>IF($C1236="","",IFERROR(INDEX(MUSTERILER!$C$7:$C$106,MATCH($C1236,MUSTERILER!$B$7:$B$106,0)),"TANIMSIZ MÜŞTERİ"))</f>
        <v/>
      </c>
      <c r="E1236" s="114" t="n"/>
      <c r="F1236" s="115" t="n"/>
      <c r="G1236" s="107" t="n"/>
      <c r="H1236" s="107" t="n"/>
      <c r="I1236" s="108" t="n"/>
      <c r="J1236" s="108" t="n"/>
      <c r="K1236" s="108" t="n"/>
      <c r="L1236" s="119">
        <f>IF($E1236="","",DATE(YEAR($E1236),MONTH($E1236),1))</f>
        <v/>
      </c>
      <c r="M1236" s="112">
        <f>IF($C1236="","",IF($D1236="TANIMSIZ MÜŞTERİ","HATA",IF(OR($E1236="",$F1236&lt;=0,$G1236=""),"EKSİK",IF($E1236&gt;TODAY(),"İLERİ TARİH","UYGUN"))))</f>
        <v/>
      </c>
      <c r="N1236" s="6" t="n"/>
      <c r="O1236" s="6" t="n"/>
    </row>
    <row r="1237">
      <c r="A1237" s="6" t="n"/>
      <c r="B1237" s="112">
        <f>IF($C1237="","","T"&amp;TEXT(ROW()-6,"00000"))</f>
        <v/>
      </c>
      <c r="C1237" s="107" t="n"/>
      <c r="D1237" s="113">
        <f>IF($C1237="","",IFERROR(INDEX(MUSTERILER!$C$7:$C$106,MATCH($C1237,MUSTERILER!$B$7:$B$106,0)),"TANIMSIZ MÜŞTERİ"))</f>
        <v/>
      </c>
      <c r="E1237" s="114" t="n"/>
      <c r="F1237" s="115" t="n"/>
      <c r="G1237" s="107" t="n"/>
      <c r="H1237" s="107" t="n"/>
      <c r="I1237" s="108" t="n"/>
      <c r="J1237" s="108" t="n"/>
      <c r="K1237" s="108" t="n"/>
      <c r="L1237" s="119">
        <f>IF($E1237="","",DATE(YEAR($E1237),MONTH($E1237),1))</f>
        <v/>
      </c>
      <c r="M1237" s="112">
        <f>IF($C1237="","",IF($D1237="TANIMSIZ MÜŞTERİ","HATA",IF(OR($E1237="",$F1237&lt;=0,$G1237=""),"EKSİK",IF($E1237&gt;TODAY(),"İLERİ TARİH","UYGUN"))))</f>
        <v/>
      </c>
      <c r="N1237" s="6" t="n"/>
      <c r="O1237" s="6" t="n"/>
    </row>
    <row r="1238">
      <c r="A1238" s="6" t="n"/>
      <c r="B1238" s="112">
        <f>IF($C1238="","","T"&amp;TEXT(ROW()-6,"00000"))</f>
        <v/>
      </c>
      <c r="C1238" s="107" t="n"/>
      <c r="D1238" s="113">
        <f>IF($C1238="","",IFERROR(INDEX(MUSTERILER!$C$7:$C$106,MATCH($C1238,MUSTERILER!$B$7:$B$106,0)),"TANIMSIZ MÜŞTERİ"))</f>
        <v/>
      </c>
      <c r="E1238" s="114" t="n"/>
      <c r="F1238" s="115" t="n"/>
      <c r="G1238" s="107" t="n"/>
      <c r="H1238" s="107" t="n"/>
      <c r="I1238" s="108" t="n"/>
      <c r="J1238" s="108" t="n"/>
      <c r="K1238" s="108" t="n"/>
      <c r="L1238" s="119">
        <f>IF($E1238="","",DATE(YEAR($E1238),MONTH($E1238),1))</f>
        <v/>
      </c>
      <c r="M1238" s="112">
        <f>IF($C1238="","",IF($D1238="TANIMSIZ MÜŞTERİ","HATA",IF(OR($E1238="",$F1238&lt;=0,$G1238=""),"EKSİK",IF($E1238&gt;TODAY(),"İLERİ TARİH","UYGUN"))))</f>
        <v/>
      </c>
      <c r="N1238" s="6" t="n"/>
      <c r="O1238" s="6" t="n"/>
    </row>
    <row r="1239">
      <c r="A1239" s="6" t="n"/>
      <c r="B1239" s="112">
        <f>IF($C1239="","","T"&amp;TEXT(ROW()-6,"00000"))</f>
        <v/>
      </c>
      <c r="C1239" s="107" t="n"/>
      <c r="D1239" s="113">
        <f>IF($C1239="","",IFERROR(INDEX(MUSTERILER!$C$7:$C$106,MATCH($C1239,MUSTERILER!$B$7:$B$106,0)),"TANIMSIZ MÜŞTERİ"))</f>
        <v/>
      </c>
      <c r="E1239" s="114" t="n"/>
      <c r="F1239" s="115" t="n"/>
      <c r="G1239" s="107" t="n"/>
      <c r="H1239" s="107" t="n"/>
      <c r="I1239" s="108" t="n"/>
      <c r="J1239" s="108" t="n"/>
      <c r="K1239" s="108" t="n"/>
      <c r="L1239" s="119">
        <f>IF($E1239="","",DATE(YEAR($E1239),MONTH($E1239),1))</f>
        <v/>
      </c>
      <c r="M1239" s="112">
        <f>IF($C1239="","",IF($D1239="TANIMSIZ MÜŞTERİ","HATA",IF(OR($E1239="",$F1239&lt;=0,$G1239=""),"EKSİK",IF($E1239&gt;TODAY(),"İLERİ TARİH","UYGUN"))))</f>
        <v/>
      </c>
      <c r="N1239" s="6" t="n"/>
      <c r="O1239" s="6" t="n"/>
    </row>
    <row r="1240">
      <c r="A1240" s="6" t="n"/>
      <c r="B1240" s="112">
        <f>IF($C1240="","","T"&amp;TEXT(ROW()-6,"00000"))</f>
        <v/>
      </c>
      <c r="C1240" s="107" t="n"/>
      <c r="D1240" s="113">
        <f>IF($C1240="","",IFERROR(INDEX(MUSTERILER!$C$7:$C$106,MATCH($C1240,MUSTERILER!$B$7:$B$106,0)),"TANIMSIZ MÜŞTERİ"))</f>
        <v/>
      </c>
      <c r="E1240" s="114" t="n"/>
      <c r="F1240" s="115" t="n"/>
      <c r="G1240" s="107" t="n"/>
      <c r="H1240" s="107" t="n"/>
      <c r="I1240" s="108" t="n"/>
      <c r="J1240" s="108" t="n"/>
      <c r="K1240" s="108" t="n"/>
      <c r="L1240" s="119">
        <f>IF($E1240="","",DATE(YEAR($E1240),MONTH($E1240),1))</f>
        <v/>
      </c>
      <c r="M1240" s="112">
        <f>IF($C1240="","",IF($D1240="TANIMSIZ MÜŞTERİ","HATA",IF(OR($E1240="",$F1240&lt;=0,$G1240=""),"EKSİK",IF($E1240&gt;TODAY(),"İLERİ TARİH","UYGUN"))))</f>
        <v/>
      </c>
      <c r="N1240" s="6" t="n"/>
      <c r="O1240" s="6" t="n"/>
    </row>
    <row r="1241">
      <c r="A1241" s="6" t="n"/>
      <c r="B1241" s="112">
        <f>IF($C1241="","","T"&amp;TEXT(ROW()-6,"00000"))</f>
        <v/>
      </c>
      <c r="C1241" s="107" t="n"/>
      <c r="D1241" s="113">
        <f>IF($C1241="","",IFERROR(INDEX(MUSTERILER!$C$7:$C$106,MATCH($C1241,MUSTERILER!$B$7:$B$106,0)),"TANIMSIZ MÜŞTERİ"))</f>
        <v/>
      </c>
      <c r="E1241" s="114" t="n"/>
      <c r="F1241" s="115" t="n"/>
      <c r="G1241" s="107" t="n"/>
      <c r="H1241" s="107" t="n"/>
      <c r="I1241" s="108" t="n"/>
      <c r="J1241" s="108" t="n"/>
      <c r="K1241" s="108" t="n"/>
      <c r="L1241" s="119">
        <f>IF($E1241="","",DATE(YEAR($E1241),MONTH($E1241),1))</f>
        <v/>
      </c>
      <c r="M1241" s="112">
        <f>IF($C1241="","",IF($D1241="TANIMSIZ MÜŞTERİ","HATA",IF(OR($E1241="",$F1241&lt;=0,$G1241=""),"EKSİK",IF($E1241&gt;TODAY(),"İLERİ TARİH","UYGUN"))))</f>
        <v/>
      </c>
      <c r="N1241" s="6" t="n"/>
      <c r="O1241" s="6" t="n"/>
    </row>
    <row r="1242">
      <c r="A1242" s="6" t="n"/>
      <c r="B1242" s="112">
        <f>IF($C1242="","","T"&amp;TEXT(ROW()-6,"00000"))</f>
        <v/>
      </c>
      <c r="C1242" s="107" t="n"/>
      <c r="D1242" s="113">
        <f>IF($C1242="","",IFERROR(INDEX(MUSTERILER!$C$7:$C$106,MATCH($C1242,MUSTERILER!$B$7:$B$106,0)),"TANIMSIZ MÜŞTERİ"))</f>
        <v/>
      </c>
      <c r="E1242" s="114" t="n"/>
      <c r="F1242" s="115" t="n"/>
      <c r="G1242" s="107" t="n"/>
      <c r="H1242" s="107" t="n"/>
      <c r="I1242" s="108" t="n"/>
      <c r="J1242" s="108" t="n"/>
      <c r="K1242" s="108" t="n"/>
      <c r="L1242" s="119">
        <f>IF($E1242="","",DATE(YEAR($E1242),MONTH($E1242),1))</f>
        <v/>
      </c>
      <c r="M1242" s="112">
        <f>IF($C1242="","",IF($D1242="TANIMSIZ MÜŞTERİ","HATA",IF(OR($E1242="",$F1242&lt;=0,$G1242=""),"EKSİK",IF($E1242&gt;TODAY(),"İLERİ TARİH","UYGUN"))))</f>
        <v/>
      </c>
      <c r="N1242" s="6" t="n"/>
      <c r="O1242" s="6" t="n"/>
    </row>
    <row r="1243">
      <c r="A1243" s="6" t="n"/>
      <c r="B1243" s="112">
        <f>IF($C1243="","","T"&amp;TEXT(ROW()-6,"00000"))</f>
        <v/>
      </c>
      <c r="C1243" s="107" t="n"/>
      <c r="D1243" s="113">
        <f>IF($C1243="","",IFERROR(INDEX(MUSTERILER!$C$7:$C$106,MATCH($C1243,MUSTERILER!$B$7:$B$106,0)),"TANIMSIZ MÜŞTERİ"))</f>
        <v/>
      </c>
      <c r="E1243" s="114" t="n"/>
      <c r="F1243" s="115" t="n"/>
      <c r="G1243" s="107" t="n"/>
      <c r="H1243" s="107" t="n"/>
      <c r="I1243" s="108" t="n"/>
      <c r="J1243" s="108" t="n"/>
      <c r="K1243" s="108" t="n"/>
      <c r="L1243" s="119">
        <f>IF($E1243="","",DATE(YEAR($E1243),MONTH($E1243),1))</f>
        <v/>
      </c>
      <c r="M1243" s="112">
        <f>IF($C1243="","",IF($D1243="TANIMSIZ MÜŞTERİ","HATA",IF(OR($E1243="",$F1243&lt;=0,$G1243=""),"EKSİK",IF($E1243&gt;TODAY(),"İLERİ TARİH","UYGUN"))))</f>
        <v/>
      </c>
      <c r="N1243" s="6" t="n"/>
      <c r="O1243" s="6" t="n"/>
    </row>
    <row r="1244">
      <c r="A1244" s="6" t="n"/>
      <c r="B1244" s="112">
        <f>IF($C1244="","","T"&amp;TEXT(ROW()-6,"00000"))</f>
        <v/>
      </c>
      <c r="C1244" s="107" t="n"/>
      <c r="D1244" s="113">
        <f>IF($C1244="","",IFERROR(INDEX(MUSTERILER!$C$7:$C$106,MATCH($C1244,MUSTERILER!$B$7:$B$106,0)),"TANIMSIZ MÜŞTERİ"))</f>
        <v/>
      </c>
      <c r="E1244" s="114" t="n"/>
      <c r="F1244" s="115" t="n"/>
      <c r="G1244" s="107" t="n"/>
      <c r="H1244" s="107" t="n"/>
      <c r="I1244" s="108" t="n"/>
      <c r="J1244" s="108" t="n"/>
      <c r="K1244" s="108" t="n"/>
      <c r="L1244" s="119">
        <f>IF($E1244="","",DATE(YEAR($E1244),MONTH($E1244),1))</f>
        <v/>
      </c>
      <c r="M1244" s="112">
        <f>IF($C1244="","",IF($D1244="TANIMSIZ MÜŞTERİ","HATA",IF(OR($E1244="",$F1244&lt;=0,$G1244=""),"EKSİK",IF($E1244&gt;TODAY(),"İLERİ TARİH","UYGUN"))))</f>
        <v/>
      </c>
      <c r="N1244" s="6" t="n"/>
      <c r="O1244" s="6" t="n"/>
    </row>
    <row r="1245">
      <c r="A1245" s="6" t="n"/>
      <c r="B1245" s="112">
        <f>IF($C1245="","","T"&amp;TEXT(ROW()-6,"00000"))</f>
        <v/>
      </c>
      <c r="C1245" s="107" t="n"/>
      <c r="D1245" s="113">
        <f>IF($C1245="","",IFERROR(INDEX(MUSTERILER!$C$7:$C$106,MATCH($C1245,MUSTERILER!$B$7:$B$106,0)),"TANIMSIZ MÜŞTERİ"))</f>
        <v/>
      </c>
      <c r="E1245" s="114" t="n"/>
      <c r="F1245" s="115" t="n"/>
      <c r="G1245" s="107" t="n"/>
      <c r="H1245" s="107" t="n"/>
      <c r="I1245" s="108" t="n"/>
      <c r="J1245" s="108" t="n"/>
      <c r="K1245" s="108" t="n"/>
      <c r="L1245" s="119">
        <f>IF($E1245="","",DATE(YEAR($E1245),MONTH($E1245),1))</f>
        <v/>
      </c>
      <c r="M1245" s="112">
        <f>IF($C1245="","",IF($D1245="TANIMSIZ MÜŞTERİ","HATA",IF(OR($E1245="",$F1245&lt;=0,$G1245=""),"EKSİK",IF($E1245&gt;TODAY(),"İLERİ TARİH","UYGUN"))))</f>
        <v/>
      </c>
      <c r="N1245" s="6" t="n"/>
      <c r="O1245" s="6" t="n"/>
    </row>
    <row r="1246">
      <c r="A1246" s="6" t="n"/>
      <c r="B1246" s="112">
        <f>IF($C1246="","","T"&amp;TEXT(ROW()-6,"00000"))</f>
        <v/>
      </c>
      <c r="C1246" s="107" t="n"/>
      <c r="D1246" s="113">
        <f>IF($C1246="","",IFERROR(INDEX(MUSTERILER!$C$7:$C$106,MATCH($C1246,MUSTERILER!$B$7:$B$106,0)),"TANIMSIZ MÜŞTERİ"))</f>
        <v/>
      </c>
      <c r="E1246" s="114" t="n"/>
      <c r="F1246" s="115" t="n"/>
      <c r="G1246" s="107" t="n"/>
      <c r="H1246" s="107" t="n"/>
      <c r="I1246" s="108" t="n"/>
      <c r="J1246" s="108" t="n"/>
      <c r="K1246" s="108" t="n"/>
      <c r="L1246" s="119">
        <f>IF($E1246="","",DATE(YEAR($E1246),MONTH($E1246),1))</f>
        <v/>
      </c>
      <c r="M1246" s="112">
        <f>IF($C1246="","",IF($D1246="TANIMSIZ MÜŞTERİ","HATA",IF(OR($E1246="",$F1246&lt;=0,$G1246=""),"EKSİK",IF($E1246&gt;TODAY(),"İLERİ TARİH","UYGUN"))))</f>
        <v/>
      </c>
      <c r="N1246" s="6" t="n"/>
      <c r="O1246" s="6" t="n"/>
    </row>
    <row r="1247">
      <c r="A1247" s="6" t="n"/>
      <c r="B1247" s="112">
        <f>IF($C1247="","","T"&amp;TEXT(ROW()-6,"00000"))</f>
        <v/>
      </c>
      <c r="C1247" s="107" t="n"/>
      <c r="D1247" s="113">
        <f>IF($C1247="","",IFERROR(INDEX(MUSTERILER!$C$7:$C$106,MATCH($C1247,MUSTERILER!$B$7:$B$106,0)),"TANIMSIZ MÜŞTERİ"))</f>
        <v/>
      </c>
      <c r="E1247" s="114" t="n"/>
      <c r="F1247" s="115" t="n"/>
      <c r="G1247" s="107" t="n"/>
      <c r="H1247" s="107" t="n"/>
      <c r="I1247" s="108" t="n"/>
      <c r="J1247" s="108" t="n"/>
      <c r="K1247" s="108" t="n"/>
      <c r="L1247" s="119">
        <f>IF($E1247="","",DATE(YEAR($E1247),MONTH($E1247),1))</f>
        <v/>
      </c>
      <c r="M1247" s="112">
        <f>IF($C1247="","",IF($D1247="TANIMSIZ MÜŞTERİ","HATA",IF(OR($E1247="",$F1247&lt;=0,$G1247=""),"EKSİK",IF($E1247&gt;TODAY(),"İLERİ TARİH","UYGUN"))))</f>
        <v/>
      </c>
      <c r="N1247" s="6" t="n"/>
      <c r="O1247" s="6" t="n"/>
    </row>
    <row r="1248">
      <c r="A1248" s="6" t="n"/>
      <c r="B1248" s="112">
        <f>IF($C1248="","","T"&amp;TEXT(ROW()-6,"00000"))</f>
        <v/>
      </c>
      <c r="C1248" s="107" t="n"/>
      <c r="D1248" s="113">
        <f>IF($C1248="","",IFERROR(INDEX(MUSTERILER!$C$7:$C$106,MATCH($C1248,MUSTERILER!$B$7:$B$106,0)),"TANIMSIZ MÜŞTERİ"))</f>
        <v/>
      </c>
      <c r="E1248" s="114" t="n"/>
      <c r="F1248" s="115" t="n"/>
      <c r="G1248" s="107" t="n"/>
      <c r="H1248" s="107" t="n"/>
      <c r="I1248" s="108" t="n"/>
      <c r="J1248" s="108" t="n"/>
      <c r="K1248" s="108" t="n"/>
      <c r="L1248" s="119">
        <f>IF($E1248="","",DATE(YEAR($E1248),MONTH($E1248),1))</f>
        <v/>
      </c>
      <c r="M1248" s="112">
        <f>IF($C1248="","",IF($D1248="TANIMSIZ MÜŞTERİ","HATA",IF(OR($E1248="",$F1248&lt;=0,$G1248=""),"EKSİK",IF($E1248&gt;TODAY(),"İLERİ TARİH","UYGUN"))))</f>
        <v/>
      </c>
      <c r="N1248" s="6" t="n"/>
      <c r="O1248" s="6" t="n"/>
    </row>
    <row r="1249">
      <c r="A1249" s="6" t="n"/>
      <c r="B1249" s="112">
        <f>IF($C1249="","","T"&amp;TEXT(ROW()-6,"00000"))</f>
        <v/>
      </c>
      <c r="C1249" s="107" t="n"/>
      <c r="D1249" s="113">
        <f>IF($C1249="","",IFERROR(INDEX(MUSTERILER!$C$7:$C$106,MATCH($C1249,MUSTERILER!$B$7:$B$106,0)),"TANIMSIZ MÜŞTERİ"))</f>
        <v/>
      </c>
      <c r="E1249" s="114" t="n"/>
      <c r="F1249" s="115" t="n"/>
      <c r="G1249" s="107" t="n"/>
      <c r="H1249" s="107" t="n"/>
      <c r="I1249" s="108" t="n"/>
      <c r="J1249" s="108" t="n"/>
      <c r="K1249" s="108" t="n"/>
      <c r="L1249" s="119">
        <f>IF($E1249="","",DATE(YEAR($E1249),MONTH($E1249),1))</f>
        <v/>
      </c>
      <c r="M1249" s="112">
        <f>IF($C1249="","",IF($D1249="TANIMSIZ MÜŞTERİ","HATA",IF(OR($E1249="",$F1249&lt;=0,$G1249=""),"EKSİK",IF($E1249&gt;TODAY(),"İLERİ TARİH","UYGUN"))))</f>
        <v/>
      </c>
      <c r="N1249" s="6" t="n"/>
      <c r="O1249" s="6" t="n"/>
    </row>
    <row r="1250">
      <c r="A1250" s="6" t="n"/>
      <c r="B1250" s="112">
        <f>IF($C1250="","","T"&amp;TEXT(ROW()-6,"00000"))</f>
        <v/>
      </c>
      <c r="C1250" s="107" t="n"/>
      <c r="D1250" s="113">
        <f>IF($C1250="","",IFERROR(INDEX(MUSTERILER!$C$7:$C$106,MATCH($C1250,MUSTERILER!$B$7:$B$106,0)),"TANIMSIZ MÜŞTERİ"))</f>
        <v/>
      </c>
      <c r="E1250" s="114" t="n"/>
      <c r="F1250" s="115" t="n"/>
      <c r="G1250" s="107" t="n"/>
      <c r="H1250" s="107" t="n"/>
      <c r="I1250" s="108" t="n"/>
      <c r="J1250" s="108" t="n"/>
      <c r="K1250" s="108" t="n"/>
      <c r="L1250" s="119">
        <f>IF($E1250="","",DATE(YEAR($E1250),MONTH($E1250),1))</f>
        <v/>
      </c>
      <c r="M1250" s="112">
        <f>IF($C1250="","",IF($D1250="TANIMSIZ MÜŞTERİ","HATA",IF(OR($E1250="",$F1250&lt;=0,$G1250=""),"EKSİK",IF($E1250&gt;TODAY(),"İLERİ TARİH","UYGUN"))))</f>
        <v/>
      </c>
      <c r="N1250" s="6" t="n"/>
      <c r="O1250" s="6" t="n"/>
    </row>
    <row r="1251">
      <c r="A1251" s="6" t="n"/>
      <c r="B1251" s="112">
        <f>IF($C1251="","","T"&amp;TEXT(ROW()-6,"00000"))</f>
        <v/>
      </c>
      <c r="C1251" s="107" t="n"/>
      <c r="D1251" s="113">
        <f>IF($C1251="","",IFERROR(INDEX(MUSTERILER!$C$7:$C$106,MATCH($C1251,MUSTERILER!$B$7:$B$106,0)),"TANIMSIZ MÜŞTERİ"))</f>
        <v/>
      </c>
      <c r="E1251" s="114" t="n"/>
      <c r="F1251" s="115" t="n"/>
      <c r="G1251" s="107" t="n"/>
      <c r="H1251" s="107" t="n"/>
      <c r="I1251" s="108" t="n"/>
      <c r="J1251" s="108" t="n"/>
      <c r="K1251" s="108" t="n"/>
      <c r="L1251" s="119">
        <f>IF($E1251="","",DATE(YEAR($E1251),MONTH($E1251),1))</f>
        <v/>
      </c>
      <c r="M1251" s="112">
        <f>IF($C1251="","",IF($D1251="TANIMSIZ MÜŞTERİ","HATA",IF(OR($E1251="",$F1251&lt;=0,$G1251=""),"EKSİK",IF($E1251&gt;TODAY(),"İLERİ TARİH","UYGUN"))))</f>
        <v/>
      </c>
      <c r="N1251" s="6" t="n"/>
      <c r="O1251" s="6" t="n"/>
    </row>
    <row r="1252">
      <c r="A1252" s="6" t="n"/>
      <c r="B1252" s="112">
        <f>IF($C1252="","","T"&amp;TEXT(ROW()-6,"00000"))</f>
        <v/>
      </c>
      <c r="C1252" s="107" t="n"/>
      <c r="D1252" s="113">
        <f>IF($C1252="","",IFERROR(INDEX(MUSTERILER!$C$7:$C$106,MATCH($C1252,MUSTERILER!$B$7:$B$106,0)),"TANIMSIZ MÜŞTERİ"))</f>
        <v/>
      </c>
      <c r="E1252" s="114" t="n"/>
      <c r="F1252" s="115" t="n"/>
      <c r="G1252" s="107" t="n"/>
      <c r="H1252" s="107" t="n"/>
      <c r="I1252" s="108" t="n"/>
      <c r="J1252" s="108" t="n"/>
      <c r="K1252" s="108" t="n"/>
      <c r="L1252" s="119">
        <f>IF($E1252="","",DATE(YEAR($E1252),MONTH($E1252),1))</f>
        <v/>
      </c>
      <c r="M1252" s="112">
        <f>IF($C1252="","",IF($D1252="TANIMSIZ MÜŞTERİ","HATA",IF(OR($E1252="",$F1252&lt;=0,$G1252=""),"EKSİK",IF($E1252&gt;TODAY(),"İLERİ TARİH","UYGUN"))))</f>
        <v/>
      </c>
      <c r="N1252" s="6" t="n"/>
      <c r="O1252" s="6" t="n"/>
    </row>
    <row r="1253">
      <c r="A1253" s="6" t="n"/>
      <c r="B1253" s="112">
        <f>IF($C1253="","","T"&amp;TEXT(ROW()-6,"00000"))</f>
        <v/>
      </c>
      <c r="C1253" s="107" t="n"/>
      <c r="D1253" s="113">
        <f>IF($C1253="","",IFERROR(INDEX(MUSTERILER!$C$7:$C$106,MATCH($C1253,MUSTERILER!$B$7:$B$106,0)),"TANIMSIZ MÜŞTERİ"))</f>
        <v/>
      </c>
      <c r="E1253" s="114" t="n"/>
      <c r="F1253" s="115" t="n"/>
      <c r="G1253" s="107" t="n"/>
      <c r="H1253" s="107" t="n"/>
      <c r="I1253" s="108" t="n"/>
      <c r="J1253" s="108" t="n"/>
      <c r="K1253" s="108" t="n"/>
      <c r="L1253" s="119">
        <f>IF($E1253="","",DATE(YEAR($E1253),MONTH($E1253),1))</f>
        <v/>
      </c>
      <c r="M1253" s="112">
        <f>IF($C1253="","",IF($D1253="TANIMSIZ MÜŞTERİ","HATA",IF(OR($E1253="",$F1253&lt;=0,$G1253=""),"EKSİK",IF($E1253&gt;TODAY(),"İLERİ TARİH","UYGUN"))))</f>
        <v/>
      </c>
      <c r="N1253" s="6" t="n"/>
      <c r="O1253" s="6" t="n"/>
    </row>
    <row r="1254">
      <c r="A1254" s="6" t="n"/>
      <c r="B1254" s="112">
        <f>IF($C1254="","","T"&amp;TEXT(ROW()-6,"00000"))</f>
        <v/>
      </c>
      <c r="C1254" s="107" t="n"/>
      <c r="D1254" s="113">
        <f>IF($C1254="","",IFERROR(INDEX(MUSTERILER!$C$7:$C$106,MATCH($C1254,MUSTERILER!$B$7:$B$106,0)),"TANIMSIZ MÜŞTERİ"))</f>
        <v/>
      </c>
      <c r="E1254" s="114" t="n"/>
      <c r="F1254" s="115" t="n"/>
      <c r="G1254" s="107" t="n"/>
      <c r="H1254" s="107" t="n"/>
      <c r="I1254" s="108" t="n"/>
      <c r="J1254" s="108" t="n"/>
      <c r="K1254" s="108" t="n"/>
      <c r="L1254" s="119">
        <f>IF($E1254="","",DATE(YEAR($E1254),MONTH($E1254),1))</f>
        <v/>
      </c>
      <c r="M1254" s="112">
        <f>IF($C1254="","",IF($D1254="TANIMSIZ MÜŞTERİ","HATA",IF(OR($E1254="",$F1254&lt;=0,$G1254=""),"EKSİK",IF($E1254&gt;TODAY(),"İLERİ TARİH","UYGUN"))))</f>
        <v/>
      </c>
      <c r="N1254" s="6" t="n"/>
      <c r="O1254" s="6" t="n"/>
    </row>
    <row r="1255">
      <c r="A1255" s="6" t="n"/>
      <c r="B1255" s="112">
        <f>IF($C1255="","","T"&amp;TEXT(ROW()-6,"00000"))</f>
        <v/>
      </c>
      <c r="C1255" s="107" t="n"/>
      <c r="D1255" s="113">
        <f>IF($C1255="","",IFERROR(INDEX(MUSTERILER!$C$7:$C$106,MATCH($C1255,MUSTERILER!$B$7:$B$106,0)),"TANIMSIZ MÜŞTERİ"))</f>
        <v/>
      </c>
      <c r="E1255" s="114" t="n"/>
      <c r="F1255" s="115" t="n"/>
      <c r="G1255" s="107" t="n"/>
      <c r="H1255" s="107" t="n"/>
      <c r="I1255" s="108" t="n"/>
      <c r="J1255" s="108" t="n"/>
      <c r="K1255" s="108" t="n"/>
      <c r="L1255" s="119">
        <f>IF($E1255="","",DATE(YEAR($E1255),MONTH($E1255),1))</f>
        <v/>
      </c>
      <c r="M1255" s="112">
        <f>IF($C1255="","",IF($D1255="TANIMSIZ MÜŞTERİ","HATA",IF(OR($E1255="",$F1255&lt;=0,$G1255=""),"EKSİK",IF($E1255&gt;TODAY(),"İLERİ TARİH","UYGUN"))))</f>
        <v/>
      </c>
      <c r="N1255" s="6" t="n"/>
      <c r="O1255" s="6" t="n"/>
    </row>
    <row r="1256">
      <c r="A1256" s="6" t="n"/>
      <c r="B1256" s="112">
        <f>IF($C1256="","","T"&amp;TEXT(ROW()-6,"00000"))</f>
        <v/>
      </c>
      <c r="C1256" s="107" t="n"/>
      <c r="D1256" s="113">
        <f>IF($C1256="","",IFERROR(INDEX(MUSTERILER!$C$7:$C$106,MATCH($C1256,MUSTERILER!$B$7:$B$106,0)),"TANIMSIZ MÜŞTERİ"))</f>
        <v/>
      </c>
      <c r="E1256" s="114" t="n"/>
      <c r="F1256" s="115" t="n"/>
      <c r="G1256" s="107" t="n"/>
      <c r="H1256" s="107" t="n"/>
      <c r="I1256" s="108" t="n"/>
      <c r="J1256" s="108" t="n"/>
      <c r="K1256" s="108" t="n"/>
      <c r="L1256" s="119">
        <f>IF($E1256="","",DATE(YEAR($E1256),MONTH($E1256),1))</f>
        <v/>
      </c>
      <c r="M1256" s="112">
        <f>IF($C1256="","",IF($D1256="TANIMSIZ MÜŞTERİ","HATA",IF(OR($E1256="",$F1256&lt;=0,$G1256=""),"EKSİK",IF($E1256&gt;TODAY(),"İLERİ TARİH","UYGUN"))))</f>
        <v/>
      </c>
      <c r="N1256" s="6" t="n"/>
      <c r="O1256" s="6" t="n"/>
    </row>
    <row r="1257">
      <c r="A1257" s="6" t="n"/>
      <c r="B1257" s="112">
        <f>IF($C1257="","","T"&amp;TEXT(ROW()-6,"00000"))</f>
        <v/>
      </c>
      <c r="C1257" s="107" t="n"/>
      <c r="D1257" s="113">
        <f>IF($C1257="","",IFERROR(INDEX(MUSTERILER!$C$7:$C$106,MATCH($C1257,MUSTERILER!$B$7:$B$106,0)),"TANIMSIZ MÜŞTERİ"))</f>
        <v/>
      </c>
      <c r="E1257" s="114" t="n"/>
      <c r="F1257" s="115" t="n"/>
      <c r="G1257" s="107" t="n"/>
      <c r="H1257" s="107" t="n"/>
      <c r="I1257" s="108" t="n"/>
      <c r="J1257" s="108" t="n"/>
      <c r="K1257" s="108" t="n"/>
      <c r="L1257" s="119">
        <f>IF($E1257="","",DATE(YEAR($E1257),MONTH($E1257),1))</f>
        <v/>
      </c>
      <c r="M1257" s="112">
        <f>IF($C1257="","",IF($D1257="TANIMSIZ MÜŞTERİ","HATA",IF(OR($E1257="",$F1257&lt;=0,$G1257=""),"EKSİK",IF($E1257&gt;TODAY(),"İLERİ TARİH","UYGUN"))))</f>
        <v/>
      </c>
      <c r="N1257" s="6" t="n"/>
      <c r="O1257" s="6" t="n"/>
    </row>
    <row r="1258">
      <c r="A1258" s="6" t="n"/>
      <c r="B1258" s="112">
        <f>IF($C1258="","","T"&amp;TEXT(ROW()-6,"00000"))</f>
        <v/>
      </c>
      <c r="C1258" s="107" t="n"/>
      <c r="D1258" s="113">
        <f>IF($C1258="","",IFERROR(INDEX(MUSTERILER!$C$7:$C$106,MATCH($C1258,MUSTERILER!$B$7:$B$106,0)),"TANIMSIZ MÜŞTERİ"))</f>
        <v/>
      </c>
      <c r="E1258" s="114" t="n"/>
      <c r="F1258" s="115" t="n"/>
      <c r="G1258" s="107" t="n"/>
      <c r="H1258" s="107" t="n"/>
      <c r="I1258" s="108" t="n"/>
      <c r="J1258" s="108" t="n"/>
      <c r="K1258" s="108" t="n"/>
      <c r="L1258" s="119">
        <f>IF($E1258="","",DATE(YEAR($E1258),MONTH($E1258),1))</f>
        <v/>
      </c>
      <c r="M1258" s="112">
        <f>IF($C1258="","",IF($D1258="TANIMSIZ MÜŞTERİ","HATA",IF(OR($E1258="",$F1258&lt;=0,$G1258=""),"EKSİK",IF($E1258&gt;TODAY(),"İLERİ TARİH","UYGUN"))))</f>
        <v/>
      </c>
      <c r="N1258" s="6" t="n"/>
      <c r="O1258" s="6" t="n"/>
    </row>
    <row r="1259">
      <c r="A1259" s="6" t="n"/>
      <c r="B1259" s="112">
        <f>IF($C1259="","","T"&amp;TEXT(ROW()-6,"00000"))</f>
        <v/>
      </c>
      <c r="C1259" s="107" t="n"/>
      <c r="D1259" s="113">
        <f>IF($C1259="","",IFERROR(INDEX(MUSTERILER!$C$7:$C$106,MATCH($C1259,MUSTERILER!$B$7:$B$106,0)),"TANIMSIZ MÜŞTERİ"))</f>
        <v/>
      </c>
      <c r="E1259" s="114" t="n"/>
      <c r="F1259" s="115" t="n"/>
      <c r="G1259" s="107" t="n"/>
      <c r="H1259" s="107" t="n"/>
      <c r="I1259" s="108" t="n"/>
      <c r="J1259" s="108" t="n"/>
      <c r="K1259" s="108" t="n"/>
      <c r="L1259" s="119">
        <f>IF($E1259="","",DATE(YEAR($E1259),MONTH($E1259),1))</f>
        <v/>
      </c>
      <c r="M1259" s="112">
        <f>IF($C1259="","",IF($D1259="TANIMSIZ MÜŞTERİ","HATA",IF(OR($E1259="",$F1259&lt;=0,$G1259=""),"EKSİK",IF($E1259&gt;TODAY(),"İLERİ TARİH","UYGUN"))))</f>
        <v/>
      </c>
      <c r="N1259" s="6" t="n"/>
      <c r="O1259" s="6" t="n"/>
    </row>
    <row r="1260">
      <c r="A1260" s="6" t="n"/>
      <c r="B1260" s="112">
        <f>IF($C1260="","","T"&amp;TEXT(ROW()-6,"00000"))</f>
        <v/>
      </c>
      <c r="C1260" s="107" t="n"/>
      <c r="D1260" s="113">
        <f>IF($C1260="","",IFERROR(INDEX(MUSTERILER!$C$7:$C$106,MATCH($C1260,MUSTERILER!$B$7:$B$106,0)),"TANIMSIZ MÜŞTERİ"))</f>
        <v/>
      </c>
      <c r="E1260" s="114" t="n"/>
      <c r="F1260" s="115" t="n"/>
      <c r="G1260" s="107" t="n"/>
      <c r="H1260" s="107" t="n"/>
      <c r="I1260" s="108" t="n"/>
      <c r="J1260" s="108" t="n"/>
      <c r="K1260" s="108" t="n"/>
      <c r="L1260" s="119">
        <f>IF($E1260="","",DATE(YEAR($E1260),MONTH($E1260),1))</f>
        <v/>
      </c>
      <c r="M1260" s="112">
        <f>IF($C1260="","",IF($D1260="TANIMSIZ MÜŞTERİ","HATA",IF(OR($E1260="",$F1260&lt;=0,$G1260=""),"EKSİK",IF($E1260&gt;TODAY(),"İLERİ TARİH","UYGUN"))))</f>
        <v/>
      </c>
      <c r="N1260" s="6" t="n"/>
      <c r="O1260" s="6" t="n"/>
    </row>
    <row r="1261">
      <c r="A1261" s="6" t="n"/>
      <c r="B1261" s="112">
        <f>IF($C1261="","","T"&amp;TEXT(ROW()-6,"00000"))</f>
        <v/>
      </c>
      <c r="C1261" s="107" t="n"/>
      <c r="D1261" s="113">
        <f>IF($C1261="","",IFERROR(INDEX(MUSTERILER!$C$7:$C$106,MATCH($C1261,MUSTERILER!$B$7:$B$106,0)),"TANIMSIZ MÜŞTERİ"))</f>
        <v/>
      </c>
      <c r="E1261" s="114" t="n"/>
      <c r="F1261" s="115" t="n"/>
      <c r="G1261" s="107" t="n"/>
      <c r="H1261" s="107" t="n"/>
      <c r="I1261" s="108" t="n"/>
      <c r="J1261" s="108" t="n"/>
      <c r="K1261" s="108" t="n"/>
      <c r="L1261" s="119">
        <f>IF($E1261="","",DATE(YEAR($E1261),MONTH($E1261),1))</f>
        <v/>
      </c>
      <c r="M1261" s="112">
        <f>IF($C1261="","",IF($D1261="TANIMSIZ MÜŞTERİ","HATA",IF(OR($E1261="",$F1261&lt;=0,$G1261=""),"EKSİK",IF($E1261&gt;TODAY(),"İLERİ TARİH","UYGUN"))))</f>
        <v/>
      </c>
      <c r="N1261" s="6" t="n"/>
      <c r="O1261" s="6" t="n"/>
    </row>
    <row r="1262">
      <c r="A1262" s="6" t="n"/>
      <c r="B1262" s="112">
        <f>IF($C1262="","","T"&amp;TEXT(ROW()-6,"00000"))</f>
        <v/>
      </c>
      <c r="C1262" s="107" t="n"/>
      <c r="D1262" s="113">
        <f>IF($C1262="","",IFERROR(INDEX(MUSTERILER!$C$7:$C$106,MATCH($C1262,MUSTERILER!$B$7:$B$106,0)),"TANIMSIZ MÜŞTERİ"))</f>
        <v/>
      </c>
      <c r="E1262" s="114" t="n"/>
      <c r="F1262" s="115" t="n"/>
      <c r="G1262" s="107" t="n"/>
      <c r="H1262" s="107" t="n"/>
      <c r="I1262" s="108" t="n"/>
      <c r="J1262" s="108" t="n"/>
      <c r="K1262" s="108" t="n"/>
      <c r="L1262" s="119">
        <f>IF($E1262="","",DATE(YEAR($E1262),MONTH($E1262),1))</f>
        <v/>
      </c>
      <c r="M1262" s="112">
        <f>IF($C1262="","",IF($D1262="TANIMSIZ MÜŞTERİ","HATA",IF(OR($E1262="",$F1262&lt;=0,$G1262=""),"EKSİK",IF($E1262&gt;TODAY(),"İLERİ TARİH","UYGUN"))))</f>
        <v/>
      </c>
      <c r="N1262" s="6" t="n"/>
      <c r="O1262" s="6" t="n"/>
    </row>
    <row r="1263">
      <c r="A1263" s="6" t="n"/>
      <c r="B1263" s="112">
        <f>IF($C1263="","","T"&amp;TEXT(ROW()-6,"00000"))</f>
        <v/>
      </c>
      <c r="C1263" s="107" t="n"/>
      <c r="D1263" s="113">
        <f>IF($C1263="","",IFERROR(INDEX(MUSTERILER!$C$7:$C$106,MATCH($C1263,MUSTERILER!$B$7:$B$106,0)),"TANIMSIZ MÜŞTERİ"))</f>
        <v/>
      </c>
      <c r="E1263" s="114" t="n"/>
      <c r="F1263" s="115" t="n"/>
      <c r="G1263" s="107" t="n"/>
      <c r="H1263" s="107" t="n"/>
      <c r="I1263" s="108" t="n"/>
      <c r="J1263" s="108" t="n"/>
      <c r="K1263" s="108" t="n"/>
      <c r="L1263" s="119">
        <f>IF($E1263="","",DATE(YEAR($E1263),MONTH($E1263),1))</f>
        <v/>
      </c>
      <c r="M1263" s="112">
        <f>IF($C1263="","",IF($D1263="TANIMSIZ MÜŞTERİ","HATA",IF(OR($E1263="",$F1263&lt;=0,$G1263=""),"EKSİK",IF($E1263&gt;TODAY(),"İLERİ TARİH","UYGUN"))))</f>
        <v/>
      </c>
      <c r="N1263" s="6" t="n"/>
      <c r="O1263" s="6" t="n"/>
    </row>
    <row r="1264">
      <c r="A1264" s="6" t="n"/>
      <c r="B1264" s="112">
        <f>IF($C1264="","","T"&amp;TEXT(ROW()-6,"00000"))</f>
        <v/>
      </c>
      <c r="C1264" s="107" t="n"/>
      <c r="D1264" s="113">
        <f>IF($C1264="","",IFERROR(INDEX(MUSTERILER!$C$7:$C$106,MATCH($C1264,MUSTERILER!$B$7:$B$106,0)),"TANIMSIZ MÜŞTERİ"))</f>
        <v/>
      </c>
      <c r="E1264" s="114" t="n"/>
      <c r="F1264" s="115" t="n"/>
      <c r="G1264" s="107" t="n"/>
      <c r="H1264" s="107" t="n"/>
      <c r="I1264" s="108" t="n"/>
      <c r="J1264" s="108" t="n"/>
      <c r="K1264" s="108" t="n"/>
      <c r="L1264" s="119">
        <f>IF($E1264="","",DATE(YEAR($E1264),MONTH($E1264),1))</f>
        <v/>
      </c>
      <c r="M1264" s="112">
        <f>IF($C1264="","",IF($D1264="TANIMSIZ MÜŞTERİ","HATA",IF(OR($E1264="",$F1264&lt;=0,$G1264=""),"EKSİK",IF($E1264&gt;TODAY(),"İLERİ TARİH","UYGUN"))))</f>
        <v/>
      </c>
      <c r="N1264" s="6" t="n"/>
      <c r="O1264" s="6" t="n"/>
    </row>
    <row r="1265">
      <c r="A1265" s="6" t="n"/>
      <c r="B1265" s="112">
        <f>IF($C1265="","","T"&amp;TEXT(ROW()-6,"00000"))</f>
        <v/>
      </c>
      <c r="C1265" s="107" t="n"/>
      <c r="D1265" s="113">
        <f>IF($C1265="","",IFERROR(INDEX(MUSTERILER!$C$7:$C$106,MATCH($C1265,MUSTERILER!$B$7:$B$106,0)),"TANIMSIZ MÜŞTERİ"))</f>
        <v/>
      </c>
      <c r="E1265" s="114" t="n"/>
      <c r="F1265" s="115" t="n"/>
      <c r="G1265" s="107" t="n"/>
      <c r="H1265" s="107" t="n"/>
      <c r="I1265" s="108" t="n"/>
      <c r="J1265" s="108" t="n"/>
      <c r="K1265" s="108" t="n"/>
      <c r="L1265" s="119">
        <f>IF($E1265="","",DATE(YEAR($E1265),MONTH($E1265),1))</f>
        <v/>
      </c>
      <c r="M1265" s="112">
        <f>IF($C1265="","",IF($D1265="TANIMSIZ MÜŞTERİ","HATA",IF(OR($E1265="",$F1265&lt;=0,$G1265=""),"EKSİK",IF($E1265&gt;TODAY(),"İLERİ TARİH","UYGUN"))))</f>
        <v/>
      </c>
      <c r="N1265" s="6" t="n"/>
      <c r="O1265" s="6" t="n"/>
    </row>
    <row r="1266">
      <c r="A1266" s="6" t="n"/>
      <c r="B1266" s="112">
        <f>IF($C1266="","","T"&amp;TEXT(ROW()-6,"00000"))</f>
        <v/>
      </c>
      <c r="C1266" s="107" t="n"/>
      <c r="D1266" s="113">
        <f>IF($C1266="","",IFERROR(INDEX(MUSTERILER!$C$7:$C$106,MATCH($C1266,MUSTERILER!$B$7:$B$106,0)),"TANIMSIZ MÜŞTERİ"))</f>
        <v/>
      </c>
      <c r="E1266" s="114" t="n"/>
      <c r="F1266" s="115" t="n"/>
      <c r="G1266" s="107" t="n"/>
      <c r="H1266" s="107" t="n"/>
      <c r="I1266" s="108" t="n"/>
      <c r="J1266" s="108" t="n"/>
      <c r="K1266" s="108" t="n"/>
      <c r="L1266" s="119">
        <f>IF($E1266="","",DATE(YEAR($E1266),MONTH($E1266),1))</f>
        <v/>
      </c>
      <c r="M1266" s="112">
        <f>IF($C1266="","",IF($D1266="TANIMSIZ MÜŞTERİ","HATA",IF(OR($E1266="",$F1266&lt;=0,$G1266=""),"EKSİK",IF($E1266&gt;TODAY(),"İLERİ TARİH","UYGUN"))))</f>
        <v/>
      </c>
      <c r="N1266" s="6" t="n"/>
      <c r="O1266" s="6" t="n"/>
    </row>
    <row r="1267">
      <c r="A1267" s="6" t="n"/>
      <c r="B1267" s="112">
        <f>IF($C1267="","","T"&amp;TEXT(ROW()-6,"00000"))</f>
        <v/>
      </c>
      <c r="C1267" s="107" t="n"/>
      <c r="D1267" s="113">
        <f>IF($C1267="","",IFERROR(INDEX(MUSTERILER!$C$7:$C$106,MATCH($C1267,MUSTERILER!$B$7:$B$106,0)),"TANIMSIZ MÜŞTERİ"))</f>
        <v/>
      </c>
      <c r="E1267" s="114" t="n"/>
      <c r="F1267" s="115" t="n"/>
      <c r="G1267" s="107" t="n"/>
      <c r="H1267" s="107" t="n"/>
      <c r="I1267" s="108" t="n"/>
      <c r="J1267" s="108" t="n"/>
      <c r="K1267" s="108" t="n"/>
      <c r="L1267" s="119">
        <f>IF($E1267="","",DATE(YEAR($E1267),MONTH($E1267),1))</f>
        <v/>
      </c>
      <c r="M1267" s="112">
        <f>IF($C1267="","",IF($D1267="TANIMSIZ MÜŞTERİ","HATA",IF(OR($E1267="",$F1267&lt;=0,$G1267=""),"EKSİK",IF($E1267&gt;TODAY(),"İLERİ TARİH","UYGUN"))))</f>
        <v/>
      </c>
      <c r="N1267" s="6" t="n"/>
      <c r="O1267" s="6" t="n"/>
    </row>
    <row r="1268">
      <c r="A1268" s="6" t="n"/>
      <c r="B1268" s="112">
        <f>IF($C1268="","","T"&amp;TEXT(ROW()-6,"00000"))</f>
        <v/>
      </c>
      <c r="C1268" s="107" t="n"/>
      <c r="D1268" s="113">
        <f>IF($C1268="","",IFERROR(INDEX(MUSTERILER!$C$7:$C$106,MATCH($C1268,MUSTERILER!$B$7:$B$106,0)),"TANIMSIZ MÜŞTERİ"))</f>
        <v/>
      </c>
      <c r="E1268" s="114" t="n"/>
      <c r="F1268" s="115" t="n"/>
      <c r="G1268" s="107" t="n"/>
      <c r="H1268" s="107" t="n"/>
      <c r="I1268" s="108" t="n"/>
      <c r="J1268" s="108" t="n"/>
      <c r="K1268" s="108" t="n"/>
      <c r="L1268" s="119">
        <f>IF($E1268="","",DATE(YEAR($E1268),MONTH($E1268),1))</f>
        <v/>
      </c>
      <c r="M1268" s="112">
        <f>IF($C1268="","",IF($D1268="TANIMSIZ MÜŞTERİ","HATA",IF(OR($E1268="",$F1268&lt;=0,$G1268=""),"EKSİK",IF($E1268&gt;TODAY(),"İLERİ TARİH","UYGUN"))))</f>
        <v/>
      </c>
      <c r="N1268" s="6" t="n"/>
      <c r="O1268" s="6" t="n"/>
    </row>
    <row r="1269">
      <c r="A1269" s="6" t="n"/>
      <c r="B1269" s="112">
        <f>IF($C1269="","","T"&amp;TEXT(ROW()-6,"00000"))</f>
        <v/>
      </c>
      <c r="C1269" s="107" t="n"/>
      <c r="D1269" s="113">
        <f>IF($C1269="","",IFERROR(INDEX(MUSTERILER!$C$7:$C$106,MATCH($C1269,MUSTERILER!$B$7:$B$106,0)),"TANIMSIZ MÜŞTERİ"))</f>
        <v/>
      </c>
      <c r="E1269" s="114" t="n"/>
      <c r="F1269" s="115" t="n"/>
      <c r="G1269" s="107" t="n"/>
      <c r="H1269" s="107" t="n"/>
      <c r="I1269" s="108" t="n"/>
      <c r="J1269" s="108" t="n"/>
      <c r="K1269" s="108" t="n"/>
      <c r="L1269" s="119">
        <f>IF($E1269="","",DATE(YEAR($E1269),MONTH($E1269),1))</f>
        <v/>
      </c>
      <c r="M1269" s="112">
        <f>IF($C1269="","",IF($D1269="TANIMSIZ MÜŞTERİ","HATA",IF(OR($E1269="",$F1269&lt;=0,$G1269=""),"EKSİK",IF($E1269&gt;TODAY(),"İLERİ TARİH","UYGUN"))))</f>
        <v/>
      </c>
      <c r="N1269" s="6" t="n"/>
      <c r="O1269" s="6" t="n"/>
    </row>
    <row r="1270">
      <c r="A1270" s="6" t="n"/>
      <c r="B1270" s="112">
        <f>IF($C1270="","","T"&amp;TEXT(ROW()-6,"00000"))</f>
        <v/>
      </c>
      <c r="C1270" s="107" t="n"/>
      <c r="D1270" s="113">
        <f>IF($C1270="","",IFERROR(INDEX(MUSTERILER!$C$7:$C$106,MATCH($C1270,MUSTERILER!$B$7:$B$106,0)),"TANIMSIZ MÜŞTERİ"))</f>
        <v/>
      </c>
      <c r="E1270" s="114" t="n"/>
      <c r="F1270" s="115" t="n"/>
      <c r="G1270" s="107" t="n"/>
      <c r="H1270" s="107" t="n"/>
      <c r="I1270" s="108" t="n"/>
      <c r="J1270" s="108" t="n"/>
      <c r="K1270" s="108" t="n"/>
      <c r="L1270" s="119">
        <f>IF($E1270="","",DATE(YEAR($E1270),MONTH($E1270),1))</f>
        <v/>
      </c>
      <c r="M1270" s="112">
        <f>IF($C1270="","",IF($D1270="TANIMSIZ MÜŞTERİ","HATA",IF(OR($E1270="",$F1270&lt;=0,$G1270=""),"EKSİK",IF($E1270&gt;TODAY(),"İLERİ TARİH","UYGUN"))))</f>
        <v/>
      </c>
      <c r="N1270" s="6" t="n"/>
      <c r="O1270" s="6" t="n"/>
    </row>
    <row r="1271">
      <c r="A1271" s="6" t="n"/>
      <c r="B1271" s="112">
        <f>IF($C1271="","","T"&amp;TEXT(ROW()-6,"00000"))</f>
        <v/>
      </c>
      <c r="C1271" s="107" t="n"/>
      <c r="D1271" s="113">
        <f>IF($C1271="","",IFERROR(INDEX(MUSTERILER!$C$7:$C$106,MATCH($C1271,MUSTERILER!$B$7:$B$106,0)),"TANIMSIZ MÜŞTERİ"))</f>
        <v/>
      </c>
      <c r="E1271" s="114" t="n"/>
      <c r="F1271" s="115" t="n"/>
      <c r="G1271" s="107" t="n"/>
      <c r="H1271" s="107" t="n"/>
      <c r="I1271" s="108" t="n"/>
      <c r="J1271" s="108" t="n"/>
      <c r="K1271" s="108" t="n"/>
      <c r="L1271" s="119">
        <f>IF($E1271="","",DATE(YEAR($E1271),MONTH($E1271),1))</f>
        <v/>
      </c>
      <c r="M1271" s="112">
        <f>IF($C1271="","",IF($D1271="TANIMSIZ MÜŞTERİ","HATA",IF(OR($E1271="",$F1271&lt;=0,$G1271=""),"EKSİK",IF($E1271&gt;TODAY(),"İLERİ TARİH","UYGUN"))))</f>
        <v/>
      </c>
      <c r="N1271" s="6" t="n"/>
      <c r="O1271" s="6" t="n"/>
    </row>
    <row r="1272">
      <c r="A1272" s="6" t="n"/>
      <c r="B1272" s="112">
        <f>IF($C1272="","","T"&amp;TEXT(ROW()-6,"00000"))</f>
        <v/>
      </c>
      <c r="C1272" s="107" t="n"/>
      <c r="D1272" s="113">
        <f>IF($C1272="","",IFERROR(INDEX(MUSTERILER!$C$7:$C$106,MATCH($C1272,MUSTERILER!$B$7:$B$106,0)),"TANIMSIZ MÜŞTERİ"))</f>
        <v/>
      </c>
      <c r="E1272" s="114" t="n"/>
      <c r="F1272" s="115" t="n"/>
      <c r="G1272" s="107" t="n"/>
      <c r="H1272" s="107" t="n"/>
      <c r="I1272" s="108" t="n"/>
      <c r="J1272" s="108" t="n"/>
      <c r="K1272" s="108" t="n"/>
      <c r="L1272" s="119">
        <f>IF($E1272="","",DATE(YEAR($E1272),MONTH($E1272),1))</f>
        <v/>
      </c>
      <c r="M1272" s="112">
        <f>IF($C1272="","",IF($D1272="TANIMSIZ MÜŞTERİ","HATA",IF(OR($E1272="",$F1272&lt;=0,$G1272=""),"EKSİK",IF($E1272&gt;TODAY(),"İLERİ TARİH","UYGUN"))))</f>
        <v/>
      </c>
      <c r="N1272" s="6" t="n"/>
      <c r="O1272" s="6" t="n"/>
    </row>
    <row r="1273">
      <c r="A1273" s="6" t="n"/>
      <c r="B1273" s="112">
        <f>IF($C1273="","","T"&amp;TEXT(ROW()-6,"00000"))</f>
        <v/>
      </c>
      <c r="C1273" s="107" t="n"/>
      <c r="D1273" s="113">
        <f>IF($C1273="","",IFERROR(INDEX(MUSTERILER!$C$7:$C$106,MATCH($C1273,MUSTERILER!$B$7:$B$106,0)),"TANIMSIZ MÜŞTERİ"))</f>
        <v/>
      </c>
      <c r="E1273" s="114" t="n"/>
      <c r="F1273" s="115" t="n"/>
      <c r="G1273" s="107" t="n"/>
      <c r="H1273" s="107" t="n"/>
      <c r="I1273" s="108" t="n"/>
      <c r="J1273" s="108" t="n"/>
      <c r="K1273" s="108" t="n"/>
      <c r="L1273" s="119">
        <f>IF($E1273="","",DATE(YEAR($E1273),MONTH($E1273),1))</f>
        <v/>
      </c>
      <c r="M1273" s="112">
        <f>IF($C1273="","",IF($D1273="TANIMSIZ MÜŞTERİ","HATA",IF(OR($E1273="",$F1273&lt;=0,$G1273=""),"EKSİK",IF($E1273&gt;TODAY(),"İLERİ TARİH","UYGUN"))))</f>
        <v/>
      </c>
      <c r="N1273" s="6" t="n"/>
      <c r="O1273" s="6" t="n"/>
    </row>
    <row r="1274">
      <c r="A1274" s="6" t="n"/>
      <c r="B1274" s="112">
        <f>IF($C1274="","","T"&amp;TEXT(ROW()-6,"00000"))</f>
        <v/>
      </c>
      <c r="C1274" s="107" t="n"/>
      <c r="D1274" s="113">
        <f>IF($C1274="","",IFERROR(INDEX(MUSTERILER!$C$7:$C$106,MATCH($C1274,MUSTERILER!$B$7:$B$106,0)),"TANIMSIZ MÜŞTERİ"))</f>
        <v/>
      </c>
      <c r="E1274" s="114" t="n"/>
      <c r="F1274" s="115" t="n"/>
      <c r="G1274" s="107" t="n"/>
      <c r="H1274" s="107" t="n"/>
      <c r="I1274" s="108" t="n"/>
      <c r="J1274" s="108" t="n"/>
      <c r="K1274" s="108" t="n"/>
      <c r="L1274" s="119">
        <f>IF($E1274="","",DATE(YEAR($E1274),MONTH($E1274),1))</f>
        <v/>
      </c>
      <c r="M1274" s="112">
        <f>IF($C1274="","",IF($D1274="TANIMSIZ MÜŞTERİ","HATA",IF(OR($E1274="",$F1274&lt;=0,$G1274=""),"EKSİK",IF($E1274&gt;TODAY(),"İLERİ TARİH","UYGUN"))))</f>
        <v/>
      </c>
      <c r="N1274" s="6" t="n"/>
      <c r="O1274" s="6" t="n"/>
    </row>
    <row r="1275">
      <c r="A1275" s="6" t="n"/>
      <c r="B1275" s="112">
        <f>IF($C1275="","","T"&amp;TEXT(ROW()-6,"00000"))</f>
        <v/>
      </c>
      <c r="C1275" s="107" t="n"/>
      <c r="D1275" s="113">
        <f>IF($C1275="","",IFERROR(INDEX(MUSTERILER!$C$7:$C$106,MATCH($C1275,MUSTERILER!$B$7:$B$106,0)),"TANIMSIZ MÜŞTERİ"))</f>
        <v/>
      </c>
      <c r="E1275" s="114" t="n"/>
      <c r="F1275" s="115" t="n"/>
      <c r="G1275" s="107" t="n"/>
      <c r="H1275" s="107" t="n"/>
      <c r="I1275" s="108" t="n"/>
      <c r="J1275" s="108" t="n"/>
      <c r="K1275" s="108" t="n"/>
      <c r="L1275" s="119">
        <f>IF($E1275="","",DATE(YEAR($E1275),MONTH($E1275),1))</f>
        <v/>
      </c>
      <c r="M1275" s="112">
        <f>IF($C1275="","",IF($D1275="TANIMSIZ MÜŞTERİ","HATA",IF(OR($E1275="",$F1275&lt;=0,$G1275=""),"EKSİK",IF($E1275&gt;TODAY(),"İLERİ TARİH","UYGUN"))))</f>
        <v/>
      </c>
      <c r="N1275" s="6" t="n"/>
      <c r="O1275" s="6" t="n"/>
    </row>
    <row r="1276">
      <c r="A1276" s="6" t="n"/>
      <c r="B1276" s="112">
        <f>IF($C1276="","","T"&amp;TEXT(ROW()-6,"00000"))</f>
        <v/>
      </c>
      <c r="C1276" s="107" t="n"/>
      <c r="D1276" s="113">
        <f>IF($C1276="","",IFERROR(INDEX(MUSTERILER!$C$7:$C$106,MATCH($C1276,MUSTERILER!$B$7:$B$106,0)),"TANIMSIZ MÜŞTERİ"))</f>
        <v/>
      </c>
      <c r="E1276" s="114" t="n"/>
      <c r="F1276" s="115" t="n"/>
      <c r="G1276" s="107" t="n"/>
      <c r="H1276" s="107" t="n"/>
      <c r="I1276" s="108" t="n"/>
      <c r="J1276" s="108" t="n"/>
      <c r="K1276" s="108" t="n"/>
      <c r="L1276" s="119">
        <f>IF($E1276="","",DATE(YEAR($E1276),MONTH($E1276),1))</f>
        <v/>
      </c>
      <c r="M1276" s="112">
        <f>IF($C1276="","",IF($D1276="TANIMSIZ MÜŞTERİ","HATA",IF(OR($E1276="",$F1276&lt;=0,$G1276=""),"EKSİK",IF($E1276&gt;TODAY(),"İLERİ TARİH","UYGUN"))))</f>
        <v/>
      </c>
      <c r="N1276" s="6" t="n"/>
      <c r="O1276" s="6" t="n"/>
    </row>
    <row r="1277">
      <c r="A1277" s="6" t="n"/>
      <c r="B1277" s="112">
        <f>IF($C1277="","","T"&amp;TEXT(ROW()-6,"00000"))</f>
        <v/>
      </c>
      <c r="C1277" s="107" t="n"/>
      <c r="D1277" s="113">
        <f>IF($C1277="","",IFERROR(INDEX(MUSTERILER!$C$7:$C$106,MATCH($C1277,MUSTERILER!$B$7:$B$106,0)),"TANIMSIZ MÜŞTERİ"))</f>
        <v/>
      </c>
      <c r="E1277" s="114" t="n"/>
      <c r="F1277" s="115" t="n"/>
      <c r="G1277" s="107" t="n"/>
      <c r="H1277" s="107" t="n"/>
      <c r="I1277" s="108" t="n"/>
      <c r="J1277" s="108" t="n"/>
      <c r="K1277" s="108" t="n"/>
      <c r="L1277" s="119">
        <f>IF($E1277="","",DATE(YEAR($E1277),MONTH($E1277),1))</f>
        <v/>
      </c>
      <c r="M1277" s="112">
        <f>IF($C1277="","",IF($D1277="TANIMSIZ MÜŞTERİ","HATA",IF(OR($E1277="",$F1277&lt;=0,$G1277=""),"EKSİK",IF($E1277&gt;TODAY(),"İLERİ TARİH","UYGUN"))))</f>
        <v/>
      </c>
      <c r="N1277" s="6" t="n"/>
      <c r="O1277" s="6" t="n"/>
    </row>
    <row r="1278">
      <c r="A1278" s="6" t="n"/>
      <c r="B1278" s="112">
        <f>IF($C1278="","","T"&amp;TEXT(ROW()-6,"00000"))</f>
        <v/>
      </c>
      <c r="C1278" s="107" t="n"/>
      <c r="D1278" s="113">
        <f>IF($C1278="","",IFERROR(INDEX(MUSTERILER!$C$7:$C$106,MATCH($C1278,MUSTERILER!$B$7:$B$106,0)),"TANIMSIZ MÜŞTERİ"))</f>
        <v/>
      </c>
      <c r="E1278" s="114" t="n"/>
      <c r="F1278" s="115" t="n"/>
      <c r="G1278" s="107" t="n"/>
      <c r="H1278" s="107" t="n"/>
      <c r="I1278" s="108" t="n"/>
      <c r="J1278" s="108" t="n"/>
      <c r="K1278" s="108" t="n"/>
      <c r="L1278" s="119">
        <f>IF($E1278="","",DATE(YEAR($E1278),MONTH($E1278),1))</f>
        <v/>
      </c>
      <c r="M1278" s="112">
        <f>IF($C1278="","",IF($D1278="TANIMSIZ MÜŞTERİ","HATA",IF(OR($E1278="",$F1278&lt;=0,$G1278=""),"EKSİK",IF($E1278&gt;TODAY(),"İLERİ TARİH","UYGUN"))))</f>
        <v/>
      </c>
      <c r="N1278" s="6" t="n"/>
      <c r="O1278" s="6" t="n"/>
    </row>
    <row r="1279">
      <c r="A1279" s="6" t="n"/>
      <c r="B1279" s="112">
        <f>IF($C1279="","","T"&amp;TEXT(ROW()-6,"00000"))</f>
        <v/>
      </c>
      <c r="C1279" s="107" t="n"/>
      <c r="D1279" s="113">
        <f>IF($C1279="","",IFERROR(INDEX(MUSTERILER!$C$7:$C$106,MATCH($C1279,MUSTERILER!$B$7:$B$106,0)),"TANIMSIZ MÜŞTERİ"))</f>
        <v/>
      </c>
      <c r="E1279" s="114" t="n"/>
      <c r="F1279" s="115" t="n"/>
      <c r="G1279" s="107" t="n"/>
      <c r="H1279" s="107" t="n"/>
      <c r="I1279" s="108" t="n"/>
      <c r="J1279" s="108" t="n"/>
      <c r="K1279" s="108" t="n"/>
      <c r="L1279" s="119">
        <f>IF($E1279="","",DATE(YEAR($E1279),MONTH($E1279),1))</f>
        <v/>
      </c>
      <c r="M1279" s="112">
        <f>IF($C1279="","",IF($D1279="TANIMSIZ MÜŞTERİ","HATA",IF(OR($E1279="",$F1279&lt;=0,$G1279=""),"EKSİK",IF($E1279&gt;TODAY(),"İLERİ TARİH","UYGUN"))))</f>
        <v/>
      </c>
      <c r="N1279" s="6" t="n"/>
      <c r="O1279" s="6" t="n"/>
    </row>
    <row r="1280">
      <c r="A1280" s="6" t="n"/>
      <c r="B1280" s="112">
        <f>IF($C1280="","","T"&amp;TEXT(ROW()-6,"00000"))</f>
        <v/>
      </c>
      <c r="C1280" s="107" t="n"/>
      <c r="D1280" s="113">
        <f>IF($C1280="","",IFERROR(INDEX(MUSTERILER!$C$7:$C$106,MATCH($C1280,MUSTERILER!$B$7:$B$106,0)),"TANIMSIZ MÜŞTERİ"))</f>
        <v/>
      </c>
      <c r="E1280" s="114" t="n"/>
      <c r="F1280" s="115" t="n"/>
      <c r="G1280" s="107" t="n"/>
      <c r="H1280" s="107" t="n"/>
      <c r="I1280" s="108" t="n"/>
      <c r="J1280" s="108" t="n"/>
      <c r="K1280" s="108" t="n"/>
      <c r="L1280" s="119">
        <f>IF($E1280="","",DATE(YEAR($E1280),MONTH($E1280),1))</f>
        <v/>
      </c>
      <c r="M1280" s="112">
        <f>IF($C1280="","",IF($D1280="TANIMSIZ MÜŞTERİ","HATA",IF(OR($E1280="",$F1280&lt;=0,$G1280=""),"EKSİK",IF($E1280&gt;TODAY(),"İLERİ TARİH","UYGUN"))))</f>
        <v/>
      </c>
      <c r="N1280" s="6" t="n"/>
      <c r="O1280" s="6" t="n"/>
    </row>
    <row r="1281">
      <c r="A1281" s="6" t="n"/>
      <c r="B1281" s="112">
        <f>IF($C1281="","","T"&amp;TEXT(ROW()-6,"00000"))</f>
        <v/>
      </c>
      <c r="C1281" s="107" t="n"/>
      <c r="D1281" s="113">
        <f>IF($C1281="","",IFERROR(INDEX(MUSTERILER!$C$7:$C$106,MATCH($C1281,MUSTERILER!$B$7:$B$106,0)),"TANIMSIZ MÜŞTERİ"))</f>
        <v/>
      </c>
      <c r="E1281" s="114" t="n"/>
      <c r="F1281" s="115" t="n"/>
      <c r="G1281" s="107" t="n"/>
      <c r="H1281" s="107" t="n"/>
      <c r="I1281" s="108" t="n"/>
      <c r="J1281" s="108" t="n"/>
      <c r="K1281" s="108" t="n"/>
      <c r="L1281" s="119">
        <f>IF($E1281="","",DATE(YEAR($E1281),MONTH($E1281),1))</f>
        <v/>
      </c>
      <c r="M1281" s="112">
        <f>IF($C1281="","",IF($D1281="TANIMSIZ MÜŞTERİ","HATA",IF(OR($E1281="",$F1281&lt;=0,$G1281=""),"EKSİK",IF($E1281&gt;TODAY(),"İLERİ TARİH","UYGUN"))))</f>
        <v/>
      </c>
      <c r="N1281" s="6" t="n"/>
      <c r="O1281" s="6" t="n"/>
    </row>
    <row r="1282">
      <c r="A1282" s="6" t="n"/>
      <c r="B1282" s="112">
        <f>IF($C1282="","","T"&amp;TEXT(ROW()-6,"00000"))</f>
        <v/>
      </c>
      <c r="C1282" s="107" t="n"/>
      <c r="D1282" s="113">
        <f>IF($C1282="","",IFERROR(INDEX(MUSTERILER!$C$7:$C$106,MATCH($C1282,MUSTERILER!$B$7:$B$106,0)),"TANIMSIZ MÜŞTERİ"))</f>
        <v/>
      </c>
      <c r="E1282" s="114" t="n"/>
      <c r="F1282" s="115" t="n"/>
      <c r="G1282" s="107" t="n"/>
      <c r="H1282" s="107" t="n"/>
      <c r="I1282" s="108" t="n"/>
      <c r="J1282" s="108" t="n"/>
      <c r="K1282" s="108" t="n"/>
      <c r="L1282" s="119">
        <f>IF($E1282="","",DATE(YEAR($E1282),MONTH($E1282),1))</f>
        <v/>
      </c>
      <c r="M1282" s="112">
        <f>IF($C1282="","",IF($D1282="TANIMSIZ MÜŞTERİ","HATA",IF(OR($E1282="",$F1282&lt;=0,$G1282=""),"EKSİK",IF($E1282&gt;TODAY(),"İLERİ TARİH","UYGUN"))))</f>
        <v/>
      </c>
      <c r="N1282" s="6" t="n"/>
      <c r="O1282" s="6" t="n"/>
    </row>
    <row r="1283">
      <c r="A1283" s="6" t="n"/>
      <c r="B1283" s="112">
        <f>IF($C1283="","","T"&amp;TEXT(ROW()-6,"00000"))</f>
        <v/>
      </c>
      <c r="C1283" s="107" t="n"/>
      <c r="D1283" s="113">
        <f>IF($C1283="","",IFERROR(INDEX(MUSTERILER!$C$7:$C$106,MATCH($C1283,MUSTERILER!$B$7:$B$106,0)),"TANIMSIZ MÜŞTERİ"))</f>
        <v/>
      </c>
      <c r="E1283" s="114" t="n"/>
      <c r="F1283" s="115" t="n"/>
      <c r="G1283" s="107" t="n"/>
      <c r="H1283" s="107" t="n"/>
      <c r="I1283" s="108" t="n"/>
      <c r="J1283" s="108" t="n"/>
      <c r="K1283" s="108" t="n"/>
      <c r="L1283" s="119">
        <f>IF($E1283="","",DATE(YEAR($E1283),MONTH($E1283),1))</f>
        <v/>
      </c>
      <c r="M1283" s="112">
        <f>IF($C1283="","",IF($D1283="TANIMSIZ MÜŞTERİ","HATA",IF(OR($E1283="",$F1283&lt;=0,$G1283=""),"EKSİK",IF($E1283&gt;TODAY(),"İLERİ TARİH","UYGUN"))))</f>
        <v/>
      </c>
      <c r="N1283" s="6" t="n"/>
      <c r="O1283" s="6" t="n"/>
    </row>
    <row r="1284">
      <c r="A1284" s="6" t="n"/>
      <c r="B1284" s="112">
        <f>IF($C1284="","","T"&amp;TEXT(ROW()-6,"00000"))</f>
        <v/>
      </c>
      <c r="C1284" s="107" t="n"/>
      <c r="D1284" s="113">
        <f>IF($C1284="","",IFERROR(INDEX(MUSTERILER!$C$7:$C$106,MATCH($C1284,MUSTERILER!$B$7:$B$106,0)),"TANIMSIZ MÜŞTERİ"))</f>
        <v/>
      </c>
      <c r="E1284" s="114" t="n"/>
      <c r="F1284" s="115" t="n"/>
      <c r="G1284" s="107" t="n"/>
      <c r="H1284" s="107" t="n"/>
      <c r="I1284" s="108" t="n"/>
      <c r="J1284" s="108" t="n"/>
      <c r="K1284" s="108" t="n"/>
      <c r="L1284" s="119">
        <f>IF($E1284="","",DATE(YEAR($E1284),MONTH($E1284),1))</f>
        <v/>
      </c>
      <c r="M1284" s="112">
        <f>IF($C1284="","",IF($D1284="TANIMSIZ MÜŞTERİ","HATA",IF(OR($E1284="",$F1284&lt;=0,$G1284=""),"EKSİK",IF($E1284&gt;TODAY(),"İLERİ TARİH","UYGUN"))))</f>
        <v/>
      </c>
      <c r="N1284" s="6" t="n"/>
      <c r="O1284" s="6" t="n"/>
    </row>
    <row r="1285">
      <c r="A1285" s="6" t="n"/>
      <c r="B1285" s="112">
        <f>IF($C1285="","","T"&amp;TEXT(ROW()-6,"00000"))</f>
        <v/>
      </c>
      <c r="C1285" s="107" t="n"/>
      <c r="D1285" s="113">
        <f>IF($C1285="","",IFERROR(INDEX(MUSTERILER!$C$7:$C$106,MATCH($C1285,MUSTERILER!$B$7:$B$106,0)),"TANIMSIZ MÜŞTERİ"))</f>
        <v/>
      </c>
      <c r="E1285" s="114" t="n"/>
      <c r="F1285" s="115" t="n"/>
      <c r="G1285" s="107" t="n"/>
      <c r="H1285" s="107" t="n"/>
      <c r="I1285" s="108" t="n"/>
      <c r="J1285" s="108" t="n"/>
      <c r="K1285" s="108" t="n"/>
      <c r="L1285" s="119">
        <f>IF($E1285="","",DATE(YEAR($E1285),MONTH($E1285),1))</f>
        <v/>
      </c>
      <c r="M1285" s="112">
        <f>IF($C1285="","",IF($D1285="TANIMSIZ MÜŞTERİ","HATA",IF(OR($E1285="",$F1285&lt;=0,$G1285=""),"EKSİK",IF($E1285&gt;TODAY(),"İLERİ TARİH","UYGUN"))))</f>
        <v/>
      </c>
      <c r="N1285" s="6" t="n"/>
      <c r="O1285" s="6" t="n"/>
    </row>
    <row r="1286">
      <c r="A1286" s="6" t="n"/>
      <c r="B1286" s="112">
        <f>IF($C1286="","","T"&amp;TEXT(ROW()-6,"00000"))</f>
        <v/>
      </c>
      <c r="C1286" s="107" t="n"/>
      <c r="D1286" s="113">
        <f>IF($C1286="","",IFERROR(INDEX(MUSTERILER!$C$7:$C$106,MATCH($C1286,MUSTERILER!$B$7:$B$106,0)),"TANIMSIZ MÜŞTERİ"))</f>
        <v/>
      </c>
      <c r="E1286" s="114" t="n"/>
      <c r="F1286" s="115" t="n"/>
      <c r="G1286" s="107" t="n"/>
      <c r="H1286" s="107" t="n"/>
      <c r="I1286" s="108" t="n"/>
      <c r="J1286" s="108" t="n"/>
      <c r="K1286" s="108" t="n"/>
      <c r="L1286" s="119">
        <f>IF($E1286="","",DATE(YEAR($E1286),MONTH($E1286),1))</f>
        <v/>
      </c>
      <c r="M1286" s="112">
        <f>IF($C1286="","",IF($D1286="TANIMSIZ MÜŞTERİ","HATA",IF(OR($E1286="",$F1286&lt;=0,$G1286=""),"EKSİK",IF($E1286&gt;TODAY(),"İLERİ TARİH","UYGUN"))))</f>
        <v/>
      </c>
      <c r="N1286" s="6" t="n"/>
      <c r="O1286" s="6" t="n"/>
    </row>
    <row r="1287">
      <c r="A1287" s="6" t="n"/>
      <c r="B1287" s="112">
        <f>IF($C1287="","","T"&amp;TEXT(ROW()-6,"00000"))</f>
        <v/>
      </c>
      <c r="C1287" s="107" t="n"/>
      <c r="D1287" s="113">
        <f>IF($C1287="","",IFERROR(INDEX(MUSTERILER!$C$7:$C$106,MATCH($C1287,MUSTERILER!$B$7:$B$106,0)),"TANIMSIZ MÜŞTERİ"))</f>
        <v/>
      </c>
      <c r="E1287" s="114" t="n"/>
      <c r="F1287" s="115" t="n"/>
      <c r="G1287" s="107" t="n"/>
      <c r="H1287" s="107" t="n"/>
      <c r="I1287" s="108" t="n"/>
      <c r="J1287" s="108" t="n"/>
      <c r="K1287" s="108" t="n"/>
      <c r="L1287" s="119">
        <f>IF($E1287="","",DATE(YEAR($E1287),MONTH($E1287),1))</f>
        <v/>
      </c>
      <c r="M1287" s="112">
        <f>IF($C1287="","",IF($D1287="TANIMSIZ MÜŞTERİ","HATA",IF(OR($E1287="",$F1287&lt;=0,$G1287=""),"EKSİK",IF($E1287&gt;TODAY(),"İLERİ TARİH","UYGUN"))))</f>
        <v/>
      </c>
      <c r="N1287" s="6" t="n"/>
      <c r="O1287" s="6" t="n"/>
    </row>
    <row r="1288">
      <c r="A1288" s="6" t="n"/>
      <c r="B1288" s="112">
        <f>IF($C1288="","","T"&amp;TEXT(ROW()-6,"00000"))</f>
        <v/>
      </c>
      <c r="C1288" s="107" t="n"/>
      <c r="D1288" s="113">
        <f>IF($C1288="","",IFERROR(INDEX(MUSTERILER!$C$7:$C$106,MATCH($C1288,MUSTERILER!$B$7:$B$106,0)),"TANIMSIZ MÜŞTERİ"))</f>
        <v/>
      </c>
      <c r="E1288" s="114" t="n"/>
      <c r="F1288" s="115" t="n"/>
      <c r="G1288" s="107" t="n"/>
      <c r="H1288" s="107" t="n"/>
      <c r="I1288" s="108" t="n"/>
      <c r="J1288" s="108" t="n"/>
      <c r="K1288" s="108" t="n"/>
      <c r="L1288" s="119">
        <f>IF($E1288="","",DATE(YEAR($E1288),MONTH($E1288),1))</f>
        <v/>
      </c>
      <c r="M1288" s="112">
        <f>IF($C1288="","",IF($D1288="TANIMSIZ MÜŞTERİ","HATA",IF(OR($E1288="",$F1288&lt;=0,$G1288=""),"EKSİK",IF($E1288&gt;TODAY(),"İLERİ TARİH","UYGUN"))))</f>
        <v/>
      </c>
      <c r="N1288" s="6" t="n"/>
      <c r="O1288" s="6" t="n"/>
    </row>
    <row r="1289">
      <c r="A1289" s="6" t="n"/>
      <c r="B1289" s="112">
        <f>IF($C1289="","","T"&amp;TEXT(ROW()-6,"00000"))</f>
        <v/>
      </c>
      <c r="C1289" s="107" t="n"/>
      <c r="D1289" s="113">
        <f>IF($C1289="","",IFERROR(INDEX(MUSTERILER!$C$7:$C$106,MATCH($C1289,MUSTERILER!$B$7:$B$106,0)),"TANIMSIZ MÜŞTERİ"))</f>
        <v/>
      </c>
      <c r="E1289" s="114" t="n"/>
      <c r="F1289" s="115" t="n"/>
      <c r="G1289" s="107" t="n"/>
      <c r="H1289" s="107" t="n"/>
      <c r="I1289" s="108" t="n"/>
      <c r="J1289" s="108" t="n"/>
      <c r="K1289" s="108" t="n"/>
      <c r="L1289" s="119">
        <f>IF($E1289="","",DATE(YEAR($E1289),MONTH($E1289),1))</f>
        <v/>
      </c>
      <c r="M1289" s="112">
        <f>IF($C1289="","",IF($D1289="TANIMSIZ MÜŞTERİ","HATA",IF(OR($E1289="",$F1289&lt;=0,$G1289=""),"EKSİK",IF($E1289&gt;TODAY(),"İLERİ TARİH","UYGUN"))))</f>
        <v/>
      </c>
      <c r="N1289" s="6" t="n"/>
      <c r="O1289" s="6" t="n"/>
    </row>
    <row r="1290">
      <c r="A1290" s="6" t="n"/>
      <c r="B1290" s="112">
        <f>IF($C1290="","","T"&amp;TEXT(ROW()-6,"00000"))</f>
        <v/>
      </c>
      <c r="C1290" s="107" t="n"/>
      <c r="D1290" s="113">
        <f>IF($C1290="","",IFERROR(INDEX(MUSTERILER!$C$7:$C$106,MATCH($C1290,MUSTERILER!$B$7:$B$106,0)),"TANIMSIZ MÜŞTERİ"))</f>
        <v/>
      </c>
      <c r="E1290" s="114" t="n"/>
      <c r="F1290" s="115" t="n"/>
      <c r="G1290" s="107" t="n"/>
      <c r="H1290" s="107" t="n"/>
      <c r="I1290" s="108" t="n"/>
      <c r="J1290" s="108" t="n"/>
      <c r="K1290" s="108" t="n"/>
      <c r="L1290" s="119">
        <f>IF($E1290="","",DATE(YEAR($E1290),MONTH($E1290),1))</f>
        <v/>
      </c>
      <c r="M1290" s="112">
        <f>IF($C1290="","",IF($D1290="TANIMSIZ MÜŞTERİ","HATA",IF(OR($E1290="",$F1290&lt;=0,$G1290=""),"EKSİK",IF($E1290&gt;TODAY(),"İLERİ TARİH","UYGUN"))))</f>
        <v/>
      </c>
      <c r="N1290" s="6" t="n"/>
      <c r="O1290" s="6" t="n"/>
    </row>
    <row r="1291">
      <c r="A1291" s="6" t="n"/>
      <c r="B1291" s="112">
        <f>IF($C1291="","","T"&amp;TEXT(ROW()-6,"00000"))</f>
        <v/>
      </c>
      <c r="C1291" s="107" t="n"/>
      <c r="D1291" s="113">
        <f>IF($C1291="","",IFERROR(INDEX(MUSTERILER!$C$7:$C$106,MATCH($C1291,MUSTERILER!$B$7:$B$106,0)),"TANIMSIZ MÜŞTERİ"))</f>
        <v/>
      </c>
      <c r="E1291" s="114" t="n"/>
      <c r="F1291" s="115" t="n"/>
      <c r="G1291" s="107" t="n"/>
      <c r="H1291" s="107" t="n"/>
      <c r="I1291" s="108" t="n"/>
      <c r="J1291" s="108" t="n"/>
      <c r="K1291" s="108" t="n"/>
      <c r="L1291" s="119">
        <f>IF($E1291="","",DATE(YEAR($E1291),MONTH($E1291),1))</f>
        <v/>
      </c>
      <c r="M1291" s="112">
        <f>IF($C1291="","",IF($D1291="TANIMSIZ MÜŞTERİ","HATA",IF(OR($E1291="",$F1291&lt;=0,$G1291=""),"EKSİK",IF($E1291&gt;TODAY(),"İLERİ TARİH","UYGUN"))))</f>
        <v/>
      </c>
      <c r="N1291" s="6" t="n"/>
      <c r="O1291" s="6" t="n"/>
    </row>
    <row r="1292">
      <c r="A1292" s="6" t="n"/>
      <c r="B1292" s="112">
        <f>IF($C1292="","","T"&amp;TEXT(ROW()-6,"00000"))</f>
        <v/>
      </c>
      <c r="C1292" s="107" t="n"/>
      <c r="D1292" s="113">
        <f>IF($C1292="","",IFERROR(INDEX(MUSTERILER!$C$7:$C$106,MATCH($C1292,MUSTERILER!$B$7:$B$106,0)),"TANIMSIZ MÜŞTERİ"))</f>
        <v/>
      </c>
      <c r="E1292" s="114" t="n"/>
      <c r="F1292" s="115" t="n"/>
      <c r="G1292" s="107" t="n"/>
      <c r="H1292" s="107" t="n"/>
      <c r="I1292" s="108" t="n"/>
      <c r="J1292" s="108" t="n"/>
      <c r="K1292" s="108" t="n"/>
      <c r="L1292" s="119">
        <f>IF($E1292="","",DATE(YEAR($E1292),MONTH($E1292),1))</f>
        <v/>
      </c>
      <c r="M1292" s="112">
        <f>IF($C1292="","",IF($D1292="TANIMSIZ MÜŞTERİ","HATA",IF(OR($E1292="",$F1292&lt;=0,$G1292=""),"EKSİK",IF($E1292&gt;TODAY(),"İLERİ TARİH","UYGUN"))))</f>
        <v/>
      </c>
      <c r="N1292" s="6" t="n"/>
      <c r="O1292" s="6" t="n"/>
    </row>
    <row r="1293">
      <c r="A1293" s="6" t="n"/>
      <c r="B1293" s="112">
        <f>IF($C1293="","","T"&amp;TEXT(ROW()-6,"00000"))</f>
        <v/>
      </c>
      <c r="C1293" s="107" t="n"/>
      <c r="D1293" s="113">
        <f>IF($C1293="","",IFERROR(INDEX(MUSTERILER!$C$7:$C$106,MATCH($C1293,MUSTERILER!$B$7:$B$106,0)),"TANIMSIZ MÜŞTERİ"))</f>
        <v/>
      </c>
      <c r="E1293" s="114" t="n"/>
      <c r="F1293" s="115" t="n"/>
      <c r="G1293" s="107" t="n"/>
      <c r="H1293" s="107" t="n"/>
      <c r="I1293" s="108" t="n"/>
      <c r="J1293" s="108" t="n"/>
      <c r="K1293" s="108" t="n"/>
      <c r="L1293" s="119">
        <f>IF($E1293="","",DATE(YEAR($E1293),MONTH($E1293),1))</f>
        <v/>
      </c>
      <c r="M1293" s="112">
        <f>IF($C1293="","",IF($D1293="TANIMSIZ MÜŞTERİ","HATA",IF(OR($E1293="",$F1293&lt;=0,$G1293=""),"EKSİK",IF($E1293&gt;TODAY(),"İLERİ TARİH","UYGUN"))))</f>
        <v/>
      </c>
      <c r="N1293" s="6" t="n"/>
      <c r="O1293" s="6" t="n"/>
    </row>
    <row r="1294">
      <c r="A1294" s="6" t="n"/>
      <c r="B1294" s="112">
        <f>IF($C1294="","","T"&amp;TEXT(ROW()-6,"00000"))</f>
        <v/>
      </c>
      <c r="C1294" s="107" t="n"/>
      <c r="D1294" s="113">
        <f>IF($C1294="","",IFERROR(INDEX(MUSTERILER!$C$7:$C$106,MATCH($C1294,MUSTERILER!$B$7:$B$106,0)),"TANIMSIZ MÜŞTERİ"))</f>
        <v/>
      </c>
      <c r="E1294" s="114" t="n"/>
      <c r="F1294" s="115" t="n"/>
      <c r="G1294" s="107" t="n"/>
      <c r="H1294" s="107" t="n"/>
      <c r="I1294" s="108" t="n"/>
      <c r="J1294" s="108" t="n"/>
      <c r="K1294" s="108" t="n"/>
      <c r="L1294" s="119">
        <f>IF($E1294="","",DATE(YEAR($E1294),MONTH($E1294),1))</f>
        <v/>
      </c>
      <c r="M1294" s="112">
        <f>IF($C1294="","",IF($D1294="TANIMSIZ MÜŞTERİ","HATA",IF(OR($E1294="",$F1294&lt;=0,$G1294=""),"EKSİK",IF($E1294&gt;TODAY(),"İLERİ TARİH","UYGUN"))))</f>
        <v/>
      </c>
      <c r="N1294" s="6" t="n"/>
      <c r="O1294" s="6" t="n"/>
    </row>
    <row r="1295">
      <c r="A1295" s="6" t="n"/>
      <c r="B1295" s="112">
        <f>IF($C1295="","","T"&amp;TEXT(ROW()-6,"00000"))</f>
        <v/>
      </c>
      <c r="C1295" s="107" t="n"/>
      <c r="D1295" s="113">
        <f>IF($C1295="","",IFERROR(INDEX(MUSTERILER!$C$7:$C$106,MATCH($C1295,MUSTERILER!$B$7:$B$106,0)),"TANIMSIZ MÜŞTERİ"))</f>
        <v/>
      </c>
      <c r="E1295" s="114" t="n"/>
      <c r="F1295" s="115" t="n"/>
      <c r="G1295" s="107" t="n"/>
      <c r="H1295" s="107" t="n"/>
      <c r="I1295" s="108" t="n"/>
      <c r="J1295" s="108" t="n"/>
      <c r="K1295" s="108" t="n"/>
      <c r="L1295" s="119">
        <f>IF($E1295="","",DATE(YEAR($E1295),MONTH($E1295),1))</f>
        <v/>
      </c>
      <c r="M1295" s="112">
        <f>IF($C1295="","",IF($D1295="TANIMSIZ MÜŞTERİ","HATA",IF(OR($E1295="",$F1295&lt;=0,$G1295=""),"EKSİK",IF($E1295&gt;TODAY(),"İLERİ TARİH","UYGUN"))))</f>
        <v/>
      </c>
      <c r="N1295" s="6" t="n"/>
      <c r="O1295" s="6" t="n"/>
    </row>
    <row r="1296">
      <c r="A1296" s="6" t="n"/>
      <c r="B1296" s="112">
        <f>IF($C1296="","","T"&amp;TEXT(ROW()-6,"00000"))</f>
        <v/>
      </c>
      <c r="C1296" s="107" t="n"/>
      <c r="D1296" s="113">
        <f>IF($C1296="","",IFERROR(INDEX(MUSTERILER!$C$7:$C$106,MATCH($C1296,MUSTERILER!$B$7:$B$106,0)),"TANIMSIZ MÜŞTERİ"))</f>
        <v/>
      </c>
      <c r="E1296" s="114" t="n"/>
      <c r="F1296" s="115" t="n"/>
      <c r="G1296" s="107" t="n"/>
      <c r="H1296" s="107" t="n"/>
      <c r="I1296" s="108" t="n"/>
      <c r="J1296" s="108" t="n"/>
      <c r="K1296" s="108" t="n"/>
      <c r="L1296" s="119">
        <f>IF($E1296="","",DATE(YEAR($E1296),MONTH($E1296),1))</f>
        <v/>
      </c>
      <c r="M1296" s="112">
        <f>IF($C1296="","",IF($D1296="TANIMSIZ MÜŞTERİ","HATA",IF(OR($E1296="",$F1296&lt;=0,$G1296=""),"EKSİK",IF($E1296&gt;TODAY(),"İLERİ TARİH","UYGUN"))))</f>
        <v/>
      </c>
      <c r="N1296" s="6" t="n"/>
      <c r="O1296" s="6" t="n"/>
    </row>
    <row r="1297">
      <c r="A1297" s="6" t="n"/>
      <c r="B1297" s="112">
        <f>IF($C1297="","","T"&amp;TEXT(ROW()-6,"00000"))</f>
        <v/>
      </c>
      <c r="C1297" s="107" t="n"/>
      <c r="D1297" s="113">
        <f>IF($C1297="","",IFERROR(INDEX(MUSTERILER!$C$7:$C$106,MATCH($C1297,MUSTERILER!$B$7:$B$106,0)),"TANIMSIZ MÜŞTERİ"))</f>
        <v/>
      </c>
      <c r="E1297" s="114" t="n"/>
      <c r="F1297" s="115" t="n"/>
      <c r="G1297" s="107" t="n"/>
      <c r="H1297" s="107" t="n"/>
      <c r="I1297" s="108" t="n"/>
      <c r="J1297" s="108" t="n"/>
      <c r="K1297" s="108" t="n"/>
      <c r="L1297" s="119">
        <f>IF($E1297="","",DATE(YEAR($E1297),MONTH($E1297),1))</f>
        <v/>
      </c>
      <c r="M1297" s="112">
        <f>IF($C1297="","",IF($D1297="TANIMSIZ MÜŞTERİ","HATA",IF(OR($E1297="",$F1297&lt;=0,$G1297=""),"EKSİK",IF($E1297&gt;TODAY(),"İLERİ TARİH","UYGUN"))))</f>
        <v/>
      </c>
      <c r="N1297" s="6" t="n"/>
      <c r="O1297" s="6" t="n"/>
    </row>
    <row r="1298">
      <c r="A1298" s="6" t="n"/>
      <c r="B1298" s="112">
        <f>IF($C1298="","","T"&amp;TEXT(ROW()-6,"00000"))</f>
        <v/>
      </c>
      <c r="C1298" s="107" t="n"/>
      <c r="D1298" s="113">
        <f>IF($C1298="","",IFERROR(INDEX(MUSTERILER!$C$7:$C$106,MATCH($C1298,MUSTERILER!$B$7:$B$106,0)),"TANIMSIZ MÜŞTERİ"))</f>
        <v/>
      </c>
      <c r="E1298" s="114" t="n"/>
      <c r="F1298" s="115" t="n"/>
      <c r="G1298" s="107" t="n"/>
      <c r="H1298" s="107" t="n"/>
      <c r="I1298" s="108" t="n"/>
      <c r="J1298" s="108" t="n"/>
      <c r="K1298" s="108" t="n"/>
      <c r="L1298" s="119">
        <f>IF($E1298="","",DATE(YEAR($E1298),MONTH($E1298),1))</f>
        <v/>
      </c>
      <c r="M1298" s="112">
        <f>IF($C1298="","",IF($D1298="TANIMSIZ MÜŞTERİ","HATA",IF(OR($E1298="",$F1298&lt;=0,$G1298=""),"EKSİK",IF($E1298&gt;TODAY(),"İLERİ TARİH","UYGUN"))))</f>
        <v/>
      </c>
      <c r="N1298" s="6" t="n"/>
      <c r="O1298" s="6" t="n"/>
    </row>
    <row r="1299">
      <c r="A1299" s="6" t="n"/>
      <c r="B1299" s="112">
        <f>IF($C1299="","","T"&amp;TEXT(ROW()-6,"00000"))</f>
        <v/>
      </c>
      <c r="C1299" s="107" t="n"/>
      <c r="D1299" s="113">
        <f>IF($C1299="","",IFERROR(INDEX(MUSTERILER!$C$7:$C$106,MATCH($C1299,MUSTERILER!$B$7:$B$106,0)),"TANIMSIZ MÜŞTERİ"))</f>
        <v/>
      </c>
      <c r="E1299" s="114" t="n"/>
      <c r="F1299" s="115" t="n"/>
      <c r="G1299" s="107" t="n"/>
      <c r="H1299" s="107" t="n"/>
      <c r="I1299" s="108" t="n"/>
      <c r="J1299" s="108" t="n"/>
      <c r="K1299" s="108" t="n"/>
      <c r="L1299" s="119">
        <f>IF($E1299="","",DATE(YEAR($E1299),MONTH($E1299),1))</f>
        <v/>
      </c>
      <c r="M1299" s="112">
        <f>IF($C1299="","",IF($D1299="TANIMSIZ MÜŞTERİ","HATA",IF(OR($E1299="",$F1299&lt;=0,$G1299=""),"EKSİK",IF($E1299&gt;TODAY(),"İLERİ TARİH","UYGUN"))))</f>
        <v/>
      </c>
      <c r="N1299" s="6" t="n"/>
      <c r="O1299" s="6" t="n"/>
    </row>
    <row r="1300">
      <c r="A1300" s="6" t="n"/>
      <c r="B1300" s="112">
        <f>IF($C1300="","","T"&amp;TEXT(ROW()-6,"00000"))</f>
        <v/>
      </c>
      <c r="C1300" s="107" t="n"/>
      <c r="D1300" s="113">
        <f>IF($C1300="","",IFERROR(INDEX(MUSTERILER!$C$7:$C$106,MATCH($C1300,MUSTERILER!$B$7:$B$106,0)),"TANIMSIZ MÜŞTERİ"))</f>
        <v/>
      </c>
      <c r="E1300" s="114" t="n"/>
      <c r="F1300" s="115" t="n"/>
      <c r="G1300" s="107" t="n"/>
      <c r="H1300" s="107" t="n"/>
      <c r="I1300" s="108" t="n"/>
      <c r="J1300" s="108" t="n"/>
      <c r="K1300" s="108" t="n"/>
      <c r="L1300" s="119">
        <f>IF($E1300="","",DATE(YEAR($E1300),MONTH($E1300),1))</f>
        <v/>
      </c>
      <c r="M1300" s="112">
        <f>IF($C1300="","",IF($D1300="TANIMSIZ MÜŞTERİ","HATA",IF(OR($E1300="",$F1300&lt;=0,$G1300=""),"EKSİK",IF($E1300&gt;TODAY(),"İLERİ TARİH","UYGUN"))))</f>
        <v/>
      </c>
      <c r="N1300" s="6" t="n"/>
      <c r="O1300" s="6" t="n"/>
    </row>
    <row r="1301">
      <c r="A1301" s="6" t="n"/>
      <c r="B1301" s="112">
        <f>IF($C1301="","","T"&amp;TEXT(ROW()-6,"00000"))</f>
        <v/>
      </c>
      <c r="C1301" s="107" t="n"/>
      <c r="D1301" s="113">
        <f>IF($C1301="","",IFERROR(INDEX(MUSTERILER!$C$7:$C$106,MATCH($C1301,MUSTERILER!$B$7:$B$106,0)),"TANIMSIZ MÜŞTERİ"))</f>
        <v/>
      </c>
      <c r="E1301" s="114" t="n"/>
      <c r="F1301" s="115" t="n"/>
      <c r="G1301" s="107" t="n"/>
      <c r="H1301" s="107" t="n"/>
      <c r="I1301" s="108" t="n"/>
      <c r="J1301" s="108" t="n"/>
      <c r="K1301" s="108" t="n"/>
      <c r="L1301" s="119">
        <f>IF($E1301="","",DATE(YEAR($E1301),MONTH($E1301),1))</f>
        <v/>
      </c>
      <c r="M1301" s="112">
        <f>IF($C1301="","",IF($D1301="TANIMSIZ MÜŞTERİ","HATA",IF(OR($E1301="",$F1301&lt;=0,$G1301=""),"EKSİK",IF($E1301&gt;TODAY(),"İLERİ TARİH","UYGUN"))))</f>
        <v/>
      </c>
      <c r="N1301" s="6" t="n"/>
      <c r="O1301" s="6" t="n"/>
    </row>
    <row r="1302">
      <c r="A1302" s="6" t="n"/>
      <c r="B1302" s="112">
        <f>IF($C1302="","","T"&amp;TEXT(ROW()-6,"00000"))</f>
        <v/>
      </c>
      <c r="C1302" s="107" t="n"/>
      <c r="D1302" s="113">
        <f>IF($C1302="","",IFERROR(INDEX(MUSTERILER!$C$7:$C$106,MATCH($C1302,MUSTERILER!$B$7:$B$106,0)),"TANIMSIZ MÜŞTERİ"))</f>
        <v/>
      </c>
      <c r="E1302" s="114" t="n"/>
      <c r="F1302" s="115" t="n"/>
      <c r="G1302" s="107" t="n"/>
      <c r="H1302" s="107" t="n"/>
      <c r="I1302" s="108" t="n"/>
      <c r="J1302" s="108" t="n"/>
      <c r="K1302" s="108" t="n"/>
      <c r="L1302" s="119">
        <f>IF($E1302="","",DATE(YEAR($E1302),MONTH($E1302),1))</f>
        <v/>
      </c>
      <c r="M1302" s="112">
        <f>IF($C1302="","",IF($D1302="TANIMSIZ MÜŞTERİ","HATA",IF(OR($E1302="",$F1302&lt;=0,$G1302=""),"EKSİK",IF($E1302&gt;TODAY(),"İLERİ TARİH","UYGUN"))))</f>
        <v/>
      </c>
      <c r="N1302" s="6" t="n"/>
      <c r="O1302" s="6" t="n"/>
    </row>
    <row r="1303">
      <c r="A1303" s="6" t="n"/>
      <c r="B1303" s="112">
        <f>IF($C1303="","","T"&amp;TEXT(ROW()-6,"00000"))</f>
        <v/>
      </c>
      <c r="C1303" s="107" t="n"/>
      <c r="D1303" s="113">
        <f>IF($C1303="","",IFERROR(INDEX(MUSTERILER!$C$7:$C$106,MATCH($C1303,MUSTERILER!$B$7:$B$106,0)),"TANIMSIZ MÜŞTERİ"))</f>
        <v/>
      </c>
      <c r="E1303" s="114" t="n"/>
      <c r="F1303" s="115" t="n"/>
      <c r="G1303" s="107" t="n"/>
      <c r="H1303" s="107" t="n"/>
      <c r="I1303" s="108" t="n"/>
      <c r="J1303" s="108" t="n"/>
      <c r="K1303" s="108" t="n"/>
      <c r="L1303" s="119">
        <f>IF($E1303="","",DATE(YEAR($E1303),MONTH($E1303),1))</f>
        <v/>
      </c>
      <c r="M1303" s="112">
        <f>IF($C1303="","",IF($D1303="TANIMSIZ MÜŞTERİ","HATA",IF(OR($E1303="",$F1303&lt;=0,$G1303=""),"EKSİK",IF($E1303&gt;TODAY(),"İLERİ TARİH","UYGUN"))))</f>
        <v/>
      </c>
      <c r="N1303" s="6" t="n"/>
      <c r="O1303" s="6" t="n"/>
    </row>
    <row r="1304">
      <c r="A1304" s="6" t="n"/>
      <c r="B1304" s="112">
        <f>IF($C1304="","","T"&amp;TEXT(ROW()-6,"00000"))</f>
        <v/>
      </c>
      <c r="C1304" s="107" t="n"/>
      <c r="D1304" s="113">
        <f>IF($C1304="","",IFERROR(INDEX(MUSTERILER!$C$7:$C$106,MATCH($C1304,MUSTERILER!$B$7:$B$106,0)),"TANIMSIZ MÜŞTERİ"))</f>
        <v/>
      </c>
      <c r="E1304" s="114" t="n"/>
      <c r="F1304" s="115" t="n"/>
      <c r="G1304" s="107" t="n"/>
      <c r="H1304" s="107" t="n"/>
      <c r="I1304" s="108" t="n"/>
      <c r="J1304" s="108" t="n"/>
      <c r="K1304" s="108" t="n"/>
      <c r="L1304" s="119">
        <f>IF($E1304="","",DATE(YEAR($E1304),MONTH($E1304),1))</f>
        <v/>
      </c>
      <c r="M1304" s="112">
        <f>IF($C1304="","",IF($D1304="TANIMSIZ MÜŞTERİ","HATA",IF(OR($E1304="",$F1304&lt;=0,$G1304=""),"EKSİK",IF($E1304&gt;TODAY(),"İLERİ TARİH","UYGUN"))))</f>
        <v/>
      </c>
      <c r="N1304" s="6" t="n"/>
      <c r="O1304" s="6" t="n"/>
    </row>
    <row r="1305">
      <c r="A1305" s="6" t="n"/>
      <c r="B1305" s="112">
        <f>IF($C1305="","","T"&amp;TEXT(ROW()-6,"00000"))</f>
        <v/>
      </c>
      <c r="C1305" s="107" t="n"/>
      <c r="D1305" s="113">
        <f>IF($C1305="","",IFERROR(INDEX(MUSTERILER!$C$7:$C$106,MATCH($C1305,MUSTERILER!$B$7:$B$106,0)),"TANIMSIZ MÜŞTERİ"))</f>
        <v/>
      </c>
      <c r="E1305" s="114" t="n"/>
      <c r="F1305" s="115" t="n"/>
      <c r="G1305" s="107" t="n"/>
      <c r="H1305" s="107" t="n"/>
      <c r="I1305" s="108" t="n"/>
      <c r="J1305" s="108" t="n"/>
      <c r="K1305" s="108" t="n"/>
      <c r="L1305" s="119">
        <f>IF($E1305="","",DATE(YEAR($E1305),MONTH($E1305),1))</f>
        <v/>
      </c>
      <c r="M1305" s="112">
        <f>IF($C1305="","",IF($D1305="TANIMSIZ MÜŞTERİ","HATA",IF(OR($E1305="",$F1305&lt;=0,$G1305=""),"EKSİK",IF($E1305&gt;TODAY(),"İLERİ TARİH","UYGUN"))))</f>
        <v/>
      </c>
      <c r="N1305" s="6" t="n"/>
      <c r="O1305" s="6" t="n"/>
    </row>
    <row r="1306">
      <c r="A1306" s="6" t="n"/>
      <c r="B1306" s="112">
        <f>IF($C1306="","","T"&amp;TEXT(ROW()-6,"00000"))</f>
        <v/>
      </c>
      <c r="C1306" s="107" t="n"/>
      <c r="D1306" s="113">
        <f>IF($C1306="","",IFERROR(INDEX(MUSTERILER!$C$7:$C$106,MATCH($C1306,MUSTERILER!$B$7:$B$106,0)),"TANIMSIZ MÜŞTERİ"))</f>
        <v/>
      </c>
      <c r="E1306" s="114" t="n"/>
      <c r="F1306" s="115" t="n"/>
      <c r="G1306" s="107" t="n"/>
      <c r="H1306" s="107" t="n"/>
      <c r="I1306" s="108" t="n"/>
      <c r="J1306" s="108" t="n"/>
      <c r="K1306" s="108" t="n"/>
      <c r="L1306" s="119">
        <f>IF($E1306="","",DATE(YEAR($E1306),MONTH($E1306),1))</f>
        <v/>
      </c>
      <c r="M1306" s="112">
        <f>IF($C1306="","",IF($D1306="TANIMSIZ MÜŞTERİ","HATA",IF(OR($E1306="",$F1306&lt;=0,$G1306=""),"EKSİK",IF($E1306&gt;TODAY(),"İLERİ TARİH","UYGUN"))))</f>
        <v/>
      </c>
      <c r="N1306" s="6" t="n"/>
      <c r="O1306" s="6" t="n"/>
    </row>
    <row r="1307">
      <c r="A1307" s="6" t="n"/>
      <c r="B1307" s="112">
        <f>IF($C1307="","","T"&amp;TEXT(ROW()-6,"00000"))</f>
        <v/>
      </c>
      <c r="C1307" s="107" t="n"/>
      <c r="D1307" s="113">
        <f>IF($C1307="","",IFERROR(INDEX(MUSTERILER!$C$7:$C$106,MATCH($C1307,MUSTERILER!$B$7:$B$106,0)),"TANIMSIZ MÜŞTERİ"))</f>
        <v/>
      </c>
      <c r="E1307" s="114" t="n"/>
      <c r="F1307" s="115" t="n"/>
      <c r="G1307" s="107" t="n"/>
      <c r="H1307" s="107" t="n"/>
      <c r="I1307" s="108" t="n"/>
      <c r="J1307" s="108" t="n"/>
      <c r="K1307" s="108" t="n"/>
      <c r="L1307" s="119">
        <f>IF($E1307="","",DATE(YEAR($E1307),MONTH($E1307),1))</f>
        <v/>
      </c>
      <c r="M1307" s="112">
        <f>IF($C1307="","",IF($D1307="TANIMSIZ MÜŞTERİ","HATA",IF(OR($E1307="",$F1307&lt;=0,$G1307=""),"EKSİK",IF($E1307&gt;TODAY(),"İLERİ TARİH","UYGUN"))))</f>
        <v/>
      </c>
      <c r="N1307" s="6" t="n"/>
      <c r="O1307" s="6" t="n"/>
    </row>
    <row r="1308">
      <c r="A1308" s="6" t="n"/>
      <c r="B1308" s="112">
        <f>IF($C1308="","","T"&amp;TEXT(ROW()-6,"00000"))</f>
        <v/>
      </c>
      <c r="C1308" s="107" t="n"/>
      <c r="D1308" s="113">
        <f>IF($C1308="","",IFERROR(INDEX(MUSTERILER!$C$7:$C$106,MATCH($C1308,MUSTERILER!$B$7:$B$106,0)),"TANIMSIZ MÜŞTERİ"))</f>
        <v/>
      </c>
      <c r="E1308" s="114" t="n"/>
      <c r="F1308" s="115" t="n"/>
      <c r="G1308" s="107" t="n"/>
      <c r="H1308" s="107" t="n"/>
      <c r="I1308" s="108" t="n"/>
      <c r="J1308" s="108" t="n"/>
      <c r="K1308" s="108" t="n"/>
      <c r="L1308" s="119">
        <f>IF($E1308="","",DATE(YEAR($E1308),MONTH($E1308),1))</f>
        <v/>
      </c>
      <c r="M1308" s="112">
        <f>IF($C1308="","",IF($D1308="TANIMSIZ MÜŞTERİ","HATA",IF(OR($E1308="",$F1308&lt;=0,$G1308=""),"EKSİK",IF($E1308&gt;TODAY(),"İLERİ TARİH","UYGUN"))))</f>
        <v/>
      </c>
      <c r="N1308" s="6" t="n"/>
      <c r="O1308" s="6" t="n"/>
    </row>
    <row r="1309">
      <c r="A1309" s="6" t="n"/>
      <c r="B1309" s="112">
        <f>IF($C1309="","","T"&amp;TEXT(ROW()-6,"00000"))</f>
        <v/>
      </c>
      <c r="C1309" s="107" t="n"/>
      <c r="D1309" s="113">
        <f>IF($C1309="","",IFERROR(INDEX(MUSTERILER!$C$7:$C$106,MATCH($C1309,MUSTERILER!$B$7:$B$106,0)),"TANIMSIZ MÜŞTERİ"))</f>
        <v/>
      </c>
      <c r="E1309" s="114" t="n"/>
      <c r="F1309" s="115" t="n"/>
      <c r="G1309" s="107" t="n"/>
      <c r="H1309" s="107" t="n"/>
      <c r="I1309" s="108" t="n"/>
      <c r="J1309" s="108" t="n"/>
      <c r="K1309" s="108" t="n"/>
      <c r="L1309" s="119">
        <f>IF($E1309="","",DATE(YEAR($E1309),MONTH($E1309),1))</f>
        <v/>
      </c>
      <c r="M1309" s="112">
        <f>IF($C1309="","",IF($D1309="TANIMSIZ MÜŞTERİ","HATA",IF(OR($E1309="",$F1309&lt;=0,$G1309=""),"EKSİK",IF($E1309&gt;TODAY(),"İLERİ TARİH","UYGUN"))))</f>
        <v/>
      </c>
      <c r="N1309" s="6" t="n"/>
      <c r="O1309" s="6" t="n"/>
    </row>
    <row r="1310">
      <c r="A1310" s="6" t="n"/>
      <c r="B1310" s="112">
        <f>IF($C1310="","","T"&amp;TEXT(ROW()-6,"00000"))</f>
        <v/>
      </c>
      <c r="C1310" s="107" t="n"/>
      <c r="D1310" s="113">
        <f>IF($C1310="","",IFERROR(INDEX(MUSTERILER!$C$7:$C$106,MATCH($C1310,MUSTERILER!$B$7:$B$106,0)),"TANIMSIZ MÜŞTERİ"))</f>
        <v/>
      </c>
      <c r="E1310" s="114" t="n"/>
      <c r="F1310" s="115" t="n"/>
      <c r="G1310" s="107" t="n"/>
      <c r="H1310" s="107" t="n"/>
      <c r="I1310" s="108" t="n"/>
      <c r="J1310" s="108" t="n"/>
      <c r="K1310" s="108" t="n"/>
      <c r="L1310" s="119">
        <f>IF($E1310="","",DATE(YEAR($E1310),MONTH($E1310),1))</f>
        <v/>
      </c>
      <c r="M1310" s="112">
        <f>IF($C1310="","",IF($D1310="TANIMSIZ MÜŞTERİ","HATA",IF(OR($E1310="",$F1310&lt;=0,$G1310=""),"EKSİK",IF($E1310&gt;TODAY(),"İLERİ TARİH","UYGUN"))))</f>
        <v/>
      </c>
      <c r="N1310" s="6" t="n"/>
      <c r="O1310" s="6" t="n"/>
    </row>
    <row r="1311">
      <c r="A1311" s="6" t="n"/>
      <c r="B1311" s="112">
        <f>IF($C1311="","","T"&amp;TEXT(ROW()-6,"00000"))</f>
        <v/>
      </c>
      <c r="C1311" s="107" t="n"/>
      <c r="D1311" s="113">
        <f>IF($C1311="","",IFERROR(INDEX(MUSTERILER!$C$7:$C$106,MATCH($C1311,MUSTERILER!$B$7:$B$106,0)),"TANIMSIZ MÜŞTERİ"))</f>
        <v/>
      </c>
      <c r="E1311" s="114" t="n"/>
      <c r="F1311" s="115" t="n"/>
      <c r="G1311" s="107" t="n"/>
      <c r="H1311" s="107" t="n"/>
      <c r="I1311" s="108" t="n"/>
      <c r="J1311" s="108" t="n"/>
      <c r="K1311" s="108" t="n"/>
      <c r="L1311" s="119">
        <f>IF($E1311="","",DATE(YEAR($E1311),MONTH($E1311),1))</f>
        <v/>
      </c>
      <c r="M1311" s="112">
        <f>IF($C1311="","",IF($D1311="TANIMSIZ MÜŞTERİ","HATA",IF(OR($E1311="",$F1311&lt;=0,$G1311=""),"EKSİK",IF($E1311&gt;TODAY(),"İLERİ TARİH","UYGUN"))))</f>
        <v/>
      </c>
      <c r="N1311" s="6" t="n"/>
      <c r="O1311" s="6" t="n"/>
    </row>
    <row r="1312">
      <c r="A1312" s="6" t="n"/>
      <c r="B1312" s="112">
        <f>IF($C1312="","","T"&amp;TEXT(ROW()-6,"00000"))</f>
        <v/>
      </c>
      <c r="C1312" s="107" t="n"/>
      <c r="D1312" s="113">
        <f>IF($C1312="","",IFERROR(INDEX(MUSTERILER!$C$7:$C$106,MATCH($C1312,MUSTERILER!$B$7:$B$106,0)),"TANIMSIZ MÜŞTERİ"))</f>
        <v/>
      </c>
      <c r="E1312" s="114" t="n"/>
      <c r="F1312" s="115" t="n"/>
      <c r="G1312" s="107" t="n"/>
      <c r="H1312" s="107" t="n"/>
      <c r="I1312" s="108" t="n"/>
      <c r="J1312" s="108" t="n"/>
      <c r="K1312" s="108" t="n"/>
      <c r="L1312" s="119">
        <f>IF($E1312="","",DATE(YEAR($E1312),MONTH($E1312),1))</f>
        <v/>
      </c>
      <c r="M1312" s="112">
        <f>IF($C1312="","",IF($D1312="TANIMSIZ MÜŞTERİ","HATA",IF(OR($E1312="",$F1312&lt;=0,$G1312=""),"EKSİK",IF($E1312&gt;TODAY(),"İLERİ TARİH","UYGUN"))))</f>
        <v/>
      </c>
      <c r="N1312" s="6" t="n"/>
      <c r="O1312" s="6" t="n"/>
    </row>
    <row r="1313">
      <c r="A1313" s="6" t="n"/>
      <c r="B1313" s="112">
        <f>IF($C1313="","","T"&amp;TEXT(ROW()-6,"00000"))</f>
        <v/>
      </c>
      <c r="C1313" s="107" t="n"/>
      <c r="D1313" s="113">
        <f>IF($C1313="","",IFERROR(INDEX(MUSTERILER!$C$7:$C$106,MATCH($C1313,MUSTERILER!$B$7:$B$106,0)),"TANIMSIZ MÜŞTERİ"))</f>
        <v/>
      </c>
      <c r="E1313" s="114" t="n"/>
      <c r="F1313" s="115" t="n"/>
      <c r="G1313" s="107" t="n"/>
      <c r="H1313" s="107" t="n"/>
      <c r="I1313" s="108" t="n"/>
      <c r="J1313" s="108" t="n"/>
      <c r="K1313" s="108" t="n"/>
      <c r="L1313" s="119">
        <f>IF($E1313="","",DATE(YEAR($E1313),MONTH($E1313),1))</f>
        <v/>
      </c>
      <c r="M1313" s="112">
        <f>IF($C1313="","",IF($D1313="TANIMSIZ MÜŞTERİ","HATA",IF(OR($E1313="",$F1313&lt;=0,$G1313=""),"EKSİK",IF($E1313&gt;TODAY(),"İLERİ TARİH","UYGUN"))))</f>
        <v/>
      </c>
      <c r="N1313" s="6" t="n"/>
      <c r="O1313" s="6" t="n"/>
    </row>
    <row r="1314">
      <c r="A1314" s="6" t="n"/>
      <c r="B1314" s="112">
        <f>IF($C1314="","","T"&amp;TEXT(ROW()-6,"00000"))</f>
        <v/>
      </c>
      <c r="C1314" s="107" t="n"/>
      <c r="D1314" s="113">
        <f>IF($C1314="","",IFERROR(INDEX(MUSTERILER!$C$7:$C$106,MATCH($C1314,MUSTERILER!$B$7:$B$106,0)),"TANIMSIZ MÜŞTERİ"))</f>
        <v/>
      </c>
      <c r="E1314" s="114" t="n"/>
      <c r="F1314" s="115" t="n"/>
      <c r="G1314" s="107" t="n"/>
      <c r="H1314" s="107" t="n"/>
      <c r="I1314" s="108" t="n"/>
      <c r="J1314" s="108" t="n"/>
      <c r="K1314" s="108" t="n"/>
      <c r="L1314" s="119">
        <f>IF($E1314="","",DATE(YEAR($E1314),MONTH($E1314),1))</f>
        <v/>
      </c>
      <c r="M1314" s="112">
        <f>IF($C1314="","",IF($D1314="TANIMSIZ MÜŞTERİ","HATA",IF(OR($E1314="",$F1314&lt;=0,$G1314=""),"EKSİK",IF($E1314&gt;TODAY(),"İLERİ TARİH","UYGUN"))))</f>
        <v/>
      </c>
      <c r="N1314" s="6" t="n"/>
      <c r="O1314" s="6" t="n"/>
    </row>
    <row r="1315">
      <c r="A1315" s="6" t="n"/>
      <c r="B1315" s="112">
        <f>IF($C1315="","","T"&amp;TEXT(ROW()-6,"00000"))</f>
        <v/>
      </c>
      <c r="C1315" s="107" t="n"/>
      <c r="D1315" s="113">
        <f>IF($C1315="","",IFERROR(INDEX(MUSTERILER!$C$7:$C$106,MATCH($C1315,MUSTERILER!$B$7:$B$106,0)),"TANIMSIZ MÜŞTERİ"))</f>
        <v/>
      </c>
      <c r="E1315" s="114" t="n"/>
      <c r="F1315" s="115" t="n"/>
      <c r="G1315" s="107" t="n"/>
      <c r="H1315" s="107" t="n"/>
      <c r="I1315" s="108" t="n"/>
      <c r="J1315" s="108" t="n"/>
      <c r="K1315" s="108" t="n"/>
      <c r="L1315" s="119">
        <f>IF($E1315="","",DATE(YEAR($E1315),MONTH($E1315),1))</f>
        <v/>
      </c>
      <c r="M1315" s="112">
        <f>IF($C1315="","",IF($D1315="TANIMSIZ MÜŞTERİ","HATA",IF(OR($E1315="",$F1315&lt;=0,$G1315=""),"EKSİK",IF($E1315&gt;TODAY(),"İLERİ TARİH","UYGUN"))))</f>
        <v/>
      </c>
      <c r="N1315" s="6" t="n"/>
      <c r="O1315" s="6" t="n"/>
    </row>
    <row r="1316">
      <c r="A1316" s="6" t="n"/>
      <c r="B1316" s="112">
        <f>IF($C1316="","","T"&amp;TEXT(ROW()-6,"00000"))</f>
        <v/>
      </c>
      <c r="C1316" s="107" t="n"/>
      <c r="D1316" s="113">
        <f>IF($C1316="","",IFERROR(INDEX(MUSTERILER!$C$7:$C$106,MATCH($C1316,MUSTERILER!$B$7:$B$106,0)),"TANIMSIZ MÜŞTERİ"))</f>
        <v/>
      </c>
      <c r="E1316" s="114" t="n"/>
      <c r="F1316" s="115" t="n"/>
      <c r="G1316" s="107" t="n"/>
      <c r="H1316" s="107" t="n"/>
      <c r="I1316" s="108" t="n"/>
      <c r="J1316" s="108" t="n"/>
      <c r="K1316" s="108" t="n"/>
      <c r="L1316" s="119">
        <f>IF($E1316="","",DATE(YEAR($E1316),MONTH($E1316),1))</f>
        <v/>
      </c>
      <c r="M1316" s="112">
        <f>IF($C1316="","",IF($D1316="TANIMSIZ MÜŞTERİ","HATA",IF(OR($E1316="",$F1316&lt;=0,$G1316=""),"EKSİK",IF($E1316&gt;TODAY(),"İLERİ TARİH","UYGUN"))))</f>
        <v/>
      </c>
      <c r="N1316" s="6" t="n"/>
      <c r="O1316" s="6" t="n"/>
    </row>
    <row r="1317">
      <c r="A1317" s="6" t="n"/>
      <c r="B1317" s="112">
        <f>IF($C1317="","","T"&amp;TEXT(ROW()-6,"00000"))</f>
        <v/>
      </c>
      <c r="C1317" s="107" t="n"/>
      <c r="D1317" s="113">
        <f>IF($C1317="","",IFERROR(INDEX(MUSTERILER!$C$7:$C$106,MATCH($C1317,MUSTERILER!$B$7:$B$106,0)),"TANIMSIZ MÜŞTERİ"))</f>
        <v/>
      </c>
      <c r="E1317" s="114" t="n"/>
      <c r="F1317" s="115" t="n"/>
      <c r="G1317" s="107" t="n"/>
      <c r="H1317" s="107" t="n"/>
      <c r="I1317" s="108" t="n"/>
      <c r="J1317" s="108" t="n"/>
      <c r="K1317" s="108" t="n"/>
      <c r="L1317" s="119">
        <f>IF($E1317="","",DATE(YEAR($E1317),MONTH($E1317),1))</f>
        <v/>
      </c>
      <c r="M1317" s="112">
        <f>IF($C1317="","",IF($D1317="TANIMSIZ MÜŞTERİ","HATA",IF(OR($E1317="",$F1317&lt;=0,$G1317=""),"EKSİK",IF($E1317&gt;TODAY(),"İLERİ TARİH","UYGUN"))))</f>
        <v/>
      </c>
      <c r="N1317" s="6" t="n"/>
      <c r="O1317" s="6" t="n"/>
    </row>
    <row r="1318">
      <c r="A1318" s="6" t="n"/>
      <c r="B1318" s="112">
        <f>IF($C1318="","","T"&amp;TEXT(ROW()-6,"00000"))</f>
        <v/>
      </c>
      <c r="C1318" s="107" t="n"/>
      <c r="D1318" s="113">
        <f>IF($C1318="","",IFERROR(INDEX(MUSTERILER!$C$7:$C$106,MATCH($C1318,MUSTERILER!$B$7:$B$106,0)),"TANIMSIZ MÜŞTERİ"))</f>
        <v/>
      </c>
      <c r="E1318" s="114" t="n"/>
      <c r="F1318" s="115" t="n"/>
      <c r="G1318" s="107" t="n"/>
      <c r="H1318" s="107" t="n"/>
      <c r="I1318" s="108" t="n"/>
      <c r="J1318" s="108" t="n"/>
      <c r="K1318" s="108" t="n"/>
      <c r="L1318" s="119">
        <f>IF($E1318="","",DATE(YEAR($E1318),MONTH($E1318),1))</f>
        <v/>
      </c>
      <c r="M1318" s="112">
        <f>IF($C1318="","",IF($D1318="TANIMSIZ MÜŞTERİ","HATA",IF(OR($E1318="",$F1318&lt;=0,$G1318=""),"EKSİK",IF($E1318&gt;TODAY(),"İLERİ TARİH","UYGUN"))))</f>
        <v/>
      </c>
      <c r="N1318" s="6" t="n"/>
      <c r="O1318" s="6" t="n"/>
    </row>
    <row r="1319">
      <c r="A1319" s="6" t="n"/>
      <c r="B1319" s="112">
        <f>IF($C1319="","","T"&amp;TEXT(ROW()-6,"00000"))</f>
        <v/>
      </c>
      <c r="C1319" s="107" t="n"/>
      <c r="D1319" s="113">
        <f>IF($C1319="","",IFERROR(INDEX(MUSTERILER!$C$7:$C$106,MATCH($C1319,MUSTERILER!$B$7:$B$106,0)),"TANIMSIZ MÜŞTERİ"))</f>
        <v/>
      </c>
      <c r="E1319" s="114" t="n"/>
      <c r="F1319" s="115" t="n"/>
      <c r="G1319" s="107" t="n"/>
      <c r="H1319" s="107" t="n"/>
      <c r="I1319" s="108" t="n"/>
      <c r="J1319" s="108" t="n"/>
      <c r="K1319" s="108" t="n"/>
      <c r="L1319" s="119">
        <f>IF($E1319="","",DATE(YEAR($E1319),MONTH($E1319),1))</f>
        <v/>
      </c>
      <c r="M1319" s="112">
        <f>IF($C1319="","",IF($D1319="TANIMSIZ MÜŞTERİ","HATA",IF(OR($E1319="",$F1319&lt;=0,$G1319=""),"EKSİK",IF($E1319&gt;TODAY(),"İLERİ TARİH","UYGUN"))))</f>
        <v/>
      </c>
      <c r="N1319" s="6" t="n"/>
      <c r="O1319" s="6" t="n"/>
    </row>
    <row r="1320">
      <c r="A1320" s="6" t="n"/>
      <c r="B1320" s="112">
        <f>IF($C1320="","","T"&amp;TEXT(ROW()-6,"00000"))</f>
        <v/>
      </c>
      <c r="C1320" s="107" t="n"/>
      <c r="D1320" s="113">
        <f>IF($C1320="","",IFERROR(INDEX(MUSTERILER!$C$7:$C$106,MATCH($C1320,MUSTERILER!$B$7:$B$106,0)),"TANIMSIZ MÜŞTERİ"))</f>
        <v/>
      </c>
      <c r="E1320" s="114" t="n"/>
      <c r="F1320" s="115" t="n"/>
      <c r="G1320" s="107" t="n"/>
      <c r="H1320" s="107" t="n"/>
      <c r="I1320" s="108" t="n"/>
      <c r="J1320" s="108" t="n"/>
      <c r="K1320" s="108" t="n"/>
      <c r="L1320" s="119">
        <f>IF($E1320="","",DATE(YEAR($E1320),MONTH($E1320),1))</f>
        <v/>
      </c>
      <c r="M1320" s="112">
        <f>IF($C1320="","",IF($D1320="TANIMSIZ MÜŞTERİ","HATA",IF(OR($E1320="",$F1320&lt;=0,$G1320=""),"EKSİK",IF($E1320&gt;TODAY(),"İLERİ TARİH","UYGUN"))))</f>
        <v/>
      </c>
      <c r="N1320" s="6" t="n"/>
      <c r="O1320" s="6" t="n"/>
    </row>
    <row r="1321">
      <c r="A1321" s="6" t="n"/>
      <c r="B1321" s="112">
        <f>IF($C1321="","","T"&amp;TEXT(ROW()-6,"00000"))</f>
        <v/>
      </c>
      <c r="C1321" s="107" t="n"/>
      <c r="D1321" s="113">
        <f>IF($C1321="","",IFERROR(INDEX(MUSTERILER!$C$7:$C$106,MATCH($C1321,MUSTERILER!$B$7:$B$106,0)),"TANIMSIZ MÜŞTERİ"))</f>
        <v/>
      </c>
      <c r="E1321" s="114" t="n"/>
      <c r="F1321" s="115" t="n"/>
      <c r="G1321" s="107" t="n"/>
      <c r="H1321" s="107" t="n"/>
      <c r="I1321" s="108" t="n"/>
      <c r="J1321" s="108" t="n"/>
      <c r="K1321" s="108" t="n"/>
      <c r="L1321" s="119">
        <f>IF($E1321="","",DATE(YEAR($E1321),MONTH($E1321),1))</f>
        <v/>
      </c>
      <c r="M1321" s="112">
        <f>IF($C1321="","",IF($D1321="TANIMSIZ MÜŞTERİ","HATA",IF(OR($E1321="",$F1321&lt;=0,$G1321=""),"EKSİK",IF($E1321&gt;TODAY(),"İLERİ TARİH","UYGUN"))))</f>
        <v/>
      </c>
      <c r="N1321" s="6" t="n"/>
      <c r="O1321" s="6" t="n"/>
    </row>
    <row r="1322">
      <c r="A1322" s="6" t="n"/>
      <c r="B1322" s="112">
        <f>IF($C1322="","","T"&amp;TEXT(ROW()-6,"00000"))</f>
        <v/>
      </c>
      <c r="C1322" s="107" t="n"/>
      <c r="D1322" s="113">
        <f>IF($C1322="","",IFERROR(INDEX(MUSTERILER!$C$7:$C$106,MATCH($C1322,MUSTERILER!$B$7:$B$106,0)),"TANIMSIZ MÜŞTERİ"))</f>
        <v/>
      </c>
      <c r="E1322" s="114" t="n"/>
      <c r="F1322" s="115" t="n"/>
      <c r="G1322" s="107" t="n"/>
      <c r="H1322" s="107" t="n"/>
      <c r="I1322" s="108" t="n"/>
      <c r="J1322" s="108" t="n"/>
      <c r="K1322" s="108" t="n"/>
      <c r="L1322" s="119">
        <f>IF($E1322="","",DATE(YEAR($E1322),MONTH($E1322),1))</f>
        <v/>
      </c>
      <c r="M1322" s="112">
        <f>IF($C1322="","",IF($D1322="TANIMSIZ MÜŞTERİ","HATA",IF(OR($E1322="",$F1322&lt;=0,$G1322=""),"EKSİK",IF($E1322&gt;TODAY(),"İLERİ TARİH","UYGUN"))))</f>
        <v/>
      </c>
      <c r="N1322" s="6" t="n"/>
      <c r="O1322" s="6" t="n"/>
    </row>
    <row r="1323">
      <c r="A1323" s="6" t="n"/>
      <c r="B1323" s="112">
        <f>IF($C1323="","","T"&amp;TEXT(ROW()-6,"00000"))</f>
        <v/>
      </c>
      <c r="C1323" s="107" t="n"/>
      <c r="D1323" s="113">
        <f>IF($C1323="","",IFERROR(INDEX(MUSTERILER!$C$7:$C$106,MATCH($C1323,MUSTERILER!$B$7:$B$106,0)),"TANIMSIZ MÜŞTERİ"))</f>
        <v/>
      </c>
      <c r="E1323" s="114" t="n"/>
      <c r="F1323" s="115" t="n"/>
      <c r="G1323" s="107" t="n"/>
      <c r="H1323" s="107" t="n"/>
      <c r="I1323" s="108" t="n"/>
      <c r="J1323" s="108" t="n"/>
      <c r="K1323" s="108" t="n"/>
      <c r="L1323" s="119">
        <f>IF($E1323="","",DATE(YEAR($E1323),MONTH($E1323),1))</f>
        <v/>
      </c>
      <c r="M1323" s="112">
        <f>IF($C1323="","",IF($D1323="TANIMSIZ MÜŞTERİ","HATA",IF(OR($E1323="",$F1323&lt;=0,$G1323=""),"EKSİK",IF($E1323&gt;TODAY(),"İLERİ TARİH","UYGUN"))))</f>
        <v/>
      </c>
      <c r="N1323" s="6" t="n"/>
      <c r="O1323" s="6" t="n"/>
    </row>
    <row r="1324">
      <c r="A1324" s="6" t="n"/>
      <c r="B1324" s="112">
        <f>IF($C1324="","","T"&amp;TEXT(ROW()-6,"00000"))</f>
        <v/>
      </c>
      <c r="C1324" s="107" t="n"/>
      <c r="D1324" s="113">
        <f>IF($C1324="","",IFERROR(INDEX(MUSTERILER!$C$7:$C$106,MATCH($C1324,MUSTERILER!$B$7:$B$106,0)),"TANIMSIZ MÜŞTERİ"))</f>
        <v/>
      </c>
      <c r="E1324" s="114" t="n"/>
      <c r="F1324" s="115" t="n"/>
      <c r="G1324" s="107" t="n"/>
      <c r="H1324" s="107" t="n"/>
      <c r="I1324" s="108" t="n"/>
      <c r="J1324" s="108" t="n"/>
      <c r="K1324" s="108" t="n"/>
      <c r="L1324" s="119">
        <f>IF($E1324="","",DATE(YEAR($E1324),MONTH($E1324),1))</f>
        <v/>
      </c>
      <c r="M1324" s="112">
        <f>IF($C1324="","",IF($D1324="TANIMSIZ MÜŞTERİ","HATA",IF(OR($E1324="",$F1324&lt;=0,$G1324=""),"EKSİK",IF($E1324&gt;TODAY(),"İLERİ TARİH","UYGUN"))))</f>
        <v/>
      </c>
      <c r="N1324" s="6" t="n"/>
      <c r="O1324" s="6" t="n"/>
    </row>
    <row r="1325">
      <c r="A1325" s="6" t="n"/>
      <c r="B1325" s="112">
        <f>IF($C1325="","","T"&amp;TEXT(ROW()-6,"00000"))</f>
        <v/>
      </c>
      <c r="C1325" s="107" t="n"/>
      <c r="D1325" s="113">
        <f>IF($C1325="","",IFERROR(INDEX(MUSTERILER!$C$7:$C$106,MATCH($C1325,MUSTERILER!$B$7:$B$106,0)),"TANIMSIZ MÜŞTERİ"))</f>
        <v/>
      </c>
      <c r="E1325" s="114" t="n"/>
      <c r="F1325" s="115" t="n"/>
      <c r="G1325" s="107" t="n"/>
      <c r="H1325" s="107" t="n"/>
      <c r="I1325" s="108" t="n"/>
      <c r="J1325" s="108" t="n"/>
      <c r="K1325" s="108" t="n"/>
      <c r="L1325" s="119">
        <f>IF($E1325="","",DATE(YEAR($E1325),MONTH($E1325),1))</f>
        <v/>
      </c>
      <c r="M1325" s="112">
        <f>IF($C1325="","",IF($D1325="TANIMSIZ MÜŞTERİ","HATA",IF(OR($E1325="",$F1325&lt;=0,$G1325=""),"EKSİK",IF($E1325&gt;TODAY(),"İLERİ TARİH","UYGUN"))))</f>
        <v/>
      </c>
      <c r="N1325" s="6" t="n"/>
      <c r="O1325" s="6" t="n"/>
    </row>
    <row r="1326">
      <c r="A1326" s="6" t="n"/>
      <c r="B1326" s="112">
        <f>IF($C1326="","","T"&amp;TEXT(ROW()-6,"00000"))</f>
        <v/>
      </c>
      <c r="C1326" s="107" t="n"/>
      <c r="D1326" s="113">
        <f>IF($C1326="","",IFERROR(INDEX(MUSTERILER!$C$7:$C$106,MATCH($C1326,MUSTERILER!$B$7:$B$106,0)),"TANIMSIZ MÜŞTERİ"))</f>
        <v/>
      </c>
      <c r="E1326" s="114" t="n"/>
      <c r="F1326" s="115" t="n"/>
      <c r="G1326" s="107" t="n"/>
      <c r="H1326" s="107" t="n"/>
      <c r="I1326" s="108" t="n"/>
      <c r="J1326" s="108" t="n"/>
      <c r="K1326" s="108" t="n"/>
      <c r="L1326" s="119">
        <f>IF($E1326="","",DATE(YEAR($E1326),MONTH($E1326),1))</f>
        <v/>
      </c>
      <c r="M1326" s="112">
        <f>IF($C1326="","",IF($D1326="TANIMSIZ MÜŞTERİ","HATA",IF(OR($E1326="",$F1326&lt;=0,$G1326=""),"EKSİK",IF($E1326&gt;TODAY(),"İLERİ TARİH","UYGUN"))))</f>
        <v/>
      </c>
      <c r="N1326" s="6" t="n"/>
      <c r="O1326" s="6" t="n"/>
    </row>
    <row r="1327">
      <c r="A1327" s="6" t="n"/>
      <c r="B1327" s="112">
        <f>IF($C1327="","","T"&amp;TEXT(ROW()-6,"00000"))</f>
        <v/>
      </c>
      <c r="C1327" s="107" t="n"/>
      <c r="D1327" s="113">
        <f>IF($C1327="","",IFERROR(INDEX(MUSTERILER!$C$7:$C$106,MATCH($C1327,MUSTERILER!$B$7:$B$106,0)),"TANIMSIZ MÜŞTERİ"))</f>
        <v/>
      </c>
      <c r="E1327" s="114" t="n"/>
      <c r="F1327" s="115" t="n"/>
      <c r="G1327" s="107" t="n"/>
      <c r="H1327" s="107" t="n"/>
      <c r="I1327" s="108" t="n"/>
      <c r="J1327" s="108" t="n"/>
      <c r="K1327" s="108" t="n"/>
      <c r="L1327" s="119">
        <f>IF($E1327="","",DATE(YEAR($E1327),MONTH($E1327),1))</f>
        <v/>
      </c>
      <c r="M1327" s="112">
        <f>IF($C1327="","",IF($D1327="TANIMSIZ MÜŞTERİ","HATA",IF(OR($E1327="",$F1327&lt;=0,$G1327=""),"EKSİK",IF($E1327&gt;TODAY(),"İLERİ TARİH","UYGUN"))))</f>
        <v/>
      </c>
      <c r="N1327" s="6" t="n"/>
      <c r="O1327" s="6" t="n"/>
    </row>
    <row r="1328">
      <c r="A1328" s="6" t="n"/>
      <c r="B1328" s="112">
        <f>IF($C1328="","","T"&amp;TEXT(ROW()-6,"00000"))</f>
        <v/>
      </c>
      <c r="C1328" s="107" t="n"/>
      <c r="D1328" s="113">
        <f>IF($C1328="","",IFERROR(INDEX(MUSTERILER!$C$7:$C$106,MATCH($C1328,MUSTERILER!$B$7:$B$106,0)),"TANIMSIZ MÜŞTERİ"))</f>
        <v/>
      </c>
      <c r="E1328" s="114" t="n"/>
      <c r="F1328" s="115" t="n"/>
      <c r="G1328" s="107" t="n"/>
      <c r="H1328" s="107" t="n"/>
      <c r="I1328" s="108" t="n"/>
      <c r="J1328" s="108" t="n"/>
      <c r="K1328" s="108" t="n"/>
      <c r="L1328" s="119">
        <f>IF($E1328="","",DATE(YEAR($E1328),MONTH($E1328),1))</f>
        <v/>
      </c>
      <c r="M1328" s="112">
        <f>IF($C1328="","",IF($D1328="TANIMSIZ MÜŞTERİ","HATA",IF(OR($E1328="",$F1328&lt;=0,$G1328=""),"EKSİK",IF($E1328&gt;TODAY(),"İLERİ TARİH","UYGUN"))))</f>
        <v/>
      </c>
      <c r="N1328" s="6" t="n"/>
      <c r="O1328" s="6" t="n"/>
    </row>
    <row r="1329">
      <c r="A1329" s="6" t="n"/>
      <c r="B1329" s="112">
        <f>IF($C1329="","","T"&amp;TEXT(ROW()-6,"00000"))</f>
        <v/>
      </c>
      <c r="C1329" s="107" t="n"/>
      <c r="D1329" s="113">
        <f>IF($C1329="","",IFERROR(INDEX(MUSTERILER!$C$7:$C$106,MATCH($C1329,MUSTERILER!$B$7:$B$106,0)),"TANIMSIZ MÜŞTERİ"))</f>
        <v/>
      </c>
      <c r="E1329" s="114" t="n"/>
      <c r="F1329" s="115" t="n"/>
      <c r="G1329" s="107" t="n"/>
      <c r="H1329" s="107" t="n"/>
      <c r="I1329" s="108" t="n"/>
      <c r="J1329" s="108" t="n"/>
      <c r="K1329" s="108" t="n"/>
      <c r="L1329" s="119">
        <f>IF($E1329="","",DATE(YEAR($E1329),MONTH($E1329),1))</f>
        <v/>
      </c>
      <c r="M1329" s="112">
        <f>IF($C1329="","",IF($D1329="TANIMSIZ MÜŞTERİ","HATA",IF(OR($E1329="",$F1329&lt;=0,$G1329=""),"EKSİK",IF($E1329&gt;TODAY(),"İLERİ TARİH","UYGUN"))))</f>
        <v/>
      </c>
      <c r="N1329" s="6" t="n"/>
      <c r="O1329" s="6" t="n"/>
    </row>
    <row r="1330">
      <c r="A1330" s="6" t="n"/>
      <c r="B1330" s="112">
        <f>IF($C1330="","","T"&amp;TEXT(ROW()-6,"00000"))</f>
        <v/>
      </c>
      <c r="C1330" s="107" t="n"/>
      <c r="D1330" s="113">
        <f>IF($C1330="","",IFERROR(INDEX(MUSTERILER!$C$7:$C$106,MATCH($C1330,MUSTERILER!$B$7:$B$106,0)),"TANIMSIZ MÜŞTERİ"))</f>
        <v/>
      </c>
      <c r="E1330" s="114" t="n"/>
      <c r="F1330" s="115" t="n"/>
      <c r="G1330" s="107" t="n"/>
      <c r="H1330" s="107" t="n"/>
      <c r="I1330" s="108" t="n"/>
      <c r="J1330" s="108" t="n"/>
      <c r="K1330" s="108" t="n"/>
      <c r="L1330" s="119">
        <f>IF($E1330="","",DATE(YEAR($E1330),MONTH($E1330),1))</f>
        <v/>
      </c>
      <c r="M1330" s="112">
        <f>IF($C1330="","",IF($D1330="TANIMSIZ MÜŞTERİ","HATA",IF(OR($E1330="",$F1330&lt;=0,$G1330=""),"EKSİK",IF($E1330&gt;TODAY(),"İLERİ TARİH","UYGUN"))))</f>
        <v/>
      </c>
      <c r="N1330" s="6" t="n"/>
      <c r="O1330" s="6" t="n"/>
    </row>
    <row r="1331">
      <c r="A1331" s="6" t="n"/>
      <c r="B1331" s="112">
        <f>IF($C1331="","","T"&amp;TEXT(ROW()-6,"00000"))</f>
        <v/>
      </c>
      <c r="C1331" s="107" t="n"/>
      <c r="D1331" s="113">
        <f>IF($C1331="","",IFERROR(INDEX(MUSTERILER!$C$7:$C$106,MATCH($C1331,MUSTERILER!$B$7:$B$106,0)),"TANIMSIZ MÜŞTERİ"))</f>
        <v/>
      </c>
      <c r="E1331" s="114" t="n"/>
      <c r="F1331" s="115" t="n"/>
      <c r="G1331" s="107" t="n"/>
      <c r="H1331" s="107" t="n"/>
      <c r="I1331" s="108" t="n"/>
      <c r="J1331" s="108" t="n"/>
      <c r="K1331" s="108" t="n"/>
      <c r="L1331" s="119">
        <f>IF($E1331="","",DATE(YEAR($E1331),MONTH($E1331),1))</f>
        <v/>
      </c>
      <c r="M1331" s="112">
        <f>IF($C1331="","",IF($D1331="TANIMSIZ MÜŞTERİ","HATA",IF(OR($E1331="",$F1331&lt;=0,$G1331=""),"EKSİK",IF($E1331&gt;TODAY(),"İLERİ TARİH","UYGUN"))))</f>
        <v/>
      </c>
      <c r="N1331" s="6" t="n"/>
      <c r="O1331" s="6" t="n"/>
    </row>
    <row r="1332">
      <c r="A1332" s="6" t="n"/>
      <c r="B1332" s="112">
        <f>IF($C1332="","","T"&amp;TEXT(ROW()-6,"00000"))</f>
        <v/>
      </c>
      <c r="C1332" s="107" t="n"/>
      <c r="D1332" s="113">
        <f>IF($C1332="","",IFERROR(INDEX(MUSTERILER!$C$7:$C$106,MATCH($C1332,MUSTERILER!$B$7:$B$106,0)),"TANIMSIZ MÜŞTERİ"))</f>
        <v/>
      </c>
      <c r="E1332" s="114" t="n"/>
      <c r="F1332" s="115" t="n"/>
      <c r="G1332" s="107" t="n"/>
      <c r="H1332" s="107" t="n"/>
      <c r="I1332" s="108" t="n"/>
      <c r="J1332" s="108" t="n"/>
      <c r="K1332" s="108" t="n"/>
      <c r="L1332" s="119">
        <f>IF($E1332="","",DATE(YEAR($E1332),MONTH($E1332),1))</f>
        <v/>
      </c>
      <c r="M1332" s="112">
        <f>IF($C1332="","",IF($D1332="TANIMSIZ MÜŞTERİ","HATA",IF(OR($E1332="",$F1332&lt;=0,$G1332=""),"EKSİK",IF($E1332&gt;TODAY(),"İLERİ TARİH","UYGUN"))))</f>
        <v/>
      </c>
      <c r="N1332" s="6" t="n"/>
      <c r="O1332" s="6" t="n"/>
    </row>
    <row r="1333">
      <c r="A1333" s="6" t="n"/>
      <c r="B1333" s="112">
        <f>IF($C1333="","","T"&amp;TEXT(ROW()-6,"00000"))</f>
        <v/>
      </c>
      <c r="C1333" s="107" t="n"/>
      <c r="D1333" s="113">
        <f>IF($C1333="","",IFERROR(INDEX(MUSTERILER!$C$7:$C$106,MATCH($C1333,MUSTERILER!$B$7:$B$106,0)),"TANIMSIZ MÜŞTERİ"))</f>
        <v/>
      </c>
      <c r="E1333" s="114" t="n"/>
      <c r="F1333" s="115" t="n"/>
      <c r="G1333" s="107" t="n"/>
      <c r="H1333" s="107" t="n"/>
      <c r="I1333" s="108" t="n"/>
      <c r="J1333" s="108" t="n"/>
      <c r="K1333" s="108" t="n"/>
      <c r="L1333" s="119">
        <f>IF($E1333="","",DATE(YEAR($E1333),MONTH($E1333),1))</f>
        <v/>
      </c>
      <c r="M1333" s="112">
        <f>IF($C1333="","",IF($D1333="TANIMSIZ MÜŞTERİ","HATA",IF(OR($E1333="",$F1333&lt;=0,$G1333=""),"EKSİK",IF($E1333&gt;TODAY(),"İLERİ TARİH","UYGUN"))))</f>
        <v/>
      </c>
      <c r="N1333" s="6" t="n"/>
      <c r="O1333" s="6" t="n"/>
    </row>
    <row r="1334">
      <c r="A1334" s="6" t="n"/>
      <c r="B1334" s="112">
        <f>IF($C1334="","","T"&amp;TEXT(ROW()-6,"00000"))</f>
        <v/>
      </c>
      <c r="C1334" s="107" t="n"/>
      <c r="D1334" s="113">
        <f>IF($C1334="","",IFERROR(INDEX(MUSTERILER!$C$7:$C$106,MATCH($C1334,MUSTERILER!$B$7:$B$106,0)),"TANIMSIZ MÜŞTERİ"))</f>
        <v/>
      </c>
      <c r="E1334" s="114" t="n"/>
      <c r="F1334" s="115" t="n"/>
      <c r="G1334" s="107" t="n"/>
      <c r="H1334" s="107" t="n"/>
      <c r="I1334" s="108" t="n"/>
      <c r="J1334" s="108" t="n"/>
      <c r="K1334" s="108" t="n"/>
      <c r="L1334" s="119">
        <f>IF($E1334="","",DATE(YEAR($E1334),MONTH($E1334),1))</f>
        <v/>
      </c>
      <c r="M1334" s="112">
        <f>IF($C1334="","",IF($D1334="TANIMSIZ MÜŞTERİ","HATA",IF(OR($E1334="",$F1334&lt;=0,$G1334=""),"EKSİK",IF($E1334&gt;TODAY(),"İLERİ TARİH","UYGUN"))))</f>
        <v/>
      </c>
      <c r="N1334" s="6" t="n"/>
      <c r="O1334" s="6" t="n"/>
    </row>
    <row r="1335">
      <c r="A1335" s="6" t="n"/>
      <c r="B1335" s="112">
        <f>IF($C1335="","","T"&amp;TEXT(ROW()-6,"00000"))</f>
        <v/>
      </c>
      <c r="C1335" s="107" t="n"/>
      <c r="D1335" s="113">
        <f>IF($C1335="","",IFERROR(INDEX(MUSTERILER!$C$7:$C$106,MATCH($C1335,MUSTERILER!$B$7:$B$106,0)),"TANIMSIZ MÜŞTERİ"))</f>
        <v/>
      </c>
      <c r="E1335" s="114" t="n"/>
      <c r="F1335" s="115" t="n"/>
      <c r="G1335" s="107" t="n"/>
      <c r="H1335" s="107" t="n"/>
      <c r="I1335" s="108" t="n"/>
      <c r="J1335" s="108" t="n"/>
      <c r="K1335" s="108" t="n"/>
      <c r="L1335" s="119">
        <f>IF($E1335="","",DATE(YEAR($E1335),MONTH($E1335),1))</f>
        <v/>
      </c>
      <c r="M1335" s="112">
        <f>IF($C1335="","",IF($D1335="TANIMSIZ MÜŞTERİ","HATA",IF(OR($E1335="",$F1335&lt;=0,$G1335=""),"EKSİK",IF($E1335&gt;TODAY(),"İLERİ TARİH","UYGUN"))))</f>
        <v/>
      </c>
      <c r="N1335" s="6" t="n"/>
      <c r="O1335" s="6" t="n"/>
    </row>
    <row r="1336">
      <c r="A1336" s="6" t="n"/>
      <c r="B1336" s="112">
        <f>IF($C1336="","","T"&amp;TEXT(ROW()-6,"00000"))</f>
        <v/>
      </c>
      <c r="C1336" s="107" t="n"/>
      <c r="D1336" s="113">
        <f>IF($C1336="","",IFERROR(INDEX(MUSTERILER!$C$7:$C$106,MATCH($C1336,MUSTERILER!$B$7:$B$106,0)),"TANIMSIZ MÜŞTERİ"))</f>
        <v/>
      </c>
      <c r="E1336" s="114" t="n"/>
      <c r="F1336" s="115" t="n"/>
      <c r="G1336" s="107" t="n"/>
      <c r="H1336" s="107" t="n"/>
      <c r="I1336" s="108" t="n"/>
      <c r="J1336" s="108" t="n"/>
      <c r="K1336" s="108" t="n"/>
      <c r="L1336" s="119">
        <f>IF($E1336="","",DATE(YEAR($E1336),MONTH($E1336),1))</f>
        <v/>
      </c>
      <c r="M1336" s="112">
        <f>IF($C1336="","",IF($D1336="TANIMSIZ MÜŞTERİ","HATA",IF(OR($E1336="",$F1336&lt;=0,$G1336=""),"EKSİK",IF($E1336&gt;TODAY(),"İLERİ TARİH","UYGUN"))))</f>
        <v/>
      </c>
      <c r="N1336" s="6" t="n"/>
      <c r="O1336" s="6" t="n"/>
    </row>
    <row r="1337">
      <c r="A1337" s="6" t="n"/>
      <c r="B1337" s="112">
        <f>IF($C1337="","","T"&amp;TEXT(ROW()-6,"00000"))</f>
        <v/>
      </c>
      <c r="C1337" s="107" t="n"/>
      <c r="D1337" s="113">
        <f>IF($C1337="","",IFERROR(INDEX(MUSTERILER!$C$7:$C$106,MATCH($C1337,MUSTERILER!$B$7:$B$106,0)),"TANIMSIZ MÜŞTERİ"))</f>
        <v/>
      </c>
      <c r="E1337" s="114" t="n"/>
      <c r="F1337" s="115" t="n"/>
      <c r="G1337" s="107" t="n"/>
      <c r="H1337" s="107" t="n"/>
      <c r="I1337" s="108" t="n"/>
      <c r="J1337" s="108" t="n"/>
      <c r="K1337" s="108" t="n"/>
      <c r="L1337" s="119">
        <f>IF($E1337="","",DATE(YEAR($E1337),MONTH($E1337),1))</f>
        <v/>
      </c>
      <c r="M1337" s="112">
        <f>IF($C1337="","",IF($D1337="TANIMSIZ MÜŞTERİ","HATA",IF(OR($E1337="",$F1337&lt;=0,$G1337=""),"EKSİK",IF($E1337&gt;TODAY(),"İLERİ TARİH","UYGUN"))))</f>
        <v/>
      </c>
      <c r="N1337" s="6" t="n"/>
      <c r="O1337" s="6" t="n"/>
    </row>
    <row r="1338">
      <c r="A1338" s="6" t="n"/>
      <c r="B1338" s="112">
        <f>IF($C1338="","","T"&amp;TEXT(ROW()-6,"00000"))</f>
        <v/>
      </c>
      <c r="C1338" s="107" t="n"/>
      <c r="D1338" s="113">
        <f>IF($C1338="","",IFERROR(INDEX(MUSTERILER!$C$7:$C$106,MATCH($C1338,MUSTERILER!$B$7:$B$106,0)),"TANIMSIZ MÜŞTERİ"))</f>
        <v/>
      </c>
      <c r="E1338" s="114" t="n"/>
      <c r="F1338" s="115" t="n"/>
      <c r="G1338" s="107" t="n"/>
      <c r="H1338" s="107" t="n"/>
      <c r="I1338" s="108" t="n"/>
      <c r="J1338" s="108" t="n"/>
      <c r="K1338" s="108" t="n"/>
      <c r="L1338" s="119">
        <f>IF($E1338="","",DATE(YEAR($E1338),MONTH($E1338),1))</f>
        <v/>
      </c>
      <c r="M1338" s="112">
        <f>IF($C1338="","",IF($D1338="TANIMSIZ MÜŞTERİ","HATA",IF(OR($E1338="",$F1338&lt;=0,$G1338=""),"EKSİK",IF($E1338&gt;TODAY(),"İLERİ TARİH","UYGUN"))))</f>
        <v/>
      </c>
      <c r="N1338" s="6" t="n"/>
      <c r="O1338" s="6" t="n"/>
    </row>
    <row r="1339">
      <c r="A1339" s="6" t="n"/>
      <c r="B1339" s="112">
        <f>IF($C1339="","","T"&amp;TEXT(ROW()-6,"00000"))</f>
        <v/>
      </c>
      <c r="C1339" s="107" t="n"/>
      <c r="D1339" s="113">
        <f>IF($C1339="","",IFERROR(INDEX(MUSTERILER!$C$7:$C$106,MATCH($C1339,MUSTERILER!$B$7:$B$106,0)),"TANIMSIZ MÜŞTERİ"))</f>
        <v/>
      </c>
      <c r="E1339" s="114" t="n"/>
      <c r="F1339" s="115" t="n"/>
      <c r="G1339" s="107" t="n"/>
      <c r="H1339" s="107" t="n"/>
      <c r="I1339" s="108" t="n"/>
      <c r="J1339" s="108" t="n"/>
      <c r="K1339" s="108" t="n"/>
      <c r="L1339" s="119">
        <f>IF($E1339="","",DATE(YEAR($E1339),MONTH($E1339),1))</f>
        <v/>
      </c>
      <c r="M1339" s="112">
        <f>IF($C1339="","",IF($D1339="TANIMSIZ MÜŞTERİ","HATA",IF(OR($E1339="",$F1339&lt;=0,$G1339=""),"EKSİK",IF($E1339&gt;TODAY(),"İLERİ TARİH","UYGUN"))))</f>
        <v/>
      </c>
      <c r="N1339" s="6" t="n"/>
      <c r="O1339" s="6" t="n"/>
    </row>
    <row r="1340">
      <c r="A1340" s="6" t="n"/>
      <c r="B1340" s="112">
        <f>IF($C1340="","","T"&amp;TEXT(ROW()-6,"00000"))</f>
        <v/>
      </c>
      <c r="C1340" s="107" t="n"/>
      <c r="D1340" s="113">
        <f>IF($C1340="","",IFERROR(INDEX(MUSTERILER!$C$7:$C$106,MATCH($C1340,MUSTERILER!$B$7:$B$106,0)),"TANIMSIZ MÜŞTERİ"))</f>
        <v/>
      </c>
      <c r="E1340" s="114" t="n"/>
      <c r="F1340" s="115" t="n"/>
      <c r="G1340" s="107" t="n"/>
      <c r="H1340" s="107" t="n"/>
      <c r="I1340" s="108" t="n"/>
      <c r="J1340" s="108" t="n"/>
      <c r="K1340" s="108" t="n"/>
      <c r="L1340" s="119">
        <f>IF($E1340="","",DATE(YEAR($E1340),MONTH($E1340),1))</f>
        <v/>
      </c>
      <c r="M1340" s="112">
        <f>IF($C1340="","",IF($D1340="TANIMSIZ MÜŞTERİ","HATA",IF(OR($E1340="",$F1340&lt;=0,$G1340=""),"EKSİK",IF($E1340&gt;TODAY(),"İLERİ TARİH","UYGUN"))))</f>
        <v/>
      </c>
      <c r="N1340" s="6" t="n"/>
      <c r="O1340" s="6" t="n"/>
    </row>
    <row r="1341">
      <c r="A1341" s="6" t="n"/>
      <c r="B1341" s="112">
        <f>IF($C1341="","","T"&amp;TEXT(ROW()-6,"00000"))</f>
        <v/>
      </c>
      <c r="C1341" s="107" t="n"/>
      <c r="D1341" s="113">
        <f>IF($C1341="","",IFERROR(INDEX(MUSTERILER!$C$7:$C$106,MATCH($C1341,MUSTERILER!$B$7:$B$106,0)),"TANIMSIZ MÜŞTERİ"))</f>
        <v/>
      </c>
      <c r="E1341" s="114" t="n"/>
      <c r="F1341" s="115" t="n"/>
      <c r="G1341" s="107" t="n"/>
      <c r="H1341" s="107" t="n"/>
      <c r="I1341" s="108" t="n"/>
      <c r="J1341" s="108" t="n"/>
      <c r="K1341" s="108" t="n"/>
      <c r="L1341" s="119">
        <f>IF($E1341="","",DATE(YEAR($E1341),MONTH($E1341),1))</f>
        <v/>
      </c>
      <c r="M1341" s="112">
        <f>IF($C1341="","",IF($D1341="TANIMSIZ MÜŞTERİ","HATA",IF(OR($E1341="",$F1341&lt;=0,$G1341=""),"EKSİK",IF($E1341&gt;TODAY(),"İLERİ TARİH","UYGUN"))))</f>
        <v/>
      </c>
      <c r="N1341" s="6" t="n"/>
      <c r="O1341" s="6" t="n"/>
    </row>
    <row r="1342">
      <c r="A1342" s="6" t="n"/>
      <c r="B1342" s="112">
        <f>IF($C1342="","","T"&amp;TEXT(ROW()-6,"00000"))</f>
        <v/>
      </c>
      <c r="C1342" s="107" t="n"/>
      <c r="D1342" s="113">
        <f>IF($C1342="","",IFERROR(INDEX(MUSTERILER!$C$7:$C$106,MATCH($C1342,MUSTERILER!$B$7:$B$106,0)),"TANIMSIZ MÜŞTERİ"))</f>
        <v/>
      </c>
      <c r="E1342" s="114" t="n"/>
      <c r="F1342" s="115" t="n"/>
      <c r="G1342" s="107" t="n"/>
      <c r="H1342" s="107" t="n"/>
      <c r="I1342" s="108" t="n"/>
      <c r="J1342" s="108" t="n"/>
      <c r="K1342" s="108" t="n"/>
      <c r="L1342" s="119">
        <f>IF($E1342="","",DATE(YEAR($E1342),MONTH($E1342),1))</f>
        <v/>
      </c>
      <c r="M1342" s="112">
        <f>IF($C1342="","",IF($D1342="TANIMSIZ MÜŞTERİ","HATA",IF(OR($E1342="",$F1342&lt;=0,$G1342=""),"EKSİK",IF($E1342&gt;TODAY(),"İLERİ TARİH","UYGUN"))))</f>
        <v/>
      </c>
      <c r="N1342" s="6" t="n"/>
      <c r="O1342" s="6" t="n"/>
    </row>
    <row r="1343">
      <c r="A1343" s="6" t="n"/>
      <c r="B1343" s="112">
        <f>IF($C1343="","","T"&amp;TEXT(ROW()-6,"00000"))</f>
        <v/>
      </c>
      <c r="C1343" s="107" t="n"/>
      <c r="D1343" s="113">
        <f>IF($C1343="","",IFERROR(INDEX(MUSTERILER!$C$7:$C$106,MATCH($C1343,MUSTERILER!$B$7:$B$106,0)),"TANIMSIZ MÜŞTERİ"))</f>
        <v/>
      </c>
      <c r="E1343" s="114" t="n"/>
      <c r="F1343" s="115" t="n"/>
      <c r="G1343" s="107" t="n"/>
      <c r="H1343" s="107" t="n"/>
      <c r="I1343" s="108" t="n"/>
      <c r="J1343" s="108" t="n"/>
      <c r="K1343" s="108" t="n"/>
      <c r="L1343" s="119">
        <f>IF($E1343="","",DATE(YEAR($E1343),MONTH($E1343),1))</f>
        <v/>
      </c>
      <c r="M1343" s="112">
        <f>IF($C1343="","",IF($D1343="TANIMSIZ MÜŞTERİ","HATA",IF(OR($E1343="",$F1343&lt;=0,$G1343=""),"EKSİK",IF($E1343&gt;TODAY(),"İLERİ TARİH","UYGUN"))))</f>
        <v/>
      </c>
      <c r="N1343" s="6" t="n"/>
      <c r="O1343" s="6" t="n"/>
    </row>
    <row r="1344">
      <c r="A1344" s="6" t="n"/>
      <c r="B1344" s="112">
        <f>IF($C1344="","","T"&amp;TEXT(ROW()-6,"00000"))</f>
        <v/>
      </c>
      <c r="C1344" s="107" t="n"/>
      <c r="D1344" s="113">
        <f>IF($C1344="","",IFERROR(INDEX(MUSTERILER!$C$7:$C$106,MATCH($C1344,MUSTERILER!$B$7:$B$106,0)),"TANIMSIZ MÜŞTERİ"))</f>
        <v/>
      </c>
      <c r="E1344" s="114" t="n"/>
      <c r="F1344" s="115" t="n"/>
      <c r="G1344" s="107" t="n"/>
      <c r="H1344" s="107" t="n"/>
      <c r="I1344" s="108" t="n"/>
      <c r="J1344" s="108" t="n"/>
      <c r="K1344" s="108" t="n"/>
      <c r="L1344" s="119">
        <f>IF($E1344="","",DATE(YEAR($E1344),MONTH($E1344),1))</f>
        <v/>
      </c>
      <c r="M1344" s="112">
        <f>IF($C1344="","",IF($D1344="TANIMSIZ MÜŞTERİ","HATA",IF(OR($E1344="",$F1344&lt;=0,$G1344=""),"EKSİK",IF($E1344&gt;TODAY(),"İLERİ TARİH","UYGUN"))))</f>
        <v/>
      </c>
      <c r="N1344" s="6" t="n"/>
      <c r="O1344" s="6" t="n"/>
    </row>
    <row r="1345">
      <c r="A1345" s="6" t="n"/>
      <c r="B1345" s="112">
        <f>IF($C1345="","","T"&amp;TEXT(ROW()-6,"00000"))</f>
        <v/>
      </c>
      <c r="C1345" s="107" t="n"/>
      <c r="D1345" s="113">
        <f>IF($C1345="","",IFERROR(INDEX(MUSTERILER!$C$7:$C$106,MATCH($C1345,MUSTERILER!$B$7:$B$106,0)),"TANIMSIZ MÜŞTERİ"))</f>
        <v/>
      </c>
      <c r="E1345" s="114" t="n"/>
      <c r="F1345" s="115" t="n"/>
      <c r="G1345" s="107" t="n"/>
      <c r="H1345" s="107" t="n"/>
      <c r="I1345" s="108" t="n"/>
      <c r="J1345" s="108" t="n"/>
      <c r="K1345" s="108" t="n"/>
      <c r="L1345" s="119">
        <f>IF($E1345="","",DATE(YEAR($E1345),MONTH($E1345),1))</f>
        <v/>
      </c>
      <c r="M1345" s="112">
        <f>IF($C1345="","",IF($D1345="TANIMSIZ MÜŞTERİ","HATA",IF(OR($E1345="",$F1345&lt;=0,$G1345=""),"EKSİK",IF($E1345&gt;TODAY(),"İLERİ TARİH","UYGUN"))))</f>
        <v/>
      </c>
      <c r="N1345" s="6" t="n"/>
      <c r="O1345" s="6" t="n"/>
    </row>
    <row r="1346">
      <c r="A1346" s="6" t="n"/>
      <c r="B1346" s="112">
        <f>IF($C1346="","","T"&amp;TEXT(ROW()-6,"00000"))</f>
        <v/>
      </c>
      <c r="C1346" s="107" t="n"/>
      <c r="D1346" s="113">
        <f>IF($C1346="","",IFERROR(INDEX(MUSTERILER!$C$7:$C$106,MATCH($C1346,MUSTERILER!$B$7:$B$106,0)),"TANIMSIZ MÜŞTERİ"))</f>
        <v/>
      </c>
      <c r="E1346" s="114" t="n"/>
      <c r="F1346" s="115" t="n"/>
      <c r="G1346" s="107" t="n"/>
      <c r="H1346" s="107" t="n"/>
      <c r="I1346" s="108" t="n"/>
      <c r="J1346" s="108" t="n"/>
      <c r="K1346" s="108" t="n"/>
      <c r="L1346" s="119">
        <f>IF($E1346="","",DATE(YEAR($E1346),MONTH($E1346),1))</f>
        <v/>
      </c>
      <c r="M1346" s="112">
        <f>IF($C1346="","",IF($D1346="TANIMSIZ MÜŞTERİ","HATA",IF(OR($E1346="",$F1346&lt;=0,$G1346=""),"EKSİK",IF($E1346&gt;TODAY(),"İLERİ TARİH","UYGUN"))))</f>
        <v/>
      </c>
      <c r="N1346" s="6" t="n"/>
      <c r="O1346" s="6" t="n"/>
    </row>
    <row r="1347">
      <c r="A1347" s="6" t="n"/>
      <c r="B1347" s="112">
        <f>IF($C1347="","","T"&amp;TEXT(ROW()-6,"00000"))</f>
        <v/>
      </c>
      <c r="C1347" s="107" t="n"/>
      <c r="D1347" s="113">
        <f>IF($C1347="","",IFERROR(INDEX(MUSTERILER!$C$7:$C$106,MATCH($C1347,MUSTERILER!$B$7:$B$106,0)),"TANIMSIZ MÜŞTERİ"))</f>
        <v/>
      </c>
      <c r="E1347" s="114" t="n"/>
      <c r="F1347" s="115" t="n"/>
      <c r="G1347" s="107" t="n"/>
      <c r="H1347" s="107" t="n"/>
      <c r="I1347" s="108" t="n"/>
      <c r="J1347" s="108" t="n"/>
      <c r="K1347" s="108" t="n"/>
      <c r="L1347" s="119">
        <f>IF($E1347="","",DATE(YEAR($E1347),MONTH($E1347),1))</f>
        <v/>
      </c>
      <c r="M1347" s="112">
        <f>IF($C1347="","",IF($D1347="TANIMSIZ MÜŞTERİ","HATA",IF(OR($E1347="",$F1347&lt;=0,$G1347=""),"EKSİK",IF($E1347&gt;TODAY(),"İLERİ TARİH","UYGUN"))))</f>
        <v/>
      </c>
      <c r="N1347" s="6" t="n"/>
      <c r="O1347" s="6" t="n"/>
    </row>
    <row r="1348">
      <c r="A1348" s="6" t="n"/>
      <c r="B1348" s="112">
        <f>IF($C1348="","","T"&amp;TEXT(ROW()-6,"00000"))</f>
        <v/>
      </c>
      <c r="C1348" s="107" t="n"/>
      <c r="D1348" s="113">
        <f>IF($C1348="","",IFERROR(INDEX(MUSTERILER!$C$7:$C$106,MATCH($C1348,MUSTERILER!$B$7:$B$106,0)),"TANIMSIZ MÜŞTERİ"))</f>
        <v/>
      </c>
      <c r="E1348" s="114" t="n"/>
      <c r="F1348" s="115" t="n"/>
      <c r="G1348" s="107" t="n"/>
      <c r="H1348" s="107" t="n"/>
      <c r="I1348" s="108" t="n"/>
      <c r="J1348" s="108" t="n"/>
      <c r="K1348" s="108" t="n"/>
      <c r="L1348" s="119">
        <f>IF($E1348="","",DATE(YEAR($E1348),MONTH($E1348),1))</f>
        <v/>
      </c>
      <c r="M1348" s="112">
        <f>IF($C1348="","",IF($D1348="TANIMSIZ MÜŞTERİ","HATA",IF(OR($E1348="",$F1348&lt;=0,$G1348=""),"EKSİK",IF($E1348&gt;TODAY(),"İLERİ TARİH","UYGUN"))))</f>
        <v/>
      </c>
      <c r="N1348" s="6" t="n"/>
      <c r="O1348" s="6" t="n"/>
    </row>
    <row r="1349">
      <c r="A1349" s="6" t="n"/>
      <c r="B1349" s="112">
        <f>IF($C1349="","","T"&amp;TEXT(ROW()-6,"00000"))</f>
        <v/>
      </c>
      <c r="C1349" s="107" t="n"/>
      <c r="D1349" s="113">
        <f>IF($C1349="","",IFERROR(INDEX(MUSTERILER!$C$7:$C$106,MATCH($C1349,MUSTERILER!$B$7:$B$106,0)),"TANIMSIZ MÜŞTERİ"))</f>
        <v/>
      </c>
      <c r="E1349" s="114" t="n"/>
      <c r="F1349" s="115" t="n"/>
      <c r="G1349" s="107" t="n"/>
      <c r="H1349" s="107" t="n"/>
      <c r="I1349" s="108" t="n"/>
      <c r="J1349" s="108" t="n"/>
      <c r="K1349" s="108" t="n"/>
      <c r="L1349" s="119">
        <f>IF($E1349="","",DATE(YEAR($E1349),MONTH($E1349),1))</f>
        <v/>
      </c>
      <c r="M1349" s="112">
        <f>IF($C1349="","",IF($D1349="TANIMSIZ MÜŞTERİ","HATA",IF(OR($E1349="",$F1349&lt;=0,$G1349=""),"EKSİK",IF($E1349&gt;TODAY(),"İLERİ TARİH","UYGUN"))))</f>
        <v/>
      </c>
      <c r="N1349" s="6" t="n"/>
      <c r="O1349" s="6" t="n"/>
    </row>
    <row r="1350">
      <c r="A1350" s="6" t="n"/>
      <c r="B1350" s="112">
        <f>IF($C1350="","","T"&amp;TEXT(ROW()-6,"00000"))</f>
        <v/>
      </c>
      <c r="C1350" s="107" t="n"/>
      <c r="D1350" s="113">
        <f>IF($C1350="","",IFERROR(INDEX(MUSTERILER!$C$7:$C$106,MATCH($C1350,MUSTERILER!$B$7:$B$106,0)),"TANIMSIZ MÜŞTERİ"))</f>
        <v/>
      </c>
      <c r="E1350" s="114" t="n"/>
      <c r="F1350" s="115" t="n"/>
      <c r="G1350" s="107" t="n"/>
      <c r="H1350" s="107" t="n"/>
      <c r="I1350" s="108" t="n"/>
      <c r="J1350" s="108" t="n"/>
      <c r="K1350" s="108" t="n"/>
      <c r="L1350" s="119">
        <f>IF($E1350="","",DATE(YEAR($E1350),MONTH($E1350),1))</f>
        <v/>
      </c>
      <c r="M1350" s="112">
        <f>IF($C1350="","",IF($D1350="TANIMSIZ MÜŞTERİ","HATA",IF(OR($E1350="",$F1350&lt;=0,$G1350=""),"EKSİK",IF($E1350&gt;TODAY(),"İLERİ TARİH","UYGUN"))))</f>
        <v/>
      </c>
      <c r="N1350" s="6" t="n"/>
      <c r="O1350" s="6" t="n"/>
    </row>
    <row r="1351">
      <c r="A1351" s="6" t="n"/>
      <c r="B1351" s="112">
        <f>IF($C1351="","","T"&amp;TEXT(ROW()-6,"00000"))</f>
        <v/>
      </c>
      <c r="C1351" s="107" t="n"/>
      <c r="D1351" s="113">
        <f>IF($C1351="","",IFERROR(INDEX(MUSTERILER!$C$7:$C$106,MATCH($C1351,MUSTERILER!$B$7:$B$106,0)),"TANIMSIZ MÜŞTERİ"))</f>
        <v/>
      </c>
      <c r="E1351" s="114" t="n"/>
      <c r="F1351" s="115" t="n"/>
      <c r="G1351" s="107" t="n"/>
      <c r="H1351" s="107" t="n"/>
      <c r="I1351" s="108" t="n"/>
      <c r="J1351" s="108" t="n"/>
      <c r="K1351" s="108" t="n"/>
      <c r="L1351" s="119">
        <f>IF($E1351="","",DATE(YEAR($E1351),MONTH($E1351),1))</f>
        <v/>
      </c>
      <c r="M1351" s="112">
        <f>IF($C1351="","",IF($D1351="TANIMSIZ MÜŞTERİ","HATA",IF(OR($E1351="",$F1351&lt;=0,$G1351=""),"EKSİK",IF($E1351&gt;TODAY(),"İLERİ TARİH","UYGUN"))))</f>
        <v/>
      </c>
      <c r="N1351" s="6" t="n"/>
      <c r="O1351" s="6" t="n"/>
    </row>
    <row r="1352">
      <c r="A1352" s="6" t="n"/>
      <c r="B1352" s="112">
        <f>IF($C1352="","","T"&amp;TEXT(ROW()-6,"00000"))</f>
        <v/>
      </c>
      <c r="C1352" s="107" t="n"/>
      <c r="D1352" s="113">
        <f>IF($C1352="","",IFERROR(INDEX(MUSTERILER!$C$7:$C$106,MATCH($C1352,MUSTERILER!$B$7:$B$106,0)),"TANIMSIZ MÜŞTERİ"))</f>
        <v/>
      </c>
      <c r="E1352" s="114" t="n"/>
      <c r="F1352" s="115" t="n"/>
      <c r="G1352" s="107" t="n"/>
      <c r="H1352" s="107" t="n"/>
      <c r="I1352" s="108" t="n"/>
      <c r="J1352" s="108" t="n"/>
      <c r="K1352" s="108" t="n"/>
      <c r="L1352" s="119">
        <f>IF($E1352="","",DATE(YEAR($E1352),MONTH($E1352),1))</f>
        <v/>
      </c>
      <c r="M1352" s="112">
        <f>IF($C1352="","",IF($D1352="TANIMSIZ MÜŞTERİ","HATA",IF(OR($E1352="",$F1352&lt;=0,$G1352=""),"EKSİK",IF($E1352&gt;TODAY(),"İLERİ TARİH","UYGUN"))))</f>
        <v/>
      </c>
      <c r="N1352" s="6" t="n"/>
      <c r="O1352" s="6" t="n"/>
    </row>
    <row r="1353">
      <c r="A1353" s="6" t="n"/>
      <c r="B1353" s="112">
        <f>IF($C1353="","","T"&amp;TEXT(ROW()-6,"00000"))</f>
        <v/>
      </c>
      <c r="C1353" s="107" t="n"/>
      <c r="D1353" s="113">
        <f>IF($C1353="","",IFERROR(INDEX(MUSTERILER!$C$7:$C$106,MATCH($C1353,MUSTERILER!$B$7:$B$106,0)),"TANIMSIZ MÜŞTERİ"))</f>
        <v/>
      </c>
      <c r="E1353" s="114" t="n"/>
      <c r="F1353" s="115" t="n"/>
      <c r="G1353" s="107" t="n"/>
      <c r="H1353" s="107" t="n"/>
      <c r="I1353" s="108" t="n"/>
      <c r="J1353" s="108" t="n"/>
      <c r="K1353" s="108" t="n"/>
      <c r="L1353" s="119">
        <f>IF($E1353="","",DATE(YEAR($E1353),MONTH($E1353),1))</f>
        <v/>
      </c>
      <c r="M1353" s="112">
        <f>IF($C1353="","",IF($D1353="TANIMSIZ MÜŞTERİ","HATA",IF(OR($E1353="",$F1353&lt;=0,$G1353=""),"EKSİK",IF($E1353&gt;TODAY(),"İLERİ TARİH","UYGUN"))))</f>
        <v/>
      </c>
      <c r="N1353" s="6" t="n"/>
      <c r="O1353" s="6" t="n"/>
    </row>
    <row r="1354">
      <c r="A1354" s="6" t="n"/>
      <c r="B1354" s="112">
        <f>IF($C1354="","","T"&amp;TEXT(ROW()-6,"00000"))</f>
        <v/>
      </c>
      <c r="C1354" s="107" t="n"/>
      <c r="D1354" s="113">
        <f>IF($C1354="","",IFERROR(INDEX(MUSTERILER!$C$7:$C$106,MATCH($C1354,MUSTERILER!$B$7:$B$106,0)),"TANIMSIZ MÜŞTERİ"))</f>
        <v/>
      </c>
      <c r="E1354" s="114" t="n"/>
      <c r="F1354" s="115" t="n"/>
      <c r="G1354" s="107" t="n"/>
      <c r="H1354" s="107" t="n"/>
      <c r="I1354" s="108" t="n"/>
      <c r="J1354" s="108" t="n"/>
      <c r="K1354" s="108" t="n"/>
      <c r="L1354" s="119">
        <f>IF($E1354="","",DATE(YEAR($E1354),MONTH($E1354),1))</f>
        <v/>
      </c>
      <c r="M1354" s="112">
        <f>IF($C1354="","",IF($D1354="TANIMSIZ MÜŞTERİ","HATA",IF(OR($E1354="",$F1354&lt;=0,$G1354=""),"EKSİK",IF($E1354&gt;TODAY(),"İLERİ TARİH","UYGUN"))))</f>
        <v/>
      </c>
      <c r="N1354" s="6" t="n"/>
      <c r="O1354" s="6" t="n"/>
    </row>
    <row r="1355">
      <c r="A1355" s="6" t="n"/>
      <c r="B1355" s="112">
        <f>IF($C1355="","","T"&amp;TEXT(ROW()-6,"00000"))</f>
        <v/>
      </c>
      <c r="C1355" s="107" t="n"/>
      <c r="D1355" s="113">
        <f>IF($C1355="","",IFERROR(INDEX(MUSTERILER!$C$7:$C$106,MATCH($C1355,MUSTERILER!$B$7:$B$106,0)),"TANIMSIZ MÜŞTERİ"))</f>
        <v/>
      </c>
      <c r="E1355" s="114" t="n"/>
      <c r="F1355" s="115" t="n"/>
      <c r="G1355" s="107" t="n"/>
      <c r="H1355" s="107" t="n"/>
      <c r="I1355" s="108" t="n"/>
      <c r="J1355" s="108" t="n"/>
      <c r="K1355" s="108" t="n"/>
      <c r="L1355" s="119">
        <f>IF($E1355="","",DATE(YEAR($E1355),MONTH($E1355),1))</f>
        <v/>
      </c>
      <c r="M1355" s="112">
        <f>IF($C1355="","",IF($D1355="TANIMSIZ MÜŞTERİ","HATA",IF(OR($E1355="",$F1355&lt;=0,$G1355=""),"EKSİK",IF($E1355&gt;TODAY(),"İLERİ TARİH","UYGUN"))))</f>
        <v/>
      </c>
      <c r="N1355" s="6" t="n"/>
      <c r="O1355" s="6" t="n"/>
    </row>
    <row r="1356">
      <c r="A1356" s="6" t="n"/>
      <c r="B1356" s="112">
        <f>IF($C1356="","","T"&amp;TEXT(ROW()-6,"00000"))</f>
        <v/>
      </c>
      <c r="C1356" s="107" t="n"/>
      <c r="D1356" s="113">
        <f>IF($C1356="","",IFERROR(INDEX(MUSTERILER!$C$7:$C$106,MATCH($C1356,MUSTERILER!$B$7:$B$106,0)),"TANIMSIZ MÜŞTERİ"))</f>
        <v/>
      </c>
      <c r="E1356" s="114" t="n"/>
      <c r="F1356" s="115" t="n"/>
      <c r="G1356" s="107" t="n"/>
      <c r="H1356" s="107" t="n"/>
      <c r="I1356" s="108" t="n"/>
      <c r="J1356" s="108" t="n"/>
      <c r="K1356" s="108" t="n"/>
      <c r="L1356" s="119">
        <f>IF($E1356="","",DATE(YEAR($E1356),MONTH($E1356),1))</f>
        <v/>
      </c>
      <c r="M1356" s="112">
        <f>IF($C1356="","",IF($D1356="TANIMSIZ MÜŞTERİ","HATA",IF(OR($E1356="",$F1356&lt;=0,$G1356=""),"EKSİK",IF($E1356&gt;TODAY(),"İLERİ TARİH","UYGUN"))))</f>
        <v/>
      </c>
      <c r="N1356" s="6" t="n"/>
      <c r="O1356" s="6" t="n"/>
    </row>
    <row r="1357">
      <c r="A1357" s="6" t="n"/>
      <c r="B1357" s="112">
        <f>IF($C1357="","","T"&amp;TEXT(ROW()-6,"00000"))</f>
        <v/>
      </c>
      <c r="C1357" s="107" t="n"/>
      <c r="D1357" s="113">
        <f>IF($C1357="","",IFERROR(INDEX(MUSTERILER!$C$7:$C$106,MATCH($C1357,MUSTERILER!$B$7:$B$106,0)),"TANIMSIZ MÜŞTERİ"))</f>
        <v/>
      </c>
      <c r="E1357" s="114" t="n"/>
      <c r="F1357" s="115" t="n"/>
      <c r="G1357" s="107" t="n"/>
      <c r="H1357" s="107" t="n"/>
      <c r="I1357" s="108" t="n"/>
      <c r="J1357" s="108" t="n"/>
      <c r="K1357" s="108" t="n"/>
      <c r="L1357" s="119">
        <f>IF($E1357="","",DATE(YEAR($E1357),MONTH($E1357),1))</f>
        <v/>
      </c>
      <c r="M1357" s="112">
        <f>IF($C1357="","",IF($D1357="TANIMSIZ MÜŞTERİ","HATA",IF(OR($E1357="",$F1357&lt;=0,$G1357=""),"EKSİK",IF($E1357&gt;TODAY(),"İLERİ TARİH","UYGUN"))))</f>
        <v/>
      </c>
      <c r="N1357" s="6" t="n"/>
      <c r="O1357" s="6" t="n"/>
    </row>
    <row r="1358">
      <c r="A1358" s="6" t="n"/>
      <c r="B1358" s="112">
        <f>IF($C1358="","","T"&amp;TEXT(ROW()-6,"00000"))</f>
        <v/>
      </c>
      <c r="C1358" s="107" t="n"/>
      <c r="D1358" s="113">
        <f>IF($C1358="","",IFERROR(INDEX(MUSTERILER!$C$7:$C$106,MATCH($C1358,MUSTERILER!$B$7:$B$106,0)),"TANIMSIZ MÜŞTERİ"))</f>
        <v/>
      </c>
      <c r="E1358" s="114" t="n"/>
      <c r="F1358" s="115" t="n"/>
      <c r="G1358" s="107" t="n"/>
      <c r="H1358" s="107" t="n"/>
      <c r="I1358" s="108" t="n"/>
      <c r="J1358" s="108" t="n"/>
      <c r="K1358" s="108" t="n"/>
      <c r="L1358" s="119">
        <f>IF($E1358="","",DATE(YEAR($E1358),MONTH($E1358),1))</f>
        <v/>
      </c>
      <c r="M1358" s="112">
        <f>IF($C1358="","",IF($D1358="TANIMSIZ MÜŞTERİ","HATA",IF(OR($E1358="",$F1358&lt;=0,$G1358=""),"EKSİK",IF($E1358&gt;TODAY(),"İLERİ TARİH","UYGUN"))))</f>
        <v/>
      </c>
      <c r="N1358" s="6" t="n"/>
      <c r="O1358" s="6" t="n"/>
    </row>
    <row r="1359">
      <c r="A1359" s="6" t="n"/>
      <c r="B1359" s="112">
        <f>IF($C1359="","","T"&amp;TEXT(ROW()-6,"00000"))</f>
        <v/>
      </c>
      <c r="C1359" s="107" t="n"/>
      <c r="D1359" s="113">
        <f>IF($C1359="","",IFERROR(INDEX(MUSTERILER!$C$7:$C$106,MATCH($C1359,MUSTERILER!$B$7:$B$106,0)),"TANIMSIZ MÜŞTERİ"))</f>
        <v/>
      </c>
      <c r="E1359" s="114" t="n"/>
      <c r="F1359" s="115" t="n"/>
      <c r="G1359" s="107" t="n"/>
      <c r="H1359" s="107" t="n"/>
      <c r="I1359" s="108" t="n"/>
      <c r="J1359" s="108" t="n"/>
      <c r="K1359" s="108" t="n"/>
      <c r="L1359" s="119">
        <f>IF($E1359="","",DATE(YEAR($E1359),MONTH($E1359),1))</f>
        <v/>
      </c>
      <c r="M1359" s="112">
        <f>IF($C1359="","",IF($D1359="TANIMSIZ MÜŞTERİ","HATA",IF(OR($E1359="",$F1359&lt;=0,$G1359=""),"EKSİK",IF($E1359&gt;TODAY(),"İLERİ TARİH","UYGUN"))))</f>
        <v/>
      </c>
      <c r="N1359" s="6" t="n"/>
      <c r="O1359" s="6" t="n"/>
    </row>
    <row r="1360">
      <c r="A1360" s="6" t="n"/>
      <c r="B1360" s="112">
        <f>IF($C1360="","","T"&amp;TEXT(ROW()-6,"00000"))</f>
        <v/>
      </c>
      <c r="C1360" s="107" t="n"/>
      <c r="D1360" s="113">
        <f>IF($C1360="","",IFERROR(INDEX(MUSTERILER!$C$7:$C$106,MATCH($C1360,MUSTERILER!$B$7:$B$106,0)),"TANIMSIZ MÜŞTERİ"))</f>
        <v/>
      </c>
      <c r="E1360" s="114" t="n"/>
      <c r="F1360" s="115" t="n"/>
      <c r="G1360" s="107" t="n"/>
      <c r="H1360" s="107" t="n"/>
      <c r="I1360" s="108" t="n"/>
      <c r="J1360" s="108" t="n"/>
      <c r="K1360" s="108" t="n"/>
      <c r="L1360" s="119">
        <f>IF($E1360="","",DATE(YEAR($E1360),MONTH($E1360),1))</f>
        <v/>
      </c>
      <c r="M1360" s="112">
        <f>IF($C1360="","",IF($D1360="TANIMSIZ MÜŞTERİ","HATA",IF(OR($E1360="",$F1360&lt;=0,$G1360=""),"EKSİK",IF($E1360&gt;TODAY(),"İLERİ TARİH","UYGUN"))))</f>
        <v/>
      </c>
      <c r="N1360" s="6" t="n"/>
      <c r="O1360" s="6" t="n"/>
    </row>
    <row r="1361">
      <c r="A1361" s="6" t="n"/>
      <c r="B1361" s="112">
        <f>IF($C1361="","","T"&amp;TEXT(ROW()-6,"00000"))</f>
        <v/>
      </c>
      <c r="C1361" s="107" t="n"/>
      <c r="D1361" s="113">
        <f>IF($C1361="","",IFERROR(INDEX(MUSTERILER!$C$7:$C$106,MATCH($C1361,MUSTERILER!$B$7:$B$106,0)),"TANIMSIZ MÜŞTERİ"))</f>
        <v/>
      </c>
      <c r="E1361" s="114" t="n"/>
      <c r="F1361" s="115" t="n"/>
      <c r="G1361" s="107" t="n"/>
      <c r="H1361" s="107" t="n"/>
      <c r="I1361" s="108" t="n"/>
      <c r="J1361" s="108" t="n"/>
      <c r="K1361" s="108" t="n"/>
      <c r="L1361" s="119">
        <f>IF($E1361="","",DATE(YEAR($E1361),MONTH($E1361),1))</f>
        <v/>
      </c>
      <c r="M1361" s="112">
        <f>IF($C1361="","",IF($D1361="TANIMSIZ MÜŞTERİ","HATA",IF(OR($E1361="",$F1361&lt;=0,$G1361=""),"EKSİK",IF($E1361&gt;TODAY(),"İLERİ TARİH","UYGUN"))))</f>
        <v/>
      </c>
      <c r="N1361" s="6" t="n"/>
      <c r="O1361" s="6" t="n"/>
    </row>
    <row r="1362">
      <c r="A1362" s="6" t="n"/>
      <c r="B1362" s="112">
        <f>IF($C1362="","","T"&amp;TEXT(ROW()-6,"00000"))</f>
        <v/>
      </c>
      <c r="C1362" s="107" t="n"/>
      <c r="D1362" s="113">
        <f>IF($C1362="","",IFERROR(INDEX(MUSTERILER!$C$7:$C$106,MATCH($C1362,MUSTERILER!$B$7:$B$106,0)),"TANIMSIZ MÜŞTERİ"))</f>
        <v/>
      </c>
      <c r="E1362" s="114" t="n"/>
      <c r="F1362" s="115" t="n"/>
      <c r="G1362" s="107" t="n"/>
      <c r="H1362" s="107" t="n"/>
      <c r="I1362" s="108" t="n"/>
      <c r="J1362" s="108" t="n"/>
      <c r="K1362" s="108" t="n"/>
      <c r="L1362" s="119">
        <f>IF($E1362="","",DATE(YEAR($E1362),MONTH($E1362),1))</f>
        <v/>
      </c>
      <c r="M1362" s="112">
        <f>IF($C1362="","",IF($D1362="TANIMSIZ MÜŞTERİ","HATA",IF(OR($E1362="",$F1362&lt;=0,$G1362=""),"EKSİK",IF($E1362&gt;TODAY(),"İLERİ TARİH","UYGUN"))))</f>
        <v/>
      </c>
      <c r="N1362" s="6" t="n"/>
      <c r="O1362" s="6" t="n"/>
    </row>
    <row r="1363">
      <c r="A1363" s="6" t="n"/>
      <c r="B1363" s="112">
        <f>IF($C1363="","","T"&amp;TEXT(ROW()-6,"00000"))</f>
        <v/>
      </c>
      <c r="C1363" s="107" t="n"/>
      <c r="D1363" s="113">
        <f>IF($C1363="","",IFERROR(INDEX(MUSTERILER!$C$7:$C$106,MATCH($C1363,MUSTERILER!$B$7:$B$106,0)),"TANIMSIZ MÜŞTERİ"))</f>
        <v/>
      </c>
      <c r="E1363" s="114" t="n"/>
      <c r="F1363" s="115" t="n"/>
      <c r="G1363" s="107" t="n"/>
      <c r="H1363" s="107" t="n"/>
      <c r="I1363" s="108" t="n"/>
      <c r="J1363" s="108" t="n"/>
      <c r="K1363" s="108" t="n"/>
      <c r="L1363" s="119">
        <f>IF($E1363="","",DATE(YEAR($E1363),MONTH($E1363),1))</f>
        <v/>
      </c>
      <c r="M1363" s="112">
        <f>IF($C1363="","",IF($D1363="TANIMSIZ MÜŞTERİ","HATA",IF(OR($E1363="",$F1363&lt;=0,$G1363=""),"EKSİK",IF($E1363&gt;TODAY(),"İLERİ TARİH","UYGUN"))))</f>
        <v/>
      </c>
      <c r="N1363" s="6" t="n"/>
      <c r="O1363" s="6" t="n"/>
    </row>
    <row r="1364">
      <c r="A1364" s="6" t="n"/>
      <c r="B1364" s="112">
        <f>IF($C1364="","","T"&amp;TEXT(ROW()-6,"00000"))</f>
        <v/>
      </c>
      <c r="C1364" s="107" t="n"/>
      <c r="D1364" s="113">
        <f>IF($C1364="","",IFERROR(INDEX(MUSTERILER!$C$7:$C$106,MATCH($C1364,MUSTERILER!$B$7:$B$106,0)),"TANIMSIZ MÜŞTERİ"))</f>
        <v/>
      </c>
      <c r="E1364" s="114" t="n"/>
      <c r="F1364" s="115" t="n"/>
      <c r="G1364" s="107" t="n"/>
      <c r="H1364" s="107" t="n"/>
      <c r="I1364" s="108" t="n"/>
      <c r="J1364" s="108" t="n"/>
      <c r="K1364" s="108" t="n"/>
      <c r="L1364" s="119">
        <f>IF($E1364="","",DATE(YEAR($E1364),MONTH($E1364),1))</f>
        <v/>
      </c>
      <c r="M1364" s="112">
        <f>IF($C1364="","",IF($D1364="TANIMSIZ MÜŞTERİ","HATA",IF(OR($E1364="",$F1364&lt;=0,$G1364=""),"EKSİK",IF($E1364&gt;TODAY(),"İLERİ TARİH","UYGUN"))))</f>
        <v/>
      </c>
      <c r="N1364" s="6" t="n"/>
      <c r="O1364" s="6" t="n"/>
    </row>
    <row r="1365">
      <c r="A1365" s="6" t="n"/>
      <c r="B1365" s="112">
        <f>IF($C1365="","","T"&amp;TEXT(ROW()-6,"00000"))</f>
        <v/>
      </c>
      <c r="C1365" s="107" t="n"/>
      <c r="D1365" s="113">
        <f>IF($C1365="","",IFERROR(INDEX(MUSTERILER!$C$7:$C$106,MATCH($C1365,MUSTERILER!$B$7:$B$106,0)),"TANIMSIZ MÜŞTERİ"))</f>
        <v/>
      </c>
      <c r="E1365" s="114" t="n"/>
      <c r="F1365" s="115" t="n"/>
      <c r="G1365" s="107" t="n"/>
      <c r="H1365" s="107" t="n"/>
      <c r="I1365" s="108" t="n"/>
      <c r="J1365" s="108" t="n"/>
      <c r="K1365" s="108" t="n"/>
      <c r="L1365" s="119">
        <f>IF($E1365="","",DATE(YEAR($E1365),MONTH($E1365),1))</f>
        <v/>
      </c>
      <c r="M1365" s="112">
        <f>IF($C1365="","",IF($D1365="TANIMSIZ MÜŞTERİ","HATA",IF(OR($E1365="",$F1365&lt;=0,$G1365=""),"EKSİK",IF($E1365&gt;TODAY(),"İLERİ TARİH","UYGUN"))))</f>
        <v/>
      </c>
      <c r="N1365" s="6" t="n"/>
      <c r="O1365" s="6" t="n"/>
    </row>
    <row r="1366">
      <c r="A1366" s="6" t="n"/>
      <c r="B1366" s="112">
        <f>IF($C1366="","","T"&amp;TEXT(ROW()-6,"00000"))</f>
        <v/>
      </c>
      <c r="C1366" s="107" t="n"/>
      <c r="D1366" s="113">
        <f>IF($C1366="","",IFERROR(INDEX(MUSTERILER!$C$7:$C$106,MATCH($C1366,MUSTERILER!$B$7:$B$106,0)),"TANIMSIZ MÜŞTERİ"))</f>
        <v/>
      </c>
      <c r="E1366" s="114" t="n"/>
      <c r="F1366" s="115" t="n"/>
      <c r="G1366" s="107" t="n"/>
      <c r="H1366" s="107" t="n"/>
      <c r="I1366" s="108" t="n"/>
      <c r="J1366" s="108" t="n"/>
      <c r="K1366" s="108" t="n"/>
      <c r="L1366" s="119">
        <f>IF($E1366="","",DATE(YEAR($E1366),MONTH($E1366),1))</f>
        <v/>
      </c>
      <c r="M1366" s="112">
        <f>IF($C1366="","",IF($D1366="TANIMSIZ MÜŞTERİ","HATA",IF(OR($E1366="",$F1366&lt;=0,$G1366=""),"EKSİK",IF($E1366&gt;TODAY(),"İLERİ TARİH","UYGUN"))))</f>
        <v/>
      </c>
      <c r="N1366" s="6" t="n"/>
      <c r="O1366" s="6" t="n"/>
    </row>
    <row r="1367">
      <c r="A1367" s="6" t="n"/>
      <c r="B1367" s="112">
        <f>IF($C1367="","","T"&amp;TEXT(ROW()-6,"00000"))</f>
        <v/>
      </c>
      <c r="C1367" s="107" t="n"/>
      <c r="D1367" s="113">
        <f>IF($C1367="","",IFERROR(INDEX(MUSTERILER!$C$7:$C$106,MATCH($C1367,MUSTERILER!$B$7:$B$106,0)),"TANIMSIZ MÜŞTERİ"))</f>
        <v/>
      </c>
      <c r="E1367" s="114" t="n"/>
      <c r="F1367" s="115" t="n"/>
      <c r="G1367" s="107" t="n"/>
      <c r="H1367" s="107" t="n"/>
      <c r="I1367" s="108" t="n"/>
      <c r="J1367" s="108" t="n"/>
      <c r="K1367" s="108" t="n"/>
      <c r="L1367" s="119">
        <f>IF($E1367="","",DATE(YEAR($E1367),MONTH($E1367),1))</f>
        <v/>
      </c>
      <c r="M1367" s="112">
        <f>IF($C1367="","",IF($D1367="TANIMSIZ MÜŞTERİ","HATA",IF(OR($E1367="",$F1367&lt;=0,$G1367=""),"EKSİK",IF($E1367&gt;TODAY(),"İLERİ TARİH","UYGUN"))))</f>
        <v/>
      </c>
      <c r="N1367" s="6" t="n"/>
      <c r="O1367" s="6" t="n"/>
    </row>
    <row r="1368">
      <c r="A1368" s="6" t="n"/>
      <c r="B1368" s="112">
        <f>IF($C1368="","","T"&amp;TEXT(ROW()-6,"00000"))</f>
        <v/>
      </c>
      <c r="C1368" s="107" t="n"/>
      <c r="D1368" s="113">
        <f>IF($C1368="","",IFERROR(INDEX(MUSTERILER!$C$7:$C$106,MATCH($C1368,MUSTERILER!$B$7:$B$106,0)),"TANIMSIZ MÜŞTERİ"))</f>
        <v/>
      </c>
      <c r="E1368" s="114" t="n"/>
      <c r="F1368" s="115" t="n"/>
      <c r="G1368" s="107" t="n"/>
      <c r="H1368" s="107" t="n"/>
      <c r="I1368" s="108" t="n"/>
      <c r="J1368" s="108" t="n"/>
      <c r="K1368" s="108" t="n"/>
      <c r="L1368" s="119">
        <f>IF($E1368="","",DATE(YEAR($E1368),MONTH($E1368),1))</f>
        <v/>
      </c>
      <c r="M1368" s="112">
        <f>IF($C1368="","",IF($D1368="TANIMSIZ MÜŞTERİ","HATA",IF(OR($E1368="",$F1368&lt;=0,$G1368=""),"EKSİK",IF($E1368&gt;TODAY(),"İLERİ TARİH","UYGUN"))))</f>
        <v/>
      </c>
      <c r="N1368" s="6" t="n"/>
      <c r="O1368" s="6" t="n"/>
    </row>
    <row r="1369">
      <c r="A1369" s="6" t="n"/>
      <c r="B1369" s="112">
        <f>IF($C1369="","","T"&amp;TEXT(ROW()-6,"00000"))</f>
        <v/>
      </c>
      <c r="C1369" s="107" t="n"/>
      <c r="D1369" s="113">
        <f>IF($C1369="","",IFERROR(INDEX(MUSTERILER!$C$7:$C$106,MATCH($C1369,MUSTERILER!$B$7:$B$106,0)),"TANIMSIZ MÜŞTERİ"))</f>
        <v/>
      </c>
      <c r="E1369" s="114" t="n"/>
      <c r="F1369" s="115" t="n"/>
      <c r="G1369" s="107" t="n"/>
      <c r="H1369" s="107" t="n"/>
      <c r="I1369" s="108" t="n"/>
      <c r="J1369" s="108" t="n"/>
      <c r="K1369" s="108" t="n"/>
      <c r="L1369" s="119">
        <f>IF($E1369="","",DATE(YEAR($E1369),MONTH($E1369),1))</f>
        <v/>
      </c>
      <c r="M1369" s="112">
        <f>IF($C1369="","",IF($D1369="TANIMSIZ MÜŞTERİ","HATA",IF(OR($E1369="",$F1369&lt;=0,$G1369=""),"EKSİK",IF($E1369&gt;TODAY(),"İLERİ TARİH","UYGUN"))))</f>
        <v/>
      </c>
      <c r="N1369" s="6" t="n"/>
      <c r="O1369" s="6" t="n"/>
    </row>
    <row r="1370">
      <c r="A1370" s="6" t="n"/>
      <c r="B1370" s="112">
        <f>IF($C1370="","","T"&amp;TEXT(ROW()-6,"00000"))</f>
        <v/>
      </c>
      <c r="C1370" s="107" t="n"/>
      <c r="D1370" s="113">
        <f>IF($C1370="","",IFERROR(INDEX(MUSTERILER!$C$7:$C$106,MATCH($C1370,MUSTERILER!$B$7:$B$106,0)),"TANIMSIZ MÜŞTERİ"))</f>
        <v/>
      </c>
      <c r="E1370" s="114" t="n"/>
      <c r="F1370" s="115" t="n"/>
      <c r="G1370" s="107" t="n"/>
      <c r="H1370" s="107" t="n"/>
      <c r="I1370" s="108" t="n"/>
      <c r="J1370" s="108" t="n"/>
      <c r="K1370" s="108" t="n"/>
      <c r="L1370" s="119">
        <f>IF($E1370="","",DATE(YEAR($E1370),MONTH($E1370),1))</f>
        <v/>
      </c>
      <c r="M1370" s="112">
        <f>IF($C1370="","",IF($D1370="TANIMSIZ MÜŞTERİ","HATA",IF(OR($E1370="",$F1370&lt;=0,$G1370=""),"EKSİK",IF($E1370&gt;TODAY(),"İLERİ TARİH","UYGUN"))))</f>
        <v/>
      </c>
      <c r="N1370" s="6" t="n"/>
      <c r="O1370" s="6" t="n"/>
    </row>
    <row r="1371">
      <c r="A1371" s="6" t="n"/>
      <c r="B1371" s="112">
        <f>IF($C1371="","","T"&amp;TEXT(ROW()-6,"00000"))</f>
        <v/>
      </c>
      <c r="C1371" s="107" t="n"/>
      <c r="D1371" s="113">
        <f>IF($C1371="","",IFERROR(INDEX(MUSTERILER!$C$7:$C$106,MATCH($C1371,MUSTERILER!$B$7:$B$106,0)),"TANIMSIZ MÜŞTERİ"))</f>
        <v/>
      </c>
      <c r="E1371" s="114" t="n"/>
      <c r="F1371" s="115" t="n"/>
      <c r="G1371" s="107" t="n"/>
      <c r="H1371" s="107" t="n"/>
      <c r="I1371" s="108" t="n"/>
      <c r="J1371" s="108" t="n"/>
      <c r="K1371" s="108" t="n"/>
      <c r="L1371" s="119">
        <f>IF($E1371="","",DATE(YEAR($E1371),MONTH($E1371),1))</f>
        <v/>
      </c>
      <c r="M1371" s="112">
        <f>IF($C1371="","",IF($D1371="TANIMSIZ MÜŞTERİ","HATA",IF(OR($E1371="",$F1371&lt;=0,$G1371=""),"EKSİK",IF($E1371&gt;TODAY(),"İLERİ TARİH","UYGUN"))))</f>
        <v/>
      </c>
      <c r="N1371" s="6" t="n"/>
      <c r="O1371" s="6" t="n"/>
    </row>
    <row r="1372">
      <c r="A1372" s="6" t="n"/>
      <c r="B1372" s="112">
        <f>IF($C1372="","","T"&amp;TEXT(ROW()-6,"00000"))</f>
        <v/>
      </c>
      <c r="C1372" s="107" t="n"/>
      <c r="D1372" s="113">
        <f>IF($C1372="","",IFERROR(INDEX(MUSTERILER!$C$7:$C$106,MATCH($C1372,MUSTERILER!$B$7:$B$106,0)),"TANIMSIZ MÜŞTERİ"))</f>
        <v/>
      </c>
      <c r="E1372" s="114" t="n"/>
      <c r="F1372" s="115" t="n"/>
      <c r="G1372" s="107" t="n"/>
      <c r="H1372" s="107" t="n"/>
      <c r="I1372" s="108" t="n"/>
      <c r="J1372" s="108" t="n"/>
      <c r="K1372" s="108" t="n"/>
      <c r="L1372" s="119">
        <f>IF($E1372="","",DATE(YEAR($E1372),MONTH($E1372),1))</f>
        <v/>
      </c>
      <c r="M1372" s="112">
        <f>IF($C1372="","",IF($D1372="TANIMSIZ MÜŞTERİ","HATA",IF(OR($E1372="",$F1372&lt;=0,$G1372=""),"EKSİK",IF($E1372&gt;TODAY(),"İLERİ TARİH","UYGUN"))))</f>
        <v/>
      </c>
      <c r="N1372" s="6" t="n"/>
      <c r="O1372" s="6" t="n"/>
    </row>
    <row r="1373">
      <c r="A1373" s="6" t="n"/>
      <c r="B1373" s="112">
        <f>IF($C1373="","","T"&amp;TEXT(ROW()-6,"00000"))</f>
        <v/>
      </c>
      <c r="C1373" s="107" t="n"/>
      <c r="D1373" s="113">
        <f>IF($C1373="","",IFERROR(INDEX(MUSTERILER!$C$7:$C$106,MATCH($C1373,MUSTERILER!$B$7:$B$106,0)),"TANIMSIZ MÜŞTERİ"))</f>
        <v/>
      </c>
      <c r="E1373" s="114" t="n"/>
      <c r="F1373" s="115" t="n"/>
      <c r="G1373" s="107" t="n"/>
      <c r="H1373" s="107" t="n"/>
      <c r="I1373" s="108" t="n"/>
      <c r="J1373" s="108" t="n"/>
      <c r="K1373" s="108" t="n"/>
      <c r="L1373" s="119">
        <f>IF($E1373="","",DATE(YEAR($E1373),MONTH($E1373),1))</f>
        <v/>
      </c>
      <c r="M1373" s="112">
        <f>IF($C1373="","",IF($D1373="TANIMSIZ MÜŞTERİ","HATA",IF(OR($E1373="",$F1373&lt;=0,$G1373=""),"EKSİK",IF($E1373&gt;TODAY(),"İLERİ TARİH","UYGUN"))))</f>
        <v/>
      </c>
      <c r="N1373" s="6" t="n"/>
      <c r="O1373" s="6" t="n"/>
    </row>
    <row r="1374">
      <c r="A1374" s="6" t="n"/>
      <c r="B1374" s="112">
        <f>IF($C1374="","","T"&amp;TEXT(ROW()-6,"00000"))</f>
        <v/>
      </c>
      <c r="C1374" s="107" t="n"/>
      <c r="D1374" s="113">
        <f>IF($C1374="","",IFERROR(INDEX(MUSTERILER!$C$7:$C$106,MATCH($C1374,MUSTERILER!$B$7:$B$106,0)),"TANIMSIZ MÜŞTERİ"))</f>
        <v/>
      </c>
      <c r="E1374" s="114" t="n"/>
      <c r="F1374" s="115" t="n"/>
      <c r="G1374" s="107" t="n"/>
      <c r="H1374" s="107" t="n"/>
      <c r="I1374" s="108" t="n"/>
      <c r="J1374" s="108" t="n"/>
      <c r="K1374" s="108" t="n"/>
      <c r="L1374" s="119">
        <f>IF($E1374="","",DATE(YEAR($E1374),MONTH($E1374),1))</f>
        <v/>
      </c>
      <c r="M1374" s="112">
        <f>IF($C1374="","",IF($D1374="TANIMSIZ MÜŞTERİ","HATA",IF(OR($E1374="",$F1374&lt;=0,$G1374=""),"EKSİK",IF($E1374&gt;TODAY(),"İLERİ TARİH","UYGUN"))))</f>
        <v/>
      </c>
      <c r="N1374" s="6" t="n"/>
      <c r="O1374" s="6" t="n"/>
    </row>
    <row r="1375">
      <c r="A1375" s="6" t="n"/>
      <c r="B1375" s="112">
        <f>IF($C1375="","","T"&amp;TEXT(ROW()-6,"00000"))</f>
        <v/>
      </c>
      <c r="C1375" s="107" t="n"/>
      <c r="D1375" s="113">
        <f>IF($C1375="","",IFERROR(INDEX(MUSTERILER!$C$7:$C$106,MATCH($C1375,MUSTERILER!$B$7:$B$106,0)),"TANIMSIZ MÜŞTERİ"))</f>
        <v/>
      </c>
      <c r="E1375" s="114" t="n"/>
      <c r="F1375" s="115" t="n"/>
      <c r="G1375" s="107" t="n"/>
      <c r="H1375" s="107" t="n"/>
      <c r="I1375" s="108" t="n"/>
      <c r="J1375" s="108" t="n"/>
      <c r="K1375" s="108" t="n"/>
      <c r="L1375" s="119">
        <f>IF($E1375="","",DATE(YEAR($E1375),MONTH($E1375),1))</f>
        <v/>
      </c>
      <c r="M1375" s="112">
        <f>IF($C1375="","",IF($D1375="TANIMSIZ MÜŞTERİ","HATA",IF(OR($E1375="",$F1375&lt;=0,$G1375=""),"EKSİK",IF($E1375&gt;TODAY(),"İLERİ TARİH","UYGUN"))))</f>
        <v/>
      </c>
      <c r="N1375" s="6" t="n"/>
      <c r="O1375" s="6" t="n"/>
    </row>
    <row r="1376">
      <c r="A1376" s="6" t="n"/>
      <c r="B1376" s="112">
        <f>IF($C1376="","","T"&amp;TEXT(ROW()-6,"00000"))</f>
        <v/>
      </c>
      <c r="C1376" s="107" t="n"/>
      <c r="D1376" s="113">
        <f>IF($C1376="","",IFERROR(INDEX(MUSTERILER!$C$7:$C$106,MATCH($C1376,MUSTERILER!$B$7:$B$106,0)),"TANIMSIZ MÜŞTERİ"))</f>
        <v/>
      </c>
      <c r="E1376" s="114" t="n"/>
      <c r="F1376" s="115" t="n"/>
      <c r="G1376" s="107" t="n"/>
      <c r="H1376" s="107" t="n"/>
      <c r="I1376" s="108" t="n"/>
      <c r="J1376" s="108" t="n"/>
      <c r="K1376" s="108" t="n"/>
      <c r="L1376" s="119">
        <f>IF($E1376="","",DATE(YEAR($E1376),MONTH($E1376),1))</f>
        <v/>
      </c>
      <c r="M1376" s="112">
        <f>IF($C1376="","",IF($D1376="TANIMSIZ MÜŞTERİ","HATA",IF(OR($E1376="",$F1376&lt;=0,$G1376=""),"EKSİK",IF($E1376&gt;TODAY(),"İLERİ TARİH","UYGUN"))))</f>
        <v/>
      </c>
      <c r="N1376" s="6" t="n"/>
      <c r="O1376" s="6" t="n"/>
    </row>
    <row r="1377">
      <c r="A1377" s="6" t="n"/>
      <c r="B1377" s="112">
        <f>IF($C1377="","","T"&amp;TEXT(ROW()-6,"00000"))</f>
        <v/>
      </c>
      <c r="C1377" s="107" t="n"/>
      <c r="D1377" s="113">
        <f>IF($C1377="","",IFERROR(INDEX(MUSTERILER!$C$7:$C$106,MATCH($C1377,MUSTERILER!$B$7:$B$106,0)),"TANIMSIZ MÜŞTERİ"))</f>
        <v/>
      </c>
      <c r="E1377" s="114" t="n"/>
      <c r="F1377" s="115" t="n"/>
      <c r="G1377" s="107" t="n"/>
      <c r="H1377" s="107" t="n"/>
      <c r="I1377" s="108" t="n"/>
      <c r="J1377" s="108" t="n"/>
      <c r="K1377" s="108" t="n"/>
      <c r="L1377" s="119">
        <f>IF($E1377="","",DATE(YEAR($E1377),MONTH($E1377),1))</f>
        <v/>
      </c>
      <c r="M1377" s="112">
        <f>IF($C1377="","",IF($D1377="TANIMSIZ MÜŞTERİ","HATA",IF(OR($E1377="",$F1377&lt;=0,$G1377=""),"EKSİK",IF($E1377&gt;TODAY(),"İLERİ TARİH","UYGUN"))))</f>
        <v/>
      </c>
      <c r="N1377" s="6" t="n"/>
      <c r="O1377" s="6" t="n"/>
    </row>
    <row r="1378">
      <c r="A1378" s="6" t="n"/>
      <c r="B1378" s="112">
        <f>IF($C1378="","","T"&amp;TEXT(ROW()-6,"00000"))</f>
        <v/>
      </c>
      <c r="C1378" s="107" t="n"/>
      <c r="D1378" s="113">
        <f>IF($C1378="","",IFERROR(INDEX(MUSTERILER!$C$7:$C$106,MATCH($C1378,MUSTERILER!$B$7:$B$106,0)),"TANIMSIZ MÜŞTERİ"))</f>
        <v/>
      </c>
      <c r="E1378" s="114" t="n"/>
      <c r="F1378" s="115" t="n"/>
      <c r="G1378" s="107" t="n"/>
      <c r="H1378" s="107" t="n"/>
      <c r="I1378" s="108" t="n"/>
      <c r="J1378" s="108" t="n"/>
      <c r="K1378" s="108" t="n"/>
      <c r="L1378" s="119">
        <f>IF($E1378="","",DATE(YEAR($E1378),MONTH($E1378),1))</f>
        <v/>
      </c>
      <c r="M1378" s="112">
        <f>IF($C1378="","",IF($D1378="TANIMSIZ MÜŞTERİ","HATA",IF(OR($E1378="",$F1378&lt;=0,$G1378=""),"EKSİK",IF($E1378&gt;TODAY(),"İLERİ TARİH","UYGUN"))))</f>
        <v/>
      </c>
      <c r="N1378" s="6" t="n"/>
      <c r="O1378" s="6" t="n"/>
    </row>
    <row r="1379">
      <c r="A1379" s="6" t="n"/>
      <c r="B1379" s="112">
        <f>IF($C1379="","","T"&amp;TEXT(ROW()-6,"00000"))</f>
        <v/>
      </c>
      <c r="C1379" s="107" t="n"/>
      <c r="D1379" s="113">
        <f>IF($C1379="","",IFERROR(INDEX(MUSTERILER!$C$7:$C$106,MATCH($C1379,MUSTERILER!$B$7:$B$106,0)),"TANIMSIZ MÜŞTERİ"))</f>
        <v/>
      </c>
      <c r="E1379" s="114" t="n"/>
      <c r="F1379" s="115" t="n"/>
      <c r="G1379" s="107" t="n"/>
      <c r="H1379" s="107" t="n"/>
      <c r="I1379" s="108" t="n"/>
      <c r="J1379" s="108" t="n"/>
      <c r="K1379" s="108" t="n"/>
      <c r="L1379" s="119">
        <f>IF($E1379="","",DATE(YEAR($E1379),MONTH($E1379),1))</f>
        <v/>
      </c>
      <c r="M1379" s="112">
        <f>IF($C1379="","",IF($D1379="TANIMSIZ MÜŞTERİ","HATA",IF(OR($E1379="",$F1379&lt;=0,$G1379=""),"EKSİK",IF($E1379&gt;TODAY(),"İLERİ TARİH","UYGUN"))))</f>
        <v/>
      </c>
      <c r="N1379" s="6" t="n"/>
      <c r="O1379" s="6" t="n"/>
    </row>
    <row r="1380">
      <c r="A1380" s="6" t="n"/>
      <c r="B1380" s="112">
        <f>IF($C1380="","","T"&amp;TEXT(ROW()-6,"00000"))</f>
        <v/>
      </c>
      <c r="C1380" s="107" t="n"/>
      <c r="D1380" s="113">
        <f>IF($C1380="","",IFERROR(INDEX(MUSTERILER!$C$7:$C$106,MATCH($C1380,MUSTERILER!$B$7:$B$106,0)),"TANIMSIZ MÜŞTERİ"))</f>
        <v/>
      </c>
      <c r="E1380" s="114" t="n"/>
      <c r="F1380" s="115" t="n"/>
      <c r="G1380" s="107" t="n"/>
      <c r="H1380" s="107" t="n"/>
      <c r="I1380" s="108" t="n"/>
      <c r="J1380" s="108" t="n"/>
      <c r="K1380" s="108" t="n"/>
      <c r="L1380" s="119">
        <f>IF($E1380="","",DATE(YEAR($E1380),MONTH($E1380),1))</f>
        <v/>
      </c>
      <c r="M1380" s="112">
        <f>IF($C1380="","",IF($D1380="TANIMSIZ MÜŞTERİ","HATA",IF(OR($E1380="",$F1380&lt;=0,$G1380=""),"EKSİK",IF($E1380&gt;TODAY(),"İLERİ TARİH","UYGUN"))))</f>
        <v/>
      </c>
      <c r="N1380" s="6" t="n"/>
      <c r="O1380" s="6" t="n"/>
    </row>
    <row r="1381">
      <c r="A1381" s="6" t="n"/>
      <c r="B1381" s="112">
        <f>IF($C1381="","","T"&amp;TEXT(ROW()-6,"00000"))</f>
        <v/>
      </c>
      <c r="C1381" s="107" t="n"/>
      <c r="D1381" s="113">
        <f>IF($C1381="","",IFERROR(INDEX(MUSTERILER!$C$7:$C$106,MATCH($C1381,MUSTERILER!$B$7:$B$106,0)),"TANIMSIZ MÜŞTERİ"))</f>
        <v/>
      </c>
      <c r="E1381" s="114" t="n"/>
      <c r="F1381" s="115" t="n"/>
      <c r="G1381" s="107" t="n"/>
      <c r="H1381" s="107" t="n"/>
      <c r="I1381" s="108" t="n"/>
      <c r="J1381" s="108" t="n"/>
      <c r="K1381" s="108" t="n"/>
      <c r="L1381" s="119">
        <f>IF($E1381="","",DATE(YEAR($E1381),MONTH($E1381),1))</f>
        <v/>
      </c>
      <c r="M1381" s="112">
        <f>IF($C1381="","",IF($D1381="TANIMSIZ MÜŞTERİ","HATA",IF(OR($E1381="",$F1381&lt;=0,$G1381=""),"EKSİK",IF($E1381&gt;TODAY(),"İLERİ TARİH","UYGUN"))))</f>
        <v/>
      </c>
      <c r="N1381" s="6" t="n"/>
      <c r="O1381" s="6" t="n"/>
    </row>
    <row r="1382">
      <c r="A1382" s="6" t="n"/>
      <c r="B1382" s="112">
        <f>IF($C1382="","","T"&amp;TEXT(ROW()-6,"00000"))</f>
        <v/>
      </c>
      <c r="C1382" s="107" t="n"/>
      <c r="D1382" s="113">
        <f>IF($C1382="","",IFERROR(INDEX(MUSTERILER!$C$7:$C$106,MATCH($C1382,MUSTERILER!$B$7:$B$106,0)),"TANIMSIZ MÜŞTERİ"))</f>
        <v/>
      </c>
      <c r="E1382" s="114" t="n"/>
      <c r="F1382" s="115" t="n"/>
      <c r="G1382" s="107" t="n"/>
      <c r="H1382" s="107" t="n"/>
      <c r="I1382" s="108" t="n"/>
      <c r="J1382" s="108" t="n"/>
      <c r="K1382" s="108" t="n"/>
      <c r="L1382" s="119">
        <f>IF($E1382="","",DATE(YEAR($E1382),MONTH($E1382),1))</f>
        <v/>
      </c>
      <c r="M1382" s="112">
        <f>IF($C1382="","",IF($D1382="TANIMSIZ MÜŞTERİ","HATA",IF(OR($E1382="",$F1382&lt;=0,$G1382=""),"EKSİK",IF($E1382&gt;TODAY(),"İLERİ TARİH","UYGUN"))))</f>
        <v/>
      </c>
      <c r="N1382" s="6" t="n"/>
      <c r="O1382" s="6" t="n"/>
    </row>
    <row r="1383">
      <c r="A1383" s="6" t="n"/>
      <c r="B1383" s="112">
        <f>IF($C1383="","","T"&amp;TEXT(ROW()-6,"00000"))</f>
        <v/>
      </c>
      <c r="C1383" s="107" t="n"/>
      <c r="D1383" s="113">
        <f>IF($C1383="","",IFERROR(INDEX(MUSTERILER!$C$7:$C$106,MATCH($C1383,MUSTERILER!$B$7:$B$106,0)),"TANIMSIZ MÜŞTERİ"))</f>
        <v/>
      </c>
      <c r="E1383" s="114" t="n"/>
      <c r="F1383" s="115" t="n"/>
      <c r="G1383" s="107" t="n"/>
      <c r="H1383" s="107" t="n"/>
      <c r="I1383" s="108" t="n"/>
      <c r="J1383" s="108" t="n"/>
      <c r="K1383" s="108" t="n"/>
      <c r="L1383" s="119">
        <f>IF($E1383="","",DATE(YEAR($E1383),MONTH($E1383),1))</f>
        <v/>
      </c>
      <c r="M1383" s="112">
        <f>IF($C1383="","",IF($D1383="TANIMSIZ MÜŞTERİ","HATA",IF(OR($E1383="",$F1383&lt;=0,$G1383=""),"EKSİK",IF($E1383&gt;TODAY(),"İLERİ TARİH","UYGUN"))))</f>
        <v/>
      </c>
      <c r="N1383" s="6" t="n"/>
      <c r="O1383" s="6" t="n"/>
    </row>
    <row r="1384">
      <c r="A1384" s="6" t="n"/>
      <c r="B1384" s="112">
        <f>IF($C1384="","","T"&amp;TEXT(ROW()-6,"00000"))</f>
        <v/>
      </c>
      <c r="C1384" s="107" t="n"/>
      <c r="D1384" s="113">
        <f>IF($C1384="","",IFERROR(INDEX(MUSTERILER!$C$7:$C$106,MATCH($C1384,MUSTERILER!$B$7:$B$106,0)),"TANIMSIZ MÜŞTERİ"))</f>
        <v/>
      </c>
      <c r="E1384" s="114" t="n"/>
      <c r="F1384" s="115" t="n"/>
      <c r="G1384" s="107" t="n"/>
      <c r="H1384" s="107" t="n"/>
      <c r="I1384" s="108" t="n"/>
      <c r="J1384" s="108" t="n"/>
      <c r="K1384" s="108" t="n"/>
      <c r="L1384" s="119">
        <f>IF($E1384="","",DATE(YEAR($E1384),MONTH($E1384),1))</f>
        <v/>
      </c>
      <c r="M1384" s="112">
        <f>IF($C1384="","",IF($D1384="TANIMSIZ MÜŞTERİ","HATA",IF(OR($E1384="",$F1384&lt;=0,$G1384=""),"EKSİK",IF($E1384&gt;TODAY(),"İLERİ TARİH","UYGUN"))))</f>
        <v/>
      </c>
      <c r="N1384" s="6" t="n"/>
      <c r="O1384" s="6" t="n"/>
    </row>
    <row r="1385">
      <c r="A1385" s="6" t="n"/>
      <c r="B1385" s="112">
        <f>IF($C1385="","","T"&amp;TEXT(ROW()-6,"00000"))</f>
        <v/>
      </c>
      <c r="C1385" s="107" t="n"/>
      <c r="D1385" s="113">
        <f>IF($C1385="","",IFERROR(INDEX(MUSTERILER!$C$7:$C$106,MATCH($C1385,MUSTERILER!$B$7:$B$106,0)),"TANIMSIZ MÜŞTERİ"))</f>
        <v/>
      </c>
      <c r="E1385" s="114" t="n"/>
      <c r="F1385" s="115" t="n"/>
      <c r="G1385" s="107" t="n"/>
      <c r="H1385" s="107" t="n"/>
      <c r="I1385" s="108" t="n"/>
      <c r="J1385" s="108" t="n"/>
      <c r="K1385" s="108" t="n"/>
      <c r="L1385" s="119">
        <f>IF($E1385="","",DATE(YEAR($E1385),MONTH($E1385),1))</f>
        <v/>
      </c>
      <c r="M1385" s="112">
        <f>IF($C1385="","",IF($D1385="TANIMSIZ MÜŞTERİ","HATA",IF(OR($E1385="",$F1385&lt;=0,$G1385=""),"EKSİK",IF($E1385&gt;TODAY(),"İLERİ TARİH","UYGUN"))))</f>
        <v/>
      </c>
      <c r="N1385" s="6" t="n"/>
      <c r="O1385" s="6" t="n"/>
    </row>
    <row r="1386">
      <c r="A1386" s="6" t="n"/>
      <c r="B1386" s="112">
        <f>IF($C1386="","","T"&amp;TEXT(ROW()-6,"00000"))</f>
        <v/>
      </c>
      <c r="C1386" s="107" t="n"/>
      <c r="D1386" s="113">
        <f>IF($C1386="","",IFERROR(INDEX(MUSTERILER!$C$7:$C$106,MATCH($C1386,MUSTERILER!$B$7:$B$106,0)),"TANIMSIZ MÜŞTERİ"))</f>
        <v/>
      </c>
      <c r="E1386" s="114" t="n"/>
      <c r="F1386" s="115" t="n"/>
      <c r="G1386" s="107" t="n"/>
      <c r="H1386" s="107" t="n"/>
      <c r="I1386" s="108" t="n"/>
      <c r="J1386" s="108" t="n"/>
      <c r="K1386" s="108" t="n"/>
      <c r="L1386" s="119">
        <f>IF($E1386="","",DATE(YEAR($E1386),MONTH($E1386),1))</f>
        <v/>
      </c>
      <c r="M1386" s="112">
        <f>IF($C1386="","",IF($D1386="TANIMSIZ MÜŞTERİ","HATA",IF(OR($E1386="",$F1386&lt;=0,$G1386=""),"EKSİK",IF($E1386&gt;TODAY(),"İLERİ TARİH","UYGUN"))))</f>
        <v/>
      </c>
      <c r="N1386" s="6" t="n"/>
      <c r="O1386" s="6" t="n"/>
    </row>
    <row r="1387">
      <c r="A1387" s="6" t="n"/>
      <c r="B1387" s="112">
        <f>IF($C1387="","","T"&amp;TEXT(ROW()-6,"00000"))</f>
        <v/>
      </c>
      <c r="C1387" s="107" t="n"/>
      <c r="D1387" s="113">
        <f>IF($C1387="","",IFERROR(INDEX(MUSTERILER!$C$7:$C$106,MATCH($C1387,MUSTERILER!$B$7:$B$106,0)),"TANIMSIZ MÜŞTERİ"))</f>
        <v/>
      </c>
      <c r="E1387" s="114" t="n"/>
      <c r="F1387" s="115" t="n"/>
      <c r="G1387" s="107" t="n"/>
      <c r="H1387" s="107" t="n"/>
      <c r="I1387" s="108" t="n"/>
      <c r="J1387" s="108" t="n"/>
      <c r="K1387" s="108" t="n"/>
      <c r="L1387" s="119">
        <f>IF($E1387="","",DATE(YEAR($E1387),MONTH($E1387),1))</f>
        <v/>
      </c>
      <c r="M1387" s="112">
        <f>IF($C1387="","",IF($D1387="TANIMSIZ MÜŞTERİ","HATA",IF(OR($E1387="",$F1387&lt;=0,$G1387=""),"EKSİK",IF($E1387&gt;TODAY(),"İLERİ TARİH","UYGUN"))))</f>
        <v/>
      </c>
      <c r="N1387" s="6" t="n"/>
      <c r="O1387" s="6" t="n"/>
    </row>
    <row r="1388">
      <c r="A1388" s="6" t="n"/>
      <c r="B1388" s="112">
        <f>IF($C1388="","","T"&amp;TEXT(ROW()-6,"00000"))</f>
        <v/>
      </c>
      <c r="C1388" s="107" t="n"/>
      <c r="D1388" s="113">
        <f>IF($C1388="","",IFERROR(INDEX(MUSTERILER!$C$7:$C$106,MATCH($C1388,MUSTERILER!$B$7:$B$106,0)),"TANIMSIZ MÜŞTERİ"))</f>
        <v/>
      </c>
      <c r="E1388" s="114" t="n"/>
      <c r="F1388" s="115" t="n"/>
      <c r="G1388" s="107" t="n"/>
      <c r="H1388" s="107" t="n"/>
      <c r="I1388" s="108" t="n"/>
      <c r="J1388" s="108" t="n"/>
      <c r="K1388" s="108" t="n"/>
      <c r="L1388" s="119">
        <f>IF($E1388="","",DATE(YEAR($E1388),MONTH($E1388),1))</f>
        <v/>
      </c>
      <c r="M1388" s="112">
        <f>IF($C1388="","",IF($D1388="TANIMSIZ MÜŞTERİ","HATA",IF(OR($E1388="",$F1388&lt;=0,$G1388=""),"EKSİK",IF($E1388&gt;TODAY(),"İLERİ TARİH","UYGUN"))))</f>
        <v/>
      </c>
      <c r="N1388" s="6" t="n"/>
      <c r="O1388" s="6" t="n"/>
    </row>
    <row r="1389">
      <c r="A1389" s="6" t="n"/>
      <c r="B1389" s="112">
        <f>IF($C1389="","","T"&amp;TEXT(ROW()-6,"00000"))</f>
        <v/>
      </c>
      <c r="C1389" s="107" t="n"/>
      <c r="D1389" s="113">
        <f>IF($C1389="","",IFERROR(INDEX(MUSTERILER!$C$7:$C$106,MATCH($C1389,MUSTERILER!$B$7:$B$106,0)),"TANIMSIZ MÜŞTERİ"))</f>
        <v/>
      </c>
      <c r="E1389" s="114" t="n"/>
      <c r="F1389" s="115" t="n"/>
      <c r="G1389" s="107" t="n"/>
      <c r="H1389" s="107" t="n"/>
      <c r="I1389" s="108" t="n"/>
      <c r="J1389" s="108" t="n"/>
      <c r="K1389" s="108" t="n"/>
      <c r="L1389" s="119">
        <f>IF($E1389="","",DATE(YEAR($E1389),MONTH($E1389),1))</f>
        <v/>
      </c>
      <c r="M1389" s="112">
        <f>IF($C1389="","",IF($D1389="TANIMSIZ MÜŞTERİ","HATA",IF(OR($E1389="",$F1389&lt;=0,$G1389=""),"EKSİK",IF($E1389&gt;TODAY(),"İLERİ TARİH","UYGUN"))))</f>
        <v/>
      </c>
      <c r="N1389" s="6" t="n"/>
      <c r="O1389" s="6" t="n"/>
    </row>
    <row r="1390">
      <c r="A1390" s="6" t="n"/>
      <c r="B1390" s="112">
        <f>IF($C1390="","","T"&amp;TEXT(ROW()-6,"00000"))</f>
        <v/>
      </c>
      <c r="C1390" s="107" t="n"/>
      <c r="D1390" s="113">
        <f>IF($C1390="","",IFERROR(INDEX(MUSTERILER!$C$7:$C$106,MATCH($C1390,MUSTERILER!$B$7:$B$106,0)),"TANIMSIZ MÜŞTERİ"))</f>
        <v/>
      </c>
      <c r="E1390" s="114" t="n"/>
      <c r="F1390" s="115" t="n"/>
      <c r="G1390" s="107" t="n"/>
      <c r="H1390" s="107" t="n"/>
      <c r="I1390" s="108" t="n"/>
      <c r="J1390" s="108" t="n"/>
      <c r="K1390" s="108" t="n"/>
      <c r="L1390" s="119">
        <f>IF($E1390="","",DATE(YEAR($E1390),MONTH($E1390),1))</f>
        <v/>
      </c>
      <c r="M1390" s="112">
        <f>IF($C1390="","",IF($D1390="TANIMSIZ MÜŞTERİ","HATA",IF(OR($E1390="",$F1390&lt;=0,$G1390=""),"EKSİK",IF($E1390&gt;TODAY(),"İLERİ TARİH","UYGUN"))))</f>
        <v/>
      </c>
      <c r="N1390" s="6" t="n"/>
      <c r="O1390" s="6" t="n"/>
    </row>
    <row r="1391">
      <c r="A1391" s="6" t="n"/>
      <c r="B1391" s="112">
        <f>IF($C1391="","","T"&amp;TEXT(ROW()-6,"00000"))</f>
        <v/>
      </c>
      <c r="C1391" s="107" t="n"/>
      <c r="D1391" s="113">
        <f>IF($C1391="","",IFERROR(INDEX(MUSTERILER!$C$7:$C$106,MATCH($C1391,MUSTERILER!$B$7:$B$106,0)),"TANIMSIZ MÜŞTERİ"))</f>
        <v/>
      </c>
      <c r="E1391" s="114" t="n"/>
      <c r="F1391" s="115" t="n"/>
      <c r="G1391" s="107" t="n"/>
      <c r="H1391" s="107" t="n"/>
      <c r="I1391" s="108" t="n"/>
      <c r="J1391" s="108" t="n"/>
      <c r="K1391" s="108" t="n"/>
      <c r="L1391" s="119">
        <f>IF($E1391="","",DATE(YEAR($E1391),MONTH($E1391),1))</f>
        <v/>
      </c>
      <c r="M1391" s="112">
        <f>IF($C1391="","",IF($D1391="TANIMSIZ MÜŞTERİ","HATA",IF(OR($E1391="",$F1391&lt;=0,$G1391=""),"EKSİK",IF($E1391&gt;TODAY(),"İLERİ TARİH","UYGUN"))))</f>
        <v/>
      </c>
      <c r="N1391" s="6" t="n"/>
      <c r="O1391" s="6" t="n"/>
    </row>
    <row r="1392">
      <c r="A1392" s="6" t="n"/>
      <c r="B1392" s="112">
        <f>IF($C1392="","","T"&amp;TEXT(ROW()-6,"00000"))</f>
        <v/>
      </c>
      <c r="C1392" s="107" t="n"/>
      <c r="D1392" s="113">
        <f>IF($C1392="","",IFERROR(INDEX(MUSTERILER!$C$7:$C$106,MATCH($C1392,MUSTERILER!$B$7:$B$106,0)),"TANIMSIZ MÜŞTERİ"))</f>
        <v/>
      </c>
      <c r="E1392" s="114" t="n"/>
      <c r="F1392" s="115" t="n"/>
      <c r="G1392" s="107" t="n"/>
      <c r="H1392" s="107" t="n"/>
      <c r="I1392" s="108" t="n"/>
      <c r="J1392" s="108" t="n"/>
      <c r="K1392" s="108" t="n"/>
      <c r="L1392" s="119">
        <f>IF($E1392="","",DATE(YEAR($E1392),MONTH($E1392),1))</f>
        <v/>
      </c>
      <c r="M1392" s="112">
        <f>IF($C1392="","",IF($D1392="TANIMSIZ MÜŞTERİ","HATA",IF(OR($E1392="",$F1392&lt;=0,$G1392=""),"EKSİK",IF($E1392&gt;TODAY(),"İLERİ TARİH","UYGUN"))))</f>
        <v/>
      </c>
      <c r="N1392" s="6" t="n"/>
      <c r="O1392" s="6" t="n"/>
    </row>
    <row r="1393">
      <c r="A1393" s="6" t="n"/>
      <c r="B1393" s="112">
        <f>IF($C1393="","","T"&amp;TEXT(ROW()-6,"00000"))</f>
        <v/>
      </c>
      <c r="C1393" s="107" t="n"/>
      <c r="D1393" s="113">
        <f>IF($C1393="","",IFERROR(INDEX(MUSTERILER!$C$7:$C$106,MATCH($C1393,MUSTERILER!$B$7:$B$106,0)),"TANIMSIZ MÜŞTERİ"))</f>
        <v/>
      </c>
      <c r="E1393" s="114" t="n"/>
      <c r="F1393" s="115" t="n"/>
      <c r="G1393" s="107" t="n"/>
      <c r="H1393" s="107" t="n"/>
      <c r="I1393" s="108" t="n"/>
      <c r="J1393" s="108" t="n"/>
      <c r="K1393" s="108" t="n"/>
      <c r="L1393" s="119">
        <f>IF($E1393="","",DATE(YEAR($E1393),MONTH($E1393),1))</f>
        <v/>
      </c>
      <c r="M1393" s="112">
        <f>IF($C1393="","",IF($D1393="TANIMSIZ MÜŞTERİ","HATA",IF(OR($E1393="",$F1393&lt;=0,$G1393=""),"EKSİK",IF($E1393&gt;TODAY(),"İLERİ TARİH","UYGUN"))))</f>
        <v/>
      </c>
      <c r="N1393" s="6" t="n"/>
      <c r="O1393" s="6" t="n"/>
    </row>
    <row r="1394">
      <c r="A1394" s="6" t="n"/>
      <c r="B1394" s="112">
        <f>IF($C1394="","","T"&amp;TEXT(ROW()-6,"00000"))</f>
        <v/>
      </c>
      <c r="C1394" s="107" t="n"/>
      <c r="D1394" s="113">
        <f>IF($C1394="","",IFERROR(INDEX(MUSTERILER!$C$7:$C$106,MATCH($C1394,MUSTERILER!$B$7:$B$106,0)),"TANIMSIZ MÜŞTERİ"))</f>
        <v/>
      </c>
      <c r="E1394" s="114" t="n"/>
      <c r="F1394" s="115" t="n"/>
      <c r="G1394" s="107" t="n"/>
      <c r="H1394" s="107" t="n"/>
      <c r="I1394" s="108" t="n"/>
      <c r="J1394" s="108" t="n"/>
      <c r="K1394" s="108" t="n"/>
      <c r="L1394" s="119">
        <f>IF($E1394="","",DATE(YEAR($E1394),MONTH($E1394),1))</f>
        <v/>
      </c>
      <c r="M1394" s="112">
        <f>IF($C1394="","",IF($D1394="TANIMSIZ MÜŞTERİ","HATA",IF(OR($E1394="",$F1394&lt;=0,$G1394=""),"EKSİK",IF($E1394&gt;TODAY(),"İLERİ TARİH","UYGUN"))))</f>
        <v/>
      </c>
      <c r="N1394" s="6" t="n"/>
      <c r="O1394" s="6" t="n"/>
    </row>
    <row r="1395">
      <c r="A1395" s="6" t="n"/>
      <c r="B1395" s="112">
        <f>IF($C1395="","","T"&amp;TEXT(ROW()-6,"00000"))</f>
        <v/>
      </c>
      <c r="C1395" s="107" t="n"/>
      <c r="D1395" s="113">
        <f>IF($C1395="","",IFERROR(INDEX(MUSTERILER!$C$7:$C$106,MATCH($C1395,MUSTERILER!$B$7:$B$106,0)),"TANIMSIZ MÜŞTERİ"))</f>
        <v/>
      </c>
      <c r="E1395" s="114" t="n"/>
      <c r="F1395" s="115" t="n"/>
      <c r="G1395" s="107" t="n"/>
      <c r="H1395" s="107" t="n"/>
      <c r="I1395" s="108" t="n"/>
      <c r="J1395" s="108" t="n"/>
      <c r="K1395" s="108" t="n"/>
      <c r="L1395" s="119">
        <f>IF($E1395="","",DATE(YEAR($E1395),MONTH($E1395),1))</f>
        <v/>
      </c>
      <c r="M1395" s="112">
        <f>IF($C1395="","",IF($D1395="TANIMSIZ MÜŞTERİ","HATA",IF(OR($E1395="",$F1395&lt;=0,$G1395=""),"EKSİK",IF($E1395&gt;TODAY(),"İLERİ TARİH","UYGUN"))))</f>
        <v/>
      </c>
      <c r="N1395" s="6" t="n"/>
      <c r="O1395" s="6" t="n"/>
    </row>
    <row r="1396">
      <c r="A1396" s="6" t="n"/>
      <c r="B1396" s="112">
        <f>IF($C1396="","","T"&amp;TEXT(ROW()-6,"00000"))</f>
        <v/>
      </c>
      <c r="C1396" s="107" t="n"/>
      <c r="D1396" s="113">
        <f>IF($C1396="","",IFERROR(INDEX(MUSTERILER!$C$7:$C$106,MATCH($C1396,MUSTERILER!$B$7:$B$106,0)),"TANIMSIZ MÜŞTERİ"))</f>
        <v/>
      </c>
      <c r="E1396" s="114" t="n"/>
      <c r="F1396" s="115" t="n"/>
      <c r="G1396" s="107" t="n"/>
      <c r="H1396" s="107" t="n"/>
      <c r="I1396" s="108" t="n"/>
      <c r="J1396" s="108" t="n"/>
      <c r="K1396" s="108" t="n"/>
      <c r="L1396" s="119">
        <f>IF($E1396="","",DATE(YEAR($E1396),MONTH($E1396),1))</f>
        <v/>
      </c>
      <c r="M1396" s="112">
        <f>IF($C1396="","",IF($D1396="TANIMSIZ MÜŞTERİ","HATA",IF(OR($E1396="",$F1396&lt;=0,$G1396=""),"EKSİK",IF($E1396&gt;TODAY(),"İLERİ TARİH","UYGUN"))))</f>
        <v/>
      </c>
      <c r="N1396" s="6" t="n"/>
      <c r="O1396" s="6" t="n"/>
    </row>
    <row r="1397">
      <c r="A1397" s="6" t="n"/>
      <c r="B1397" s="112">
        <f>IF($C1397="","","T"&amp;TEXT(ROW()-6,"00000"))</f>
        <v/>
      </c>
      <c r="C1397" s="107" t="n"/>
      <c r="D1397" s="113">
        <f>IF($C1397="","",IFERROR(INDEX(MUSTERILER!$C$7:$C$106,MATCH($C1397,MUSTERILER!$B$7:$B$106,0)),"TANIMSIZ MÜŞTERİ"))</f>
        <v/>
      </c>
      <c r="E1397" s="114" t="n"/>
      <c r="F1397" s="115" t="n"/>
      <c r="G1397" s="107" t="n"/>
      <c r="H1397" s="107" t="n"/>
      <c r="I1397" s="108" t="n"/>
      <c r="J1397" s="108" t="n"/>
      <c r="K1397" s="108" t="n"/>
      <c r="L1397" s="119">
        <f>IF($E1397="","",DATE(YEAR($E1397),MONTH($E1397),1))</f>
        <v/>
      </c>
      <c r="M1397" s="112">
        <f>IF($C1397="","",IF($D1397="TANIMSIZ MÜŞTERİ","HATA",IF(OR($E1397="",$F1397&lt;=0,$G1397=""),"EKSİK",IF($E1397&gt;TODAY(),"İLERİ TARİH","UYGUN"))))</f>
        <v/>
      </c>
      <c r="N1397" s="6" t="n"/>
      <c r="O1397" s="6" t="n"/>
    </row>
    <row r="1398">
      <c r="A1398" s="6" t="n"/>
      <c r="B1398" s="112">
        <f>IF($C1398="","","T"&amp;TEXT(ROW()-6,"00000"))</f>
        <v/>
      </c>
      <c r="C1398" s="107" t="n"/>
      <c r="D1398" s="113">
        <f>IF($C1398="","",IFERROR(INDEX(MUSTERILER!$C$7:$C$106,MATCH($C1398,MUSTERILER!$B$7:$B$106,0)),"TANIMSIZ MÜŞTERİ"))</f>
        <v/>
      </c>
      <c r="E1398" s="114" t="n"/>
      <c r="F1398" s="115" t="n"/>
      <c r="G1398" s="107" t="n"/>
      <c r="H1398" s="107" t="n"/>
      <c r="I1398" s="108" t="n"/>
      <c r="J1398" s="108" t="n"/>
      <c r="K1398" s="108" t="n"/>
      <c r="L1398" s="119">
        <f>IF($E1398="","",DATE(YEAR($E1398),MONTH($E1398),1))</f>
        <v/>
      </c>
      <c r="M1398" s="112">
        <f>IF($C1398="","",IF($D1398="TANIMSIZ MÜŞTERİ","HATA",IF(OR($E1398="",$F1398&lt;=0,$G1398=""),"EKSİK",IF($E1398&gt;TODAY(),"İLERİ TARİH","UYGUN"))))</f>
        <v/>
      </c>
      <c r="N1398" s="6" t="n"/>
      <c r="O1398" s="6" t="n"/>
    </row>
    <row r="1399">
      <c r="A1399" s="6" t="n"/>
      <c r="B1399" s="112">
        <f>IF($C1399="","","T"&amp;TEXT(ROW()-6,"00000"))</f>
        <v/>
      </c>
      <c r="C1399" s="107" t="n"/>
      <c r="D1399" s="113">
        <f>IF($C1399="","",IFERROR(INDEX(MUSTERILER!$C$7:$C$106,MATCH($C1399,MUSTERILER!$B$7:$B$106,0)),"TANIMSIZ MÜŞTERİ"))</f>
        <v/>
      </c>
      <c r="E1399" s="114" t="n"/>
      <c r="F1399" s="115" t="n"/>
      <c r="G1399" s="107" t="n"/>
      <c r="H1399" s="107" t="n"/>
      <c r="I1399" s="108" t="n"/>
      <c r="J1399" s="108" t="n"/>
      <c r="K1399" s="108" t="n"/>
      <c r="L1399" s="119">
        <f>IF($E1399="","",DATE(YEAR($E1399),MONTH($E1399),1))</f>
        <v/>
      </c>
      <c r="M1399" s="112">
        <f>IF($C1399="","",IF($D1399="TANIMSIZ MÜŞTERİ","HATA",IF(OR($E1399="",$F1399&lt;=0,$G1399=""),"EKSİK",IF($E1399&gt;TODAY(),"İLERİ TARİH","UYGUN"))))</f>
        <v/>
      </c>
      <c r="N1399" s="6" t="n"/>
      <c r="O1399" s="6" t="n"/>
    </row>
    <row r="1400">
      <c r="A1400" s="6" t="n"/>
      <c r="B1400" s="112">
        <f>IF($C1400="","","T"&amp;TEXT(ROW()-6,"00000"))</f>
        <v/>
      </c>
      <c r="C1400" s="107" t="n"/>
      <c r="D1400" s="113">
        <f>IF($C1400="","",IFERROR(INDEX(MUSTERILER!$C$7:$C$106,MATCH($C1400,MUSTERILER!$B$7:$B$106,0)),"TANIMSIZ MÜŞTERİ"))</f>
        <v/>
      </c>
      <c r="E1400" s="114" t="n"/>
      <c r="F1400" s="115" t="n"/>
      <c r="G1400" s="107" t="n"/>
      <c r="H1400" s="107" t="n"/>
      <c r="I1400" s="108" t="n"/>
      <c r="J1400" s="108" t="n"/>
      <c r="K1400" s="108" t="n"/>
      <c r="L1400" s="119">
        <f>IF($E1400="","",DATE(YEAR($E1400),MONTH($E1400),1))</f>
        <v/>
      </c>
      <c r="M1400" s="112">
        <f>IF($C1400="","",IF($D1400="TANIMSIZ MÜŞTERİ","HATA",IF(OR($E1400="",$F1400&lt;=0,$G1400=""),"EKSİK",IF($E1400&gt;TODAY(),"İLERİ TARİH","UYGUN"))))</f>
        <v/>
      </c>
      <c r="N1400" s="6" t="n"/>
      <c r="O1400" s="6" t="n"/>
    </row>
    <row r="1401">
      <c r="A1401" s="6" t="n"/>
      <c r="B1401" s="112">
        <f>IF($C1401="","","T"&amp;TEXT(ROW()-6,"00000"))</f>
        <v/>
      </c>
      <c r="C1401" s="107" t="n"/>
      <c r="D1401" s="113">
        <f>IF($C1401="","",IFERROR(INDEX(MUSTERILER!$C$7:$C$106,MATCH($C1401,MUSTERILER!$B$7:$B$106,0)),"TANIMSIZ MÜŞTERİ"))</f>
        <v/>
      </c>
      <c r="E1401" s="114" t="n"/>
      <c r="F1401" s="115" t="n"/>
      <c r="G1401" s="107" t="n"/>
      <c r="H1401" s="107" t="n"/>
      <c r="I1401" s="108" t="n"/>
      <c r="J1401" s="108" t="n"/>
      <c r="K1401" s="108" t="n"/>
      <c r="L1401" s="119">
        <f>IF($E1401="","",DATE(YEAR($E1401),MONTH($E1401),1))</f>
        <v/>
      </c>
      <c r="M1401" s="112">
        <f>IF($C1401="","",IF($D1401="TANIMSIZ MÜŞTERİ","HATA",IF(OR($E1401="",$F1401&lt;=0,$G1401=""),"EKSİK",IF($E1401&gt;TODAY(),"İLERİ TARİH","UYGUN"))))</f>
        <v/>
      </c>
      <c r="N1401" s="6" t="n"/>
      <c r="O1401" s="6" t="n"/>
    </row>
    <row r="1402">
      <c r="A1402" s="6" t="n"/>
      <c r="B1402" s="112">
        <f>IF($C1402="","","T"&amp;TEXT(ROW()-6,"00000"))</f>
        <v/>
      </c>
      <c r="C1402" s="107" t="n"/>
      <c r="D1402" s="113">
        <f>IF($C1402="","",IFERROR(INDEX(MUSTERILER!$C$7:$C$106,MATCH($C1402,MUSTERILER!$B$7:$B$106,0)),"TANIMSIZ MÜŞTERİ"))</f>
        <v/>
      </c>
      <c r="E1402" s="114" t="n"/>
      <c r="F1402" s="115" t="n"/>
      <c r="G1402" s="107" t="n"/>
      <c r="H1402" s="107" t="n"/>
      <c r="I1402" s="108" t="n"/>
      <c r="J1402" s="108" t="n"/>
      <c r="K1402" s="108" t="n"/>
      <c r="L1402" s="119">
        <f>IF($E1402="","",DATE(YEAR($E1402),MONTH($E1402),1))</f>
        <v/>
      </c>
      <c r="M1402" s="112">
        <f>IF($C1402="","",IF($D1402="TANIMSIZ MÜŞTERİ","HATA",IF(OR($E1402="",$F1402&lt;=0,$G1402=""),"EKSİK",IF($E1402&gt;TODAY(),"İLERİ TARİH","UYGUN"))))</f>
        <v/>
      </c>
      <c r="N1402" s="6" t="n"/>
      <c r="O1402" s="6" t="n"/>
    </row>
    <row r="1403">
      <c r="A1403" s="6" t="n"/>
      <c r="B1403" s="112">
        <f>IF($C1403="","","T"&amp;TEXT(ROW()-6,"00000"))</f>
        <v/>
      </c>
      <c r="C1403" s="107" t="n"/>
      <c r="D1403" s="113">
        <f>IF($C1403="","",IFERROR(INDEX(MUSTERILER!$C$7:$C$106,MATCH($C1403,MUSTERILER!$B$7:$B$106,0)),"TANIMSIZ MÜŞTERİ"))</f>
        <v/>
      </c>
      <c r="E1403" s="114" t="n"/>
      <c r="F1403" s="115" t="n"/>
      <c r="G1403" s="107" t="n"/>
      <c r="H1403" s="107" t="n"/>
      <c r="I1403" s="108" t="n"/>
      <c r="J1403" s="108" t="n"/>
      <c r="K1403" s="108" t="n"/>
      <c r="L1403" s="119">
        <f>IF($E1403="","",DATE(YEAR($E1403),MONTH($E1403),1))</f>
        <v/>
      </c>
      <c r="M1403" s="112">
        <f>IF($C1403="","",IF($D1403="TANIMSIZ MÜŞTERİ","HATA",IF(OR($E1403="",$F1403&lt;=0,$G1403=""),"EKSİK",IF($E1403&gt;TODAY(),"İLERİ TARİH","UYGUN"))))</f>
        <v/>
      </c>
      <c r="N1403" s="6" t="n"/>
      <c r="O1403" s="6" t="n"/>
    </row>
    <row r="1404">
      <c r="A1404" s="6" t="n"/>
      <c r="B1404" s="112">
        <f>IF($C1404="","","T"&amp;TEXT(ROW()-6,"00000"))</f>
        <v/>
      </c>
      <c r="C1404" s="107" t="n"/>
      <c r="D1404" s="113">
        <f>IF($C1404="","",IFERROR(INDEX(MUSTERILER!$C$7:$C$106,MATCH($C1404,MUSTERILER!$B$7:$B$106,0)),"TANIMSIZ MÜŞTERİ"))</f>
        <v/>
      </c>
      <c r="E1404" s="114" t="n"/>
      <c r="F1404" s="115" t="n"/>
      <c r="G1404" s="107" t="n"/>
      <c r="H1404" s="107" t="n"/>
      <c r="I1404" s="108" t="n"/>
      <c r="J1404" s="108" t="n"/>
      <c r="K1404" s="108" t="n"/>
      <c r="L1404" s="119">
        <f>IF($E1404="","",DATE(YEAR($E1404),MONTH($E1404),1))</f>
        <v/>
      </c>
      <c r="M1404" s="112">
        <f>IF($C1404="","",IF($D1404="TANIMSIZ MÜŞTERİ","HATA",IF(OR($E1404="",$F1404&lt;=0,$G1404=""),"EKSİK",IF($E1404&gt;TODAY(),"İLERİ TARİH","UYGUN"))))</f>
        <v/>
      </c>
      <c r="N1404" s="6" t="n"/>
      <c r="O1404" s="6" t="n"/>
    </row>
    <row r="1405">
      <c r="A1405" s="6" t="n"/>
      <c r="B1405" s="112">
        <f>IF($C1405="","","T"&amp;TEXT(ROW()-6,"00000"))</f>
        <v/>
      </c>
      <c r="C1405" s="107" t="n"/>
      <c r="D1405" s="113">
        <f>IF($C1405="","",IFERROR(INDEX(MUSTERILER!$C$7:$C$106,MATCH($C1405,MUSTERILER!$B$7:$B$106,0)),"TANIMSIZ MÜŞTERİ"))</f>
        <v/>
      </c>
      <c r="E1405" s="114" t="n"/>
      <c r="F1405" s="115" t="n"/>
      <c r="G1405" s="107" t="n"/>
      <c r="H1405" s="107" t="n"/>
      <c r="I1405" s="108" t="n"/>
      <c r="J1405" s="108" t="n"/>
      <c r="K1405" s="108" t="n"/>
      <c r="L1405" s="119">
        <f>IF($E1405="","",DATE(YEAR($E1405),MONTH($E1405),1))</f>
        <v/>
      </c>
      <c r="M1405" s="112">
        <f>IF($C1405="","",IF($D1405="TANIMSIZ MÜŞTERİ","HATA",IF(OR($E1405="",$F1405&lt;=0,$G1405=""),"EKSİK",IF($E1405&gt;TODAY(),"İLERİ TARİH","UYGUN"))))</f>
        <v/>
      </c>
      <c r="N1405" s="6" t="n"/>
      <c r="O1405" s="6" t="n"/>
    </row>
    <row r="1406">
      <c r="A1406" s="6" t="n"/>
      <c r="B1406" s="112">
        <f>IF($C1406="","","T"&amp;TEXT(ROW()-6,"00000"))</f>
        <v/>
      </c>
      <c r="C1406" s="107" t="n"/>
      <c r="D1406" s="113">
        <f>IF($C1406="","",IFERROR(INDEX(MUSTERILER!$C$7:$C$106,MATCH($C1406,MUSTERILER!$B$7:$B$106,0)),"TANIMSIZ MÜŞTERİ"))</f>
        <v/>
      </c>
      <c r="E1406" s="114" t="n"/>
      <c r="F1406" s="115" t="n"/>
      <c r="G1406" s="107" t="n"/>
      <c r="H1406" s="107" t="n"/>
      <c r="I1406" s="108" t="n"/>
      <c r="J1406" s="108" t="n"/>
      <c r="K1406" s="108" t="n"/>
      <c r="L1406" s="119">
        <f>IF($E1406="","",DATE(YEAR($E1406),MONTH($E1406),1))</f>
        <v/>
      </c>
      <c r="M1406" s="112">
        <f>IF($C1406="","",IF($D1406="TANIMSIZ MÜŞTERİ","HATA",IF(OR($E1406="",$F1406&lt;=0,$G1406=""),"EKSİK",IF($E1406&gt;TODAY(),"İLERİ TARİH","UYGUN"))))</f>
        <v/>
      </c>
      <c r="N1406" s="6" t="n"/>
      <c r="O1406" s="6" t="n"/>
    </row>
    <row r="1407">
      <c r="A1407" s="6" t="n"/>
      <c r="B1407" s="112">
        <f>IF($C1407="","","T"&amp;TEXT(ROW()-6,"00000"))</f>
        <v/>
      </c>
      <c r="C1407" s="107" t="n"/>
      <c r="D1407" s="113">
        <f>IF($C1407="","",IFERROR(INDEX(MUSTERILER!$C$7:$C$106,MATCH($C1407,MUSTERILER!$B$7:$B$106,0)),"TANIMSIZ MÜŞTERİ"))</f>
        <v/>
      </c>
      <c r="E1407" s="114" t="n"/>
      <c r="F1407" s="115" t="n"/>
      <c r="G1407" s="107" t="n"/>
      <c r="H1407" s="107" t="n"/>
      <c r="I1407" s="108" t="n"/>
      <c r="J1407" s="108" t="n"/>
      <c r="K1407" s="108" t="n"/>
      <c r="L1407" s="119">
        <f>IF($E1407="","",DATE(YEAR($E1407),MONTH($E1407),1))</f>
        <v/>
      </c>
      <c r="M1407" s="112">
        <f>IF($C1407="","",IF($D1407="TANIMSIZ MÜŞTERİ","HATA",IF(OR($E1407="",$F1407&lt;=0,$G1407=""),"EKSİK",IF($E1407&gt;TODAY(),"İLERİ TARİH","UYGUN"))))</f>
        <v/>
      </c>
      <c r="N1407" s="6" t="n"/>
      <c r="O1407" s="6" t="n"/>
    </row>
    <row r="1408">
      <c r="A1408" s="6" t="n"/>
      <c r="B1408" s="112">
        <f>IF($C1408="","","T"&amp;TEXT(ROW()-6,"00000"))</f>
        <v/>
      </c>
      <c r="C1408" s="107" t="n"/>
      <c r="D1408" s="113">
        <f>IF($C1408="","",IFERROR(INDEX(MUSTERILER!$C$7:$C$106,MATCH($C1408,MUSTERILER!$B$7:$B$106,0)),"TANIMSIZ MÜŞTERİ"))</f>
        <v/>
      </c>
      <c r="E1408" s="114" t="n"/>
      <c r="F1408" s="115" t="n"/>
      <c r="G1408" s="107" t="n"/>
      <c r="H1408" s="107" t="n"/>
      <c r="I1408" s="108" t="n"/>
      <c r="J1408" s="108" t="n"/>
      <c r="K1408" s="108" t="n"/>
      <c r="L1408" s="119">
        <f>IF($E1408="","",DATE(YEAR($E1408),MONTH($E1408),1))</f>
        <v/>
      </c>
      <c r="M1408" s="112">
        <f>IF($C1408="","",IF($D1408="TANIMSIZ MÜŞTERİ","HATA",IF(OR($E1408="",$F1408&lt;=0,$G1408=""),"EKSİK",IF($E1408&gt;TODAY(),"İLERİ TARİH","UYGUN"))))</f>
        <v/>
      </c>
      <c r="N1408" s="6" t="n"/>
      <c r="O1408" s="6" t="n"/>
    </row>
    <row r="1409">
      <c r="A1409" s="6" t="n"/>
      <c r="B1409" s="112">
        <f>IF($C1409="","","T"&amp;TEXT(ROW()-6,"00000"))</f>
        <v/>
      </c>
      <c r="C1409" s="107" t="n"/>
      <c r="D1409" s="113">
        <f>IF($C1409="","",IFERROR(INDEX(MUSTERILER!$C$7:$C$106,MATCH($C1409,MUSTERILER!$B$7:$B$106,0)),"TANIMSIZ MÜŞTERİ"))</f>
        <v/>
      </c>
      <c r="E1409" s="114" t="n"/>
      <c r="F1409" s="115" t="n"/>
      <c r="G1409" s="107" t="n"/>
      <c r="H1409" s="107" t="n"/>
      <c r="I1409" s="108" t="n"/>
      <c r="J1409" s="108" t="n"/>
      <c r="K1409" s="108" t="n"/>
      <c r="L1409" s="119">
        <f>IF($E1409="","",DATE(YEAR($E1409),MONTH($E1409),1))</f>
        <v/>
      </c>
      <c r="M1409" s="112">
        <f>IF($C1409="","",IF($D1409="TANIMSIZ MÜŞTERİ","HATA",IF(OR($E1409="",$F1409&lt;=0,$G1409=""),"EKSİK",IF($E1409&gt;TODAY(),"İLERİ TARİH","UYGUN"))))</f>
        <v/>
      </c>
      <c r="N1409" s="6" t="n"/>
      <c r="O1409" s="6" t="n"/>
    </row>
    <row r="1410">
      <c r="A1410" s="6" t="n"/>
      <c r="B1410" s="112">
        <f>IF($C1410="","","T"&amp;TEXT(ROW()-6,"00000"))</f>
        <v/>
      </c>
      <c r="C1410" s="107" t="n"/>
      <c r="D1410" s="113">
        <f>IF($C1410="","",IFERROR(INDEX(MUSTERILER!$C$7:$C$106,MATCH($C1410,MUSTERILER!$B$7:$B$106,0)),"TANIMSIZ MÜŞTERİ"))</f>
        <v/>
      </c>
      <c r="E1410" s="114" t="n"/>
      <c r="F1410" s="115" t="n"/>
      <c r="G1410" s="107" t="n"/>
      <c r="H1410" s="107" t="n"/>
      <c r="I1410" s="108" t="n"/>
      <c r="J1410" s="108" t="n"/>
      <c r="K1410" s="108" t="n"/>
      <c r="L1410" s="119">
        <f>IF($E1410="","",DATE(YEAR($E1410),MONTH($E1410),1))</f>
        <v/>
      </c>
      <c r="M1410" s="112">
        <f>IF($C1410="","",IF($D1410="TANIMSIZ MÜŞTERİ","HATA",IF(OR($E1410="",$F1410&lt;=0,$G1410=""),"EKSİK",IF($E1410&gt;TODAY(),"İLERİ TARİH","UYGUN"))))</f>
        <v/>
      </c>
      <c r="N1410" s="6" t="n"/>
      <c r="O1410" s="6" t="n"/>
    </row>
    <row r="1411">
      <c r="A1411" s="6" t="n"/>
      <c r="B1411" s="112">
        <f>IF($C1411="","","T"&amp;TEXT(ROW()-6,"00000"))</f>
        <v/>
      </c>
      <c r="C1411" s="107" t="n"/>
      <c r="D1411" s="113">
        <f>IF($C1411="","",IFERROR(INDEX(MUSTERILER!$C$7:$C$106,MATCH($C1411,MUSTERILER!$B$7:$B$106,0)),"TANIMSIZ MÜŞTERİ"))</f>
        <v/>
      </c>
      <c r="E1411" s="114" t="n"/>
      <c r="F1411" s="115" t="n"/>
      <c r="G1411" s="107" t="n"/>
      <c r="H1411" s="107" t="n"/>
      <c r="I1411" s="108" t="n"/>
      <c r="J1411" s="108" t="n"/>
      <c r="K1411" s="108" t="n"/>
      <c r="L1411" s="119">
        <f>IF($E1411="","",DATE(YEAR($E1411),MONTH($E1411),1))</f>
        <v/>
      </c>
      <c r="M1411" s="112">
        <f>IF($C1411="","",IF($D1411="TANIMSIZ MÜŞTERİ","HATA",IF(OR($E1411="",$F1411&lt;=0,$G1411=""),"EKSİK",IF($E1411&gt;TODAY(),"İLERİ TARİH","UYGUN"))))</f>
        <v/>
      </c>
      <c r="N1411" s="6" t="n"/>
      <c r="O1411" s="6" t="n"/>
    </row>
    <row r="1412">
      <c r="A1412" s="6" t="n"/>
      <c r="B1412" s="112">
        <f>IF($C1412="","","T"&amp;TEXT(ROW()-6,"00000"))</f>
        <v/>
      </c>
      <c r="C1412" s="107" t="n"/>
      <c r="D1412" s="113">
        <f>IF($C1412="","",IFERROR(INDEX(MUSTERILER!$C$7:$C$106,MATCH($C1412,MUSTERILER!$B$7:$B$106,0)),"TANIMSIZ MÜŞTERİ"))</f>
        <v/>
      </c>
      <c r="E1412" s="114" t="n"/>
      <c r="F1412" s="115" t="n"/>
      <c r="G1412" s="107" t="n"/>
      <c r="H1412" s="107" t="n"/>
      <c r="I1412" s="108" t="n"/>
      <c r="J1412" s="108" t="n"/>
      <c r="K1412" s="108" t="n"/>
      <c r="L1412" s="119">
        <f>IF($E1412="","",DATE(YEAR($E1412),MONTH($E1412),1))</f>
        <v/>
      </c>
      <c r="M1412" s="112">
        <f>IF($C1412="","",IF($D1412="TANIMSIZ MÜŞTERİ","HATA",IF(OR($E1412="",$F1412&lt;=0,$G1412=""),"EKSİK",IF($E1412&gt;TODAY(),"İLERİ TARİH","UYGUN"))))</f>
        <v/>
      </c>
      <c r="N1412" s="6" t="n"/>
      <c r="O1412" s="6" t="n"/>
    </row>
    <row r="1413">
      <c r="A1413" s="6" t="n"/>
      <c r="B1413" s="112">
        <f>IF($C1413="","","T"&amp;TEXT(ROW()-6,"00000"))</f>
        <v/>
      </c>
      <c r="C1413" s="107" t="n"/>
      <c r="D1413" s="113">
        <f>IF($C1413="","",IFERROR(INDEX(MUSTERILER!$C$7:$C$106,MATCH($C1413,MUSTERILER!$B$7:$B$106,0)),"TANIMSIZ MÜŞTERİ"))</f>
        <v/>
      </c>
      <c r="E1413" s="114" t="n"/>
      <c r="F1413" s="115" t="n"/>
      <c r="G1413" s="107" t="n"/>
      <c r="H1413" s="107" t="n"/>
      <c r="I1413" s="108" t="n"/>
      <c r="J1413" s="108" t="n"/>
      <c r="K1413" s="108" t="n"/>
      <c r="L1413" s="119">
        <f>IF($E1413="","",DATE(YEAR($E1413),MONTH($E1413),1))</f>
        <v/>
      </c>
      <c r="M1413" s="112">
        <f>IF($C1413="","",IF($D1413="TANIMSIZ MÜŞTERİ","HATA",IF(OR($E1413="",$F1413&lt;=0,$G1413=""),"EKSİK",IF($E1413&gt;TODAY(),"İLERİ TARİH","UYGUN"))))</f>
        <v/>
      </c>
      <c r="N1413" s="6" t="n"/>
      <c r="O1413" s="6" t="n"/>
    </row>
    <row r="1414">
      <c r="A1414" s="6" t="n"/>
      <c r="B1414" s="112">
        <f>IF($C1414="","","T"&amp;TEXT(ROW()-6,"00000"))</f>
        <v/>
      </c>
      <c r="C1414" s="107" t="n"/>
      <c r="D1414" s="113">
        <f>IF($C1414="","",IFERROR(INDEX(MUSTERILER!$C$7:$C$106,MATCH($C1414,MUSTERILER!$B$7:$B$106,0)),"TANIMSIZ MÜŞTERİ"))</f>
        <v/>
      </c>
      <c r="E1414" s="114" t="n"/>
      <c r="F1414" s="115" t="n"/>
      <c r="G1414" s="107" t="n"/>
      <c r="H1414" s="107" t="n"/>
      <c r="I1414" s="108" t="n"/>
      <c r="J1414" s="108" t="n"/>
      <c r="K1414" s="108" t="n"/>
      <c r="L1414" s="119">
        <f>IF($E1414="","",DATE(YEAR($E1414),MONTH($E1414),1))</f>
        <v/>
      </c>
      <c r="M1414" s="112">
        <f>IF($C1414="","",IF($D1414="TANIMSIZ MÜŞTERİ","HATA",IF(OR($E1414="",$F1414&lt;=0,$G1414=""),"EKSİK",IF($E1414&gt;TODAY(),"İLERİ TARİH","UYGUN"))))</f>
        <v/>
      </c>
      <c r="N1414" s="6" t="n"/>
      <c r="O1414" s="6" t="n"/>
    </row>
    <row r="1415">
      <c r="A1415" s="6" t="n"/>
      <c r="B1415" s="112">
        <f>IF($C1415="","","T"&amp;TEXT(ROW()-6,"00000"))</f>
        <v/>
      </c>
      <c r="C1415" s="107" t="n"/>
      <c r="D1415" s="113">
        <f>IF($C1415="","",IFERROR(INDEX(MUSTERILER!$C$7:$C$106,MATCH($C1415,MUSTERILER!$B$7:$B$106,0)),"TANIMSIZ MÜŞTERİ"))</f>
        <v/>
      </c>
      <c r="E1415" s="114" t="n"/>
      <c r="F1415" s="115" t="n"/>
      <c r="G1415" s="107" t="n"/>
      <c r="H1415" s="107" t="n"/>
      <c r="I1415" s="108" t="n"/>
      <c r="J1415" s="108" t="n"/>
      <c r="K1415" s="108" t="n"/>
      <c r="L1415" s="119">
        <f>IF($E1415="","",DATE(YEAR($E1415),MONTH($E1415),1))</f>
        <v/>
      </c>
      <c r="M1415" s="112">
        <f>IF($C1415="","",IF($D1415="TANIMSIZ MÜŞTERİ","HATA",IF(OR($E1415="",$F1415&lt;=0,$G1415=""),"EKSİK",IF($E1415&gt;TODAY(),"İLERİ TARİH","UYGUN"))))</f>
        <v/>
      </c>
      <c r="N1415" s="6" t="n"/>
      <c r="O1415" s="6" t="n"/>
    </row>
    <row r="1416">
      <c r="A1416" s="6" t="n"/>
      <c r="B1416" s="112">
        <f>IF($C1416="","","T"&amp;TEXT(ROW()-6,"00000"))</f>
        <v/>
      </c>
      <c r="C1416" s="107" t="n"/>
      <c r="D1416" s="113">
        <f>IF($C1416="","",IFERROR(INDEX(MUSTERILER!$C$7:$C$106,MATCH($C1416,MUSTERILER!$B$7:$B$106,0)),"TANIMSIZ MÜŞTERİ"))</f>
        <v/>
      </c>
      <c r="E1416" s="114" t="n"/>
      <c r="F1416" s="115" t="n"/>
      <c r="G1416" s="107" t="n"/>
      <c r="H1416" s="107" t="n"/>
      <c r="I1416" s="108" t="n"/>
      <c r="J1416" s="108" t="n"/>
      <c r="K1416" s="108" t="n"/>
      <c r="L1416" s="119">
        <f>IF($E1416="","",DATE(YEAR($E1416),MONTH($E1416),1))</f>
        <v/>
      </c>
      <c r="M1416" s="112">
        <f>IF($C1416="","",IF($D1416="TANIMSIZ MÜŞTERİ","HATA",IF(OR($E1416="",$F1416&lt;=0,$G1416=""),"EKSİK",IF($E1416&gt;TODAY(),"İLERİ TARİH","UYGUN"))))</f>
        <v/>
      </c>
      <c r="N1416" s="6" t="n"/>
      <c r="O1416" s="6" t="n"/>
    </row>
    <row r="1417">
      <c r="A1417" s="6" t="n"/>
      <c r="B1417" s="112">
        <f>IF($C1417="","","T"&amp;TEXT(ROW()-6,"00000"))</f>
        <v/>
      </c>
      <c r="C1417" s="107" t="n"/>
      <c r="D1417" s="113">
        <f>IF($C1417="","",IFERROR(INDEX(MUSTERILER!$C$7:$C$106,MATCH($C1417,MUSTERILER!$B$7:$B$106,0)),"TANIMSIZ MÜŞTERİ"))</f>
        <v/>
      </c>
      <c r="E1417" s="114" t="n"/>
      <c r="F1417" s="115" t="n"/>
      <c r="G1417" s="107" t="n"/>
      <c r="H1417" s="107" t="n"/>
      <c r="I1417" s="108" t="n"/>
      <c r="J1417" s="108" t="n"/>
      <c r="K1417" s="108" t="n"/>
      <c r="L1417" s="119">
        <f>IF($E1417="","",DATE(YEAR($E1417),MONTH($E1417),1))</f>
        <v/>
      </c>
      <c r="M1417" s="112">
        <f>IF($C1417="","",IF($D1417="TANIMSIZ MÜŞTERİ","HATA",IF(OR($E1417="",$F1417&lt;=0,$G1417=""),"EKSİK",IF($E1417&gt;TODAY(),"İLERİ TARİH","UYGUN"))))</f>
        <v/>
      </c>
      <c r="N1417" s="6" t="n"/>
      <c r="O1417" s="6" t="n"/>
    </row>
    <row r="1418">
      <c r="A1418" s="6" t="n"/>
      <c r="B1418" s="112">
        <f>IF($C1418="","","T"&amp;TEXT(ROW()-6,"00000"))</f>
        <v/>
      </c>
      <c r="C1418" s="107" t="n"/>
      <c r="D1418" s="113">
        <f>IF($C1418="","",IFERROR(INDEX(MUSTERILER!$C$7:$C$106,MATCH($C1418,MUSTERILER!$B$7:$B$106,0)),"TANIMSIZ MÜŞTERİ"))</f>
        <v/>
      </c>
      <c r="E1418" s="114" t="n"/>
      <c r="F1418" s="115" t="n"/>
      <c r="G1418" s="107" t="n"/>
      <c r="H1418" s="107" t="n"/>
      <c r="I1418" s="108" t="n"/>
      <c r="J1418" s="108" t="n"/>
      <c r="K1418" s="108" t="n"/>
      <c r="L1418" s="119">
        <f>IF($E1418="","",DATE(YEAR($E1418),MONTH($E1418),1))</f>
        <v/>
      </c>
      <c r="M1418" s="112">
        <f>IF($C1418="","",IF($D1418="TANIMSIZ MÜŞTERİ","HATA",IF(OR($E1418="",$F1418&lt;=0,$G1418=""),"EKSİK",IF($E1418&gt;TODAY(),"İLERİ TARİH","UYGUN"))))</f>
        <v/>
      </c>
      <c r="N1418" s="6" t="n"/>
      <c r="O1418" s="6" t="n"/>
    </row>
    <row r="1419">
      <c r="A1419" s="6" t="n"/>
      <c r="B1419" s="112">
        <f>IF($C1419="","","T"&amp;TEXT(ROW()-6,"00000"))</f>
        <v/>
      </c>
      <c r="C1419" s="107" t="n"/>
      <c r="D1419" s="113">
        <f>IF($C1419="","",IFERROR(INDEX(MUSTERILER!$C$7:$C$106,MATCH($C1419,MUSTERILER!$B$7:$B$106,0)),"TANIMSIZ MÜŞTERİ"))</f>
        <v/>
      </c>
      <c r="E1419" s="114" t="n"/>
      <c r="F1419" s="115" t="n"/>
      <c r="G1419" s="107" t="n"/>
      <c r="H1419" s="107" t="n"/>
      <c r="I1419" s="108" t="n"/>
      <c r="J1419" s="108" t="n"/>
      <c r="K1419" s="108" t="n"/>
      <c r="L1419" s="119">
        <f>IF($E1419="","",DATE(YEAR($E1419),MONTH($E1419),1))</f>
        <v/>
      </c>
      <c r="M1419" s="112">
        <f>IF($C1419="","",IF($D1419="TANIMSIZ MÜŞTERİ","HATA",IF(OR($E1419="",$F1419&lt;=0,$G1419=""),"EKSİK",IF($E1419&gt;TODAY(),"İLERİ TARİH","UYGUN"))))</f>
        <v/>
      </c>
      <c r="N1419" s="6" t="n"/>
      <c r="O1419" s="6" t="n"/>
    </row>
    <row r="1420">
      <c r="A1420" s="6" t="n"/>
      <c r="B1420" s="112">
        <f>IF($C1420="","","T"&amp;TEXT(ROW()-6,"00000"))</f>
        <v/>
      </c>
      <c r="C1420" s="107" t="n"/>
      <c r="D1420" s="113">
        <f>IF($C1420="","",IFERROR(INDEX(MUSTERILER!$C$7:$C$106,MATCH($C1420,MUSTERILER!$B$7:$B$106,0)),"TANIMSIZ MÜŞTERİ"))</f>
        <v/>
      </c>
      <c r="E1420" s="114" t="n"/>
      <c r="F1420" s="115" t="n"/>
      <c r="G1420" s="107" t="n"/>
      <c r="H1420" s="107" t="n"/>
      <c r="I1420" s="108" t="n"/>
      <c r="J1420" s="108" t="n"/>
      <c r="K1420" s="108" t="n"/>
      <c r="L1420" s="119">
        <f>IF($E1420="","",DATE(YEAR($E1420),MONTH($E1420),1))</f>
        <v/>
      </c>
      <c r="M1420" s="112">
        <f>IF($C1420="","",IF($D1420="TANIMSIZ MÜŞTERİ","HATA",IF(OR($E1420="",$F1420&lt;=0,$G1420=""),"EKSİK",IF($E1420&gt;TODAY(),"İLERİ TARİH","UYGUN"))))</f>
        <v/>
      </c>
      <c r="N1420" s="6" t="n"/>
      <c r="O1420" s="6" t="n"/>
    </row>
    <row r="1421">
      <c r="A1421" s="6" t="n"/>
      <c r="B1421" s="112">
        <f>IF($C1421="","","T"&amp;TEXT(ROW()-6,"00000"))</f>
        <v/>
      </c>
      <c r="C1421" s="107" t="n"/>
      <c r="D1421" s="113">
        <f>IF($C1421="","",IFERROR(INDEX(MUSTERILER!$C$7:$C$106,MATCH($C1421,MUSTERILER!$B$7:$B$106,0)),"TANIMSIZ MÜŞTERİ"))</f>
        <v/>
      </c>
      <c r="E1421" s="114" t="n"/>
      <c r="F1421" s="115" t="n"/>
      <c r="G1421" s="107" t="n"/>
      <c r="H1421" s="107" t="n"/>
      <c r="I1421" s="108" t="n"/>
      <c r="J1421" s="108" t="n"/>
      <c r="K1421" s="108" t="n"/>
      <c r="L1421" s="119">
        <f>IF($E1421="","",DATE(YEAR($E1421),MONTH($E1421),1))</f>
        <v/>
      </c>
      <c r="M1421" s="112">
        <f>IF($C1421="","",IF($D1421="TANIMSIZ MÜŞTERİ","HATA",IF(OR($E1421="",$F1421&lt;=0,$G1421=""),"EKSİK",IF($E1421&gt;TODAY(),"İLERİ TARİH","UYGUN"))))</f>
        <v/>
      </c>
      <c r="N1421" s="6" t="n"/>
      <c r="O1421" s="6" t="n"/>
    </row>
    <row r="1422">
      <c r="A1422" s="6" t="n"/>
      <c r="B1422" s="112">
        <f>IF($C1422="","","T"&amp;TEXT(ROW()-6,"00000"))</f>
        <v/>
      </c>
      <c r="C1422" s="107" t="n"/>
      <c r="D1422" s="113">
        <f>IF($C1422="","",IFERROR(INDEX(MUSTERILER!$C$7:$C$106,MATCH($C1422,MUSTERILER!$B$7:$B$106,0)),"TANIMSIZ MÜŞTERİ"))</f>
        <v/>
      </c>
      <c r="E1422" s="114" t="n"/>
      <c r="F1422" s="115" t="n"/>
      <c r="G1422" s="107" t="n"/>
      <c r="H1422" s="107" t="n"/>
      <c r="I1422" s="108" t="n"/>
      <c r="J1422" s="108" t="n"/>
      <c r="K1422" s="108" t="n"/>
      <c r="L1422" s="119">
        <f>IF($E1422="","",DATE(YEAR($E1422),MONTH($E1422),1))</f>
        <v/>
      </c>
      <c r="M1422" s="112">
        <f>IF($C1422="","",IF($D1422="TANIMSIZ MÜŞTERİ","HATA",IF(OR($E1422="",$F1422&lt;=0,$G1422=""),"EKSİK",IF($E1422&gt;TODAY(),"İLERİ TARİH","UYGUN"))))</f>
        <v/>
      </c>
      <c r="N1422" s="6" t="n"/>
      <c r="O1422" s="6" t="n"/>
    </row>
    <row r="1423">
      <c r="A1423" s="6" t="n"/>
      <c r="B1423" s="112">
        <f>IF($C1423="","","T"&amp;TEXT(ROW()-6,"00000"))</f>
        <v/>
      </c>
      <c r="C1423" s="107" t="n"/>
      <c r="D1423" s="113">
        <f>IF($C1423="","",IFERROR(INDEX(MUSTERILER!$C$7:$C$106,MATCH($C1423,MUSTERILER!$B$7:$B$106,0)),"TANIMSIZ MÜŞTERİ"))</f>
        <v/>
      </c>
      <c r="E1423" s="114" t="n"/>
      <c r="F1423" s="115" t="n"/>
      <c r="G1423" s="107" t="n"/>
      <c r="H1423" s="107" t="n"/>
      <c r="I1423" s="108" t="n"/>
      <c r="J1423" s="108" t="n"/>
      <c r="K1423" s="108" t="n"/>
      <c r="L1423" s="119">
        <f>IF($E1423="","",DATE(YEAR($E1423),MONTH($E1423),1))</f>
        <v/>
      </c>
      <c r="M1423" s="112">
        <f>IF($C1423="","",IF($D1423="TANIMSIZ MÜŞTERİ","HATA",IF(OR($E1423="",$F1423&lt;=0,$G1423=""),"EKSİK",IF($E1423&gt;TODAY(),"İLERİ TARİH","UYGUN"))))</f>
        <v/>
      </c>
      <c r="N1423" s="6" t="n"/>
      <c r="O1423" s="6" t="n"/>
    </row>
    <row r="1424">
      <c r="A1424" s="6" t="n"/>
      <c r="B1424" s="112">
        <f>IF($C1424="","","T"&amp;TEXT(ROW()-6,"00000"))</f>
        <v/>
      </c>
      <c r="C1424" s="107" t="n"/>
      <c r="D1424" s="113">
        <f>IF($C1424="","",IFERROR(INDEX(MUSTERILER!$C$7:$C$106,MATCH($C1424,MUSTERILER!$B$7:$B$106,0)),"TANIMSIZ MÜŞTERİ"))</f>
        <v/>
      </c>
      <c r="E1424" s="114" t="n"/>
      <c r="F1424" s="115" t="n"/>
      <c r="G1424" s="107" t="n"/>
      <c r="H1424" s="107" t="n"/>
      <c r="I1424" s="108" t="n"/>
      <c r="J1424" s="108" t="n"/>
      <c r="K1424" s="108" t="n"/>
      <c r="L1424" s="119">
        <f>IF($E1424="","",DATE(YEAR($E1424),MONTH($E1424),1))</f>
        <v/>
      </c>
      <c r="M1424" s="112">
        <f>IF($C1424="","",IF($D1424="TANIMSIZ MÜŞTERİ","HATA",IF(OR($E1424="",$F1424&lt;=0,$G1424=""),"EKSİK",IF($E1424&gt;TODAY(),"İLERİ TARİH","UYGUN"))))</f>
        <v/>
      </c>
      <c r="N1424" s="6" t="n"/>
      <c r="O1424" s="6" t="n"/>
    </row>
    <row r="1425">
      <c r="A1425" s="6" t="n"/>
      <c r="B1425" s="112">
        <f>IF($C1425="","","T"&amp;TEXT(ROW()-6,"00000"))</f>
        <v/>
      </c>
      <c r="C1425" s="107" t="n"/>
      <c r="D1425" s="113">
        <f>IF($C1425="","",IFERROR(INDEX(MUSTERILER!$C$7:$C$106,MATCH($C1425,MUSTERILER!$B$7:$B$106,0)),"TANIMSIZ MÜŞTERİ"))</f>
        <v/>
      </c>
      <c r="E1425" s="114" t="n"/>
      <c r="F1425" s="115" t="n"/>
      <c r="G1425" s="107" t="n"/>
      <c r="H1425" s="107" t="n"/>
      <c r="I1425" s="108" t="n"/>
      <c r="J1425" s="108" t="n"/>
      <c r="K1425" s="108" t="n"/>
      <c r="L1425" s="119">
        <f>IF($E1425="","",DATE(YEAR($E1425),MONTH($E1425),1))</f>
        <v/>
      </c>
      <c r="M1425" s="112">
        <f>IF($C1425="","",IF($D1425="TANIMSIZ MÜŞTERİ","HATA",IF(OR($E1425="",$F1425&lt;=0,$G1425=""),"EKSİK",IF($E1425&gt;TODAY(),"İLERİ TARİH","UYGUN"))))</f>
        <v/>
      </c>
      <c r="N1425" s="6" t="n"/>
      <c r="O1425" s="6" t="n"/>
    </row>
    <row r="1426">
      <c r="A1426" s="6" t="n"/>
      <c r="B1426" s="112">
        <f>IF($C1426="","","T"&amp;TEXT(ROW()-6,"00000"))</f>
        <v/>
      </c>
      <c r="C1426" s="107" t="n"/>
      <c r="D1426" s="113">
        <f>IF($C1426="","",IFERROR(INDEX(MUSTERILER!$C$7:$C$106,MATCH($C1426,MUSTERILER!$B$7:$B$106,0)),"TANIMSIZ MÜŞTERİ"))</f>
        <v/>
      </c>
      <c r="E1426" s="114" t="n"/>
      <c r="F1426" s="115" t="n"/>
      <c r="G1426" s="107" t="n"/>
      <c r="H1426" s="107" t="n"/>
      <c r="I1426" s="108" t="n"/>
      <c r="J1426" s="108" t="n"/>
      <c r="K1426" s="108" t="n"/>
      <c r="L1426" s="119">
        <f>IF($E1426="","",DATE(YEAR($E1426),MONTH($E1426),1))</f>
        <v/>
      </c>
      <c r="M1426" s="112">
        <f>IF($C1426="","",IF($D1426="TANIMSIZ MÜŞTERİ","HATA",IF(OR($E1426="",$F1426&lt;=0,$G1426=""),"EKSİK",IF($E1426&gt;TODAY(),"İLERİ TARİH","UYGUN"))))</f>
        <v/>
      </c>
      <c r="N1426" s="6" t="n"/>
      <c r="O1426" s="6" t="n"/>
    </row>
    <row r="1427">
      <c r="A1427" s="6" t="n"/>
      <c r="B1427" s="112">
        <f>IF($C1427="","","T"&amp;TEXT(ROW()-6,"00000"))</f>
        <v/>
      </c>
      <c r="C1427" s="107" t="n"/>
      <c r="D1427" s="113">
        <f>IF($C1427="","",IFERROR(INDEX(MUSTERILER!$C$7:$C$106,MATCH($C1427,MUSTERILER!$B$7:$B$106,0)),"TANIMSIZ MÜŞTERİ"))</f>
        <v/>
      </c>
      <c r="E1427" s="114" t="n"/>
      <c r="F1427" s="115" t="n"/>
      <c r="G1427" s="107" t="n"/>
      <c r="H1427" s="107" t="n"/>
      <c r="I1427" s="108" t="n"/>
      <c r="J1427" s="108" t="n"/>
      <c r="K1427" s="108" t="n"/>
      <c r="L1427" s="119">
        <f>IF($E1427="","",DATE(YEAR($E1427),MONTH($E1427),1))</f>
        <v/>
      </c>
      <c r="M1427" s="112">
        <f>IF($C1427="","",IF($D1427="TANIMSIZ MÜŞTERİ","HATA",IF(OR($E1427="",$F1427&lt;=0,$G1427=""),"EKSİK",IF($E1427&gt;TODAY(),"İLERİ TARİH","UYGUN"))))</f>
        <v/>
      </c>
      <c r="N1427" s="6" t="n"/>
      <c r="O1427" s="6" t="n"/>
    </row>
    <row r="1428">
      <c r="A1428" s="6" t="n"/>
      <c r="B1428" s="112">
        <f>IF($C1428="","","T"&amp;TEXT(ROW()-6,"00000"))</f>
        <v/>
      </c>
      <c r="C1428" s="107" t="n"/>
      <c r="D1428" s="113">
        <f>IF($C1428="","",IFERROR(INDEX(MUSTERILER!$C$7:$C$106,MATCH($C1428,MUSTERILER!$B$7:$B$106,0)),"TANIMSIZ MÜŞTERİ"))</f>
        <v/>
      </c>
      <c r="E1428" s="114" t="n"/>
      <c r="F1428" s="115" t="n"/>
      <c r="G1428" s="107" t="n"/>
      <c r="H1428" s="107" t="n"/>
      <c r="I1428" s="108" t="n"/>
      <c r="J1428" s="108" t="n"/>
      <c r="K1428" s="108" t="n"/>
      <c r="L1428" s="119">
        <f>IF($E1428="","",DATE(YEAR($E1428),MONTH($E1428),1))</f>
        <v/>
      </c>
      <c r="M1428" s="112">
        <f>IF($C1428="","",IF($D1428="TANIMSIZ MÜŞTERİ","HATA",IF(OR($E1428="",$F1428&lt;=0,$G1428=""),"EKSİK",IF($E1428&gt;TODAY(),"İLERİ TARİH","UYGUN"))))</f>
        <v/>
      </c>
      <c r="N1428" s="6" t="n"/>
      <c r="O1428" s="6" t="n"/>
    </row>
    <row r="1429">
      <c r="A1429" s="6" t="n"/>
      <c r="B1429" s="112">
        <f>IF($C1429="","","T"&amp;TEXT(ROW()-6,"00000"))</f>
        <v/>
      </c>
      <c r="C1429" s="107" t="n"/>
      <c r="D1429" s="113">
        <f>IF($C1429="","",IFERROR(INDEX(MUSTERILER!$C$7:$C$106,MATCH($C1429,MUSTERILER!$B$7:$B$106,0)),"TANIMSIZ MÜŞTERİ"))</f>
        <v/>
      </c>
      <c r="E1429" s="114" t="n"/>
      <c r="F1429" s="115" t="n"/>
      <c r="G1429" s="107" t="n"/>
      <c r="H1429" s="107" t="n"/>
      <c r="I1429" s="108" t="n"/>
      <c r="J1429" s="108" t="n"/>
      <c r="K1429" s="108" t="n"/>
      <c r="L1429" s="119">
        <f>IF($E1429="","",DATE(YEAR($E1429),MONTH($E1429),1))</f>
        <v/>
      </c>
      <c r="M1429" s="112">
        <f>IF($C1429="","",IF($D1429="TANIMSIZ MÜŞTERİ","HATA",IF(OR($E1429="",$F1429&lt;=0,$G1429=""),"EKSİK",IF($E1429&gt;TODAY(),"İLERİ TARİH","UYGUN"))))</f>
        <v/>
      </c>
      <c r="N1429" s="6" t="n"/>
      <c r="O1429" s="6" t="n"/>
    </row>
    <row r="1430">
      <c r="A1430" s="6" t="n"/>
      <c r="B1430" s="112">
        <f>IF($C1430="","","T"&amp;TEXT(ROW()-6,"00000"))</f>
        <v/>
      </c>
      <c r="C1430" s="107" t="n"/>
      <c r="D1430" s="113">
        <f>IF($C1430="","",IFERROR(INDEX(MUSTERILER!$C$7:$C$106,MATCH($C1430,MUSTERILER!$B$7:$B$106,0)),"TANIMSIZ MÜŞTERİ"))</f>
        <v/>
      </c>
      <c r="E1430" s="114" t="n"/>
      <c r="F1430" s="115" t="n"/>
      <c r="G1430" s="107" t="n"/>
      <c r="H1430" s="107" t="n"/>
      <c r="I1430" s="108" t="n"/>
      <c r="J1430" s="108" t="n"/>
      <c r="K1430" s="108" t="n"/>
      <c r="L1430" s="119">
        <f>IF($E1430="","",DATE(YEAR($E1430),MONTH($E1430),1))</f>
        <v/>
      </c>
      <c r="M1430" s="112">
        <f>IF($C1430="","",IF($D1430="TANIMSIZ MÜŞTERİ","HATA",IF(OR($E1430="",$F1430&lt;=0,$G1430=""),"EKSİK",IF($E1430&gt;TODAY(),"İLERİ TARİH","UYGUN"))))</f>
        <v/>
      </c>
      <c r="N1430" s="6" t="n"/>
      <c r="O1430" s="6" t="n"/>
    </row>
    <row r="1431">
      <c r="A1431" s="6" t="n"/>
      <c r="B1431" s="112">
        <f>IF($C1431="","","T"&amp;TEXT(ROW()-6,"00000"))</f>
        <v/>
      </c>
      <c r="C1431" s="107" t="n"/>
      <c r="D1431" s="113">
        <f>IF($C1431="","",IFERROR(INDEX(MUSTERILER!$C$7:$C$106,MATCH($C1431,MUSTERILER!$B$7:$B$106,0)),"TANIMSIZ MÜŞTERİ"))</f>
        <v/>
      </c>
      <c r="E1431" s="114" t="n"/>
      <c r="F1431" s="115" t="n"/>
      <c r="G1431" s="107" t="n"/>
      <c r="H1431" s="107" t="n"/>
      <c r="I1431" s="108" t="n"/>
      <c r="J1431" s="108" t="n"/>
      <c r="K1431" s="108" t="n"/>
      <c r="L1431" s="119">
        <f>IF($E1431="","",DATE(YEAR($E1431),MONTH($E1431),1))</f>
        <v/>
      </c>
      <c r="M1431" s="112">
        <f>IF($C1431="","",IF($D1431="TANIMSIZ MÜŞTERİ","HATA",IF(OR($E1431="",$F1431&lt;=0,$G1431=""),"EKSİK",IF($E1431&gt;TODAY(),"İLERİ TARİH","UYGUN"))))</f>
        <v/>
      </c>
      <c r="N1431" s="6" t="n"/>
      <c r="O1431" s="6" t="n"/>
    </row>
    <row r="1432">
      <c r="A1432" s="6" t="n"/>
      <c r="B1432" s="112">
        <f>IF($C1432="","","T"&amp;TEXT(ROW()-6,"00000"))</f>
        <v/>
      </c>
      <c r="C1432" s="107" t="n"/>
      <c r="D1432" s="113">
        <f>IF($C1432="","",IFERROR(INDEX(MUSTERILER!$C$7:$C$106,MATCH($C1432,MUSTERILER!$B$7:$B$106,0)),"TANIMSIZ MÜŞTERİ"))</f>
        <v/>
      </c>
      <c r="E1432" s="114" t="n"/>
      <c r="F1432" s="115" t="n"/>
      <c r="G1432" s="107" t="n"/>
      <c r="H1432" s="107" t="n"/>
      <c r="I1432" s="108" t="n"/>
      <c r="J1432" s="108" t="n"/>
      <c r="K1432" s="108" t="n"/>
      <c r="L1432" s="119">
        <f>IF($E1432="","",DATE(YEAR($E1432),MONTH($E1432),1))</f>
        <v/>
      </c>
      <c r="M1432" s="112">
        <f>IF($C1432="","",IF($D1432="TANIMSIZ MÜŞTERİ","HATA",IF(OR($E1432="",$F1432&lt;=0,$G1432=""),"EKSİK",IF($E1432&gt;TODAY(),"İLERİ TARİH","UYGUN"))))</f>
        <v/>
      </c>
      <c r="N1432" s="6" t="n"/>
      <c r="O1432" s="6" t="n"/>
    </row>
    <row r="1433">
      <c r="A1433" s="6" t="n"/>
      <c r="B1433" s="112">
        <f>IF($C1433="","","T"&amp;TEXT(ROW()-6,"00000"))</f>
        <v/>
      </c>
      <c r="C1433" s="107" t="n"/>
      <c r="D1433" s="113">
        <f>IF($C1433="","",IFERROR(INDEX(MUSTERILER!$C$7:$C$106,MATCH($C1433,MUSTERILER!$B$7:$B$106,0)),"TANIMSIZ MÜŞTERİ"))</f>
        <v/>
      </c>
      <c r="E1433" s="114" t="n"/>
      <c r="F1433" s="115" t="n"/>
      <c r="G1433" s="107" t="n"/>
      <c r="H1433" s="107" t="n"/>
      <c r="I1433" s="108" t="n"/>
      <c r="J1433" s="108" t="n"/>
      <c r="K1433" s="108" t="n"/>
      <c r="L1433" s="119">
        <f>IF($E1433="","",DATE(YEAR($E1433),MONTH($E1433),1))</f>
        <v/>
      </c>
      <c r="M1433" s="112">
        <f>IF($C1433="","",IF($D1433="TANIMSIZ MÜŞTERİ","HATA",IF(OR($E1433="",$F1433&lt;=0,$G1433=""),"EKSİK",IF($E1433&gt;TODAY(),"İLERİ TARİH","UYGUN"))))</f>
        <v/>
      </c>
      <c r="N1433" s="6" t="n"/>
      <c r="O1433" s="6" t="n"/>
    </row>
    <row r="1434">
      <c r="A1434" s="6" t="n"/>
      <c r="B1434" s="112">
        <f>IF($C1434="","","T"&amp;TEXT(ROW()-6,"00000"))</f>
        <v/>
      </c>
      <c r="C1434" s="107" t="n"/>
      <c r="D1434" s="113">
        <f>IF($C1434="","",IFERROR(INDEX(MUSTERILER!$C$7:$C$106,MATCH($C1434,MUSTERILER!$B$7:$B$106,0)),"TANIMSIZ MÜŞTERİ"))</f>
        <v/>
      </c>
      <c r="E1434" s="114" t="n"/>
      <c r="F1434" s="115" t="n"/>
      <c r="G1434" s="107" t="n"/>
      <c r="H1434" s="107" t="n"/>
      <c r="I1434" s="108" t="n"/>
      <c r="J1434" s="108" t="n"/>
      <c r="K1434" s="108" t="n"/>
      <c r="L1434" s="119">
        <f>IF($E1434="","",DATE(YEAR($E1434),MONTH($E1434),1))</f>
        <v/>
      </c>
      <c r="M1434" s="112">
        <f>IF($C1434="","",IF($D1434="TANIMSIZ MÜŞTERİ","HATA",IF(OR($E1434="",$F1434&lt;=0,$G1434=""),"EKSİK",IF($E1434&gt;TODAY(),"İLERİ TARİH","UYGUN"))))</f>
        <v/>
      </c>
      <c r="N1434" s="6" t="n"/>
      <c r="O1434" s="6" t="n"/>
    </row>
    <row r="1435">
      <c r="A1435" s="6" t="n"/>
      <c r="B1435" s="112">
        <f>IF($C1435="","","T"&amp;TEXT(ROW()-6,"00000"))</f>
        <v/>
      </c>
      <c r="C1435" s="107" t="n"/>
      <c r="D1435" s="113">
        <f>IF($C1435="","",IFERROR(INDEX(MUSTERILER!$C$7:$C$106,MATCH($C1435,MUSTERILER!$B$7:$B$106,0)),"TANIMSIZ MÜŞTERİ"))</f>
        <v/>
      </c>
      <c r="E1435" s="114" t="n"/>
      <c r="F1435" s="115" t="n"/>
      <c r="G1435" s="107" t="n"/>
      <c r="H1435" s="107" t="n"/>
      <c r="I1435" s="108" t="n"/>
      <c r="J1435" s="108" t="n"/>
      <c r="K1435" s="108" t="n"/>
      <c r="L1435" s="119">
        <f>IF($E1435="","",DATE(YEAR($E1435),MONTH($E1435),1))</f>
        <v/>
      </c>
      <c r="M1435" s="112">
        <f>IF($C1435="","",IF($D1435="TANIMSIZ MÜŞTERİ","HATA",IF(OR($E1435="",$F1435&lt;=0,$G1435=""),"EKSİK",IF($E1435&gt;TODAY(),"İLERİ TARİH","UYGUN"))))</f>
        <v/>
      </c>
      <c r="N1435" s="6" t="n"/>
      <c r="O1435" s="6" t="n"/>
    </row>
    <row r="1436">
      <c r="A1436" s="6" t="n"/>
      <c r="B1436" s="112">
        <f>IF($C1436="","","T"&amp;TEXT(ROW()-6,"00000"))</f>
        <v/>
      </c>
      <c r="C1436" s="107" t="n"/>
      <c r="D1436" s="113">
        <f>IF($C1436="","",IFERROR(INDEX(MUSTERILER!$C$7:$C$106,MATCH($C1436,MUSTERILER!$B$7:$B$106,0)),"TANIMSIZ MÜŞTERİ"))</f>
        <v/>
      </c>
      <c r="E1436" s="114" t="n"/>
      <c r="F1436" s="115" t="n"/>
      <c r="G1436" s="107" t="n"/>
      <c r="H1436" s="107" t="n"/>
      <c r="I1436" s="108" t="n"/>
      <c r="J1436" s="108" t="n"/>
      <c r="K1436" s="108" t="n"/>
      <c r="L1436" s="119">
        <f>IF($E1436="","",DATE(YEAR($E1436),MONTH($E1436),1))</f>
        <v/>
      </c>
      <c r="M1436" s="112">
        <f>IF($C1436="","",IF($D1436="TANIMSIZ MÜŞTERİ","HATA",IF(OR($E1436="",$F1436&lt;=0,$G1436=""),"EKSİK",IF($E1436&gt;TODAY(),"İLERİ TARİH","UYGUN"))))</f>
        <v/>
      </c>
      <c r="N1436" s="6" t="n"/>
      <c r="O1436" s="6" t="n"/>
    </row>
    <row r="1437">
      <c r="A1437" s="6" t="n"/>
      <c r="B1437" s="112">
        <f>IF($C1437="","","T"&amp;TEXT(ROW()-6,"00000"))</f>
        <v/>
      </c>
      <c r="C1437" s="107" t="n"/>
      <c r="D1437" s="113">
        <f>IF($C1437="","",IFERROR(INDEX(MUSTERILER!$C$7:$C$106,MATCH($C1437,MUSTERILER!$B$7:$B$106,0)),"TANIMSIZ MÜŞTERİ"))</f>
        <v/>
      </c>
      <c r="E1437" s="114" t="n"/>
      <c r="F1437" s="115" t="n"/>
      <c r="G1437" s="107" t="n"/>
      <c r="H1437" s="107" t="n"/>
      <c r="I1437" s="108" t="n"/>
      <c r="J1437" s="108" t="n"/>
      <c r="K1437" s="108" t="n"/>
      <c r="L1437" s="119">
        <f>IF($E1437="","",DATE(YEAR($E1437),MONTH($E1437),1))</f>
        <v/>
      </c>
      <c r="M1437" s="112">
        <f>IF($C1437="","",IF($D1437="TANIMSIZ MÜŞTERİ","HATA",IF(OR($E1437="",$F1437&lt;=0,$G1437=""),"EKSİK",IF($E1437&gt;TODAY(),"İLERİ TARİH","UYGUN"))))</f>
        <v/>
      </c>
      <c r="N1437" s="6" t="n"/>
      <c r="O1437" s="6" t="n"/>
    </row>
    <row r="1438">
      <c r="A1438" s="6" t="n"/>
      <c r="B1438" s="112">
        <f>IF($C1438="","","T"&amp;TEXT(ROW()-6,"00000"))</f>
        <v/>
      </c>
      <c r="C1438" s="107" t="n"/>
      <c r="D1438" s="113">
        <f>IF($C1438="","",IFERROR(INDEX(MUSTERILER!$C$7:$C$106,MATCH($C1438,MUSTERILER!$B$7:$B$106,0)),"TANIMSIZ MÜŞTERİ"))</f>
        <v/>
      </c>
      <c r="E1438" s="114" t="n"/>
      <c r="F1438" s="115" t="n"/>
      <c r="G1438" s="107" t="n"/>
      <c r="H1438" s="107" t="n"/>
      <c r="I1438" s="108" t="n"/>
      <c r="J1438" s="108" t="n"/>
      <c r="K1438" s="108" t="n"/>
      <c r="L1438" s="119">
        <f>IF($E1438="","",DATE(YEAR($E1438),MONTH($E1438),1))</f>
        <v/>
      </c>
      <c r="M1438" s="112">
        <f>IF($C1438="","",IF($D1438="TANIMSIZ MÜŞTERİ","HATA",IF(OR($E1438="",$F1438&lt;=0,$G1438=""),"EKSİK",IF($E1438&gt;TODAY(),"İLERİ TARİH","UYGUN"))))</f>
        <v/>
      </c>
      <c r="N1438" s="6" t="n"/>
      <c r="O1438" s="6" t="n"/>
    </row>
    <row r="1439">
      <c r="A1439" s="6" t="n"/>
      <c r="B1439" s="112">
        <f>IF($C1439="","","T"&amp;TEXT(ROW()-6,"00000"))</f>
        <v/>
      </c>
      <c r="C1439" s="107" t="n"/>
      <c r="D1439" s="113">
        <f>IF($C1439="","",IFERROR(INDEX(MUSTERILER!$C$7:$C$106,MATCH($C1439,MUSTERILER!$B$7:$B$106,0)),"TANIMSIZ MÜŞTERİ"))</f>
        <v/>
      </c>
      <c r="E1439" s="114" t="n"/>
      <c r="F1439" s="115" t="n"/>
      <c r="G1439" s="107" t="n"/>
      <c r="H1439" s="107" t="n"/>
      <c r="I1439" s="108" t="n"/>
      <c r="J1439" s="108" t="n"/>
      <c r="K1439" s="108" t="n"/>
      <c r="L1439" s="119">
        <f>IF($E1439="","",DATE(YEAR($E1439),MONTH($E1439),1))</f>
        <v/>
      </c>
      <c r="M1439" s="112">
        <f>IF($C1439="","",IF($D1439="TANIMSIZ MÜŞTERİ","HATA",IF(OR($E1439="",$F1439&lt;=0,$G1439=""),"EKSİK",IF($E1439&gt;TODAY(),"İLERİ TARİH","UYGUN"))))</f>
        <v/>
      </c>
      <c r="N1439" s="6" t="n"/>
      <c r="O1439" s="6" t="n"/>
    </row>
    <row r="1440">
      <c r="A1440" s="6" t="n"/>
      <c r="B1440" s="112">
        <f>IF($C1440="","","T"&amp;TEXT(ROW()-6,"00000"))</f>
        <v/>
      </c>
      <c r="C1440" s="107" t="n"/>
      <c r="D1440" s="113">
        <f>IF($C1440="","",IFERROR(INDEX(MUSTERILER!$C$7:$C$106,MATCH($C1440,MUSTERILER!$B$7:$B$106,0)),"TANIMSIZ MÜŞTERİ"))</f>
        <v/>
      </c>
      <c r="E1440" s="114" t="n"/>
      <c r="F1440" s="115" t="n"/>
      <c r="G1440" s="107" t="n"/>
      <c r="H1440" s="107" t="n"/>
      <c r="I1440" s="108" t="n"/>
      <c r="J1440" s="108" t="n"/>
      <c r="K1440" s="108" t="n"/>
      <c r="L1440" s="119">
        <f>IF($E1440="","",DATE(YEAR($E1440),MONTH($E1440),1))</f>
        <v/>
      </c>
      <c r="M1440" s="112">
        <f>IF($C1440="","",IF($D1440="TANIMSIZ MÜŞTERİ","HATA",IF(OR($E1440="",$F1440&lt;=0,$G1440=""),"EKSİK",IF($E1440&gt;TODAY(),"İLERİ TARİH","UYGUN"))))</f>
        <v/>
      </c>
      <c r="N1440" s="6" t="n"/>
      <c r="O1440" s="6" t="n"/>
    </row>
    <row r="1441">
      <c r="A1441" s="6" t="n"/>
      <c r="B1441" s="112">
        <f>IF($C1441="","","T"&amp;TEXT(ROW()-6,"00000"))</f>
        <v/>
      </c>
      <c r="C1441" s="107" t="n"/>
      <c r="D1441" s="113">
        <f>IF($C1441="","",IFERROR(INDEX(MUSTERILER!$C$7:$C$106,MATCH($C1441,MUSTERILER!$B$7:$B$106,0)),"TANIMSIZ MÜŞTERİ"))</f>
        <v/>
      </c>
      <c r="E1441" s="114" t="n"/>
      <c r="F1441" s="115" t="n"/>
      <c r="G1441" s="107" t="n"/>
      <c r="H1441" s="107" t="n"/>
      <c r="I1441" s="108" t="n"/>
      <c r="J1441" s="108" t="n"/>
      <c r="K1441" s="108" t="n"/>
      <c r="L1441" s="119">
        <f>IF($E1441="","",DATE(YEAR($E1441),MONTH($E1441),1))</f>
        <v/>
      </c>
      <c r="M1441" s="112">
        <f>IF($C1441="","",IF($D1441="TANIMSIZ MÜŞTERİ","HATA",IF(OR($E1441="",$F1441&lt;=0,$G1441=""),"EKSİK",IF($E1441&gt;TODAY(),"İLERİ TARİH","UYGUN"))))</f>
        <v/>
      </c>
      <c r="N1441" s="6" t="n"/>
      <c r="O1441" s="6" t="n"/>
    </row>
    <row r="1442">
      <c r="A1442" s="6" t="n"/>
      <c r="B1442" s="112">
        <f>IF($C1442="","","T"&amp;TEXT(ROW()-6,"00000"))</f>
        <v/>
      </c>
      <c r="C1442" s="107" t="n"/>
      <c r="D1442" s="113">
        <f>IF($C1442="","",IFERROR(INDEX(MUSTERILER!$C$7:$C$106,MATCH($C1442,MUSTERILER!$B$7:$B$106,0)),"TANIMSIZ MÜŞTERİ"))</f>
        <v/>
      </c>
      <c r="E1442" s="114" t="n"/>
      <c r="F1442" s="115" t="n"/>
      <c r="G1442" s="107" t="n"/>
      <c r="H1442" s="107" t="n"/>
      <c r="I1442" s="108" t="n"/>
      <c r="J1442" s="108" t="n"/>
      <c r="K1442" s="108" t="n"/>
      <c r="L1442" s="119">
        <f>IF($E1442="","",DATE(YEAR($E1442),MONTH($E1442),1))</f>
        <v/>
      </c>
      <c r="M1442" s="112">
        <f>IF($C1442="","",IF($D1442="TANIMSIZ MÜŞTERİ","HATA",IF(OR($E1442="",$F1442&lt;=0,$G1442=""),"EKSİK",IF($E1442&gt;TODAY(),"İLERİ TARİH","UYGUN"))))</f>
        <v/>
      </c>
      <c r="N1442" s="6" t="n"/>
      <c r="O1442" s="6" t="n"/>
    </row>
    <row r="1443">
      <c r="A1443" s="6" t="n"/>
      <c r="B1443" s="112">
        <f>IF($C1443="","","T"&amp;TEXT(ROW()-6,"00000"))</f>
        <v/>
      </c>
      <c r="C1443" s="107" t="n"/>
      <c r="D1443" s="113">
        <f>IF($C1443="","",IFERROR(INDEX(MUSTERILER!$C$7:$C$106,MATCH($C1443,MUSTERILER!$B$7:$B$106,0)),"TANIMSIZ MÜŞTERİ"))</f>
        <v/>
      </c>
      <c r="E1443" s="114" t="n"/>
      <c r="F1443" s="115" t="n"/>
      <c r="G1443" s="107" t="n"/>
      <c r="H1443" s="107" t="n"/>
      <c r="I1443" s="108" t="n"/>
      <c r="J1443" s="108" t="n"/>
      <c r="K1443" s="108" t="n"/>
      <c r="L1443" s="119">
        <f>IF($E1443="","",DATE(YEAR($E1443),MONTH($E1443),1))</f>
        <v/>
      </c>
      <c r="M1443" s="112">
        <f>IF($C1443="","",IF($D1443="TANIMSIZ MÜŞTERİ","HATA",IF(OR($E1443="",$F1443&lt;=0,$G1443=""),"EKSİK",IF($E1443&gt;TODAY(),"İLERİ TARİH","UYGUN"))))</f>
        <v/>
      </c>
      <c r="N1443" s="6" t="n"/>
      <c r="O1443" s="6" t="n"/>
    </row>
    <row r="1444">
      <c r="A1444" s="6" t="n"/>
      <c r="B1444" s="112">
        <f>IF($C1444="","","T"&amp;TEXT(ROW()-6,"00000"))</f>
        <v/>
      </c>
      <c r="C1444" s="107" t="n"/>
      <c r="D1444" s="113">
        <f>IF($C1444="","",IFERROR(INDEX(MUSTERILER!$C$7:$C$106,MATCH($C1444,MUSTERILER!$B$7:$B$106,0)),"TANIMSIZ MÜŞTERİ"))</f>
        <v/>
      </c>
      <c r="E1444" s="114" t="n"/>
      <c r="F1444" s="115" t="n"/>
      <c r="G1444" s="107" t="n"/>
      <c r="H1444" s="107" t="n"/>
      <c r="I1444" s="108" t="n"/>
      <c r="J1444" s="108" t="n"/>
      <c r="K1444" s="108" t="n"/>
      <c r="L1444" s="119">
        <f>IF($E1444="","",DATE(YEAR($E1444),MONTH($E1444),1))</f>
        <v/>
      </c>
      <c r="M1444" s="112">
        <f>IF($C1444="","",IF($D1444="TANIMSIZ MÜŞTERİ","HATA",IF(OR($E1444="",$F1444&lt;=0,$G1444=""),"EKSİK",IF($E1444&gt;TODAY(),"İLERİ TARİH","UYGUN"))))</f>
        <v/>
      </c>
      <c r="N1444" s="6" t="n"/>
      <c r="O1444" s="6" t="n"/>
    </row>
    <row r="1445">
      <c r="A1445" s="6" t="n"/>
      <c r="B1445" s="112">
        <f>IF($C1445="","","T"&amp;TEXT(ROW()-6,"00000"))</f>
        <v/>
      </c>
      <c r="C1445" s="107" t="n"/>
      <c r="D1445" s="113">
        <f>IF($C1445="","",IFERROR(INDEX(MUSTERILER!$C$7:$C$106,MATCH($C1445,MUSTERILER!$B$7:$B$106,0)),"TANIMSIZ MÜŞTERİ"))</f>
        <v/>
      </c>
      <c r="E1445" s="114" t="n"/>
      <c r="F1445" s="115" t="n"/>
      <c r="G1445" s="107" t="n"/>
      <c r="H1445" s="107" t="n"/>
      <c r="I1445" s="108" t="n"/>
      <c r="J1445" s="108" t="n"/>
      <c r="K1445" s="108" t="n"/>
      <c r="L1445" s="119">
        <f>IF($E1445="","",DATE(YEAR($E1445),MONTH($E1445),1))</f>
        <v/>
      </c>
      <c r="M1445" s="112">
        <f>IF($C1445="","",IF($D1445="TANIMSIZ MÜŞTERİ","HATA",IF(OR($E1445="",$F1445&lt;=0,$G1445=""),"EKSİK",IF($E1445&gt;TODAY(),"İLERİ TARİH","UYGUN"))))</f>
        <v/>
      </c>
      <c r="N1445" s="6" t="n"/>
      <c r="O1445" s="6" t="n"/>
    </row>
    <row r="1446">
      <c r="A1446" s="6" t="n"/>
      <c r="B1446" s="112">
        <f>IF($C1446="","","T"&amp;TEXT(ROW()-6,"00000"))</f>
        <v/>
      </c>
      <c r="C1446" s="107" t="n"/>
      <c r="D1446" s="113">
        <f>IF($C1446="","",IFERROR(INDEX(MUSTERILER!$C$7:$C$106,MATCH($C1446,MUSTERILER!$B$7:$B$106,0)),"TANIMSIZ MÜŞTERİ"))</f>
        <v/>
      </c>
      <c r="E1446" s="114" t="n"/>
      <c r="F1446" s="115" t="n"/>
      <c r="G1446" s="107" t="n"/>
      <c r="H1446" s="107" t="n"/>
      <c r="I1446" s="108" t="n"/>
      <c r="J1446" s="108" t="n"/>
      <c r="K1446" s="108" t="n"/>
      <c r="L1446" s="119">
        <f>IF($E1446="","",DATE(YEAR($E1446),MONTH($E1446),1))</f>
        <v/>
      </c>
      <c r="M1446" s="112">
        <f>IF($C1446="","",IF($D1446="TANIMSIZ MÜŞTERİ","HATA",IF(OR($E1446="",$F1446&lt;=0,$G1446=""),"EKSİK",IF($E1446&gt;TODAY(),"İLERİ TARİH","UYGUN"))))</f>
        <v/>
      </c>
      <c r="N1446" s="6" t="n"/>
      <c r="O1446" s="6" t="n"/>
    </row>
    <row r="1447">
      <c r="A1447" s="6" t="n"/>
      <c r="B1447" s="112">
        <f>IF($C1447="","","T"&amp;TEXT(ROW()-6,"00000"))</f>
        <v/>
      </c>
      <c r="C1447" s="107" t="n"/>
      <c r="D1447" s="113">
        <f>IF($C1447="","",IFERROR(INDEX(MUSTERILER!$C$7:$C$106,MATCH($C1447,MUSTERILER!$B$7:$B$106,0)),"TANIMSIZ MÜŞTERİ"))</f>
        <v/>
      </c>
      <c r="E1447" s="114" t="n"/>
      <c r="F1447" s="115" t="n"/>
      <c r="G1447" s="107" t="n"/>
      <c r="H1447" s="107" t="n"/>
      <c r="I1447" s="108" t="n"/>
      <c r="J1447" s="108" t="n"/>
      <c r="K1447" s="108" t="n"/>
      <c r="L1447" s="119">
        <f>IF($E1447="","",DATE(YEAR($E1447),MONTH($E1447),1))</f>
        <v/>
      </c>
      <c r="M1447" s="112">
        <f>IF($C1447="","",IF($D1447="TANIMSIZ MÜŞTERİ","HATA",IF(OR($E1447="",$F1447&lt;=0,$G1447=""),"EKSİK",IF($E1447&gt;TODAY(),"İLERİ TARİH","UYGUN"))))</f>
        <v/>
      </c>
      <c r="N1447" s="6" t="n"/>
      <c r="O1447" s="6" t="n"/>
    </row>
    <row r="1448">
      <c r="A1448" s="6" t="n"/>
      <c r="B1448" s="112">
        <f>IF($C1448="","","T"&amp;TEXT(ROW()-6,"00000"))</f>
        <v/>
      </c>
      <c r="C1448" s="107" t="n"/>
      <c r="D1448" s="113">
        <f>IF($C1448="","",IFERROR(INDEX(MUSTERILER!$C$7:$C$106,MATCH($C1448,MUSTERILER!$B$7:$B$106,0)),"TANIMSIZ MÜŞTERİ"))</f>
        <v/>
      </c>
      <c r="E1448" s="114" t="n"/>
      <c r="F1448" s="115" t="n"/>
      <c r="G1448" s="107" t="n"/>
      <c r="H1448" s="107" t="n"/>
      <c r="I1448" s="108" t="n"/>
      <c r="J1448" s="108" t="n"/>
      <c r="K1448" s="108" t="n"/>
      <c r="L1448" s="119">
        <f>IF($E1448="","",DATE(YEAR($E1448),MONTH($E1448),1))</f>
        <v/>
      </c>
      <c r="M1448" s="112">
        <f>IF($C1448="","",IF($D1448="TANIMSIZ MÜŞTERİ","HATA",IF(OR($E1448="",$F1448&lt;=0,$G1448=""),"EKSİK",IF($E1448&gt;TODAY(),"İLERİ TARİH","UYGUN"))))</f>
        <v/>
      </c>
      <c r="N1448" s="6" t="n"/>
      <c r="O1448" s="6" t="n"/>
    </row>
    <row r="1449">
      <c r="A1449" s="6" t="n"/>
      <c r="B1449" s="112">
        <f>IF($C1449="","","T"&amp;TEXT(ROW()-6,"00000"))</f>
        <v/>
      </c>
      <c r="C1449" s="107" t="n"/>
      <c r="D1449" s="113">
        <f>IF($C1449="","",IFERROR(INDEX(MUSTERILER!$C$7:$C$106,MATCH($C1449,MUSTERILER!$B$7:$B$106,0)),"TANIMSIZ MÜŞTERİ"))</f>
        <v/>
      </c>
      <c r="E1449" s="114" t="n"/>
      <c r="F1449" s="115" t="n"/>
      <c r="G1449" s="107" t="n"/>
      <c r="H1449" s="107" t="n"/>
      <c r="I1449" s="108" t="n"/>
      <c r="J1449" s="108" t="n"/>
      <c r="K1449" s="108" t="n"/>
      <c r="L1449" s="119">
        <f>IF($E1449="","",DATE(YEAR($E1449),MONTH($E1449),1))</f>
        <v/>
      </c>
      <c r="M1449" s="112">
        <f>IF($C1449="","",IF($D1449="TANIMSIZ MÜŞTERİ","HATA",IF(OR($E1449="",$F1449&lt;=0,$G1449=""),"EKSİK",IF($E1449&gt;TODAY(),"İLERİ TARİH","UYGUN"))))</f>
        <v/>
      </c>
      <c r="N1449" s="6" t="n"/>
      <c r="O1449" s="6" t="n"/>
    </row>
    <row r="1450">
      <c r="A1450" s="6" t="n"/>
      <c r="B1450" s="112">
        <f>IF($C1450="","","T"&amp;TEXT(ROW()-6,"00000"))</f>
        <v/>
      </c>
      <c r="C1450" s="107" t="n"/>
      <c r="D1450" s="113">
        <f>IF($C1450="","",IFERROR(INDEX(MUSTERILER!$C$7:$C$106,MATCH($C1450,MUSTERILER!$B$7:$B$106,0)),"TANIMSIZ MÜŞTERİ"))</f>
        <v/>
      </c>
      <c r="E1450" s="114" t="n"/>
      <c r="F1450" s="115" t="n"/>
      <c r="G1450" s="107" t="n"/>
      <c r="H1450" s="107" t="n"/>
      <c r="I1450" s="108" t="n"/>
      <c r="J1450" s="108" t="n"/>
      <c r="K1450" s="108" t="n"/>
      <c r="L1450" s="119">
        <f>IF($E1450="","",DATE(YEAR($E1450),MONTH($E1450),1))</f>
        <v/>
      </c>
      <c r="M1450" s="112">
        <f>IF($C1450="","",IF($D1450="TANIMSIZ MÜŞTERİ","HATA",IF(OR($E1450="",$F1450&lt;=0,$G1450=""),"EKSİK",IF($E1450&gt;TODAY(),"İLERİ TARİH","UYGUN"))))</f>
        <v/>
      </c>
      <c r="N1450" s="6" t="n"/>
      <c r="O1450" s="6" t="n"/>
    </row>
    <row r="1451">
      <c r="A1451" s="6" t="n"/>
      <c r="B1451" s="112">
        <f>IF($C1451="","","T"&amp;TEXT(ROW()-6,"00000"))</f>
        <v/>
      </c>
      <c r="C1451" s="107" t="n"/>
      <c r="D1451" s="113">
        <f>IF($C1451="","",IFERROR(INDEX(MUSTERILER!$C$7:$C$106,MATCH($C1451,MUSTERILER!$B$7:$B$106,0)),"TANIMSIZ MÜŞTERİ"))</f>
        <v/>
      </c>
      <c r="E1451" s="114" t="n"/>
      <c r="F1451" s="115" t="n"/>
      <c r="G1451" s="107" t="n"/>
      <c r="H1451" s="107" t="n"/>
      <c r="I1451" s="108" t="n"/>
      <c r="J1451" s="108" t="n"/>
      <c r="K1451" s="108" t="n"/>
      <c r="L1451" s="119">
        <f>IF($E1451="","",DATE(YEAR($E1451),MONTH($E1451),1))</f>
        <v/>
      </c>
      <c r="M1451" s="112">
        <f>IF($C1451="","",IF($D1451="TANIMSIZ MÜŞTERİ","HATA",IF(OR($E1451="",$F1451&lt;=0,$G1451=""),"EKSİK",IF($E1451&gt;TODAY(),"İLERİ TARİH","UYGUN"))))</f>
        <v/>
      </c>
      <c r="N1451" s="6" t="n"/>
      <c r="O1451" s="6" t="n"/>
    </row>
    <row r="1452">
      <c r="A1452" s="6" t="n"/>
      <c r="B1452" s="112">
        <f>IF($C1452="","","T"&amp;TEXT(ROW()-6,"00000"))</f>
        <v/>
      </c>
      <c r="C1452" s="107" t="n"/>
      <c r="D1452" s="113">
        <f>IF($C1452="","",IFERROR(INDEX(MUSTERILER!$C$7:$C$106,MATCH($C1452,MUSTERILER!$B$7:$B$106,0)),"TANIMSIZ MÜŞTERİ"))</f>
        <v/>
      </c>
      <c r="E1452" s="114" t="n"/>
      <c r="F1452" s="115" t="n"/>
      <c r="G1452" s="107" t="n"/>
      <c r="H1452" s="107" t="n"/>
      <c r="I1452" s="108" t="n"/>
      <c r="J1452" s="108" t="n"/>
      <c r="K1452" s="108" t="n"/>
      <c r="L1452" s="119">
        <f>IF($E1452="","",DATE(YEAR($E1452),MONTH($E1452),1))</f>
        <v/>
      </c>
      <c r="M1452" s="112">
        <f>IF($C1452="","",IF($D1452="TANIMSIZ MÜŞTERİ","HATA",IF(OR($E1452="",$F1452&lt;=0,$G1452=""),"EKSİK",IF($E1452&gt;TODAY(),"İLERİ TARİH","UYGUN"))))</f>
        <v/>
      </c>
      <c r="N1452" s="6" t="n"/>
      <c r="O1452" s="6" t="n"/>
    </row>
    <row r="1453">
      <c r="A1453" s="6" t="n"/>
      <c r="B1453" s="112">
        <f>IF($C1453="","","T"&amp;TEXT(ROW()-6,"00000"))</f>
        <v/>
      </c>
      <c r="C1453" s="107" t="n"/>
      <c r="D1453" s="113">
        <f>IF($C1453="","",IFERROR(INDEX(MUSTERILER!$C$7:$C$106,MATCH($C1453,MUSTERILER!$B$7:$B$106,0)),"TANIMSIZ MÜŞTERİ"))</f>
        <v/>
      </c>
      <c r="E1453" s="114" t="n"/>
      <c r="F1453" s="115" t="n"/>
      <c r="G1453" s="107" t="n"/>
      <c r="H1453" s="107" t="n"/>
      <c r="I1453" s="108" t="n"/>
      <c r="J1453" s="108" t="n"/>
      <c r="K1453" s="108" t="n"/>
      <c r="L1453" s="119">
        <f>IF($E1453="","",DATE(YEAR($E1453),MONTH($E1453),1))</f>
        <v/>
      </c>
      <c r="M1453" s="112">
        <f>IF($C1453="","",IF($D1453="TANIMSIZ MÜŞTERİ","HATA",IF(OR($E1453="",$F1453&lt;=0,$G1453=""),"EKSİK",IF($E1453&gt;TODAY(),"İLERİ TARİH","UYGUN"))))</f>
        <v/>
      </c>
      <c r="N1453" s="6" t="n"/>
      <c r="O1453" s="6" t="n"/>
    </row>
    <row r="1454">
      <c r="A1454" s="6" t="n"/>
      <c r="B1454" s="112">
        <f>IF($C1454="","","T"&amp;TEXT(ROW()-6,"00000"))</f>
        <v/>
      </c>
      <c r="C1454" s="107" t="n"/>
      <c r="D1454" s="113">
        <f>IF($C1454="","",IFERROR(INDEX(MUSTERILER!$C$7:$C$106,MATCH($C1454,MUSTERILER!$B$7:$B$106,0)),"TANIMSIZ MÜŞTERİ"))</f>
        <v/>
      </c>
      <c r="E1454" s="114" t="n"/>
      <c r="F1454" s="115" t="n"/>
      <c r="G1454" s="107" t="n"/>
      <c r="H1454" s="107" t="n"/>
      <c r="I1454" s="108" t="n"/>
      <c r="J1454" s="108" t="n"/>
      <c r="K1454" s="108" t="n"/>
      <c r="L1454" s="119">
        <f>IF($E1454="","",DATE(YEAR($E1454),MONTH($E1454),1))</f>
        <v/>
      </c>
      <c r="M1454" s="112">
        <f>IF($C1454="","",IF($D1454="TANIMSIZ MÜŞTERİ","HATA",IF(OR($E1454="",$F1454&lt;=0,$G1454=""),"EKSİK",IF($E1454&gt;TODAY(),"İLERİ TARİH","UYGUN"))))</f>
        <v/>
      </c>
      <c r="N1454" s="6" t="n"/>
      <c r="O1454" s="6" t="n"/>
    </row>
    <row r="1455">
      <c r="A1455" s="6" t="n"/>
      <c r="B1455" s="112">
        <f>IF($C1455="","","T"&amp;TEXT(ROW()-6,"00000"))</f>
        <v/>
      </c>
      <c r="C1455" s="107" t="n"/>
      <c r="D1455" s="113">
        <f>IF($C1455="","",IFERROR(INDEX(MUSTERILER!$C$7:$C$106,MATCH($C1455,MUSTERILER!$B$7:$B$106,0)),"TANIMSIZ MÜŞTERİ"))</f>
        <v/>
      </c>
      <c r="E1455" s="114" t="n"/>
      <c r="F1455" s="115" t="n"/>
      <c r="G1455" s="107" t="n"/>
      <c r="H1455" s="107" t="n"/>
      <c r="I1455" s="108" t="n"/>
      <c r="J1455" s="108" t="n"/>
      <c r="K1455" s="108" t="n"/>
      <c r="L1455" s="119">
        <f>IF($E1455="","",DATE(YEAR($E1455),MONTH($E1455),1))</f>
        <v/>
      </c>
      <c r="M1455" s="112">
        <f>IF($C1455="","",IF($D1455="TANIMSIZ MÜŞTERİ","HATA",IF(OR($E1455="",$F1455&lt;=0,$G1455=""),"EKSİK",IF($E1455&gt;TODAY(),"İLERİ TARİH","UYGUN"))))</f>
        <v/>
      </c>
      <c r="N1455" s="6" t="n"/>
      <c r="O1455" s="6" t="n"/>
    </row>
    <row r="1456">
      <c r="A1456" s="6" t="n"/>
      <c r="B1456" s="112">
        <f>IF($C1456="","","T"&amp;TEXT(ROW()-6,"00000"))</f>
        <v/>
      </c>
      <c r="C1456" s="107" t="n"/>
      <c r="D1456" s="113">
        <f>IF($C1456="","",IFERROR(INDEX(MUSTERILER!$C$7:$C$106,MATCH($C1456,MUSTERILER!$B$7:$B$106,0)),"TANIMSIZ MÜŞTERİ"))</f>
        <v/>
      </c>
      <c r="E1456" s="114" t="n"/>
      <c r="F1456" s="115" t="n"/>
      <c r="G1456" s="107" t="n"/>
      <c r="H1456" s="107" t="n"/>
      <c r="I1456" s="108" t="n"/>
      <c r="J1456" s="108" t="n"/>
      <c r="K1456" s="108" t="n"/>
      <c r="L1456" s="119">
        <f>IF($E1456="","",DATE(YEAR($E1456),MONTH($E1456),1))</f>
        <v/>
      </c>
      <c r="M1456" s="112">
        <f>IF($C1456="","",IF($D1456="TANIMSIZ MÜŞTERİ","HATA",IF(OR($E1456="",$F1456&lt;=0,$G1456=""),"EKSİK",IF($E1456&gt;TODAY(),"İLERİ TARİH","UYGUN"))))</f>
        <v/>
      </c>
      <c r="N1456" s="6" t="n"/>
      <c r="O1456" s="6" t="n"/>
    </row>
    <row r="1457">
      <c r="A1457" s="6" t="n"/>
      <c r="B1457" s="112">
        <f>IF($C1457="","","T"&amp;TEXT(ROW()-6,"00000"))</f>
        <v/>
      </c>
      <c r="C1457" s="107" t="n"/>
      <c r="D1457" s="113">
        <f>IF($C1457="","",IFERROR(INDEX(MUSTERILER!$C$7:$C$106,MATCH($C1457,MUSTERILER!$B$7:$B$106,0)),"TANIMSIZ MÜŞTERİ"))</f>
        <v/>
      </c>
      <c r="E1457" s="114" t="n"/>
      <c r="F1457" s="115" t="n"/>
      <c r="G1457" s="107" t="n"/>
      <c r="H1457" s="107" t="n"/>
      <c r="I1457" s="108" t="n"/>
      <c r="J1457" s="108" t="n"/>
      <c r="K1457" s="108" t="n"/>
      <c r="L1457" s="119">
        <f>IF($E1457="","",DATE(YEAR($E1457),MONTH($E1457),1))</f>
        <v/>
      </c>
      <c r="M1457" s="112">
        <f>IF($C1457="","",IF($D1457="TANIMSIZ MÜŞTERİ","HATA",IF(OR($E1457="",$F1457&lt;=0,$G1457=""),"EKSİK",IF($E1457&gt;TODAY(),"İLERİ TARİH","UYGUN"))))</f>
        <v/>
      </c>
      <c r="N1457" s="6" t="n"/>
      <c r="O1457" s="6" t="n"/>
    </row>
    <row r="1458">
      <c r="A1458" s="6" t="n"/>
      <c r="B1458" s="112">
        <f>IF($C1458="","","T"&amp;TEXT(ROW()-6,"00000"))</f>
        <v/>
      </c>
      <c r="C1458" s="107" t="n"/>
      <c r="D1458" s="113">
        <f>IF($C1458="","",IFERROR(INDEX(MUSTERILER!$C$7:$C$106,MATCH($C1458,MUSTERILER!$B$7:$B$106,0)),"TANIMSIZ MÜŞTERİ"))</f>
        <v/>
      </c>
      <c r="E1458" s="114" t="n"/>
      <c r="F1458" s="115" t="n"/>
      <c r="G1458" s="107" t="n"/>
      <c r="H1458" s="107" t="n"/>
      <c r="I1458" s="108" t="n"/>
      <c r="J1458" s="108" t="n"/>
      <c r="K1458" s="108" t="n"/>
      <c r="L1458" s="119">
        <f>IF($E1458="","",DATE(YEAR($E1458),MONTH($E1458),1))</f>
        <v/>
      </c>
      <c r="M1458" s="112">
        <f>IF($C1458="","",IF($D1458="TANIMSIZ MÜŞTERİ","HATA",IF(OR($E1458="",$F1458&lt;=0,$G1458=""),"EKSİK",IF($E1458&gt;TODAY(),"İLERİ TARİH","UYGUN"))))</f>
        <v/>
      </c>
      <c r="N1458" s="6" t="n"/>
      <c r="O1458" s="6" t="n"/>
    </row>
    <row r="1459">
      <c r="A1459" s="6" t="n"/>
      <c r="B1459" s="112">
        <f>IF($C1459="","","T"&amp;TEXT(ROW()-6,"00000"))</f>
        <v/>
      </c>
      <c r="C1459" s="107" t="n"/>
      <c r="D1459" s="113">
        <f>IF($C1459="","",IFERROR(INDEX(MUSTERILER!$C$7:$C$106,MATCH($C1459,MUSTERILER!$B$7:$B$106,0)),"TANIMSIZ MÜŞTERİ"))</f>
        <v/>
      </c>
      <c r="E1459" s="114" t="n"/>
      <c r="F1459" s="115" t="n"/>
      <c r="G1459" s="107" t="n"/>
      <c r="H1459" s="107" t="n"/>
      <c r="I1459" s="108" t="n"/>
      <c r="J1459" s="108" t="n"/>
      <c r="K1459" s="108" t="n"/>
      <c r="L1459" s="119">
        <f>IF($E1459="","",DATE(YEAR($E1459),MONTH($E1459),1))</f>
        <v/>
      </c>
      <c r="M1459" s="112">
        <f>IF($C1459="","",IF($D1459="TANIMSIZ MÜŞTERİ","HATA",IF(OR($E1459="",$F1459&lt;=0,$G1459=""),"EKSİK",IF($E1459&gt;TODAY(),"İLERİ TARİH","UYGUN"))))</f>
        <v/>
      </c>
      <c r="N1459" s="6" t="n"/>
      <c r="O1459" s="6" t="n"/>
    </row>
    <row r="1460">
      <c r="A1460" s="6" t="n"/>
      <c r="B1460" s="112">
        <f>IF($C1460="","","T"&amp;TEXT(ROW()-6,"00000"))</f>
        <v/>
      </c>
      <c r="C1460" s="107" t="n"/>
      <c r="D1460" s="113">
        <f>IF($C1460="","",IFERROR(INDEX(MUSTERILER!$C$7:$C$106,MATCH($C1460,MUSTERILER!$B$7:$B$106,0)),"TANIMSIZ MÜŞTERİ"))</f>
        <v/>
      </c>
      <c r="E1460" s="114" t="n"/>
      <c r="F1460" s="115" t="n"/>
      <c r="G1460" s="107" t="n"/>
      <c r="H1460" s="107" t="n"/>
      <c r="I1460" s="108" t="n"/>
      <c r="J1460" s="108" t="n"/>
      <c r="K1460" s="108" t="n"/>
      <c r="L1460" s="119">
        <f>IF($E1460="","",DATE(YEAR($E1460),MONTH($E1460),1))</f>
        <v/>
      </c>
      <c r="M1460" s="112">
        <f>IF($C1460="","",IF($D1460="TANIMSIZ MÜŞTERİ","HATA",IF(OR($E1460="",$F1460&lt;=0,$G1460=""),"EKSİK",IF($E1460&gt;TODAY(),"İLERİ TARİH","UYGUN"))))</f>
        <v/>
      </c>
      <c r="N1460" s="6" t="n"/>
      <c r="O1460" s="6" t="n"/>
    </row>
    <row r="1461">
      <c r="A1461" s="6" t="n"/>
      <c r="B1461" s="112">
        <f>IF($C1461="","","T"&amp;TEXT(ROW()-6,"00000"))</f>
        <v/>
      </c>
      <c r="C1461" s="107" t="n"/>
      <c r="D1461" s="113">
        <f>IF($C1461="","",IFERROR(INDEX(MUSTERILER!$C$7:$C$106,MATCH($C1461,MUSTERILER!$B$7:$B$106,0)),"TANIMSIZ MÜŞTERİ"))</f>
        <v/>
      </c>
      <c r="E1461" s="114" t="n"/>
      <c r="F1461" s="115" t="n"/>
      <c r="G1461" s="107" t="n"/>
      <c r="H1461" s="107" t="n"/>
      <c r="I1461" s="108" t="n"/>
      <c r="J1461" s="108" t="n"/>
      <c r="K1461" s="108" t="n"/>
      <c r="L1461" s="119">
        <f>IF($E1461="","",DATE(YEAR($E1461),MONTH($E1461),1))</f>
        <v/>
      </c>
      <c r="M1461" s="112">
        <f>IF($C1461="","",IF($D1461="TANIMSIZ MÜŞTERİ","HATA",IF(OR($E1461="",$F1461&lt;=0,$G1461=""),"EKSİK",IF($E1461&gt;TODAY(),"İLERİ TARİH","UYGUN"))))</f>
        <v/>
      </c>
      <c r="N1461" s="6" t="n"/>
      <c r="O1461" s="6" t="n"/>
    </row>
    <row r="1462">
      <c r="A1462" s="6" t="n"/>
      <c r="B1462" s="112">
        <f>IF($C1462="","","T"&amp;TEXT(ROW()-6,"00000"))</f>
        <v/>
      </c>
      <c r="C1462" s="107" t="n"/>
      <c r="D1462" s="113">
        <f>IF($C1462="","",IFERROR(INDEX(MUSTERILER!$C$7:$C$106,MATCH($C1462,MUSTERILER!$B$7:$B$106,0)),"TANIMSIZ MÜŞTERİ"))</f>
        <v/>
      </c>
      <c r="E1462" s="114" t="n"/>
      <c r="F1462" s="115" t="n"/>
      <c r="G1462" s="107" t="n"/>
      <c r="H1462" s="107" t="n"/>
      <c r="I1462" s="108" t="n"/>
      <c r="J1462" s="108" t="n"/>
      <c r="K1462" s="108" t="n"/>
      <c r="L1462" s="119">
        <f>IF($E1462="","",DATE(YEAR($E1462),MONTH($E1462),1))</f>
        <v/>
      </c>
      <c r="M1462" s="112">
        <f>IF($C1462="","",IF($D1462="TANIMSIZ MÜŞTERİ","HATA",IF(OR($E1462="",$F1462&lt;=0,$G1462=""),"EKSİK",IF($E1462&gt;TODAY(),"İLERİ TARİH","UYGUN"))))</f>
        <v/>
      </c>
      <c r="N1462" s="6" t="n"/>
      <c r="O1462" s="6" t="n"/>
    </row>
    <row r="1463">
      <c r="A1463" s="6" t="n"/>
      <c r="B1463" s="112">
        <f>IF($C1463="","","T"&amp;TEXT(ROW()-6,"00000"))</f>
        <v/>
      </c>
      <c r="C1463" s="107" t="n"/>
      <c r="D1463" s="113">
        <f>IF($C1463="","",IFERROR(INDEX(MUSTERILER!$C$7:$C$106,MATCH($C1463,MUSTERILER!$B$7:$B$106,0)),"TANIMSIZ MÜŞTERİ"))</f>
        <v/>
      </c>
      <c r="E1463" s="114" t="n"/>
      <c r="F1463" s="115" t="n"/>
      <c r="G1463" s="107" t="n"/>
      <c r="H1463" s="107" t="n"/>
      <c r="I1463" s="108" t="n"/>
      <c r="J1463" s="108" t="n"/>
      <c r="K1463" s="108" t="n"/>
      <c r="L1463" s="119">
        <f>IF($E1463="","",DATE(YEAR($E1463),MONTH($E1463),1))</f>
        <v/>
      </c>
      <c r="M1463" s="112">
        <f>IF($C1463="","",IF($D1463="TANIMSIZ MÜŞTERİ","HATA",IF(OR($E1463="",$F1463&lt;=0,$G1463=""),"EKSİK",IF($E1463&gt;TODAY(),"İLERİ TARİH","UYGUN"))))</f>
        <v/>
      </c>
      <c r="N1463" s="6" t="n"/>
      <c r="O1463" s="6" t="n"/>
    </row>
    <row r="1464">
      <c r="A1464" s="6" t="n"/>
      <c r="B1464" s="112">
        <f>IF($C1464="","","T"&amp;TEXT(ROW()-6,"00000"))</f>
        <v/>
      </c>
      <c r="C1464" s="107" t="n"/>
      <c r="D1464" s="113">
        <f>IF($C1464="","",IFERROR(INDEX(MUSTERILER!$C$7:$C$106,MATCH($C1464,MUSTERILER!$B$7:$B$106,0)),"TANIMSIZ MÜŞTERİ"))</f>
        <v/>
      </c>
      <c r="E1464" s="114" t="n"/>
      <c r="F1464" s="115" t="n"/>
      <c r="G1464" s="107" t="n"/>
      <c r="H1464" s="107" t="n"/>
      <c r="I1464" s="108" t="n"/>
      <c r="J1464" s="108" t="n"/>
      <c r="K1464" s="108" t="n"/>
      <c r="L1464" s="119">
        <f>IF($E1464="","",DATE(YEAR($E1464),MONTH($E1464),1))</f>
        <v/>
      </c>
      <c r="M1464" s="112">
        <f>IF($C1464="","",IF($D1464="TANIMSIZ MÜŞTERİ","HATA",IF(OR($E1464="",$F1464&lt;=0,$G1464=""),"EKSİK",IF($E1464&gt;TODAY(),"İLERİ TARİH","UYGUN"))))</f>
        <v/>
      </c>
      <c r="N1464" s="6" t="n"/>
      <c r="O1464" s="6" t="n"/>
    </row>
    <row r="1465">
      <c r="A1465" s="6" t="n"/>
      <c r="B1465" s="112">
        <f>IF($C1465="","","T"&amp;TEXT(ROW()-6,"00000"))</f>
        <v/>
      </c>
      <c r="C1465" s="107" t="n"/>
      <c r="D1465" s="113">
        <f>IF($C1465="","",IFERROR(INDEX(MUSTERILER!$C$7:$C$106,MATCH($C1465,MUSTERILER!$B$7:$B$106,0)),"TANIMSIZ MÜŞTERİ"))</f>
        <v/>
      </c>
      <c r="E1465" s="114" t="n"/>
      <c r="F1465" s="115" t="n"/>
      <c r="G1465" s="107" t="n"/>
      <c r="H1465" s="107" t="n"/>
      <c r="I1465" s="108" t="n"/>
      <c r="J1465" s="108" t="n"/>
      <c r="K1465" s="108" t="n"/>
      <c r="L1465" s="119">
        <f>IF($E1465="","",DATE(YEAR($E1465),MONTH($E1465),1))</f>
        <v/>
      </c>
      <c r="M1465" s="112">
        <f>IF($C1465="","",IF($D1465="TANIMSIZ MÜŞTERİ","HATA",IF(OR($E1465="",$F1465&lt;=0,$G1465=""),"EKSİK",IF($E1465&gt;TODAY(),"İLERİ TARİH","UYGUN"))))</f>
        <v/>
      </c>
      <c r="N1465" s="6" t="n"/>
      <c r="O1465" s="6" t="n"/>
    </row>
    <row r="1466">
      <c r="A1466" s="6" t="n"/>
      <c r="B1466" s="112">
        <f>IF($C1466="","","T"&amp;TEXT(ROW()-6,"00000"))</f>
        <v/>
      </c>
      <c r="C1466" s="107" t="n"/>
      <c r="D1466" s="113">
        <f>IF($C1466="","",IFERROR(INDEX(MUSTERILER!$C$7:$C$106,MATCH($C1466,MUSTERILER!$B$7:$B$106,0)),"TANIMSIZ MÜŞTERİ"))</f>
        <v/>
      </c>
      <c r="E1466" s="114" t="n"/>
      <c r="F1466" s="115" t="n"/>
      <c r="G1466" s="107" t="n"/>
      <c r="H1466" s="107" t="n"/>
      <c r="I1466" s="108" t="n"/>
      <c r="J1466" s="108" t="n"/>
      <c r="K1466" s="108" t="n"/>
      <c r="L1466" s="119">
        <f>IF($E1466="","",DATE(YEAR($E1466),MONTH($E1466),1))</f>
        <v/>
      </c>
      <c r="M1466" s="112">
        <f>IF($C1466="","",IF($D1466="TANIMSIZ MÜŞTERİ","HATA",IF(OR($E1466="",$F1466&lt;=0,$G1466=""),"EKSİK",IF($E1466&gt;TODAY(),"İLERİ TARİH","UYGUN"))))</f>
        <v/>
      </c>
      <c r="N1466" s="6" t="n"/>
      <c r="O1466" s="6" t="n"/>
    </row>
    <row r="1467">
      <c r="A1467" s="6" t="n"/>
      <c r="B1467" s="112">
        <f>IF($C1467="","","T"&amp;TEXT(ROW()-6,"00000"))</f>
        <v/>
      </c>
      <c r="C1467" s="107" t="n"/>
      <c r="D1467" s="113">
        <f>IF($C1467="","",IFERROR(INDEX(MUSTERILER!$C$7:$C$106,MATCH($C1467,MUSTERILER!$B$7:$B$106,0)),"TANIMSIZ MÜŞTERİ"))</f>
        <v/>
      </c>
      <c r="E1467" s="114" t="n"/>
      <c r="F1467" s="115" t="n"/>
      <c r="G1467" s="107" t="n"/>
      <c r="H1467" s="107" t="n"/>
      <c r="I1467" s="108" t="n"/>
      <c r="J1467" s="108" t="n"/>
      <c r="K1467" s="108" t="n"/>
      <c r="L1467" s="119">
        <f>IF($E1467="","",DATE(YEAR($E1467),MONTH($E1467),1))</f>
        <v/>
      </c>
      <c r="M1467" s="112">
        <f>IF($C1467="","",IF($D1467="TANIMSIZ MÜŞTERİ","HATA",IF(OR($E1467="",$F1467&lt;=0,$G1467=""),"EKSİK",IF($E1467&gt;TODAY(),"İLERİ TARİH","UYGUN"))))</f>
        <v/>
      </c>
      <c r="N1467" s="6" t="n"/>
      <c r="O1467" s="6" t="n"/>
    </row>
    <row r="1468">
      <c r="A1468" s="6" t="n"/>
      <c r="B1468" s="112">
        <f>IF($C1468="","","T"&amp;TEXT(ROW()-6,"00000"))</f>
        <v/>
      </c>
      <c r="C1468" s="107" t="n"/>
      <c r="D1468" s="113">
        <f>IF($C1468="","",IFERROR(INDEX(MUSTERILER!$C$7:$C$106,MATCH($C1468,MUSTERILER!$B$7:$B$106,0)),"TANIMSIZ MÜŞTERİ"))</f>
        <v/>
      </c>
      <c r="E1468" s="114" t="n"/>
      <c r="F1468" s="115" t="n"/>
      <c r="G1468" s="107" t="n"/>
      <c r="H1468" s="107" t="n"/>
      <c r="I1468" s="108" t="n"/>
      <c r="J1468" s="108" t="n"/>
      <c r="K1468" s="108" t="n"/>
      <c r="L1468" s="119">
        <f>IF($E1468="","",DATE(YEAR($E1468),MONTH($E1468),1))</f>
        <v/>
      </c>
      <c r="M1468" s="112">
        <f>IF($C1468="","",IF($D1468="TANIMSIZ MÜŞTERİ","HATA",IF(OR($E1468="",$F1468&lt;=0,$G1468=""),"EKSİK",IF($E1468&gt;TODAY(),"İLERİ TARİH","UYGUN"))))</f>
        <v/>
      </c>
      <c r="N1468" s="6" t="n"/>
      <c r="O1468" s="6" t="n"/>
    </row>
    <row r="1469">
      <c r="A1469" s="6" t="n"/>
      <c r="B1469" s="112">
        <f>IF($C1469="","","T"&amp;TEXT(ROW()-6,"00000"))</f>
        <v/>
      </c>
      <c r="C1469" s="107" t="n"/>
      <c r="D1469" s="113">
        <f>IF($C1469="","",IFERROR(INDEX(MUSTERILER!$C$7:$C$106,MATCH($C1469,MUSTERILER!$B$7:$B$106,0)),"TANIMSIZ MÜŞTERİ"))</f>
        <v/>
      </c>
      <c r="E1469" s="114" t="n"/>
      <c r="F1469" s="115" t="n"/>
      <c r="G1469" s="107" t="n"/>
      <c r="H1469" s="107" t="n"/>
      <c r="I1469" s="108" t="n"/>
      <c r="J1469" s="108" t="n"/>
      <c r="K1469" s="108" t="n"/>
      <c r="L1469" s="119">
        <f>IF($E1469="","",DATE(YEAR($E1469),MONTH($E1469),1))</f>
        <v/>
      </c>
      <c r="M1469" s="112">
        <f>IF($C1469="","",IF($D1469="TANIMSIZ MÜŞTERİ","HATA",IF(OR($E1469="",$F1469&lt;=0,$G1469=""),"EKSİK",IF($E1469&gt;TODAY(),"İLERİ TARİH","UYGUN"))))</f>
        <v/>
      </c>
      <c r="N1469" s="6" t="n"/>
      <c r="O1469" s="6" t="n"/>
    </row>
    <row r="1470">
      <c r="A1470" s="6" t="n"/>
      <c r="B1470" s="112">
        <f>IF($C1470="","","T"&amp;TEXT(ROW()-6,"00000"))</f>
        <v/>
      </c>
      <c r="C1470" s="107" t="n"/>
      <c r="D1470" s="113">
        <f>IF($C1470="","",IFERROR(INDEX(MUSTERILER!$C$7:$C$106,MATCH($C1470,MUSTERILER!$B$7:$B$106,0)),"TANIMSIZ MÜŞTERİ"))</f>
        <v/>
      </c>
      <c r="E1470" s="114" t="n"/>
      <c r="F1470" s="115" t="n"/>
      <c r="G1470" s="107" t="n"/>
      <c r="H1470" s="107" t="n"/>
      <c r="I1470" s="108" t="n"/>
      <c r="J1470" s="108" t="n"/>
      <c r="K1470" s="108" t="n"/>
      <c r="L1470" s="119">
        <f>IF($E1470="","",DATE(YEAR($E1470),MONTH($E1470),1))</f>
        <v/>
      </c>
      <c r="M1470" s="112">
        <f>IF($C1470="","",IF($D1470="TANIMSIZ MÜŞTERİ","HATA",IF(OR($E1470="",$F1470&lt;=0,$G1470=""),"EKSİK",IF($E1470&gt;TODAY(),"İLERİ TARİH","UYGUN"))))</f>
        <v/>
      </c>
      <c r="N1470" s="6" t="n"/>
      <c r="O1470" s="6" t="n"/>
    </row>
    <row r="1471">
      <c r="A1471" s="6" t="n"/>
      <c r="B1471" s="112">
        <f>IF($C1471="","","T"&amp;TEXT(ROW()-6,"00000"))</f>
        <v/>
      </c>
      <c r="C1471" s="107" t="n"/>
      <c r="D1471" s="113">
        <f>IF($C1471="","",IFERROR(INDEX(MUSTERILER!$C$7:$C$106,MATCH($C1471,MUSTERILER!$B$7:$B$106,0)),"TANIMSIZ MÜŞTERİ"))</f>
        <v/>
      </c>
      <c r="E1471" s="114" t="n"/>
      <c r="F1471" s="115" t="n"/>
      <c r="G1471" s="107" t="n"/>
      <c r="H1471" s="107" t="n"/>
      <c r="I1471" s="108" t="n"/>
      <c r="J1471" s="108" t="n"/>
      <c r="K1471" s="108" t="n"/>
      <c r="L1471" s="119">
        <f>IF($E1471="","",DATE(YEAR($E1471),MONTH($E1471),1))</f>
        <v/>
      </c>
      <c r="M1471" s="112">
        <f>IF($C1471="","",IF($D1471="TANIMSIZ MÜŞTERİ","HATA",IF(OR($E1471="",$F1471&lt;=0,$G1471=""),"EKSİK",IF($E1471&gt;TODAY(),"İLERİ TARİH","UYGUN"))))</f>
        <v/>
      </c>
      <c r="N1471" s="6" t="n"/>
      <c r="O1471" s="6" t="n"/>
    </row>
    <row r="1472">
      <c r="A1472" s="6" t="n"/>
      <c r="B1472" s="112">
        <f>IF($C1472="","","T"&amp;TEXT(ROW()-6,"00000"))</f>
        <v/>
      </c>
      <c r="C1472" s="107" t="n"/>
      <c r="D1472" s="113">
        <f>IF($C1472="","",IFERROR(INDEX(MUSTERILER!$C$7:$C$106,MATCH($C1472,MUSTERILER!$B$7:$B$106,0)),"TANIMSIZ MÜŞTERİ"))</f>
        <v/>
      </c>
      <c r="E1472" s="114" t="n"/>
      <c r="F1472" s="115" t="n"/>
      <c r="G1472" s="107" t="n"/>
      <c r="H1472" s="107" t="n"/>
      <c r="I1472" s="108" t="n"/>
      <c r="J1472" s="108" t="n"/>
      <c r="K1472" s="108" t="n"/>
      <c r="L1472" s="119">
        <f>IF($E1472="","",DATE(YEAR($E1472),MONTH($E1472),1))</f>
        <v/>
      </c>
      <c r="M1472" s="112">
        <f>IF($C1472="","",IF($D1472="TANIMSIZ MÜŞTERİ","HATA",IF(OR($E1472="",$F1472&lt;=0,$G1472=""),"EKSİK",IF($E1472&gt;TODAY(),"İLERİ TARİH","UYGUN"))))</f>
        <v/>
      </c>
      <c r="N1472" s="6" t="n"/>
      <c r="O1472" s="6" t="n"/>
    </row>
    <row r="1473">
      <c r="A1473" s="6" t="n"/>
      <c r="B1473" s="112">
        <f>IF($C1473="","","T"&amp;TEXT(ROW()-6,"00000"))</f>
        <v/>
      </c>
      <c r="C1473" s="107" t="n"/>
      <c r="D1473" s="113">
        <f>IF($C1473="","",IFERROR(INDEX(MUSTERILER!$C$7:$C$106,MATCH($C1473,MUSTERILER!$B$7:$B$106,0)),"TANIMSIZ MÜŞTERİ"))</f>
        <v/>
      </c>
      <c r="E1473" s="114" t="n"/>
      <c r="F1473" s="115" t="n"/>
      <c r="G1473" s="107" t="n"/>
      <c r="H1473" s="107" t="n"/>
      <c r="I1473" s="108" t="n"/>
      <c r="J1473" s="108" t="n"/>
      <c r="K1473" s="108" t="n"/>
      <c r="L1473" s="119">
        <f>IF($E1473="","",DATE(YEAR($E1473),MONTH($E1473),1))</f>
        <v/>
      </c>
      <c r="M1473" s="112">
        <f>IF($C1473="","",IF($D1473="TANIMSIZ MÜŞTERİ","HATA",IF(OR($E1473="",$F1473&lt;=0,$G1473=""),"EKSİK",IF($E1473&gt;TODAY(),"İLERİ TARİH","UYGUN"))))</f>
        <v/>
      </c>
      <c r="N1473" s="6" t="n"/>
      <c r="O1473" s="6" t="n"/>
    </row>
    <row r="1474">
      <c r="A1474" s="6" t="n"/>
      <c r="B1474" s="112">
        <f>IF($C1474="","","T"&amp;TEXT(ROW()-6,"00000"))</f>
        <v/>
      </c>
      <c r="C1474" s="107" t="n"/>
      <c r="D1474" s="113">
        <f>IF($C1474="","",IFERROR(INDEX(MUSTERILER!$C$7:$C$106,MATCH($C1474,MUSTERILER!$B$7:$B$106,0)),"TANIMSIZ MÜŞTERİ"))</f>
        <v/>
      </c>
      <c r="E1474" s="114" t="n"/>
      <c r="F1474" s="115" t="n"/>
      <c r="G1474" s="107" t="n"/>
      <c r="H1474" s="107" t="n"/>
      <c r="I1474" s="108" t="n"/>
      <c r="J1474" s="108" t="n"/>
      <c r="K1474" s="108" t="n"/>
      <c r="L1474" s="119">
        <f>IF($E1474="","",DATE(YEAR($E1474),MONTH($E1474),1))</f>
        <v/>
      </c>
      <c r="M1474" s="112">
        <f>IF($C1474="","",IF($D1474="TANIMSIZ MÜŞTERİ","HATA",IF(OR($E1474="",$F1474&lt;=0,$G1474=""),"EKSİK",IF($E1474&gt;TODAY(),"İLERİ TARİH","UYGUN"))))</f>
        <v/>
      </c>
      <c r="N1474" s="6" t="n"/>
      <c r="O1474" s="6" t="n"/>
    </row>
    <row r="1475">
      <c r="A1475" s="6" t="n"/>
      <c r="B1475" s="112">
        <f>IF($C1475="","","T"&amp;TEXT(ROW()-6,"00000"))</f>
        <v/>
      </c>
      <c r="C1475" s="107" t="n"/>
      <c r="D1475" s="113">
        <f>IF($C1475="","",IFERROR(INDEX(MUSTERILER!$C$7:$C$106,MATCH($C1475,MUSTERILER!$B$7:$B$106,0)),"TANIMSIZ MÜŞTERİ"))</f>
        <v/>
      </c>
      <c r="E1475" s="114" t="n"/>
      <c r="F1475" s="115" t="n"/>
      <c r="G1475" s="107" t="n"/>
      <c r="H1475" s="107" t="n"/>
      <c r="I1475" s="108" t="n"/>
      <c r="J1475" s="108" t="n"/>
      <c r="K1475" s="108" t="n"/>
      <c r="L1475" s="119">
        <f>IF($E1475="","",DATE(YEAR($E1475),MONTH($E1475),1))</f>
        <v/>
      </c>
      <c r="M1475" s="112">
        <f>IF($C1475="","",IF($D1475="TANIMSIZ MÜŞTERİ","HATA",IF(OR($E1475="",$F1475&lt;=0,$G1475=""),"EKSİK",IF($E1475&gt;TODAY(),"İLERİ TARİH","UYGUN"))))</f>
        <v/>
      </c>
      <c r="N1475" s="6" t="n"/>
      <c r="O1475" s="6" t="n"/>
    </row>
    <row r="1476">
      <c r="A1476" s="6" t="n"/>
      <c r="B1476" s="112">
        <f>IF($C1476="","","T"&amp;TEXT(ROW()-6,"00000"))</f>
        <v/>
      </c>
      <c r="C1476" s="107" t="n"/>
      <c r="D1476" s="113">
        <f>IF($C1476="","",IFERROR(INDEX(MUSTERILER!$C$7:$C$106,MATCH($C1476,MUSTERILER!$B$7:$B$106,0)),"TANIMSIZ MÜŞTERİ"))</f>
        <v/>
      </c>
      <c r="E1476" s="114" t="n"/>
      <c r="F1476" s="115" t="n"/>
      <c r="G1476" s="107" t="n"/>
      <c r="H1476" s="107" t="n"/>
      <c r="I1476" s="108" t="n"/>
      <c r="J1476" s="108" t="n"/>
      <c r="K1476" s="108" t="n"/>
      <c r="L1476" s="119">
        <f>IF($E1476="","",DATE(YEAR($E1476),MONTH($E1476),1))</f>
        <v/>
      </c>
      <c r="M1476" s="112">
        <f>IF($C1476="","",IF($D1476="TANIMSIZ MÜŞTERİ","HATA",IF(OR($E1476="",$F1476&lt;=0,$G1476=""),"EKSİK",IF($E1476&gt;TODAY(),"İLERİ TARİH","UYGUN"))))</f>
        <v/>
      </c>
      <c r="N1476" s="6" t="n"/>
      <c r="O1476" s="6" t="n"/>
    </row>
    <row r="1477">
      <c r="A1477" s="6" t="n"/>
      <c r="B1477" s="112">
        <f>IF($C1477="","","T"&amp;TEXT(ROW()-6,"00000"))</f>
        <v/>
      </c>
      <c r="C1477" s="107" t="n"/>
      <c r="D1477" s="113">
        <f>IF($C1477="","",IFERROR(INDEX(MUSTERILER!$C$7:$C$106,MATCH($C1477,MUSTERILER!$B$7:$B$106,0)),"TANIMSIZ MÜŞTERİ"))</f>
        <v/>
      </c>
      <c r="E1477" s="114" t="n"/>
      <c r="F1477" s="115" t="n"/>
      <c r="G1477" s="107" t="n"/>
      <c r="H1477" s="107" t="n"/>
      <c r="I1477" s="108" t="n"/>
      <c r="J1477" s="108" t="n"/>
      <c r="K1477" s="108" t="n"/>
      <c r="L1477" s="119">
        <f>IF($E1477="","",DATE(YEAR($E1477),MONTH($E1477),1))</f>
        <v/>
      </c>
      <c r="M1477" s="112">
        <f>IF($C1477="","",IF($D1477="TANIMSIZ MÜŞTERİ","HATA",IF(OR($E1477="",$F1477&lt;=0,$G1477=""),"EKSİK",IF($E1477&gt;TODAY(),"İLERİ TARİH","UYGUN"))))</f>
        <v/>
      </c>
      <c r="N1477" s="6" t="n"/>
      <c r="O1477" s="6" t="n"/>
    </row>
    <row r="1478">
      <c r="A1478" s="6" t="n"/>
      <c r="B1478" s="112">
        <f>IF($C1478="","","T"&amp;TEXT(ROW()-6,"00000"))</f>
        <v/>
      </c>
      <c r="C1478" s="107" t="n"/>
      <c r="D1478" s="113">
        <f>IF($C1478="","",IFERROR(INDEX(MUSTERILER!$C$7:$C$106,MATCH($C1478,MUSTERILER!$B$7:$B$106,0)),"TANIMSIZ MÜŞTERİ"))</f>
        <v/>
      </c>
      <c r="E1478" s="114" t="n"/>
      <c r="F1478" s="115" t="n"/>
      <c r="G1478" s="107" t="n"/>
      <c r="H1478" s="107" t="n"/>
      <c r="I1478" s="108" t="n"/>
      <c r="J1478" s="108" t="n"/>
      <c r="K1478" s="108" t="n"/>
      <c r="L1478" s="119">
        <f>IF($E1478="","",DATE(YEAR($E1478),MONTH($E1478),1))</f>
        <v/>
      </c>
      <c r="M1478" s="112">
        <f>IF($C1478="","",IF($D1478="TANIMSIZ MÜŞTERİ","HATA",IF(OR($E1478="",$F1478&lt;=0,$G1478=""),"EKSİK",IF($E1478&gt;TODAY(),"İLERİ TARİH","UYGUN"))))</f>
        <v/>
      </c>
      <c r="N1478" s="6" t="n"/>
      <c r="O1478" s="6" t="n"/>
    </row>
    <row r="1479">
      <c r="A1479" s="6" t="n"/>
      <c r="B1479" s="112">
        <f>IF($C1479="","","T"&amp;TEXT(ROW()-6,"00000"))</f>
        <v/>
      </c>
      <c r="C1479" s="107" t="n"/>
      <c r="D1479" s="113">
        <f>IF($C1479="","",IFERROR(INDEX(MUSTERILER!$C$7:$C$106,MATCH($C1479,MUSTERILER!$B$7:$B$106,0)),"TANIMSIZ MÜŞTERİ"))</f>
        <v/>
      </c>
      <c r="E1479" s="114" t="n"/>
      <c r="F1479" s="115" t="n"/>
      <c r="G1479" s="107" t="n"/>
      <c r="H1479" s="107" t="n"/>
      <c r="I1479" s="108" t="n"/>
      <c r="J1479" s="108" t="n"/>
      <c r="K1479" s="108" t="n"/>
      <c r="L1479" s="119">
        <f>IF($E1479="","",DATE(YEAR($E1479),MONTH($E1479),1))</f>
        <v/>
      </c>
      <c r="M1479" s="112">
        <f>IF($C1479="","",IF($D1479="TANIMSIZ MÜŞTERİ","HATA",IF(OR($E1479="",$F1479&lt;=0,$G1479=""),"EKSİK",IF($E1479&gt;TODAY(),"İLERİ TARİH","UYGUN"))))</f>
        <v/>
      </c>
      <c r="N1479" s="6" t="n"/>
      <c r="O1479" s="6" t="n"/>
    </row>
    <row r="1480">
      <c r="A1480" s="6" t="n"/>
      <c r="B1480" s="112">
        <f>IF($C1480="","","T"&amp;TEXT(ROW()-6,"00000"))</f>
        <v/>
      </c>
      <c r="C1480" s="107" t="n"/>
      <c r="D1480" s="113">
        <f>IF($C1480="","",IFERROR(INDEX(MUSTERILER!$C$7:$C$106,MATCH($C1480,MUSTERILER!$B$7:$B$106,0)),"TANIMSIZ MÜŞTERİ"))</f>
        <v/>
      </c>
      <c r="E1480" s="114" t="n"/>
      <c r="F1480" s="115" t="n"/>
      <c r="G1480" s="107" t="n"/>
      <c r="H1480" s="107" t="n"/>
      <c r="I1480" s="108" t="n"/>
      <c r="J1480" s="108" t="n"/>
      <c r="K1480" s="108" t="n"/>
      <c r="L1480" s="119">
        <f>IF($E1480="","",DATE(YEAR($E1480),MONTH($E1480),1))</f>
        <v/>
      </c>
      <c r="M1480" s="112">
        <f>IF($C1480="","",IF($D1480="TANIMSIZ MÜŞTERİ","HATA",IF(OR($E1480="",$F1480&lt;=0,$G1480=""),"EKSİK",IF($E1480&gt;TODAY(),"İLERİ TARİH","UYGUN"))))</f>
        <v/>
      </c>
      <c r="N1480" s="6" t="n"/>
      <c r="O1480" s="6" t="n"/>
    </row>
    <row r="1481">
      <c r="A1481" s="6" t="n"/>
      <c r="B1481" s="112">
        <f>IF($C1481="","","T"&amp;TEXT(ROW()-6,"00000"))</f>
        <v/>
      </c>
      <c r="C1481" s="107" t="n"/>
      <c r="D1481" s="113">
        <f>IF($C1481="","",IFERROR(INDEX(MUSTERILER!$C$7:$C$106,MATCH($C1481,MUSTERILER!$B$7:$B$106,0)),"TANIMSIZ MÜŞTERİ"))</f>
        <v/>
      </c>
      <c r="E1481" s="114" t="n"/>
      <c r="F1481" s="115" t="n"/>
      <c r="G1481" s="107" t="n"/>
      <c r="H1481" s="107" t="n"/>
      <c r="I1481" s="108" t="n"/>
      <c r="J1481" s="108" t="n"/>
      <c r="K1481" s="108" t="n"/>
      <c r="L1481" s="119">
        <f>IF($E1481="","",DATE(YEAR($E1481),MONTH($E1481),1))</f>
        <v/>
      </c>
      <c r="M1481" s="112">
        <f>IF($C1481="","",IF($D1481="TANIMSIZ MÜŞTERİ","HATA",IF(OR($E1481="",$F1481&lt;=0,$G1481=""),"EKSİK",IF($E1481&gt;TODAY(),"İLERİ TARİH","UYGUN"))))</f>
        <v/>
      </c>
      <c r="N1481" s="6" t="n"/>
      <c r="O1481" s="6" t="n"/>
    </row>
    <row r="1482">
      <c r="A1482" s="6" t="n"/>
      <c r="B1482" s="112">
        <f>IF($C1482="","","T"&amp;TEXT(ROW()-6,"00000"))</f>
        <v/>
      </c>
      <c r="C1482" s="107" t="n"/>
      <c r="D1482" s="113">
        <f>IF($C1482="","",IFERROR(INDEX(MUSTERILER!$C$7:$C$106,MATCH($C1482,MUSTERILER!$B$7:$B$106,0)),"TANIMSIZ MÜŞTERİ"))</f>
        <v/>
      </c>
      <c r="E1482" s="114" t="n"/>
      <c r="F1482" s="115" t="n"/>
      <c r="G1482" s="107" t="n"/>
      <c r="H1482" s="107" t="n"/>
      <c r="I1482" s="108" t="n"/>
      <c r="J1482" s="108" t="n"/>
      <c r="K1482" s="108" t="n"/>
      <c r="L1482" s="119">
        <f>IF($E1482="","",DATE(YEAR($E1482),MONTH($E1482),1))</f>
        <v/>
      </c>
      <c r="M1482" s="112">
        <f>IF($C1482="","",IF($D1482="TANIMSIZ MÜŞTERİ","HATA",IF(OR($E1482="",$F1482&lt;=0,$G1482=""),"EKSİK",IF($E1482&gt;TODAY(),"İLERİ TARİH","UYGUN"))))</f>
        <v/>
      </c>
      <c r="N1482" s="6" t="n"/>
      <c r="O1482" s="6" t="n"/>
    </row>
    <row r="1483">
      <c r="A1483" s="6" t="n"/>
      <c r="B1483" s="112">
        <f>IF($C1483="","","T"&amp;TEXT(ROW()-6,"00000"))</f>
        <v/>
      </c>
      <c r="C1483" s="107" t="n"/>
      <c r="D1483" s="113">
        <f>IF($C1483="","",IFERROR(INDEX(MUSTERILER!$C$7:$C$106,MATCH($C1483,MUSTERILER!$B$7:$B$106,0)),"TANIMSIZ MÜŞTERİ"))</f>
        <v/>
      </c>
      <c r="E1483" s="114" t="n"/>
      <c r="F1483" s="115" t="n"/>
      <c r="G1483" s="107" t="n"/>
      <c r="H1483" s="107" t="n"/>
      <c r="I1483" s="108" t="n"/>
      <c r="J1483" s="108" t="n"/>
      <c r="K1483" s="108" t="n"/>
      <c r="L1483" s="119">
        <f>IF($E1483="","",DATE(YEAR($E1483),MONTH($E1483),1))</f>
        <v/>
      </c>
      <c r="M1483" s="112">
        <f>IF($C1483="","",IF($D1483="TANIMSIZ MÜŞTERİ","HATA",IF(OR($E1483="",$F1483&lt;=0,$G1483=""),"EKSİK",IF($E1483&gt;TODAY(),"İLERİ TARİH","UYGUN"))))</f>
        <v/>
      </c>
      <c r="N1483" s="6" t="n"/>
      <c r="O1483" s="6" t="n"/>
    </row>
    <row r="1484">
      <c r="A1484" s="6" t="n"/>
      <c r="B1484" s="112">
        <f>IF($C1484="","","T"&amp;TEXT(ROW()-6,"00000"))</f>
        <v/>
      </c>
      <c r="C1484" s="107" t="n"/>
      <c r="D1484" s="113">
        <f>IF($C1484="","",IFERROR(INDEX(MUSTERILER!$C$7:$C$106,MATCH($C1484,MUSTERILER!$B$7:$B$106,0)),"TANIMSIZ MÜŞTERİ"))</f>
        <v/>
      </c>
      <c r="E1484" s="114" t="n"/>
      <c r="F1484" s="115" t="n"/>
      <c r="G1484" s="107" t="n"/>
      <c r="H1484" s="107" t="n"/>
      <c r="I1484" s="108" t="n"/>
      <c r="J1484" s="108" t="n"/>
      <c r="K1484" s="108" t="n"/>
      <c r="L1484" s="119">
        <f>IF($E1484="","",DATE(YEAR($E1484),MONTH($E1484),1))</f>
        <v/>
      </c>
      <c r="M1484" s="112">
        <f>IF($C1484="","",IF($D1484="TANIMSIZ MÜŞTERİ","HATA",IF(OR($E1484="",$F1484&lt;=0,$G1484=""),"EKSİK",IF($E1484&gt;TODAY(),"İLERİ TARİH","UYGUN"))))</f>
        <v/>
      </c>
      <c r="N1484" s="6" t="n"/>
      <c r="O1484" s="6" t="n"/>
    </row>
    <row r="1485">
      <c r="A1485" s="6" t="n"/>
      <c r="B1485" s="112">
        <f>IF($C1485="","","T"&amp;TEXT(ROW()-6,"00000"))</f>
        <v/>
      </c>
      <c r="C1485" s="107" t="n"/>
      <c r="D1485" s="113">
        <f>IF($C1485="","",IFERROR(INDEX(MUSTERILER!$C$7:$C$106,MATCH($C1485,MUSTERILER!$B$7:$B$106,0)),"TANIMSIZ MÜŞTERİ"))</f>
        <v/>
      </c>
      <c r="E1485" s="114" t="n"/>
      <c r="F1485" s="115" t="n"/>
      <c r="G1485" s="107" t="n"/>
      <c r="H1485" s="107" t="n"/>
      <c r="I1485" s="108" t="n"/>
      <c r="J1485" s="108" t="n"/>
      <c r="K1485" s="108" t="n"/>
      <c r="L1485" s="119">
        <f>IF($E1485="","",DATE(YEAR($E1485),MONTH($E1485),1))</f>
        <v/>
      </c>
      <c r="M1485" s="112">
        <f>IF($C1485="","",IF($D1485="TANIMSIZ MÜŞTERİ","HATA",IF(OR($E1485="",$F1485&lt;=0,$G1485=""),"EKSİK",IF($E1485&gt;TODAY(),"İLERİ TARİH","UYGUN"))))</f>
        <v/>
      </c>
      <c r="N1485" s="6" t="n"/>
      <c r="O1485" s="6" t="n"/>
    </row>
    <row r="1486">
      <c r="A1486" s="6" t="n"/>
      <c r="B1486" s="112">
        <f>IF($C1486="","","T"&amp;TEXT(ROW()-6,"00000"))</f>
        <v/>
      </c>
      <c r="C1486" s="107" t="n"/>
      <c r="D1486" s="113">
        <f>IF($C1486="","",IFERROR(INDEX(MUSTERILER!$C$7:$C$106,MATCH($C1486,MUSTERILER!$B$7:$B$106,0)),"TANIMSIZ MÜŞTERİ"))</f>
        <v/>
      </c>
      <c r="E1486" s="114" t="n"/>
      <c r="F1486" s="115" t="n"/>
      <c r="G1486" s="107" t="n"/>
      <c r="H1486" s="107" t="n"/>
      <c r="I1486" s="108" t="n"/>
      <c r="J1486" s="108" t="n"/>
      <c r="K1486" s="108" t="n"/>
      <c r="L1486" s="119">
        <f>IF($E1486="","",DATE(YEAR($E1486),MONTH($E1486),1))</f>
        <v/>
      </c>
      <c r="M1486" s="112">
        <f>IF($C1486="","",IF($D1486="TANIMSIZ MÜŞTERİ","HATA",IF(OR($E1486="",$F1486&lt;=0,$G1486=""),"EKSİK",IF($E1486&gt;TODAY(),"İLERİ TARİH","UYGUN"))))</f>
        <v/>
      </c>
      <c r="N1486" s="6" t="n"/>
      <c r="O1486" s="6" t="n"/>
    </row>
    <row r="1487">
      <c r="A1487" s="6" t="n"/>
      <c r="B1487" s="112">
        <f>IF($C1487="","","T"&amp;TEXT(ROW()-6,"00000"))</f>
        <v/>
      </c>
      <c r="C1487" s="107" t="n"/>
      <c r="D1487" s="113">
        <f>IF($C1487="","",IFERROR(INDEX(MUSTERILER!$C$7:$C$106,MATCH($C1487,MUSTERILER!$B$7:$B$106,0)),"TANIMSIZ MÜŞTERİ"))</f>
        <v/>
      </c>
      <c r="E1487" s="114" t="n"/>
      <c r="F1487" s="115" t="n"/>
      <c r="G1487" s="107" t="n"/>
      <c r="H1487" s="107" t="n"/>
      <c r="I1487" s="108" t="n"/>
      <c r="J1487" s="108" t="n"/>
      <c r="K1487" s="108" t="n"/>
      <c r="L1487" s="119">
        <f>IF($E1487="","",DATE(YEAR($E1487),MONTH($E1487),1))</f>
        <v/>
      </c>
      <c r="M1487" s="112">
        <f>IF($C1487="","",IF($D1487="TANIMSIZ MÜŞTERİ","HATA",IF(OR($E1487="",$F1487&lt;=0,$G1487=""),"EKSİK",IF($E1487&gt;TODAY(),"İLERİ TARİH","UYGUN"))))</f>
        <v/>
      </c>
      <c r="N1487" s="6" t="n"/>
      <c r="O1487" s="6" t="n"/>
    </row>
    <row r="1488">
      <c r="A1488" s="6" t="n"/>
      <c r="B1488" s="112">
        <f>IF($C1488="","","T"&amp;TEXT(ROW()-6,"00000"))</f>
        <v/>
      </c>
      <c r="C1488" s="107" t="n"/>
      <c r="D1488" s="113">
        <f>IF($C1488="","",IFERROR(INDEX(MUSTERILER!$C$7:$C$106,MATCH($C1488,MUSTERILER!$B$7:$B$106,0)),"TANIMSIZ MÜŞTERİ"))</f>
        <v/>
      </c>
      <c r="E1488" s="114" t="n"/>
      <c r="F1488" s="115" t="n"/>
      <c r="G1488" s="107" t="n"/>
      <c r="H1488" s="107" t="n"/>
      <c r="I1488" s="108" t="n"/>
      <c r="J1488" s="108" t="n"/>
      <c r="K1488" s="108" t="n"/>
      <c r="L1488" s="119">
        <f>IF($E1488="","",DATE(YEAR($E1488),MONTH($E1488),1))</f>
        <v/>
      </c>
      <c r="M1488" s="112">
        <f>IF($C1488="","",IF($D1488="TANIMSIZ MÜŞTERİ","HATA",IF(OR($E1488="",$F1488&lt;=0,$G1488=""),"EKSİK",IF($E1488&gt;TODAY(),"İLERİ TARİH","UYGUN"))))</f>
        <v/>
      </c>
      <c r="N1488" s="6" t="n"/>
      <c r="O1488" s="6" t="n"/>
    </row>
    <row r="1489">
      <c r="A1489" s="6" t="n"/>
      <c r="B1489" s="112">
        <f>IF($C1489="","","T"&amp;TEXT(ROW()-6,"00000"))</f>
        <v/>
      </c>
      <c r="C1489" s="107" t="n"/>
      <c r="D1489" s="113">
        <f>IF($C1489="","",IFERROR(INDEX(MUSTERILER!$C$7:$C$106,MATCH($C1489,MUSTERILER!$B$7:$B$106,0)),"TANIMSIZ MÜŞTERİ"))</f>
        <v/>
      </c>
      <c r="E1489" s="114" t="n"/>
      <c r="F1489" s="115" t="n"/>
      <c r="G1489" s="107" t="n"/>
      <c r="H1489" s="107" t="n"/>
      <c r="I1489" s="108" t="n"/>
      <c r="J1489" s="108" t="n"/>
      <c r="K1489" s="108" t="n"/>
      <c r="L1489" s="119">
        <f>IF($E1489="","",DATE(YEAR($E1489),MONTH($E1489),1))</f>
        <v/>
      </c>
      <c r="M1489" s="112">
        <f>IF($C1489="","",IF($D1489="TANIMSIZ MÜŞTERİ","HATA",IF(OR($E1489="",$F1489&lt;=0,$G1489=""),"EKSİK",IF($E1489&gt;TODAY(),"İLERİ TARİH","UYGUN"))))</f>
        <v/>
      </c>
      <c r="N1489" s="6" t="n"/>
      <c r="O1489" s="6" t="n"/>
    </row>
    <row r="1490">
      <c r="A1490" s="6" t="n"/>
      <c r="B1490" s="112">
        <f>IF($C1490="","","T"&amp;TEXT(ROW()-6,"00000"))</f>
        <v/>
      </c>
      <c r="C1490" s="107" t="n"/>
      <c r="D1490" s="113">
        <f>IF($C1490="","",IFERROR(INDEX(MUSTERILER!$C$7:$C$106,MATCH($C1490,MUSTERILER!$B$7:$B$106,0)),"TANIMSIZ MÜŞTERİ"))</f>
        <v/>
      </c>
      <c r="E1490" s="114" t="n"/>
      <c r="F1490" s="115" t="n"/>
      <c r="G1490" s="107" t="n"/>
      <c r="H1490" s="107" t="n"/>
      <c r="I1490" s="108" t="n"/>
      <c r="J1490" s="108" t="n"/>
      <c r="K1490" s="108" t="n"/>
      <c r="L1490" s="119">
        <f>IF($E1490="","",DATE(YEAR($E1490),MONTH($E1490),1))</f>
        <v/>
      </c>
      <c r="M1490" s="112">
        <f>IF($C1490="","",IF($D1490="TANIMSIZ MÜŞTERİ","HATA",IF(OR($E1490="",$F1490&lt;=0,$G1490=""),"EKSİK",IF($E1490&gt;TODAY(),"İLERİ TARİH","UYGUN"))))</f>
        <v/>
      </c>
      <c r="N1490" s="6" t="n"/>
      <c r="O1490" s="6" t="n"/>
    </row>
    <row r="1491">
      <c r="A1491" s="6" t="n"/>
      <c r="B1491" s="112">
        <f>IF($C1491="","","T"&amp;TEXT(ROW()-6,"00000"))</f>
        <v/>
      </c>
      <c r="C1491" s="107" t="n"/>
      <c r="D1491" s="113">
        <f>IF($C1491="","",IFERROR(INDEX(MUSTERILER!$C$7:$C$106,MATCH($C1491,MUSTERILER!$B$7:$B$106,0)),"TANIMSIZ MÜŞTERİ"))</f>
        <v/>
      </c>
      <c r="E1491" s="114" t="n"/>
      <c r="F1491" s="115" t="n"/>
      <c r="G1491" s="107" t="n"/>
      <c r="H1491" s="107" t="n"/>
      <c r="I1491" s="108" t="n"/>
      <c r="J1491" s="108" t="n"/>
      <c r="K1491" s="108" t="n"/>
      <c r="L1491" s="119">
        <f>IF($E1491="","",DATE(YEAR($E1491),MONTH($E1491),1))</f>
        <v/>
      </c>
      <c r="M1491" s="112">
        <f>IF($C1491="","",IF($D1491="TANIMSIZ MÜŞTERİ","HATA",IF(OR($E1491="",$F1491&lt;=0,$G1491=""),"EKSİK",IF($E1491&gt;TODAY(),"İLERİ TARİH","UYGUN"))))</f>
        <v/>
      </c>
      <c r="N1491" s="6" t="n"/>
      <c r="O1491" s="6" t="n"/>
    </row>
    <row r="1492">
      <c r="A1492" s="6" t="n"/>
      <c r="B1492" s="112">
        <f>IF($C1492="","","T"&amp;TEXT(ROW()-6,"00000"))</f>
        <v/>
      </c>
      <c r="C1492" s="107" t="n"/>
      <c r="D1492" s="113">
        <f>IF($C1492="","",IFERROR(INDEX(MUSTERILER!$C$7:$C$106,MATCH($C1492,MUSTERILER!$B$7:$B$106,0)),"TANIMSIZ MÜŞTERİ"))</f>
        <v/>
      </c>
      <c r="E1492" s="114" t="n"/>
      <c r="F1492" s="115" t="n"/>
      <c r="G1492" s="107" t="n"/>
      <c r="H1492" s="107" t="n"/>
      <c r="I1492" s="108" t="n"/>
      <c r="J1492" s="108" t="n"/>
      <c r="K1492" s="108" t="n"/>
      <c r="L1492" s="119">
        <f>IF($E1492="","",DATE(YEAR($E1492),MONTH($E1492),1))</f>
        <v/>
      </c>
      <c r="M1492" s="112">
        <f>IF($C1492="","",IF($D1492="TANIMSIZ MÜŞTERİ","HATA",IF(OR($E1492="",$F1492&lt;=0,$G1492=""),"EKSİK",IF($E1492&gt;TODAY(),"İLERİ TARİH","UYGUN"))))</f>
        <v/>
      </c>
      <c r="N1492" s="6" t="n"/>
      <c r="O1492" s="6" t="n"/>
    </row>
    <row r="1493">
      <c r="A1493" s="6" t="n"/>
      <c r="B1493" s="112">
        <f>IF($C1493="","","T"&amp;TEXT(ROW()-6,"00000"))</f>
        <v/>
      </c>
      <c r="C1493" s="107" t="n"/>
      <c r="D1493" s="113">
        <f>IF($C1493="","",IFERROR(INDEX(MUSTERILER!$C$7:$C$106,MATCH($C1493,MUSTERILER!$B$7:$B$106,0)),"TANIMSIZ MÜŞTERİ"))</f>
        <v/>
      </c>
      <c r="E1493" s="114" t="n"/>
      <c r="F1493" s="115" t="n"/>
      <c r="G1493" s="107" t="n"/>
      <c r="H1493" s="107" t="n"/>
      <c r="I1493" s="108" t="n"/>
      <c r="J1493" s="108" t="n"/>
      <c r="K1493" s="108" t="n"/>
      <c r="L1493" s="119">
        <f>IF($E1493="","",DATE(YEAR($E1493),MONTH($E1493),1))</f>
        <v/>
      </c>
      <c r="M1493" s="112">
        <f>IF($C1493="","",IF($D1493="TANIMSIZ MÜŞTERİ","HATA",IF(OR($E1493="",$F1493&lt;=0,$G1493=""),"EKSİK",IF($E1493&gt;TODAY(),"İLERİ TARİH","UYGUN"))))</f>
        <v/>
      </c>
      <c r="N1493" s="6" t="n"/>
      <c r="O1493" s="6" t="n"/>
    </row>
    <row r="1494">
      <c r="A1494" s="6" t="n"/>
      <c r="B1494" s="112">
        <f>IF($C1494="","","T"&amp;TEXT(ROW()-6,"00000"))</f>
        <v/>
      </c>
      <c r="C1494" s="107" t="n"/>
      <c r="D1494" s="113">
        <f>IF($C1494="","",IFERROR(INDEX(MUSTERILER!$C$7:$C$106,MATCH($C1494,MUSTERILER!$B$7:$B$106,0)),"TANIMSIZ MÜŞTERİ"))</f>
        <v/>
      </c>
      <c r="E1494" s="114" t="n"/>
      <c r="F1494" s="115" t="n"/>
      <c r="G1494" s="107" t="n"/>
      <c r="H1494" s="107" t="n"/>
      <c r="I1494" s="108" t="n"/>
      <c r="J1494" s="108" t="n"/>
      <c r="K1494" s="108" t="n"/>
      <c r="L1494" s="119">
        <f>IF($E1494="","",DATE(YEAR($E1494),MONTH($E1494),1))</f>
        <v/>
      </c>
      <c r="M1494" s="112">
        <f>IF($C1494="","",IF($D1494="TANIMSIZ MÜŞTERİ","HATA",IF(OR($E1494="",$F1494&lt;=0,$G1494=""),"EKSİK",IF($E1494&gt;TODAY(),"İLERİ TARİH","UYGUN"))))</f>
        <v/>
      </c>
      <c r="N1494" s="6" t="n"/>
      <c r="O1494" s="6" t="n"/>
    </row>
    <row r="1495">
      <c r="A1495" s="6" t="n"/>
      <c r="B1495" s="112">
        <f>IF($C1495="","","T"&amp;TEXT(ROW()-6,"00000"))</f>
        <v/>
      </c>
      <c r="C1495" s="107" t="n"/>
      <c r="D1495" s="113">
        <f>IF($C1495="","",IFERROR(INDEX(MUSTERILER!$C$7:$C$106,MATCH($C1495,MUSTERILER!$B$7:$B$106,0)),"TANIMSIZ MÜŞTERİ"))</f>
        <v/>
      </c>
      <c r="E1495" s="114" t="n"/>
      <c r="F1495" s="115" t="n"/>
      <c r="G1495" s="107" t="n"/>
      <c r="H1495" s="107" t="n"/>
      <c r="I1495" s="108" t="n"/>
      <c r="J1495" s="108" t="n"/>
      <c r="K1495" s="108" t="n"/>
      <c r="L1495" s="119">
        <f>IF($E1495="","",DATE(YEAR($E1495),MONTH($E1495),1))</f>
        <v/>
      </c>
      <c r="M1495" s="112">
        <f>IF($C1495="","",IF($D1495="TANIMSIZ MÜŞTERİ","HATA",IF(OR($E1495="",$F1495&lt;=0,$G1495=""),"EKSİK",IF($E1495&gt;TODAY(),"İLERİ TARİH","UYGUN"))))</f>
        <v/>
      </c>
      <c r="N1495" s="6" t="n"/>
      <c r="O1495" s="6" t="n"/>
    </row>
    <row r="1496">
      <c r="A1496" s="6" t="n"/>
      <c r="B1496" s="112">
        <f>IF($C1496="","","T"&amp;TEXT(ROW()-6,"00000"))</f>
        <v/>
      </c>
      <c r="C1496" s="107" t="n"/>
      <c r="D1496" s="113">
        <f>IF($C1496="","",IFERROR(INDEX(MUSTERILER!$C$7:$C$106,MATCH($C1496,MUSTERILER!$B$7:$B$106,0)),"TANIMSIZ MÜŞTERİ"))</f>
        <v/>
      </c>
      <c r="E1496" s="114" t="n"/>
      <c r="F1496" s="115" t="n"/>
      <c r="G1496" s="107" t="n"/>
      <c r="H1496" s="107" t="n"/>
      <c r="I1496" s="108" t="n"/>
      <c r="J1496" s="108" t="n"/>
      <c r="K1496" s="108" t="n"/>
      <c r="L1496" s="119">
        <f>IF($E1496="","",DATE(YEAR($E1496),MONTH($E1496),1))</f>
        <v/>
      </c>
      <c r="M1496" s="112">
        <f>IF($C1496="","",IF($D1496="TANIMSIZ MÜŞTERİ","HATA",IF(OR($E1496="",$F1496&lt;=0,$G1496=""),"EKSİK",IF($E1496&gt;TODAY(),"İLERİ TARİH","UYGUN"))))</f>
        <v/>
      </c>
      <c r="N1496" s="6" t="n"/>
      <c r="O1496" s="6" t="n"/>
    </row>
    <row r="1497">
      <c r="A1497" s="6" t="n"/>
      <c r="B1497" s="112">
        <f>IF($C1497="","","T"&amp;TEXT(ROW()-6,"00000"))</f>
        <v/>
      </c>
      <c r="C1497" s="107" t="n"/>
      <c r="D1497" s="113">
        <f>IF($C1497="","",IFERROR(INDEX(MUSTERILER!$C$7:$C$106,MATCH($C1497,MUSTERILER!$B$7:$B$106,0)),"TANIMSIZ MÜŞTERİ"))</f>
        <v/>
      </c>
      <c r="E1497" s="114" t="n"/>
      <c r="F1497" s="115" t="n"/>
      <c r="G1497" s="107" t="n"/>
      <c r="H1497" s="107" t="n"/>
      <c r="I1497" s="108" t="n"/>
      <c r="J1497" s="108" t="n"/>
      <c r="K1497" s="108" t="n"/>
      <c r="L1497" s="119">
        <f>IF($E1497="","",DATE(YEAR($E1497),MONTH($E1497),1))</f>
        <v/>
      </c>
      <c r="M1497" s="112">
        <f>IF($C1497="","",IF($D1497="TANIMSIZ MÜŞTERİ","HATA",IF(OR($E1497="",$F1497&lt;=0,$G1497=""),"EKSİK",IF($E1497&gt;TODAY(),"İLERİ TARİH","UYGUN"))))</f>
        <v/>
      </c>
      <c r="N1497" s="6" t="n"/>
      <c r="O1497" s="6" t="n"/>
    </row>
    <row r="1498">
      <c r="A1498" s="6" t="n"/>
      <c r="B1498" s="112">
        <f>IF($C1498="","","T"&amp;TEXT(ROW()-6,"00000"))</f>
        <v/>
      </c>
      <c r="C1498" s="107" t="n"/>
      <c r="D1498" s="113">
        <f>IF($C1498="","",IFERROR(INDEX(MUSTERILER!$C$7:$C$106,MATCH($C1498,MUSTERILER!$B$7:$B$106,0)),"TANIMSIZ MÜŞTERİ"))</f>
        <v/>
      </c>
      <c r="E1498" s="114" t="n"/>
      <c r="F1498" s="115" t="n"/>
      <c r="G1498" s="107" t="n"/>
      <c r="H1498" s="107" t="n"/>
      <c r="I1498" s="108" t="n"/>
      <c r="J1498" s="108" t="n"/>
      <c r="K1498" s="108" t="n"/>
      <c r="L1498" s="119">
        <f>IF($E1498="","",DATE(YEAR($E1498),MONTH($E1498),1))</f>
        <v/>
      </c>
      <c r="M1498" s="112">
        <f>IF($C1498="","",IF($D1498="TANIMSIZ MÜŞTERİ","HATA",IF(OR($E1498="",$F1498&lt;=0,$G1498=""),"EKSİK",IF($E1498&gt;TODAY(),"İLERİ TARİH","UYGUN"))))</f>
        <v/>
      </c>
      <c r="N1498" s="6" t="n"/>
      <c r="O1498" s="6" t="n"/>
    </row>
    <row r="1499">
      <c r="A1499" s="6" t="n"/>
      <c r="B1499" s="112">
        <f>IF($C1499="","","T"&amp;TEXT(ROW()-6,"00000"))</f>
        <v/>
      </c>
      <c r="C1499" s="107" t="n"/>
      <c r="D1499" s="113">
        <f>IF($C1499="","",IFERROR(INDEX(MUSTERILER!$C$7:$C$106,MATCH($C1499,MUSTERILER!$B$7:$B$106,0)),"TANIMSIZ MÜŞTERİ"))</f>
        <v/>
      </c>
      <c r="E1499" s="114" t="n"/>
      <c r="F1499" s="115" t="n"/>
      <c r="G1499" s="107" t="n"/>
      <c r="H1499" s="107" t="n"/>
      <c r="I1499" s="108" t="n"/>
      <c r="J1499" s="108" t="n"/>
      <c r="K1499" s="108" t="n"/>
      <c r="L1499" s="119">
        <f>IF($E1499="","",DATE(YEAR($E1499),MONTH($E1499),1))</f>
        <v/>
      </c>
      <c r="M1499" s="112">
        <f>IF($C1499="","",IF($D1499="TANIMSIZ MÜŞTERİ","HATA",IF(OR($E1499="",$F1499&lt;=0,$G1499=""),"EKSİK",IF($E1499&gt;TODAY(),"İLERİ TARİH","UYGUN"))))</f>
        <v/>
      </c>
      <c r="N1499" s="6" t="n"/>
      <c r="O1499" s="6" t="n"/>
    </row>
    <row r="1500">
      <c r="A1500" s="6" t="n"/>
      <c r="B1500" s="112">
        <f>IF($C1500="","","T"&amp;TEXT(ROW()-6,"00000"))</f>
        <v/>
      </c>
      <c r="C1500" s="107" t="n"/>
      <c r="D1500" s="113">
        <f>IF($C1500="","",IFERROR(INDEX(MUSTERILER!$C$7:$C$106,MATCH($C1500,MUSTERILER!$B$7:$B$106,0)),"TANIMSIZ MÜŞTERİ"))</f>
        <v/>
      </c>
      <c r="E1500" s="114" t="n"/>
      <c r="F1500" s="115" t="n"/>
      <c r="G1500" s="107" t="n"/>
      <c r="H1500" s="107" t="n"/>
      <c r="I1500" s="108" t="n"/>
      <c r="J1500" s="108" t="n"/>
      <c r="K1500" s="108" t="n"/>
      <c r="L1500" s="119">
        <f>IF($E1500="","",DATE(YEAR($E1500),MONTH($E1500),1))</f>
        <v/>
      </c>
      <c r="M1500" s="112">
        <f>IF($C1500="","",IF($D1500="TANIMSIZ MÜŞTERİ","HATA",IF(OR($E1500="",$F1500&lt;=0,$G1500=""),"EKSİK",IF($E1500&gt;TODAY(),"İLERİ TARİH","UYGUN"))))</f>
        <v/>
      </c>
      <c r="N1500" s="6" t="n"/>
      <c r="O1500" s="6" t="n"/>
    </row>
    <row r="1501">
      <c r="A1501" s="6" t="n"/>
      <c r="B1501" s="112">
        <f>IF($C1501="","","T"&amp;TEXT(ROW()-6,"00000"))</f>
        <v/>
      </c>
      <c r="C1501" s="107" t="n"/>
      <c r="D1501" s="113">
        <f>IF($C1501="","",IFERROR(INDEX(MUSTERILER!$C$7:$C$106,MATCH($C1501,MUSTERILER!$B$7:$B$106,0)),"TANIMSIZ MÜŞTERİ"))</f>
        <v/>
      </c>
      <c r="E1501" s="114" t="n"/>
      <c r="F1501" s="115" t="n"/>
      <c r="G1501" s="107" t="n"/>
      <c r="H1501" s="107" t="n"/>
      <c r="I1501" s="108" t="n"/>
      <c r="J1501" s="108" t="n"/>
      <c r="K1501" s="108" t="n"/>
      <c r="L1501" s="119">
        <f>IF($E1501="","",DATE(YEAR($E1501),MONTH($E1501),1))</f>
        <v/>
      </c>
      <c r="M1501" s="112">
        <f>IF($C1501="","",IF($D1501="TANIMSIZ MÜŞTERİ","HATA",IF(OR($E1501="",$F1501&lt;=0,$G1501=""),"EKSİK",IF($E1501&gt;TODAY(),"İLERİ TARİH","UYGUN"))))</f>
        <v/>
      </c>
      <c r="N1501" s="6" t="n"/>
      <c r="O1501" s="6" t="n"/>
    </row>
    <row r="1502">
      <c r="A1502" s="6" t="n"/>
      <c r="B1502" s="112">
        <f>IF($C1502="","","T"&amp;TEXT(ROW()-6,"00000"))</f>
        <v/>
      </c>
      <c r="C1502" s="107" t="n"/>
      <c r="D1502" s="113">
        <f>IF($C1502="","",IFERROR(INDEX(MUSTERILER!$C$7:$C$106,MATCH($C1502,MUSTERILER!$B$7:$B$106,0)),"TANIMSIZ MÜŞTERİ"))</f>
        <v/>
      </c>
      <c r="E1502" s="114" t="n"/>
      <c r="F1502" s="115" t="n"/>
      <c r="G1502" s="107" t="n"/>
      <c r="H1502" s="107" t="n"/>
      <c r="I1502" s="108" t="n"/>
      <c r="J1502" s="108" t="n"/>
      <c r="K1502" s="108" t="n"/>
      <c r="L1502" s="119">
        <f>IF($E1502="","",DATE(YEAR($E1502),MONTH($E1502),1))</f>
        <v/>
      </c>
      <c r="M1502" s="112">
        <f>IF($C1502="","",IF($D1502="TANIMSIZ MÜŞTERİ","HATA",IF(OR($E1502="",$F1502&lt;=0,$G1502=""),"EKSİK",IF($E1502&gt;TODAY(),"İLERİ TARİH","UYGUN"))))</f>
        <v/>
      </c>
      <c r="N1502" s="6" t="n"/>
      <c r="O1502" s="6" t="n"/>
    </row>
    <row r="1503">
      <c r="A1503" s="6" t="n"/>
      <c r="B1503" s="112">
        <f>IF($C1503="","","T"&amp;TEXT(ROW()-6,"00000"))</f>
        <v/>
      </c>
      <c r="C1503" s="107" t="n"/>
      <c r="D1503" s="113">
        <f>IF($C1503="","",IFERROR(INDEX(MUSTERILER!$C$7:$C$106,MATCH($C1503,MUSTERILER!$B$7:$B$106,0)),"TANIMSIZ MÜŞTERİ"))</f>
        <v/>
      </c>
      <c r="E1503" s="114" t="n"/>
      <c r="F1503" s="115" t="n"/>
      <c r="G1503" s="107" t="n"/>
      <c r="H1503" s="107" t="n"/>
      <c r="I1503" s="108" t="n"/>
      <c r="J1503" s="108" t="n"/>
      <c r="K1503" s="108" t="n"/>
      <c r="L1503" s="119">
        <f>IF($E1503="","",DATE(YEAR($E1503),MONTH($E1503),1))</f>
        <v/>
      </c>
      <c r="M1503" s="112">
        <f>IF($C1503="","",IF($D1503="TANIMSIZ MÜŞTERİ","HATA",IF(OR($E1503="",$F1503&lt;=0,$G1503=""),"EKSİK",IF($E1503&gt;TODAY(),"İLERİ TARİH","UYGUN"))))</f>
        <v/>
      </c>
      <c r="N1503" s="6" t="n"/>
      <c r="O1503" s="6" t="n"/>
    </row>
    <row r="1504">
      <c r="A1504" s="6" t="n"/>
      <c r="B1504" s="112">
        <f>IF($C1504="","","T"&amp;TEXT(ROW()-6,"00000"))</f>
        <v/>
      </c>
      <c r="C1504" s="107" t="n"/>
      <c r="D1504" s="113">
        <f>IF($C1504="","",IFERROR(INDEX(MUSTERILER!$C$7:$C$106,MATCH($C1504,MUSTERILER!$B$7:$B$106,0)),"TANIMSIZ MÜŞTERİ"))</f>
        <v/>
      </c>
      <c r="E1504" s="114" t="n"/>
      <c r="F1504" s="115" t="n"/>
      <c r="G1504" s="107" t="n"/>
      <c r="H1504" s="107" t="n"/>
      <c r="I1504" s="108" t="n"/>
      <c r="J1504" s="108" t="n"/>
      <c r="K1504" s="108" t="n"/>
      <c r="L1504" s="119">
        <f>IF($E1504="","",DATE(YEAR($E1504),MONTH($E1504),1))</f>
        <v/>
      </c>
      <c r="M1504" s="112">
        <f>IF($C1504="","",IF($D1504="TANIMSIZ MÜŞTERİ","HATA",IF(OR($E1504="",$F1504&lt;=0,$G1504=""),"EKSİK",IF($E1504&gt;TODAY(),"İLERİ TARİH","UYGUN"))))</f>
        <v/>
      </c>
      <c r="N1504" s="6" t="n"/>
      <c r="O1504" s="6" t="n"/>
    </row>
    <row r="1505">
      <c r="A1505" s="6" t="n"/>
      <c r="B1505" s="112">
        <f>IF($C1505="","","T"&amp;TEXT(ROW()-6,"00000"))</f>
        <v/>
      </c>
      <c r="C1505" s="107" t="n"/>
      <c r="D1505" s="113">
        <f>IF($C1505="","",IFERROR(INDEX(MUSTERILER!$C$7:$C$106,MATCH($C1505,MUSTERILER!$B$7:$B$106,0)),"TANIMSIZ MÜŞTERİ"))</f>
        <v/>
      </c>
      <c r="E1505" s="114" t="n"/>
      <c r="F1505" s="115" t="n"/>
      <c r="G1505" s="107" t="n"/>
      <c r="H1505" s="107" t="n"/>
      <c r="I1505" s="108" t="n"/>
      <c r="J1505" s="108" t="n"/>
      <c r="K1505" s="108" t="n"/>
      <c r="L1505" s="119">
        <f>IF($E1505="","",DATE(YEAR($E1505),MONTH($E1505),1))</f>
        <v/>
      </c>
      <c r="M1505" s="112">
        <f>IF($C1505="","",IF($D1505="TANIMSIZ MÜŞTERİ","HATA",IF(OR($E1505="",$F1505&lt;=0,$G1505=""),"EKSİK",IF($E1505&gt;TODAY(),"İLERİ TARİH","UYGUN"))))</f>
        <v/>
      </c>
      <c r="N1505" s="6" t="n"/>
      <c r="O1505" s="6" t="n"/>
    </row>
    <row r="1506">
      <c r="A1506" s="6" t="n"/>
      <c r="B1506" s="112">
        <f>IF($C1506="","","T"&amp;TEXT(ROW()-6,"00000"))</f>
        <v/>
      </c>
      <c r="C1506" s="107" t="n"/>
      <c r="D1506" s="113">
        <f>IF($C1506="","",IFERROR(INDEX(MUSTERILER!$C$7:$C$106,MATCH($C1506,MUSTERILER!$B$7:$B$106,0)),"TANIMSIZ MÜŞTERİ"))</f>
        <v/>
      </c>
      <c r="E1506" s="114" t="n"/>
      <c r="F1506" s="115" t="n"/>
      <c r="G1506" s="107" t="n"/>
      <c r="H1506" s="107" t="n"/>
      <c r="I1506" s="108" t="n"/>
      <c r="J1506" s="108" t="n"/>
      <c r="K1506" s="108" t="n"/>
      <c r="L1506" s="119">
        <f>IF($E1506="","",DATE(YEAR($E1506),MONTH($E1506),1))</f>
        <v/>
      </c>
      <c r="M1506" s="112">
        <f>IF($C1506="","",IF($D1506="TANIMSIZ MÜŞTERİ","HATA",IF(OR($E1506="",$F1506&lt;=0,$G1506=""),"EKSİK",IF($E1506&gt;TODAY(),"İLERİ TARİH","UYGUN"))))</f>
        <v/>
      </c>
      <c r="N1506" s="6" t="n"/>
      <c r="O1506" s="6" t="n"/>
    </row>
    <row r="1507">
      <c r="A1507" s="6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6" t="n"/>
      <c r="O1507" s="6" t="n"/>
    </row>
    <row r="1508">
      <c r="A1508" s="6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3" t="n"/>
      <c r="M1508" s="3" t="n"/>
      <c r="N1508" s="6" t="n"/>
      <c r="O15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M1506"/>
  <mergeCells count="2">
    <mergeCell ref="A2:N2"/>
    <mergeCell ref="A1:N1"/>
  </mergeCells>
  <conditionalFormatting sqref="M7:M1506">
    <cfRule type="expression" priority="1" dxfId="3" stopIfTrue="1">
      <formula>EXACT($M7,"UYGUN")</formula>
    </cfRule>
    <cfRule type="expression" priority="2" dxfId="4" stopIfTrue="1">
      <formula>EXACT($M7,"EKSİK")</formula>
    </cfRule>
    <cfRule type="expression" priority="3" dxfId="5" stopIfTrue="1">
      <formula>EXACT($M7,"HATA")</formula>
    </cfRule>
    <cfRule type="expression" priority="4" dxfId="5" stopIfTrue="1">
      <formula>EXACT($M7,"İLERİ TARİH")</formula>
    </cfRule>
    <cfRule type="expression" priority="5" dxfId="6" stopIfTrue="1">
      <formula>EXACT($M7,"PASİF")</formula>
    </cfRule>
  </conditionalFormatting>
  <dataValidations count="2">
    <dataValidation sqref="G7:G1506" showDropDown="0" showInputMessage="0" showErrorMessage="1" allowBlank="1" errorTitle="Tanımsız hesap" error="HESAPLAR ekranındaki bir hesabı seçin." type="list">
      <formula1>LST_HESAP</formula1>
    </dataValidation>
    <dataValidation sqref="H7:H1506" showDropDown="0" showInputMessage="0" showErrorMessage="1" allowBlank="1" errorTitle="Geçersiz ödeme türü" error="Listeden seçin." type="list">
      <formula1>"Nakit,Havale/EFT,Kredi Kartı,Çek,Mahsup"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O1208"/>
  <sheetViews>
    <sheetView showGridLines="0" tabSelected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12" customWidth="1" min="4" max="4"/>
    <col width="24" customWidth="1" min="5" max="5"/>
    <col width="34" customWidth="1" min="6" max="6"/>
    <col width="16" customWidth="1" min="7" max="7"/>
    <col width="18" customWidth="1" min="8" max="8"/>
    <col width="13" customWidth="1" min="9" max="9"/>
    <col width="14" customWidth="1" min="10" max="10"/>
    <col width="16" customWidth="1" min="11" max="11"/>
    <col width="14" customWidth="1" min="12" max="12"/>
    <col width="15" customWidth="1" min="13" max="13"/>
    <col width="2.4" customWidth="1" min="14" max="14"/>
    <col width="2.4" customWidth="1" min="15" max="15"/>
  </cols>
  <sheetData>
    <row r="1" ht="38" customHeight="1">
      <c r="A1" s="1" t="inlineStr">
        <is>
          <t>NECATİBEY OFİS YÖNETİM SİSTEMİ   │   OFİS GELİR VE GİDERLERİ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45" t="n"/>
    </row>
    <row r="2" ht="22" customHeight="1">
      <c r="A2" s="4" t="inlineStr">
        <is>
          <t>Müşteri tahsilatı dışındaki tüm nakit hareketleri │ Hesaplar arası transfer buraya gİRMEZ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20" customHeight="1">
      <c r="A4" s="6" t="n"/>
      <c r="B4" s="47">
        <f>HYPERLINK("#PANO!A1","←  PANO")</f>
        <v/>
      </c>
      <c r="C4" s="6" t="n"/>
      <c r="D4" s="98">
        <f>HYPERLINK("#VIRMAN!A1","Virman")</f>
        <v/>
      </c>
      <c r="E4" s="6" t="n"/>
      <c r="F4" s="98">
        <f>HYPERLINK("#AY_SONU!A1","Ay Sonu")</f>
        <v/>
      </c>
      <c r="G4" s="6" t="n"/>
      <c r="H4" s="99" t="inlineStr">
        <is>
          <t>Sarı hücreler veri girişidir. Beyaz hücreler sistem tarafından hesaplanır ve kilitlidir. Ödemenin gerçekleştiğini işaretlemezseniz nakit kâra yansımaz.</t>
        </is>
      </c>
      <c r="I4" s="6" t="n"/>
      <c r="J4" s="6" t="n"/>
      <c r="K4" s="6" t="n"/>
      <c r="L4" s="6" t="n"/>
      <c r="M4" s="6" t="n"/>
      <c r="N4" s="6" t="n"/>
      <c r="O4" s="6" t="n"/>
    </row>
    <row r="5" ht="26" customHeight="1">
      <c r="A5" s="6" t="n"/>
      <c r="B5" s="100" t="n"/>
      <c r="C5" s="101" t="inlineStr">
        <is>
          <t>TOPLAM  │  Gerçekleşmiş gelir ve gider</t>
        </is>
      </c>
      <c r="D5" s="100" t="n"/>
      <c r="E5" s="100" t="n"/>
      <c r="F5" s="100" t="n"/>
      <c r="G5" s="103">
        <f>SUMIFS($G$7:$G$1206,$D$7:$D$1206,"Gelir",$I$7:$I$1206,"Evet")-SUMIFS($G$7:$G$1206,$D$7:$D$1206,"Gider",$I$7:$I$1206,"Evet")</f>
        <v/>
      </c>
      <c r="H5" s="100" t="n"/>
      <c r="I5" s="100" t="n"/>
      <c r="J5" s="100" t="n"/>
      <c r="K5" s="100" t="n"/>
      <c r="L5" s="100" t="n"/>
      <c r="M5" s="100" t="n"/>
      <c r="N5" s="6" t="n"/>
      <c r="O5" s="6" t="n"/>
    </row>
    <row r="6" ht="40" customHeight="1">
      <c r="A6" s="6" t="n"/>
      <c r="B6" s="104" t="inlineStr">
        <is>
          <t>Kayıt No</t>
        </is>
      </c>
      <c r="C6" s="104" t="inlineStr">
        <is>
          <t>Tarih</t>
        </is>
      </c>
      <c r="D6" s="104" t="inlineStr">
        <is>
          <t>Tür</t>
        </is>
      </c>
      <c r="E6" s="105" t="inlineStr">
        <is>
          <t>Kategori</t>
        </is>
      </c>
      <c r="F6" s="105" t="inlineStr">
        <is>
          <t>Açıklama</t>
        </is>
      </c>
      <c r="G6" s="106" t="inlineStr">
        <is>
          <t>Tutar</t>
        </is>
      </c>
      <c r="H6" s="104" t="inlineStr">
        <is>
          <t>Kasa / Banka</t>
        </is>
      </c>
      <c r="I6" s="104" t="inlineStr">
        <is>
          <t>Gerçekleşti</t>
        </is>
      </c>
      <c r="J6" s="105" t="inlineStr">
        <is>
          <t>Belge No</t>
        </is>
      </c>
      <c r="K6" s="105" t="inlineStr">
        <is>
          <t>Sorumlu</t>
        </is>
      </c>
      <c r="L6" s="104" t="inlineStr">
        <is>
          <t>Ay</t>
        </is>
      </c>
      <c r="M6" s="104" t="inlineStr">
        <is>
          <t>Kayıt Kontrolü</t>
        </is>
      </c>
      <c r="N6" s="6" t="n"/>
      <c r="O6" s="6" t="n"/>
    </row>
    <row r="7">
      <c r="A7" s="6" t="n"/>
      <c r="B7" s="112">
        <f>IF($C7="","","GG"&amp;TEXT(ROW()-6,"00000"))</f>
        <v/>
      </c>
      <c r="C7" s="114" t="n"/>
      <c r="D7" s="107" t="n"/>
      <c r="E7" s="108" t="n"/>
      <c r="F7" s="108" t="n"/>
      <c r="G7" s="115" t="n"/>
      <c r="H7" s="107" t="n"/>
      <c r="I7" s="107" t="n"/>
      <c r="J7" s="108" t="n"/>
      <c r="K7" s="108" t="n"/>
      <c r="L7" s="119">
        <f>IF($C7="","",DATE(YEAR($C7),MONTH($C7),1))</f>
        <v/>
      </c>
      <c r="M7" s="112">
        <f>IF($C7="","",IF(AND($D7&lt;&gt;"",$E7&lt;&gt;"",$G7&gt;0,$H7&lt;&gt;"",$I7&lt;&gt;""),IF($C7&gt;TODAY(),"İLERİ TARİH","UYGUN"),"EKSİK"))</f>
        <v/>
      </c>
      <c r="N7" s="6" t="n"/>
      <c r="O7" s="6" t="n"/>
    </row>
    <row r="8">
      <c r="A8" s="6" t="n"/>
      <c r="B8" s="112">
        <f>IF($C8="","","GG"&amp;TEXT(ROW()-6,"00000"))</f>
        <v/>
      </c>
      <c r="C8" s="114" t="n"/>
      <c r="D8" s="107" t="n"/>
      <c r="E8" s="108" t="n"/>
      <c r="F8" s="108" t="n"/>
      <c r="G8" s="115" t="n"/>
      <c r="H8" s="107" t="n"/>
      <c r="I8" s="107" t="n"/>
      <c r="J8" s="108" t="n"/>
      <c r="K8" s="108" t="n"/>
      <c r="L8" s="119">
        <f>IF($C8="","",DATE(YEAR($C8),MONTH($C8),1))</f>
        <v/>
      </c>
      <c r="M8" s="112">
        <f>IF($C8="","",IF(AND($D8&lt;&gt;"",$E8&lt;&gt;"",$G8&gt;0,$H8&lt;&gt;"",$I8&lt;&gt;""),IF($C8&gt;TODAY(),"İLERİ TARİH","UYGUN"),"EKSİK"))</f>
        <v/>
      </c>
      <c r="N8" s="6" t="n"/>
      <c r="O8" s="6" t="n"/>
    </row>
    <row r="9">
      <c r="A9" s="6" t="n"/>
      <c r="B9" s="112">
        <f>IF($C9="","","GG"&amp;TEXT(ROW()-6,"00000"))</f>
        <v/>
      </c>
      <c r="C9" s="114" t="n"/>
      <c r="D9" s="107" t="n"/>
      <c r="E9" s="108" t="n"/>
      <c r="F9" s="108" t="n"/>
      <c r="G9" s="115" t="n"/>
      <c r="H9" s="107" t="n"/>
      <c r="I9" s="107" t="n"/>
      <c r="J9" s="108" t="n"/>
      <c r="K9" s="108" t="n"/>
      <c r="L9" s="119">
        <f>IF($C9="","",DATE(YEAR($C9),MONTH($C9),1))</f>
        <v/>
      </c>
      <c r="M9" s="112">
        <f>IF($C9="","",IF(AND($D9&lt;&gt;"",$E9&lt;&gt;"",$G9&gt;0,$H9&lt;&gt;"",$I9&lt;&gt;""),IF($C9&gt;TODAY(),"İLERİ TARİH","UYGUN"),"EKSİK"))</f>
        <v/>
      </c>
      <c r="N9" s="6" t="n"/>
      <c r="O9" s="6" t="n"/>
    </row>
    <row r="10">
      <c r="A10" s="6" t="n"/>
      <c r="B10" s="112">
        <f>IF($C10="","","GG"&amp;TEXT(ROW()-6,"00000"))</f>
        <v/>
      </c>
      <c r="C10" s="114" t="n"/>
      <c r="D10" s="107" t="n"/>
      <c r="E10" s="108" t="n"/>
      <c r="F10" s="108" t="n"/>
      <c r="G10" s="115" t="n"/>
      <c r="H10" s="107" t="n"/>
      <c r="I10" s="107" t="n"/>
      <c r="J10" s="108" t="n"/>
      <c r="K10" s="108" t="n"/>
      <c r="L10" s="119">
        <f>IF($C10="","",DATE(YEAR($C10),MONTH($C10),1))</f>
        <v/>
      </c>
      <c r="M10" s="112">
        <f>IF($C10="","",IF(AND($D10&lt;&gt;"",$E10&lt;&gt;"",$G10&gt;0,$H10&lt;&gt;"",$I10&lt;&gt;""),IF($C10&gt;TODAY(),"İLERİ TARİH","UYGUN"),"EKSİK"))</f>
        <v/>
      </c>
      <c r="N10" s="6" t="n"/>
      <c r="O10" s="6" t="n"/>
    </row>
    <row r="11">
      <c r="A11" s="6" t="n"/>
      <c r="B11" s="112">
        <f>IF($C11="","","GG"&amp;TEXT(ROW()-6,"00000"))</f>
        <v/>
      </c>
      <c r="C11" s="114" t="n"/>
      <c r="D11" s="107" t="n"/>
      <c r="E11" s="108" t="n"/>
      <c r="F11" s="108" t="n"/>
      <c r="G11" s="115" t="n"/>
      <c r="H11" s="107" t="n"/>
      <c r="I11" s="107" t="n"/>
      <c r="J11" s="108" t="n"/>
      <c r="K11" s="108" t="n"/>
      <c r="L11" s="119">
        <f>IF($C11="","",DATE(YEAR($C11),MONTH($C11),1))</f>
        <v/>
      </c>
      <c r="M11" s="112">
        <f>IF($C11="","",IF(AND($D11&lt;&gt;"",$E11&lt;&gt;"",$G11&gt;0,$H11&lt;&gt;"",$I11&lt;&gt;""),IF($C11&gt;TODAY(),"İLERİ TARİH","UYGUN"),"EKSİK"))</f>
        <v/>
      </c>
      <c r="N11" s="6" t="n"/>
      <c r="O11" s="6" t="n"/>
    </row>
    <row r="12">
      <c r="A12" s="6" t="n"/>
      <c r="B12" s="112">
        <f>IF($C12="","","GG"&amp;TEXT(ROW()-6,"00000"))</f>
        <v/>
      </c>
      <c r="C12" s="114" t="n"/>
      <c r="D12" s="107" t="n"/>
      <c r="E12" s="108" t="n"/>
      <c r="F12" s="108" t="n"/>
      <c r="G12" s="115" t="n"/>
      <c r="H12" s="107" t="n"/>
      <c r="I12" s="107" t="n"/>
      <c r="J12" s="108" t="n"/>
      <c r="K12" s="108" t="n"/>
      <c r="L12" s="119">
        <f>IF($C12="","",DATE(YEAR($C12),MONTH($C12),1))</f>
        <v/>
      </c>
      <c r="M12" s="112">
        <f>IF($C12="","",IF(AND($D12&lt;&gt;"",$E12&lt;&gt;"",$G12&gt;0,$H12&lt;&gt;"",$I12&lt;&gt;""),IF($C12&gt;TODAY(),"İLERİ TARİH","UYGUN"),"EKSİK"))</f>
        <v/>
      </c>
      <c r="N12" s="6" t="n"/>
      <c r="O12" s="6" t="n"/>
    </row>
    <row r="13">
      <c r="A13" s="6" t="n"/>
      <c r="B13" s="112">
        <f>IF($C13="","","GG"&amp;TEXT(ROW()-6,"00000"))</f>
        <v/>
      </c>
      <c r="C13" s="114" t="n"/>
      <c r="D13" s="107" t="n"/>
      <c r="E13" s="108" t="n"/>
      <c r="F13" s="108" t="n"/>
      <c r="G13" s="115" t="n"/>
      <c r="H13" s="107" t="n"/>
      <c r="I13" s="107" t="n"/>
      <c r="J13" s="108" t="n"/>
      <c r="K13" s="108" t="n"/>
      <c r="L13" s="119">
        <f>IF($C13="","",DATE(YEAR($C13),MONTH($C13),1))</f>
        <v/>
      </c>
      <c r="M13" s="112">
        <f>IF($C13="","",IF(AND($D13&lt;&gt;"",$E13&lt;&gt;"",$G13&gt;0,$H13&lt;&gt;"",$I13&lt;&gt;""),IF($C13&gt;TODAY(),"İLERİ TARİH","UYGUN"),"EKSİK"))</f>
        <v/>
      </c>
      <c r="N13" s="6" t="n"/>
      <c r="O13" s="6" t="n"/>
    </row>
    <row r="14">
      <c r="A14" s="6" t="n"/>
      <c r="B14" s="112">
        <f>IF($C14="","","GG"&amp;TEXT(ROW()-6,"00000"))</f>
        <v/>
      </c>
      <c r="C14" s="114" t="n"/>
      <c r="D14" s="107" t="n"/>
      <c r="E14" s="108" t="n"/>
      <c r="F14" s="108" t="n"/>
      <c r="G14" s="115" t="n"/>
      <c r="H14" s="107" t="n"/>
      <c r="I14" s="107" t="n"/>
      <c r="J14" s="108" t="n"/>
      <c r="K14" s="108" t="n"/>
      <c r="L14" s="119">
        <f>IF($C14="","",DATE(YEAR($C14),MONTH($C14),1))</f>
        <v/>
      </c>
      <c r="M14" s="112">
        <f>IF($C14="","",IF(AND($D14&lt;&gt;"",$E14&lt;&gt;"",$G14&gt;0,$H14&lt;&gt;"",$I14&lt;&gt;""),IF($C14&gt;TODAY(),"İLERİ TARİH","UYGUN"),"EKSİK"))</f>
        <v/>
      </c>
      <c r="N14" s="6" t="n"/>
      <c r="O14" s="6" t="n"/>
    </row>
    <row r="15">
      <c r="A15" s="6" t="n"/>
      <c r="B15" s="112">
        <f>IF($C15="","","GG"&amp;TEXT(ROW()-6,"00000"))</f>
        <v/>
      </c>
      <c r="C15" s="114" t="n"/>
      <c r="D15" s="107" t="n"/>
      <c r="E15" s="108" t="n"/>
      <c r="F15" s="108" t="n"/>
      <c r="G15" s="115" t="n"/>
      <c r="H15" s="107" t="n"/>
      <c r="I15" s="107" t="n"/>
      <c r="J15" s="108" t="n"/>
      <c r="K15" s="108" t="n"/>
      <c r="L15" s="119">
        <f>IF($C15="","",DATE(YEAR($C15),MONTH($C15),1))</f>
        <v/>
      </c>
      <c r="M15" s="112">
        <f>IF($C15="","",IF(AND($D15&lt;&gt;"",$E15&lt;&gt;"",$G15&gt;0,$H15&lt;&gt;"",$I15&lt;&gt;""),IF($C15&gt;TODAY(),"İLERİ TARİH","UYGUN"),"EKSİK"))</f>
        <v/>
      </c>
      <c r="N15" s="6" t="n"/>
      <c r="O15" s="6" t="n"/>
    </row>
    <row r="16">
      <c r="A16" s="6" t="n"/>
      <c r="B16" s="112">
        <f>IF($C16="","","GG"&amp;TEXT(ROW()-6,"00000"))</f>
        <v/>
      </c>
      <c r="C16" s="114" t="n"/>
      <c r="D16" s="107" t="n"/>
      <c r="E16" s="108" t="n"/>
      <c r="F16" s="108" t="n"/>
      <c r="G16" s="115" t="n"/>
      <c r="H16" s="107" t="n"/>
      <c r="I16" s="107" t="n"/>
      <c r="J16" s="108" t="n"/>
      <c r="K16" s="108" t="n"/>
      <c r="L16" s="119">
        <f>IF($C16="","",DATE(YEAR($C16),MONTH($C16),1))</f>
        <v/>
      </c>
      <c r="M16" s="112">
        <f>IF($C16="","",IF(AND($D16&lt;&gt;"",$E16&lt;&gt;"",$G16&gt;0,$H16&lt;&gt;"",$I16&lt;&gt;""),IF($C16&gt;TODAY(),"İLERİ TARİH","UYGUN"),"EKSİK"))</f>
        <v/>
      </c>
      <c r="N16" s="6" t="n"/>
      <c r="O16" s="6" t="n"/>
    </row>
    <row r="17">
      <c r="A17" s="6" t="n"/>
      <c r="B17" s="112">
        <f>IF($C17="","","GG"&amp;TEXT(ROW()-6,"00000"))</f>
        <v/>
      </c>
      <c r="C17" s="114" t="n"/>
      <c r="D17" s="107" t="n"/>
      <c r="E17" s="108" t="n"/>
      <c r="F17" s="108" t="n"/>
      <c r="G17" s="115" t="n"/>
      <c r="H17" s="107" t="n"/>
      <c r="I17" s="107" t="n"/>
      <c r="J17" s="108" t="n"/>
      <c r="K17" s="108" t="n"/>
      <c r="L17" s="119">
        <f>IF($C17="","",DATE(YEAR($C17),MONTH($C17),1))</f>
        <v/>
      </c>
      <c r="M17" s="112">
        <f>IF($C17="","",IF(AND($D17&lt;&gt;"",$E17&lt;&gt;"",$G17&gt;0,$H17&lt;&gt;"",$I17&lt;&gt;""),IF($C17&gt;TODAY(),"İLERİ TARİH","UYGUN"),"EKSİK"))</f>
        <v/>
      </c>
      <c r="N17" s="6" t="n"/>
      <c r="O17" s="6" t="n"/>
    </row>
    <row r="18">
      <c r="A18" s="6" t="n"/>
      <c r="B18" s="112">
        <f>IF($C18="","","GG"&amp;TEXT(ROW()-6,"00000"))</f>
        <v/>
      </c>
      <c r="C18" s="114" t="n"/>
      <c r="D18" s="107" t="n"/>
      <c r="E18" s="108" t="n"/>
      <c r="F18" s="108" t="n"/>
      <c r="G18" s="115" t="n"/>
      <c r="H18" s="107" t="n"/>
      <c r="I18" s="107" t="n"/>
      <c r="J18" s="108" t="n"/>
      <c r="K18" s="108" t="n"/>
      <c r="L18" s="119">
        <f>IF($C18="","",DATE(YEAR($C18),MONTH($C18),1))</f>
        <v/>
      </c>
      <c r="M18" s="112">
        <f>IF($C18="","",IF(AND($D18&lt;&gt;"",$E18&lt;&gt;"",$G18&gt;0,$H18&lt;&gt;"",$I18&lt;&gt;""),IF($C18&gt;TODAY(),"İLERİ TARİH","UYGUN"),"EKSİK"))</f>
        <v/>
      </c>
      <c r="N18" s="6" t="n"/>
      <c r="O18" s="6" t="n"/>
    </row>
    <row r="19">
      <c r="A19" s="6" t="n"/>
      <c r="B19" s="112">
        <f>IF($C19="","","GG"&amp;TEXT(ROW()-6,"00000"))</f>
        <v/>
      </c>
      <c r="C19" s="114" t="n"/>
      <c r="D19" s="107" t="n"/>
      <c r="E19" s="108" t="n"/>
      <c r="F19" s="108" t="n"/>
      <c r="G19" s="115" t="n"/>
      <c r="H19" s="107" t="n"/>
      <c r="I19" s="107" t="n"/>
      <c r="J19" s="108" t="n"/>
      <c r="K19" s="108" t="n"/>
      <c r="L19" s="119">
        <f>IF($C19="","",DATE(YEAR($C19),MONTH($C19),1))</f>
        <v/>
      </c>
      <c r="M19" s="112">
        <f>IF($C19="","",IF(AND($D19&lt;&gt;"",$E19&lt;&gt;"",$G19&gt;0,$H19&lt;&gt;"",$I19&lt;&gt;""),IF($C19&gt;TODAY(),"İLERİ TARİH","UYGUN"),"EKSİK"))</f>
        <v/>
      </c>
      <c r="N19" s="6" t="n"/>
      <c r="O19" s="6" t="n"/>
    </row>
    <row r="20">
      <c r="A20" s="6" t="n"/>
      <c r="B20" s="112">
        <f>IF($C20="","","GG"&amp;TEXT(ROW()-6,"00000"))</f>
        <v/>
      </c>
      <c r="C20" s="114" t="n"/>
      <c r="D20" s="107" t="n"/>
      <c r="E20" s="108" t="n"/>
      <c r="F20" s="108" t="n"/>
      <c r="G20" s="115" t="n"/>
      <c r="H20" s="107" t="n"/>
      <c r="I20" s="107" t="n"/>
      <c r="J20" s="108" t="n"/>
      <c r="K20" s="108" t="n"/>
      <c r="L20" s="119">
        <f>IF($C20="","",DATE(YEAR($C20),MONTH($C20),1))</f>
        <v/>
      </c>
      <c r="M20" s="112">
        <f>IF($C20="","",IF(AND($D20&lt;&gt;"",$E20&lt;&gt;"",$G20&gt;0,$H20&lt;&gt;"",$I20&lt;&gt;""),IF($C20&gt;TODAY(),"İLERİ TARİH","UYGUN"),"EKSİK"))</f>
        <v/>
      </c>
      <c r="N20" s="6" t="n"/>
      <c r="O20" s="6" t="n"/>
    </row>
    <row r="21">
      <c r="A21" s="6" t="n"/>
      <c r="B21" s="112">
        <f>IF($C21="","","GG"&amp;TEXT(ROW()-6,"00000"))</f>
        <v/>
      </c>
      <c r="C21" s="114" t="n"/>
      <c r="D21" s="107" t="n"/>
      <c r="E21" s="108" t="n"/>
      <c r="F21" s="108" t="n"/>
      <c r="G21" s="115" t="n"/>
      <c r="H21" s="107" t="n"/>
      <c r="I21" s="107" t="n"/>
      <c r="J21" s="108" t="n"/>
      <c r="K21" s="108" t="n"/>
      <c r="L21" s="119">
        <f>IF($C21="","",DATE(YEAR($C21),MONTH($C21),1))</f>
        <v/>
      </c>
      <c r="M21" s="112">
        <f>IF($C21="","",IF(AND($D21&lt;&gt;"",$E21&lt;&gt;"",$G21&gt;0,$H21&lt;&gt;"",$I21&lt;&gt;""),IF($C21&gt;TODAY(),"İLERİ TARİH","UYGUN"),"EKSİK"))</f>
        <v/>
      </c>
      <c r="N21" s="6" t="n"/>
      <c r="O21" s="6" t="n"/>
    </row>
    <row r="22">
      <c r="A22" s="6" t="n"/>
      <c r="B22" s="112">
        <f>IF($C22="","","GG"&amp;TEXT(ROW()-6,"00000"))</f>
        <v/>
      </c>
      <c r="C22" s="114" t="n"/>
      <c r="D22" s="107" t="n"/>
      <c r="E22" s="108" t="n"/>
      <c r="F22" s="108" t="n"/>
      <c r="G22" s="115" t="n"/>
      <c r="H22" s="107" t="n"/>
      <c r="I22" s="107" t="n"/>
      <c r="J22" s="108" t="n"/>
      <c r="K22" s="108" t="n"/>
      <c r="L22" s="119">
        <f>IF($C22="","",DATE(YEAR($C22),MONTH($C22),1))</f>
        <v/>
      </c>
      <c r="M22" s="112">
        <f>IF($C22="","",IF(AND($D22&lt;&gt;"",$E22&lt;&gt;"",$G22&gt;0,$H22&lt;&gt;"",$I22&lt;&gt;""),IF($C22&gt;TODAY(),"İLERİ TARİH","UYGUN"),"EKSİK"))</f>
        <v/>
      </c>
      <c r="N22" s="6" t="n"/>
      <c r="O22" s="6" t="n"/>
    </row>
    <row r="23">
      <c r="A23" s="6" t="n"/>
      <c r="B23" s="112">
        <f>IF($C23="","","GG"&amp;TEXT(ROW()-6,"00000"))</f>
        <v/>
      </c>
      <c r="C23" s="114" t="n"/>
      <c r="D23" s="107" t="n"/>
      <c r="E23" s="108" t="n"/>
      <c r="F23" s="108" t="n"/>
      <c r="G23" s="115" t="n"/>
      <c r="H23" s="107" t="n"/>
      <c r="I23" s="107" t="n"/>
      <c r="J23" s="108" t="n"/>
      <c r="K23" s="108" t="n"/>
      <c r="L23" s="119">
        <f>IF($C23="","",DATE(YEAR($C23),MONTH($C23),1))</f>
        <v/>
      </c>
      <c r="M23" s="112">
        <f>IF($C23="","",IF(AND($D23&lt;&gt;"",$E23&lt;&gt;"",$G23&gt;0,$H23&lt;&gt;"",$I23&lt;&gt;""),IF($C23&gt;TODAY(),"İLERİ TARİH","UYGUN"),"EKSİK"))</f>
        <v/>
      </c>
      <c r="N23" s="6" t="n"/>
      <c r="O23" s="6" t="n"/>
    </row>
    <row r="24">
      <c r="A24" s="6" t="n"/>
      <c r="B24" s="112">
        <f>IF($C24="","","GG"&amp;TEXT(ROW()-6,"00000"))</f>
        <v/>
      </c>
      <c r="C24" s="114" t="n"/>
      <c r="D24" s="107" t="n"/>
      <c r="E24" s="108" t="n"/>
      <c r="F24" s="108" t="n"/>
      <c r="G24" s="115" t="n"/>
      <c r="H24" s="107" t="n"/>
      <c r="I24" s="107" t="n"/>
      <c r="J24" s="108" t="n"/>
      <c r="K24" s="108" t="n"/>
      <c r="L24" s="119">
        <f>IF($C24="","",DATE(YEAR($C24),MONTH($C24),1))</f>
        <v/>
      </c>
      <c r="M24" s="112">
        <f>IF($C24="","",IF(AND($D24&lt;&gt;"",$E24&lt;&gt;"",$G24&gt;0,$H24&lt;&gt;"",$I24&lt;&gt;""),IF($C24&gt;TODAY(),"İLERİ TARİH","UYGUN"),"EKSİK"))</f>
        <v/>
      </c>
      <c r="N24" s="6" t="n"/>
      <c r="O24" s="6" t="n"/>
    </row>
    <row r="25">
      <c r="A25" s="6" t="n"/>
      <c r="B25" s="112">
        <f>IF($C25="","","GG"&amp;TEXT(ROW()-6,"00000"))</f>
        <v/>
      </c>
      <c r="C25" s="114" t="n"/>
      <c r="D25" s="107" t="n"/>
      <c r="E25" s="108" t="n"/>
      <c r="F25" s="108" t="n"/>
      <c r="G25" s="115" t="n"/>
      <c r="H25" s="107" t="n"/>
      <c r="I25" s="107" t="n"/>
      <c r="J25" s="108" t="n"/>
      <c r="K25" s="108" t="n"/>
      <c r="L25" s="119">
        <f>IF($C25="","",DATE(YEAR($C25),MONTH($C25),1))</f>
        <v/>
      </c>
      <c r="M25" s="112">
        <f>IF($C25="","",IF(AND($D25&lt;&gt;"",$E25&lt;&gt;"",$G25&gt;0,$H25&lt;&gt;"",$I25&lt;&gt;""),IF($C25&gt;TODAY(),"İLERİ TARİH","UYGUN"),"EKSİK"))</f>
        <v/>
      </c>
      <c r="N25" s="6" t="n"/>
      <c r="O25" s="6" t="n"/>
    </row>
    <row r="26">
      <c r="A26" s="6" t="n"/>
      <c r="B26" s="112">
        <f>IF($C26="","","GG"&amp;TEXT(ROW()-6,"00000"))</f>
        <v/>
      </c>
      <c r="C26" s="114" t="n"/>
      <c r="D26" s="107" t="n"/>
      <c r="E26" s="108" t="n"/>
      <c r="F26" s="108" t="n"/>
      <c r="G26" s="115" t="n"/>
      <c r="H26" s="107" t="n"/>
      <c r="I26" s="107" t="n"/>
      <c r="J26" s="108" t="n"/>
      <c r="K26" s="108" t="n"/>
      <c r="L26" s="119">
        <f>IF($C26="","",DATE(YEAR($C26),MONTH($C26),1))</f>
        <v/>
      </c>
      <c r="M26" s="112">
        <f>IF($C26="","",IF(AND($D26&lt;&gt;"",$E26&lt;&gt;"",$G26&gt;0,$H26&lt;&gt;"",$I26&lt;&gt;""),IF($C26&gt;TODAY(),"İLERİ TARİH","UYGUN"),"EKSİK"))</f>
        <v/>
      </c>
      <c r="N26" s="6" t="n"/>
      <c r="O26" s="6" t="n"/>
    </row>
    <row r="27">
      <c r="A27" s="6" t="n"/>
      <c r="B27" s="112">
        <f>IF($C27="","","GG"&amp;TEXT(ROW()-6,"00000"))</f>
        <v/>
      </c>
      <c r="C27" s="114" t="n"/>
      <c r="D27" s="107" t="n"/>
      <c r="E27" s="108" t="n"/>
      <c r="F27" s="108" t="n"/>
      <c r="G27" s="115" t="n"/>
      <c r="H27" s="107" t="n"/>
      <c r="I27" s="107" t="n"/>
      <c r="J27" s="108" t="n"/>
      <c r="K27" s="108" t="n"/>
      <c r="L27" s="119">
        <f>IF($C27="","",DATE(YEAR($C27),MONTH($C27),1))</f>
        <v/>
      </c>
      <c r="M27" s="112">
        <f>IF($C27="","",IF(AND($D27&lt;&gt;"",$E27&lt;&gt;"",$G27&gt;0,$H27&lt;&gt;"",$I27&lt;&gt;""),IF($C27&gt;TODAY(),"İLERİ TARİH","UYGUN"),"EKSİK"))</f>
        <v/>
      </c>
      <c r="N27" s="6" t="n"/>
      <c r="O27" s="6" t="n"/>
    </row>
    <row r="28">
      <c r="A28" s="6" t="n"/>
      <c r="B28" s="112">
        <f>IF($C28="","","GG"&amp;TEXT(ROW()-6,"00000"))</f>
        <v/>
      </c>
      <c r="C28" s="114" t="n"/>
      <c r="D28" s="107" t="n"/>
      <c r="E28" s="108" t="n"/>
      <c r="F28" s="108" t="n"/>
      <c r="G28" s="115" t="n"/>
      <c r="H28" s="107" t="n"/>
      <c r="I28" s="107" t="n"/>
      <c r="J28" s="108" t="n"/>
      <c r="K28" s="108" t="n"/>
      <c r="L28" s="119">
        <f>IF($C28="","",DATE(YEAR($C28),MONTH($C28),1))</f>
        <v/>
      </c>
      <c r="M28" s="112">
        <f>IF($C28="","",IF(AND($D28&lt;&gt;"",$E28&lt;&gt;"",$G28&gt;0,$H28&lt;&gt;"",$I28&lt;&gt;""),IF($C28&gt;TODAY(),"İLERİ TARİH","UYGUN"),"EKSİK"))</f>
        <v/>
      </c>
      <c r="N28" s="6" t="n"/>
      <c r="O28" s="6" t="n"/>
    </row>
    <row r="29">
      <c r="A29" s="6" t="n"/>
      <c r="B29" s="112">
        <f>IF($C29="","","GG"&amp;TEXT(ROW()-6,"00000"))</f>
        <v/>
      </c>
      <c r="C29" s="114" t="n"/>
      <c r="D29" s="107" t="n"/>
      <c r="E29" s="108" t="n"/>
      <c r="F29" s="108" t="n"/>
      <c r="G29" s="115" t="n"/>
      <c r="H29" s="107" t="n"/>
      <c r="I29" s="107" t="n"/>
      <c r="J29" s="108" t="n"/>
      <c r="K29" s="108" t="n"/>
      <c r="L29" s="119">
        <f>IF($C29="","",DATE(YEAR($C29),MONTH($C29),1))</f>
        <v/>
      </c>
      <c r="M29" s="112">
        <f>IF($C29="","",IF(AND($D29&lt;&gt;"",$E29&lt;&gt;"",$G29&gt;0,$H29&lt;&gt;"",$I29&lt;&gt;""),IF($C29&gt;TODAY(),"İLERİ TARİH","UYGUN"),"EKSİK"))</f>
        <v/>
      </c>
      <c r="N29" s="6" t="n"/>
      <c r="O29" s="6" t="n"/>
    </row>
    <row r="30">
      <c r="A30" s="6" t="n"/>
      <c r="B30" s="112">
        <f>IF($C30="","","GG"&amp;TEXT(ROW()-6,"00000"))</f>
        <v/>
      </c>
      <c r="C30" s="114" t="n"/>
      <c r="D30" s="107" t="n"/>
      <c r="E30" s="108" t="n"/>
      <c r="F30" s="108" t="n"/>
      <c r="G30" s="115" t="n"/>
      <c r="H30" s="107" t="n"/>
      <c r="I30" s="107" t="n"/>
      <c r="J30" s="108" t="n"/>
      <c r="K30" s="108" t="n"/>
      <c r="L30" s="119">
        <f>IF($C30="","",DATE(YEAR($C30),MONTH($C30),1))</f>
        <v/>
      </c>
      <c r="M30" s="112">
        <f>IF($C30="","",IF(AND($D30&lt;&gt;"",$E30&lt;&gt;"",$G30&gt;0,$H30&lt;&gt;"",$I30&lt;&gt;""),IF($C30&gt;TODAY(),"İLERİ TARİH","UYGUN"),"EKSİK"))</f>
        <v/>
      </c>
      <c r="N30" s="6" t="n"/>
      <c r="O30" s="6" t="n"/>
    </row>
    <row r="31">
      <c r="A31" s="6" t="n"/>
      <c r="B31" s="112">
        <f>IF($C31="","","GG"&amp;TEXT(ROW()-6,"00000"))</f>
        <v/>
      </c>
      <c r="C31" s="114" t="n"/>
      <c r="D31" s="107" t="n"/>
      <c r="E31" s="108" t="n"/>
      <c r="F31" s="108" t="n"/>
      <c r="G31" s="115" t="n"/>
      <c r="H31" s="107" t="n"/>
      <c r="I31" s="107" t="n"/>
      <c r="J31" s="108" t="n"/>
      <c r="K31" s="108" t="n"/>
      <c r="L31" s="119">
        <f>IF($C31="","",DATE(YEAR($C31),MONTH($C31),1))</f>
        <v/>
      </c>
      <c r="M31" s="112">
        <f>IF($C31="","",IF(AND($D31&lt;&gt;"",$E31&lt;&gt;"",$G31&gt;0,$H31&lt;&gt;"",$I31&lt;&gt;""),IF($C31&gt;TODAY(),"İLERİ TARİH","UYGUN"),"EKSİK"))</f>
        <v/>
      </c>
      <c r="N31" s="6" t="n"/>
      <c r="O31" s="6" t="n"/>
    </row>
    <row r="32">
      <c r="A32" s="6" t="n"/>
      <c r="B32" s="112">
        <f>IF($C32="","","GG"&amp;TEXT(ROW()-6,"00000"))</f>
        <v/>
      </c>
      <c r="C32" s="114" t="n"/>
      <c r="D32" s="107" t="n"/>
      <c r="E32" s="108" t="n"/>
      <c r="F32" s="108" t="n"/>
      <c r="G32" s="115" t="n"/>
      <c r="H32" s="107" t="n"/>
      <c r="I32" s="107" t="n"/>
      <c r="J32" s="108" t="n"/>
      <c r="K32" s="108" t="n"/>
      <c r="L32" s="119">
        <f>IF($C32="","",DATE(YEAR($C32),MONTH($C32),1))</f>
        <v/>
      </c>
      <c r="M32" s="112">
        <f>IF($C32="","",IF(AND($D32&lt;&gt;"",$E32&lt;&gt;"",$G32&gt;0,$H32&lt;&gt;"",$I32&lt;&gt;""),IF($C32&gt;TODAY(),"İLERİ TARİH","UYGUN"),"EKSİK"))</f>
        <v/>
      </c>
      <c r="N32" s="6" t="n"/>
      <c r="O32" s="6" t="n"/>
    </row>
    <row r="33">
      <c r="A33" s="6" t="n"/>
      <c r="B33" s="112">
        <f>IF($C33="","","GG"&amp;TEXT(ROW()-6,"00000"))</f>
        <v/>
      </c>
      <c r="C33" s="114" t="n"/>
      <c r="D33" s="107" t="n"/>
      <c r="E33" s="108" t="n"/>
      <c r="F33" s="108" t="n"/>
      <c r="G33" s="115" t="n"/>
      <c r="H33" s="107" t="n"/>
      <c r="I33" s="107" t="n"/>
      <c r="J33" s="108" t="n"/>
      <c r="K33" s="108" t="n"/>
      <c r="L33" s="119">
        <f>IF($C33="","",DATE(YEAR($C33),MONTH($C33),1))</f>
        <v/>
      </c>
      <c r="M33" s="112">
        <f>IF($C33="","",IF(AND($D33&lt;&gt;"",$E33&lt;&gt;"",$G33&gt;0,$H33&lt;&gt;"",$I33&lt;&gt;""),IF($C33&gt;TODAY(),"İLERİ TARİH","UYGUN"),"EKSİK"))</f>
        <v/>
      </c>
      <c r="N33" s="6" t="n"/>
      <c r="O33" s="6" t="n"/>
    </row>
    <row r="34">
      <c r="A34" s="6" t="n"/>
      <c r="B34" s="112">
        <f>IF($C34="","","GG"&amp;TEXT(ROW()-6,"00000"))</f>
        <v/>
      </c>
      <c r="C34" s="114" t="n"/>
      <c r="D34" s="107" t="n"/>
      <c r="E34" s="108" t="n"/>
      <c r="F34" s="108" t="n"/>
      <c r="G34" s="115" t="n"/>
      <c r="H34" s="107" t="n"/>
      <c r="I34" s="107" t="n"/>
      <c r="J34" s="108" t="n"/>
      <c r="K34" s="108" t="n"/>
      <c r="L34" s="119">
        <f>IF($C34="","",DATE(YEAR($C34),MONTH($C34),1))</f>
        <v/>
      </c>
      <c r="M34" s="112">
        <f>IF($C34="","",IF(AND($D34&lt;&gt;"",$E34&lt;&gt;"",$G34&gt;0,$H34&lt;&gt;"",$I34&lt;&gt;""),IF($C34&gt;TODAY(),"İLERİ TARİH","UYGUN"),"EKSİK"))</f>
        <v/>
      </c>
      <c r="N34" s="6" t="n"/>
      <c r="O34" s="6" t="n"/>
    </row>
    <row r="35">
      <c r="A35" s="6" t="n"/>
      <c r="B35" s="112">
        <f>IF($C35="","","GG"&amp;TEXT(ROW()-6,"00000"))</f>
        <v/>
      </c>
      <c r="C35" s="114" t="n"/>
      <c r="D35" s="107" t="n"/>
      <c r="E35" s="108" t="n"/>
      <c r="F35" s="108" t="n"/>
      <c r="G35" s="115" t="n"/>
      <c r="H35" s="107" t="n"/>
      <c r="I35" s="107" t="n"/>
      <c r="J35" s="108" t="n"/>
      <c r="K35" s="108" t="n"/>
      <c r="L35" s="119">
        <f>IF($C35="","",DATE(YEAR($C35),MONTH($C35),1))</f>
        <v/>
      </c>
      <c r="M35" s="112">
        <f>IF($C35="","",IF(AND($D35&lt;&gt;"",$E35&lt;&gt;"",$G35&gt;0,$H35&lt;&gt;"",$I35&lt;&gt;""),IF($C35&gt;TODAY(),"İLERİ TARİH","UYGUN"),"EKSİK"))</f>
        <v/>
      </c>
      <c r="N35" s="6" t="n"/>
      <c r="O35" s="6" t="n"/>
    </row>
    <row r="36">
      <c r="A36" s="6" t="n"/>
      <c r="B36" s="112">
        <f>IF($C36="","","GG"&amp;TEXT(ROW()-6,"00000"))</f>
        <v/>
      </c>
      <c r="C36" s="114" t="n"/>
      <c r="D36" s="107" t="n"/>
      <c r="E36" s="108" t="n"/>
      <c r="F36" s="108" t="n"/>
      <c r="G36" s="115" t="n"/>
      <c r="H36" s="107" t="n"/>
      <c r="I36" s="107" t="n"/>
      <c r="J36" s="108" t="n"/>
      <c r="K36" s="108" t="n"/>
      <c r="L36" s="119">
        <f>IF($C36="","",DATE(YEAR($C36),MONTH($C36),1))</f>
        <v/>
      </c>
      <c r="M36" s="112">
        <f>IF($C36="","",IF(AND($D36&lt;&gt;"",$E36&lt;&gt;"",$G36&gt;0,$H36&lt;&gt;"",$I36&lt;&gt;""),IF($C36&gt;TODAY(),"İLERİ TARİH","UYGUN"),"EKSİK"))</f>
        <v/>
      </c>
      <c r="N36" s="6" t="n"/>
      <c r="O36" s="6" t="n"/>
    </row>
    <row r="37">
      <c r="A37" s="6" t="n"/>
      <c r="B37" s="112">
        <f>IF($C37="","","GG"&amp;TEXT(ROW()-6,"00000"))</f>
        <v/>
      </c>
      <c r="C37" s="114" t="n"/>
      <c r="D37" s="107" t="n"/>
      <c r="E37" s="108" t="n"/>
      <c r="F37" s="108" t="n"/>
      <c r="G37" s="115" t="n"/>
      <c r="H37" s="107" t="n"/>
      <c r="I37" s="107" t="n"/>
      <c r="J37" s="108" t="n"/>
      <c r="K37" s="108" t="n"/>
      <c r="L37" s="119">
        <f>IF($C37="","",DATE(YEAR($C37),MONTH($C37),1))</f>
        <v/>
      </c>
      <c r="M37" s="112">
        <f>IF($C37="","",IF(AND($D37&lt;&gt;"",$E37&lt;&gt;"",$G37&gt;0,$H37&lt;&gt;"",$I37&lt;&gt;""),IF($C37&gt;TODAY(),"İLERİ TARİH","UYGUN"),"EKSİK"))</f>
        <v/>
      </c>
      <c r="N37" s="6" t="n"/>
      <c r="O37" s="6" t="n"/>
    </row>
    <row r="38">
      <c r="A38" s="6" t="n"/>
      <c r="B38" s="112">
        <f>IF($C38="","","GG"&amp;TEXT(ROW()-6,"00000"))</f>
        <v/>
      </c>
      <c r="C38" s="114" t="n"/>
      <c r="D38" s="107" t="n"/>
      <c r="E38" s="108" t="n"/>
      <c r="F38" s="108" t="n"/>
      <c r="G38" s="115" t="n"/>
      <c r="H38" s="107" t="n"/>
      <c r="I38" s="107" t="n"/>
      <c r="J38" s="108" t="n"/>
      <c r="K38" s="108" t="n"/>
      <c r="L38" s="119">
        <f>IF($C38="","",DATE(YEAR($C38),MONTH($C38),1))</f>
        <v/>
      </c>
      <c r="M38" s="112">
        <f>IF($C38="","",IF(AND($D38&lt;&gt;"",$E38&lt;&gt;"",$G38&gt;0,$H38&lt;&gt;"",$I38&lt;&gt;""),IF($C38&gt;TODAY(),"İLERİ TARİH","UYGUN"),"EKSİK"))</f>
        <v/>
      </c>
      <c r="N38" s="6" t="n"/>
      <c r="O38" s="6" t="n"/>
    </row>
    <row r="39">
      <c r="A39" s="6" t="n"/>
      <c r="B39" s="112">
        <f>IF($C39="","","GG"&amp;TEXT(ROW()-6,"00000"))</f>
        <v/>
      </c>
      <c r="C39" s="114" t="n"/>
      <c r="D39" s="107" t="n"/>
      <c r="E39" s="108" t="n"/>
      <c r="F39" s="108" t="n"/>
      <c r="G39" s="115" t="n"/>
      <c r="H39" s="107" t="n"/>
      <c r="I39" s="107" t="n"/>
      <c r="J39" s="108" t="n"/>
      <c r="K39" s="108" t="n"/>
      <c r="L39" s="119">
        <f>IF($C39="","",DATE(YEAR($C39),MONTH($C39),1))</f>
        <v/>
      </c>
      <c r="M39" s="112">
        <f>IF($C39="","",IF(AND($D39&lt;&gt;"",$E39&lt;&gt;"",$G39&gt;0,$H39&lt;&gt;"",$I39&lt;&gt;""),IF($C39&gt;TODAY(),"İLERİ TARİH","UYGUN"),"EKSİK"))</f>
        <v/>
      </c>
      <c r="N39" s="6" t="n"/>
      <c r="O39" s="6" t="n"/>
    </row>
    <row r="40">
      <c r="A40" s="6" t="n"/>
      <c r="B40" s="112">
        <f>IF($C40="","","GG"&amp;TEXT(ROW()-6,"00000"))</f>
        <v/>
      </c>
      <c r="C40" s="114" t="n"/>
      <c r="D40" s="107" t="n"/>
      <c r="E40" s="108" t="n"/>
      <c r="F40" s="108" t="n"/>
      <c r="G40" s="115" t="n"/>
      <c r="H40" s="107" t="n"/>
      <c r="I40" s="107" t="n"/>
      <c r="J40" s="108" t="n"/>
      <c r="K40" s="108" t="n"/>
      <c r="L40" s="119">
        <f>IF($C40="","",DATE(YEAR($C40),MONTH($C40),1))</f>
        <v/>
      </c>
      <c r="M40" s="112">
        <f>IF($C40="","",IF(AND($D40&lt;&gt;"",$E40&lt;&gt;"",$G40&gt;0,$H40&lt;&gt;"",$I40&lt;&gt;""),IF($C40&gt;TODAY(),"İLERİ TARİH","UYGUN"),"EKSİK"))</f>
        <v/>
      </c>
      <c r="N40" s="6" t="n"/>
      <c r="O40" s="6" t="n"/>
    </row>
    <row r="41">
      <c r="A41" s="6" t="n"/>
      <c r="B41" s="112">
        <f>IF($C41="","","GG"&amp;TEXT(ROW()-6,"00000"))</f>
        <v/>
      </c>
      <c r="C41" s="114" t="n"/>
      <c r="D41" s="107" t="n"/>
      <c r="E41" s="108" t="n"/>
      <c r="F41" s="108" t="n"/>
      <c r="G41" s="115" t="n"/>
      <c r="H41" s="107" t="n"/>
      <c r="I41" s="107" t="n"/>
      <c r="J41" s="108" t="n"/>
      <c r="K41" s="108" t="n"/>
      <c r="L41" s="119">
        <f>IF($C41="","",DATE(YEAR($C41),MONTH($C41),1))</f>
        <v/>
      </c>
      <c r="M41" s="112">
        <f>IF($C41="","",IF(AND($D41&lt;&gt;"",$E41&lt;&gt;"",$G41&gt;0,$H41&lt;&gt;"",$I41&lt;&gt;""),IF($C41&gt;TODAY(),"İLERİ TARİH","UYGUN"),"EKSİK"))</f>
        <v/>
      </c>
      <c r="N41" s="6" t="n"/>
      <c r="O41" s="6" t="n"/>
    </row>
    <row r="42">
      <c r="A42" s="6" t="n"/>
      <c r="B42" s="112">
        <f>IF($C42="","","GG"&amp;TEXT(ROW()-6,"00000"))</f>
        <v/>
      </c>
      <c r="C42" s="114" t="n"/>
      <c r="D42" s="107" t="n"/>
      <c r="E42" s="108" t="n"/>
      <c r="F42" s="108" t="n"/>
      <c r="G42" s="115" t="n"/>
      <c r="H42" s="107" t="n"/>
      <c r="I42" s="107" t="n"/>
      <c r="J42" s="108" t="n"/>
      <c r="K42" s="108" t="n"/>
      <c r="L42" s="119">
        <f>IF($C42="","",DATE(YEAR($C42),MONTH($C42),1))</f>
        <v/>
      </c>
      <c r="M42" s="112">
        <f>IF($C42="","",IF(AND($D42&lt;&gt;"",$E42&lt;&gt;"",$G42&gt;0,$H42&lt;&gt;"",$I42&lt;&gt;""),IF($C42&gt;TODAY(),"İLERİ TARİH","UYGUN"),"EKSİK"))</f>
        <v/>
      </c>
      <c r="N42" s="6" t="n"/>
      <c r="O42" s="6" t="n"/>
    </row>
    <row r="43">
      <c r="A43" s="6" t="n"/>
      <c r="B43" s="112">
        <f>IF($C43="","","GG"&amp;TEXT(ROW()-6,"00000"))</f>
        <v/>
      </c>
      <c r="C43" s="114" t="n"/>
      <c r="D43" s="107" t="n"/>
      <c r="E43" s="108" t="n"/>
      <c r="F43" s="108" t="n"/>
      <c r="G43" s="115" t="n"/>
      <c r="H43" s="107" t="n"/>
      <c r="I43" s="107" t="n"/>
      <c r="J43" s="108" t="n"/>
      <c r="K43" s="108" t="n"/>
      <c r="L43" s="119">
        <f>IF($C43="","",DATE(YEAR($C43),MONTH($C43),1))</f>
        <v/>
      </c>
      <c r="M43" s="112">
        <f>IF($C43="","",IF(AND($D43&lt;&gt;"",$E43&lt;&gt;"",$G43&gt;0,$H43&lt;&gt;"",$I43&lt;&gt;""),IF($C43&gt;TODAY(),"İLERİ TARİH","UYGUN"),"EKSİK"))</f>
        <v/>
      </c>
      <c r="N43" s="6" t="n"/>
      <c r="O43" s="6" t="n"/>
    </row>
    <row r="44">
      <c r="A44" s="6" t="n"/>
      <c r="B44" s="112">
        <f>IF($C44="","","GG"&amp;TEXT(ROW()-6,"00000"))</f>
        <v/>
      </c>
      <c r="C44" s="114" t="n"/>
      <c r="D44" s="107" t="n"/>
      <c r="E44" s="108" t="n"/>
      <c r="F44" s="108" t="n"/>
      <c r="G44" s="115" t="n"/>
      <c r="H44" s="107" t="n"/>
      <c r="I44" s="107" t="n"/>
      <c r="J44" s="108" t="n"/>
      <c r="K44" s="108" t="n"/>
      <c r="L44" s="119">
        <f>IF($C44="","",DATE(YEAR($C44),MONTH($C44),1))</f>
        <v/>
      </c>
      <c r="M44" s="112">
        <f>IF($C44="","",IF(AND($D44&lt;&gt;"",$E44&lt;&gt;"",$G44&gt;0,$H44&lt;&gt;"",$I44&lt;&gt;""),IF($C44&gt;TODAY(),"İLERİ TARİH","UYGUN"),"EKSİK"))</f>
        <v/>
      </c>
      <c r="N44" s="6" t="n"/>
      <c r="O44" s="6" t="n"/>
    </row>
    <row r="45">
      <c r="A45" s="6" t="n"/>
      <c r="B45" s="112">
        <f>IF($C45="","","GG"&amp;TEXT(ROW()-6,"00000"))</f>
        <v/>
      </c>
      <c r="C45" s="114" t="n"/>
      <c r="D45" s="107" t="n"/>
      <c r="E45" s="108" t="n"/>
      <c r="F45" s="108" t="n"/>
      <c r="G45" s="115" t="n"/>
      <c r="H45" s="107" t="n"/>
      <c r="I45" s="107" t="n"/>
      <c r="J45" s="108" t="n"/>
      <c r="K45" s="108" t="n"/>
      <c r="L45" s="119">
        <f>IF($C45="","",DATE(YEAR($C45),MONTH($C45),1))</f>
        <v/>
      </c>
      <c r="M45" s="112">
        <f>IF($C45="","",IF(AND($D45&lt;&gt;"",$E45&lt;&gt;"",$G45&gt;0,$H45&lt;&gt;"",$I45&lt;&gt;""),IF($C45&gt;TODAY(),"İLERİ TARİH","UYGUN"),"EKSİK"))</f>
        <v/>
      </c>
      <c r="N45" s="6" t="n"/>
      <c r="O45" s="6" t="n"/>
    </row>
    <row r="46">
      <c r="A46" s="6" t="n"/>
      <c r="B46" s="112">
        <f>IF($C46="","","GG"&amp;TEXT(ROW()-6,"00000"))</f>
        <v/>
      </c>
      <c r="C46" s="114" t="n"/>
      <c r="D46" s="107" t="n"/>
      <c r="E46" s="108" t="n"/>
      <c r="F46" s="108" t="n"/>
      <c r="G46" s="115" t="n"/>
      <c r="H46" s="107" t="n"/>
      <c r="I46" s="107" t="n"/>
      <c r="J46" s="108" t="n"/>
      <c r="K46" s="108" t="n"/>
      <c r="L46" s="119">
        <f>IF($C46="","",DATE(YEAR($C46),MONTH($C46),1))</f>
        <v/>
      </c>
      <c r="M46" s="112">
        <f>IF($C46="","",IF(AND($D46&lt;&gt;"",$E46&lt;&gt;"",$G46&gt;0,$H46&lt;&gt;"",$I46&lt;&gt;""),IF($C46&gt;TODAY(),"İLERİ TARİH","UYGUN"),"EKSİK"))</f>
        <v/>
      </c>
      <c r="N46" s="6" t="n"/>
      <c r="O46" s="6" t="n"/>
    </row>
    <row r="47">
      <c r="A47" s="6" t="n"/>
      <c r="B47" s="112">
        <f>IF($C47="","","GG"&amp;TEXT(ROW()-6,"00000"))</f>
        <v/>
      </c>
      <c r="C47" s="114" t="n"/>
      <c r="D47" s="107" t="n"/>
      <c r="E47" s="108" t="n"/>
      <c r="F47" s="108" t="n"/>
      <c r="G47" s="115" t="n"/>
      <c r="H47" s="107" t="n"/>
      <c r="I47" s="107" t="n"/>
      <c r="J47" s="108" t="n"/>
      <c r="K47" s="108" t="n"/>
      <c r="L47" s="119">
        <f>IF($C47="","",DATE(YEAR($C47),MONTH($C47),1))</f>
        <v/>
      </c>
      <c r="M47" s="112">
        <f>IF($C47="","",IF(AND($D47&lt;&gt;"",$E47&lt;&gt;"",$G47&gt;0,$H47&lt;&gt;"",$I47&lt;&gt;""),IF($C47&gt;TODAY(),"İLERİ TARİH","UYGUN"),"EKSİK"))</f>
        <v/>
      </c>
      <c r="N47" s="6" t="n"/>
      <c r="O47" s="6" t="n"/>
    </row>
    <row r="48">
      <c r="A48" s="6" t="n"/>
      <c r="B48" s="112">
        <f>IF($C48="","","GG"&amp;TEXT(ROW()-6,"00000"))</f>
        <v/>
      </c>
      <c r="C48" s="114" t="n"/>
      <c r="D48" s="107" t="n"/>
      <c r="E48" s="108" t="n"/>
      <c r="F48" s="108" t="n"/>
      <c r="G48" s="115" t="n"/>
      <c r="H48" s="107" t="n"/>
      <c r="I48" s="107" t="n"/>
      <c r="J48" s="108" t="n"/>
      <c r="K48" s="108" t="n"/>
      <c r="L48" s="119">
        <f>IF($C48="","",DATE(YEAR($C48),MONTH($C48),1))</f>
        <v/>
      </c>
      <c r="M48" s="112">
        <f>IF($C48="","",IF(AND($D48&lt;&gt;"",$E48&lt;&gt;"",$G48&gt;0,$H48&lt;&gt;"",$I48&lt;&gt;""),IF($C48&gt;TODAY(),"İLERİ TARİH","UYGUN"),"EKSİK"))</f>
        <v/>
      </c>
      <c r="N48" s="6" t="n"/>
      <c r="O48" s="6" t="n"/>
    </row>
    <row r="49">
      <c r="A49" s="6" t="n"/>
      <c r="B49" s="112">
        <f>IF($C49="","","GG"&amp;TEXT(ROW()-6,"00000"))</f>
        <v/>
      </c>
      <c r="C49" s="114" t="n"/>
      <c r="D49" s="107" t="n"/>
      <c r="E49" s="108" t="n"/>
      <c r="F49" s="108" t="n"/>
      <c r="G49" s="115" t="n"/>
      <c r="H49" s="107" t="n"/>
      <c r="I49" s="107" t="n"/>
      <c r="J49" s="108" t="n"/>
      <c r="K49" s="108" t="n"/>
      <c r="L49" s="119">
        <f>IF($C49="","",DATE(YEAR($C49),MONTH($C49),1))</f>
        <v/>
      </c>
      <c r="M49" s="112">
        <f>IF($C49="","",IF(AND($D49&lt;&gt;"",$E49&lt;&gt;"",$G49&gt;0,$H49&lt;&gt;"",$I49&lt;&gt;""),IF($C49&gt;TODAY(),"İLERİ TARİH","UYGUN"),"EKSİK"))</f>
        <v/>
      </c>
      <c r="N49" s="6" t="n"/>
      <c r="O49" s="6" t="n"/>
    </row>
    <row r="50">
      <c r="A50" s="6" t="n"/>
      <c r="B50" s="112">
        <f>IF($C50="","","GG"&amp;TEXT(ROW()-6,"00000"))</f>
        <v/>
      </c>
      <c r="C50" s="114" t="n"/>
      <c r="D50" s="107" t="n"/>
      <c r="E50" s="108" t="n"/>
      <c r="F50" s="108" t="n"/>
      <c r="G50" s="115" t="n"/>
      <c r="H50" s="107" t="n"/>
      <c r="I50" s="107" t="n"/>
      <c r="J50" s="108" t="n"/>
      <c r="K50" s="108" t="n"/>
      <c r="L50" s="119">
        <f>IF($C50="","",DATE(YEAR($C50),MONTH($C50),1))</f>
        <v/>
      </c>
      <c r="M50" s="112">
        <f>IF($C50="","",IF(AND($D50&lt;&gt;"",$E50&lt;&gt;"",$G50&gt;0,$H50&lt;&gt;"",$I50&lt;&gt;""),IF($C50&gt;TODAY(),"İLERİ TARİH","UYGUN"),"EKSİK"))</f>
        <v/>
      </c>
      <c r="N50" s="6" t="n"/>
      <c r="O50" s="6" t="n"/>
    </row>
    <row r="51">
      <c r="A51" s="6" t="n"/>
      <c r="B51" s="112">
        <f>IF($C51="","","GG"&amp;TEXT(ROW()-6,"00000"))</f>
        <v/>
      </c>
      <c r="C51" s="114" t="n"/>
      <c r="D51" s="107" t="n"/>
      <c r="E51" s="108" t="n"/>
      <c r="F51" s="108" t="n"/>
      <c r="G51" s="115" t="n"/>
      <c r="H51" s="107" t="n"/>
      <c r="I51" s="107" t="n"/>
      <c r="J51" s="108" t="n"/>
      <c r="K51" s="108" t="n"/>
      <c r="L51" s="119">
        <f>IF($C51="","",DATE(YEAR($C51),MONTH($C51),1))</f>
        <v/>
      </c>
      <c r="M51" s="112">
        <f>IF($C51="","",IF(AND($D51&lt;&gt;"",$E51&lt;&gt;"",$G51&gt;0,$H51&lt;&gt;"",$I51&lt;&gt;""),IF($C51&gt;TODAY(),"İLERİ TARİH","UYGUN"),"EKSİK"))</f>
        <v/>
      </c>
      <c r="N51" s="6" t="n"/>
      <c r="O51" s="6" t="n"/>
    </row>
    <row r="52">
      <c r="A52" s="6" t="n"/>
      <c r="B52" s="112">
        <f>IF($C52="","","GG"&amp;TEXT(ROW()-6,"00000"))</f>
        <v/>
      </c>
      <c r="C52" s="114" t="n"/>
      <c r="D52" s="107" t="n"/>
      <c r="E52" s="108" t="n"/>
      <c r="F52" s="108" t="n"/>
      <c r="G52" s="115" t="n"/>
      <c r="H52" s="107" t="n"/>
      <c r="I52" s="107" t="n"/>
      <c r="J52" s="108" t="n"/>
      <c r="K52" s="108" t="n"/>
      <c r="L52" s="119">
        <f>IF($C52="","",DATE(YEAR($C52),MONTH($C52),1))</f>
        <v/>
      </c>
      <c r="M52" s="112">
        <f>IF($C52="","",IF(AND($D52&lt;&gt;"",$E52&lt;&gt;"",$G52&gt;0,$H52&lt;&gt;"",$I52&lt;&gt;""),IF($C52&gt;TODAY(),"İLERİ TARİH","UYGUN"),"EKSİK"))</f>
        <v/>
      </c>
      <c r="N52" s="6" t="n"/>
      <c r="O52" s="6" t="n"/>
    </row>
    <row r="53">
      <c r="A53" s="6" t="n"/>
      <c r="B53" s="112">
        <f>IF($C53="","","GG"&amp;TEXT(ROW()-6,"00000"))</f>
        <v/>
      </c>
      <c r="C53" s="114" t="n"/>
      <c r="D53" s="107" t="n"/>
      <c r="E53" s="108" t="n"/>
      <c r="F53" s="108" t="n"/>
      <c r="G53" s="115" t="n"/>
      <c r="H53" s="107" t="n"/>
      <c r="I53" s="107" t="n"/>
      <c r="J53" s="108" t="n"/>
      <c r="K53" s="108" t="n"/>
      <c r="L53" s="119">
        <f>IF($C53="","",DATE(YEAR($C53),MONTH($C53),1))</f>
        <v/>
      </c>
      <c r="M53" s="112">
        <f>IF($C53="","",IF(AND($D53&lt;&gt;"",$E53&lt;&gt;"",$G53&gt;0,$H53&lt;&gt;"",$I53&lt;&gt;""),IF($C53&gt;TODAY(),"İLERİ TARİH","UYGUN"),"EKSİK"))</f>
        <v/>
      </c>
      <c r="N53" s="6" t="n"/>
      <c r="O53" s="6" t="n"/>
    </row>
    <row r="54">
      <c r="A54" s="6" t="n"/>
      <c r="B54" s="112">
        <f>IF($C54="","","GG"&amp;TEXT(ROW()-6,"00000"))</f>
        <v/>
      </c>
      <c r="C54" s="114" t="n"/>
      <c r="D54" s="107" t="n"/>
      <c r="E54" s="108" t="n"/>
      <c r="F54" s="108" t="n"/>
      <c r="G54" s="115" t="n"/>
      <c r="H54" s="107" t="n"/>
      <c r="I54" s="107" t="n"/>
      <c r="J54" s="108" t="n"/>
      <c r="K54" s="108" t="n"/>
      <c r="L54" s="119">
        <f>IF($C54="","",DATE(YEAR($C54),MONTH($C54),1))</f>
        <v/>
      </c>
      <c r="M54" s="112">
        <f>IF($C54="","",IF(AND($D54&lt;&gt;"",$E54&lt;&gt;"",$G54&gt;0,$H54&lt;&gt;"",$I54&lt;&gt;""),IF($C54&gt;TODAY(),"İLERİ TARİH","UYGUN"),"EKSİK"))</f>
        <v/>
      </c>
      <c r="N54" s="6" t="n"/>
      <c r="O54" s="6" t="n"/>
    </row>
    <row r="55">
      <c r="A55" s="6" t="n"/>
      <c r="B55" s="112">
        <f>IF($C55="","","GG"&amp;TEXT(ROW()-6,"00000"))</f>
        <v/>
      </c>
      <c r="C55" s="114" t="n"/>
      <c r="D55" s="107" t="n"/>
      <c r="E55" s="108" t="n"/>
      <c r="F55" s="108" t="n"/>
      <c r="G55" s="115" t="n"/>
      <c r="H55" s="107" t="n"/>
      <c r="I55" s="107" t="n"/>
      <c r="J55" s="108" t="n"/>
      <c r="K55" s="108" t="n"/>
      <c r="L55" s="119">
        <f>IF($C55="","",DATE(YEAR($C55),MONTH($C55),1))</f>
        <v/>
      </c>
      <c r="M55" s="112">
        <f>IF($C55="","",IF(AND($D55&lt;&gt;"",$E55&lt;&gt;"",$G55&gt;0,$H55&lt;&gt;"",$I55&lt;&gt;""),IF($C55&gt;TODAY(),"İLERİ TARİH","UYGUN"),"EKSİK"))</f>
        <v/>
      </c>
      <c r="N55" s="6" t="n"/>
      <c r="O55" s="6" t="n"/>
    </row>
    <row r="56">
      <c r="A56" s="6" t="n"/>
      <c r="B56" s="112">
        <f>IF($C56="","","GG"&amp;TEXT(ROW()-6,"00000"))</f>
        <v/>
      </c>
      <c r="C56" s="114" t="n"/>
      <c r="D56" s="107" t="n"/>
      <c r="E56" s="108" t="n"/>
      <c r="F56" s="108" t="n"/>
      <c r="G56" s="115" t="n"/>
      <c r="H56" s="107" t="n"/>
      <c r="I56" s="107" t="n"/>
      <c r="J56" s="108" t="n"/>
      <c r="K56" s="108" t="n"/>
      <c r="L56" s="119">
        <f>IF($C56="","",DATE(YEAR($C56),MONTH($C56),1))</f>
        <v/>
      </c>
      <c r="M56" s="112">
        <f>IF($C56="","",IF(AND($D56&lt;&gt;"",$E56&lt;&gt;"",$G56&gt;0,$H56&lt;&gt;"",$I56&lt;&gt;""),IF($C56&gt;TODAY(),"İLERİ TARİH","UYGUN"),"EKSİK"))</f>
        <v/>
      </c>
      <c r="N56" s="6" t="n"/>
      <c r="O56" s="6" t="n"/>
    </row>
    <row r="57">
      <c r="A57" s="6" t="n"/>
      <c r="B57" s="112">
        <f>IF($C57="","","GG"&amp;TEXT(ROW()-6,"00000"))</f>
        <v/>
      </c>
      <c r="C57" s="114" t="n"/>
      <c r="D57" s="107" t="n"/>
      <c r="E57" s="108" t="n"/>
      <c r="F57" s="108" t="n"/>
      <c r="G57" s="115" t="n"/>
      <c r="H57" s="107" t="n"/>
      <c r="I57" s="107" t="n"/>
      <c r="J57" s="108" t="n"/>
      <c r="K57" s="108" t="n"/>
      <c r="L57" s="119">
        <f>IF($C57="","",DATE(YEAR($C57),MONTH($C57),1))</f>
        <v/>
      </c>
      <c r="M57" s="112">
        <f>IF($C57="","",IF(AND($D57&lt;&gt;"",$E57&lt;&gt;"",$G57&gt;0,$H57&lt;&gt;"",$I57&lt;&gt;""),IF($C57&gt;TODAY(),"İLERİ TARİH","UYGUN"),"EKSİK"))</f>
        <v/>
      </c>
      <c r="N57" s="6" t="n"/>
      <c r="O57" s="6" t="n"/>
    </row>
    <row r="58">
      <c r="A58" s="6" t="n"/>
      <c r="B58" s="112">
        <f>IF($C58="","","GG"&amp;TEXT(ROW()-6,"00000"))</f>
        <v/>
      </c>
      <c r="C58" s="114" t="n"/>
      <c r="D58" s="107" t="n"/>
      <c r="E58" s="108" t="n"/>
      <c r="F58" s="108" t="n"/>
      <c r="G58" s="115" t="n"/>
      <c r="H58" s="107" t="n"/>
      <c r="I58" s="107" t="n"/>
      <c r="J58" s="108" t="n"/>
      <c r="K58" s="108" t="n"/>
      <c r="L58" s="119">
        <f>IF($C58="","",DATE(YEAR($C58),MONTH($C58),1))</f>
        <v/>
      </c>
      <c r="M58" s="112">
        <f>IF($C58="","",IF(AND($D58&lt;&gt;"",$E58&lt;&gt;"",$G58&gt;0,$H58&lt;&gt;"",$I58&lt;&gt;""),IF($C58&gt;TODAY(),"İLERİ TARİH","UYGUN"),"EKSİK"))</f>
        <v/>
      </c>
      <c r="N58" s="6" t="n"/>
      <c r="O58" s="6" t="n"/>
    </row>
    <row r="59">
      <c r="A59" s="6" t="n"/>
      <c r="B59" s="112">
        <f>IF($C59="","","GG"&amp;TEXT(ROW()-6,"00000"))</f>
        <v/>
      </c>
      <c r="C59" s="114" t="n"/>
      <c r="D59" s="107" t="n"/>
      <c r="E59" s="108" t="n"/>
      <c r="F59" s="108" t="n"/>
      <c r="G59" s="115" t="n"/>
      <c r="H59" s="107" t="n"/>
      <c r="I59" s="107" t="n"/>
      <c r="J59" s="108" t="n"/>
      <c r="K59" s="108" t="n"/>
      <c r="L59" s="119">
        <f>IF($C59="","",DATE(YEAR($C59),MONTH($C59),1))</f>
        <v/>
      </c>
      <c r="M59" s="112">
        <f>IF($C59="","",IF(AND($D59&lt;&gt;"",$E59&lt;&gt;"",$G59&gt;0,$H59&lt;&gt;"",$I59&lt;&gt;""),IF($C59&gt;TODAY(),"İLERİ TARİH","UYGUN"),"EKSİK"))</f>
        <v/>
      </c>
      <c r="N59" s="6" t="n"/>
      <c r="O59" s="6" t="n"/>
    </row>
    <row r="60">
      <c r="A60" s="6" t="n"/>
      <c r="B60" s="112">
        <f>IF($C60="","","GG"&amp;TEXT(ROW()-6,"00000"))</f>
        <v/>
      </c>
      <c r="C60" s="114" t="n"/>
      <c r="D60" s="107" t="n"/>
      <c r="E60" s="108" t="n"/>
      <c r="F60" s="108" t="n"/>
      <c r="G60" s="115" t="n"/>
      <c r="H60" s="107" t="n"/>
      <c r="I60" s="107" t="n"/>
      <c r="J60" s="108" t="n"/>
      <c r="K60" s="108" t="n"/>
      <c r="L60" s="119">
        <f>IF($C60="","",DATE(YEAR($C60),MONTH($C60),1))</f>
        <v/>
      </c>
      <c r="M60" s="112">
        <f>IF($C60="","",IF(AND($D60&lt;&gt;"",$E60&lt;&gt;"",$G60&gt;0,$H60&lt;&gt;"",$I60&lt;&gt;""),IF($C60&gt;TODAY(),"İLERİ TARİH","UYGUN"),"EKSİK"))</f>
        <v/>
      </c>
      <c r="N60" s="6" t="n"/>
      <c r="O60" s="6" t="n"/>
    </row>
    <row r="61">
      <c r="A61" s="6" t="n"/>
      <c r="B61" s="112">
        <f>IF($C61="","","GG"&amp;TEXT(ROW()-6,"00000"))</f>
        <v/>
      </c>
      <c r="C61" s="114" t="n"/>
      <c r="D61" s="107" t="n"/>
      <c r="E61" s="108" t="n"/>
      <c r="F61" s="108" t="n"/>
      <c r="G61" s="115" t="n"/>
      <c r="H61" s="107" t="n"/>
      <c r="I61" s="107" t="n"/>
      <c r="J61" s="108" t="n"/>
      <c r="K61" s="108" t="n"/>
      <c r="L61" s="119">
        <f>IF($C61="","",DATE(YEAR($C61),MONTH($C61),1))</f>
        <v/>
      </c>
      <c r="M61" s="112">
        <f>IF($C61="","",IF(AND($D61&lt;&gt;"",$E61&lt;&gt;"",$G61&gt;0,$H61&lt;&gt;"",$I61&lt;&gt;""),IF($C61&gt;TODAY(),"İLERİ TARİH","UYGUN"),"EKSİK"))</f>
        <v/>
      </c>
      <c r="N61" s="6" t="n"/>
      <c r="O61" s="6" t="n"/>
    </row>
    <row r="62">
      <c r="A62" s="6" t="n"/>
      <c r="B62" s="112">
        <f>IF($C62="","","GG"&amp;TEXT(ROW()-6,"00000"))</f>
        <v/>
      </c>
      <c r="C62" s="114" t="n"/>
      <c r="D62" s="107" t="n"/>
      <c r="E62" s="108" t="n"/>
      <c r="F62" s="108" t="n"/>
      <c r="G62" s="115" t="n"/>
      <c r="H62" s="107" t="n"/>
      <c r="I62" s="107" t="n"/>
      <c r="J62" s="108" t="n"/>
      <c r="K62" s="108" t="n"/>
      <c r="L62" s="119">
        <f>IF($C62="","",DATE(YEAR($C62),MONTH($C62),1))</f>
        <v/>
      </c>
      <c r="M62" s="112">
        <f>IF($C62="","",IF(AND($D62&lt;&gt;"",$E62&lt;&gt;"",$G62&gt;0,$H62&lt;&gt;"",$I62&lt;&gt;""),IF($C62&gt;TODAY(),"İLERİ TARİH","UYGUN"),"EKSİK"))</f>
        <v/>
      </c>
      <c r="N62" s="6" t="n"/>
      <c r="O62" s="6" t="n"/>
    </row>
    <row r="63">
      <c r="A63" s="6" t="n"/>
      <c r="B63" s="112">
        <f>IF($C63="","","GG"&amp;TEXT(ROW()-6,"00000"))</f>
        <v/>
      </c>
      <c r="C63" s="114" t="n"/>
      <c r="D63" s="107" t="n"/>
      <c r="E63" s="108" t="n"/>
      <c r="F63" s="108" t="n"/>
      <c r="G63" s="115" t="n"/>
      <c r="H63" s="107" t="n"/>
      <c r="I63" s="107" t="n"/>
      <c r="J63" s="108" t="n"/>
      <c r="K63" s="108" t="n"/>
      <c r="L63" s="119">
        <f>IF($C63="","",DATE(YEAR($C63),MONTH($C63),1))</f>
        <v/>
      </c>
      <c r="M63" s="112">
        <f>IF($C63="","",IF(AND($D63&lt;&gt;"",$E63&lt;&gt;"",$G63&gt;0,$H63&lt;&gt;"",$I63&lt;&gt;""),IF($C63&gt;TODAY(),"İLERİ TARİH","UYGUN"),"EKSİK"))</f>
        <v/>
      </c>
      <c r="N63" s="6" t="n"/>
      <c r="O63" s="6" t="n"/>
    </row>
    <row r="64">
      <c r="A64" s="6" t="n"/>
      <c r="B64" s="112">
        <f>IF($C64="","","GG"&amp;TEXT(ROW()-6,"00000"))</f>
        <v/>
      </c>
      <c r="C64" s="114" t="n"/>
      <c r="D64" s="107" t="n"/>
      <c r="E64" s="108" t="n"/>
      <c r="F64" s="108" t="n"/>
      <c r="G64" s="115" t="n"/>
      <c r="H64" s="107" t="n"/>
      <c r="I64" s="107" t="n"/>
      <c r="J64" s="108" t="n"/>
      <c r="K64" s="108" t="n"/>
      <c r="L64" s="119">
        <f>IF($C64="","",DATE(YEAR($C64),MONTH($C64),1))</f>
        <v/>
      </c>
      <c r="M64" s="112">
        <f>IF($C64="","",IF(AND($D64&lt;&gt;"",$E64&lt;&gt;"",$G64&gt;0,$H64&lt;&gt;"",$I64&lt;&gt;""),IF($C64&gt;TODAY(),"İLERİ TARİH","UYGUN"),"EKSİK"))</f>
        <v/>
      </c>
      <c r="N64" s="6" t="n"/>
      <c r="O64" s="6" t="n"/>
    </row>
    <row r="65">
      <c r="A65" s="6" t="n"/>
      <c r="B65" s="112">
        <f>IF($C65="","","GG"&amp;TEXT(ROW()-6,"00000"))</f>
        <v/>
      </c>
      <c r="C65" s="114" t="n"/>
      <c r="D65" s="107" t="n"/>
      <c r="E65" s="108" t="n"/>
      <c r="F65" s="108" t="n"/>
      <c r="G65" s="115" t="n"/>
      <c r="H65" s="107" t="n"/>
      <c r="I65" s="107" t="n"/>
      <c r="J65" s="108" t="n"/>
      <c r="K65" s="108" t="n"/>
      <c r="L65" s="119">
        <f>IF($C65="","",DATE(YEAR($C65),MONTH($C65),1))</f>
        <v/>
      </c>
      <c r="M65" s="112">
        <f>IF($C65="","",IF(AND($D65&lt;&gt;"",$E65&lt;&gt;"",$G65&gt;0,$H65&lt;&gt;"",$I65&lt;&gt;""),IF($C65&gt;TODAY(),"İLERİ TARİH","UYGUN"),"EKSİK"))</f>
        <v/>
      </c>
      <c r="N65" s="6" t="n"/>
      <c r="O65" s="6" t="n"/>
    </row>
    <row r="66">
      <c r="A66" s="6" t="n"/>
      <c r="B66" s="112">
        <f>IF($C66="","","GG"&amp;TEXT(ROW()-6,"00000"))</f>
        <v/>
      </c>
      <c r="C66" s="114" t="n"/>
      <c r="D66" s="107" t="n"/>
      <c r="E66" s="108" t="n"/>
      <c r="F66" s="108" t="n"/>
      <c r="G66" s="115" t="n"/>
      <c r="H66" s="107" t="n"/>
      <c r="I66" s="107" t="n"/>
      <c r="J66" s="108" t="n"/>
      <c r="K66" s="108" t="n"/>
      <c r="L66" s="119">
        <f>IF($C66="","",DATE(YEAR($C66),MONTH($C66),1))</f>
        <v/>
      </c>
      <c r="M66" s="112">
        <f>IF($C66="","",IF(AND($D66&lt;&gt;"",$E66&lt;&gt;"",$G66&gt;0,$H66&lt;&gt;"",$I66&lt;&gt;""),IF($C66&gt;TODAY(),"İLERİ TARİH","UYGUN"),"EKSİK"))</f>
        <v/>
      </c>
      <c r="N66" s="6" t="n"/>
      <c r="O66" s="6" t="n"/>
    </row>
    <row r="67">
      <c r="A67" s="6" t="n"/>
      <c r="B67" s="112">
        <f>IF($C67="","","GG"&amp;TEXT(ROW()-6,"00000"))</f>
        <v/>
      </c>
      <c r="C67" s="114" t="n"/>
      <c r="D67" s="107" t="n"/>
      <c r="E67" s="108" t="n"/>
      <c r="F67" s="108" t="n"/>
      <c r="G67" s="115" t="n"/>
      <c r="H67" s="107" t="n"/>
      <c r="I67" s="107" t="n"/>
      <c r="J67" s="108" t="n"/>
      <c r="K67" s="108" t="n"/>
      <c r="L67" s="119">
        <f>IF($C67="","",DATE(YEAR($C67),MONTH($C67),1))</f>
        <v/>
      </c>
      <c r="M67" s="112">
        <f>IF($C67="","",IF(AND($D67&lt;&gt;"",$E67&lt;&gt;"",$G67&gt;0,$H67&lt;&gt;"",$I67&lt;&gt;""),IF($C67&gt;TODAY(),"İLERİ TARİH","UYGUN"),"EKSİK"))</f>
        <v/>
      </c>
      <c r="N67" s="6" t="n"/>
      <c r="O67" s="6" t="n"/>
    </row>
    <row r="68">
      <c r="A68" s="6" t="n"/>
      <c r="B68" s="112">
        <f>IF($C68="","","GG"&amp;TEXT(ROW()-6,"00000"))</f>
        <v/>
      </c>
      <c r="C68" s="114" t="n"/>
      <c r="D68" s="107" t="n"/>
      <c r="E68" s="108" t="n"/>
      <c r="F68" s="108" t="n"/>
      <c r="G68" s="115" t="n"/>
      <c r="H68" s="107" t="n"/>
      <c r="I68" s="107" t="n"/>
      <c r="J68" s="108" t="n"/>
      <c r="K68" s="108" t="n"/>
      <c r="L68" s="119">
        <f>IF($C68="","",DATE(YEAR($C68),MONTH($C68),1))</f>
        <v/>
      </c>
      <c r="M68" s="112">
        <f>IF($C68="","",IF(AND($D68&lt;&gt;"",$E68&lt;&gt;"",$G68&gt;0,$H68&lt;&gt;"",$I68&lt;&gt;""),IF($C68&gt;TODAY(),"İLERİ TARİH","UYGUN"),"EKSİK"))</f>
        <v/>
      </c>
      <c r="N68" s="6" t="n"/>
      <c r="O68" s="6" t="n"/>
    </row>
    <row r="69">
      <c r="A69" s="6" t="n"/>
      <c r="B69" s="112">
        <f>IF($C69="","","GG"&amp;TEXT(ROW()-6,"00000"))</f>
        <v/>
      </c>
      <c r="C69" s="114" t="n"/>
      <c r="D69" s="107" t="n"/>
      <c r="E69" s="108" t="n"/>
      <c r="F69" s="108" t="n"/>
      <c r="G69" s="115" t="n"/>
      <c r="H69" s="107" t="n"/>
      <c r="I69" s="107" t="n"/>
      <c r="J69" s="108" t="n"/>
      <c r="K69" s="108" t="n"/>
      <c r="L69" s="119">
        <f>IF($C69="","",DATE(YEAR($C69),MONTH($C69),1))</f>
        <v/>
      </c>
      <c r="M69" s="112">
        <f>IF($C69="","",IF(AND($D69&lt;&gt;"",$E69&lt;&gt;"",$G69&gt;0,$H69&lt;&gt;"",$I69&lt;&gt;""),IF($C69&gt;TODAY(),"İLERİ TARİH","UYGUN"),"EKSİK"))</f>
        <v/>
      </c>
      <c r="N69" s="6" t="n"/>
      <c r="O69" s="6" t="n"/>
    </row>
    <row r="70">
      <c r="A70" s="6" t="n"/>
      <c r="B70" s="112">
        <f>IF($C70="","","GG"&amp;TEXT(ROW()-6,"00000"))</f>
        <v/>
      </c>
      <c r="C70" s="114" t="n"/>
      <c r="D70" s="107" t="n"/>
      <c r="E70" s="108" t="n"/>
      <c r="F70" s="108" t="n"/>
      <c r="G70" s="115" t="n"/>
      <c r="H70" s="107" t="n"/>
      <c r="I70" s="107" t="n"/>
      <c r="J70" s="108" t="n"/>
      <c r="K70" s="108" t="n"/>
      <c r="L70" s="119">
        <f>IF($C70="","",DATE(YEAR($C70),MONTH($C70),1))</f>
        <v/>
      </c>
      <c r="M70" s="112">
        <f>IF($C70="","",IF(AND($D70&lt;&gt;"",$E70&lt;&gt;"",$G70&gt;0,$H70&lt;&gt;"",$I70&lt;&gt;""),IF($C70&gt;TODAY(),"İLERİ TARİH","UYGUN"),"EKSİK"))</f>
        <v/>
      </c>
      <c r="N70" s="6" t="n"/>
      <c r="O70" s="6" t="n"/>
    </row>
    <row r="71">
      <c r="A71" s="6" t="n"/>
      <c r="B71" s="112">
        <f>IF($C71="","","GG"&amp;TEXT(ROW()-6,"00000"))</f>
        <v/>
      </c>
      <c r="C71" s="114" t="n"/>
      <c r="D71" s="107" t="n"/>
      <c r="E71" s="108" t="n"/>
      <c r="F71" s="108" t="n"/>
      <c r="G71" s="115" t="n"/>
      <c r="H71" s="107" t="n"/>
      <c r="I71" s="107" t="n"/>
      <c r="J71" s="108" t="n"/>
      <c r="K71" s="108" t="n"/>
      <c r="L71" s="119">
        <f>IF($C71="","",DATE(YEAR($C71),MONTH($C71),1))</f>
        <v/>
      </c>
      <c r="M71" s="112">
        <f>IF($C71="","",IF(AND($D71&lt;&gt;"",$E71&lt;&gt;"",$G71&gt;0,$H71&lt;&gt;"",$I71&lt;&gt;""),IF($C71&gt;TODAY(),"İLERİ TARİH","UYGUN"),"EKSİK"))</f>
        <v/>
      </c>
      <c r="N71" s="6" t="n"/>
      <c r="O71" s="6" t="n"/>
    </row>
    <row r="72">
      <c r="A72" s="6" t="n"/>
      <c r="B72" s="112">
        <f>IF($C72="","","GG"&amp;TEXT(ROW()-6,"00000"))</f>
        <v/>
      </c>
      <c r="C72" s="114" t="n"/>
      <c r="D72" s="107" t="n"/>
      <c r="E72" s="108" t="n"/>
      <c r="F72" s="108" t="n"/>
      <c r="G72" s="115" t="n"/>
      <c r="H72" s="107" t="n"/>
      <c r="I72" s="107" t="n"/>
      <c r="J72" s="108" t="n"/>
      <c r="K72" s="108" t="n"/>
      <c r="L72" s="119">
        <f>IF($C72="","",DATE(YEAR($C72),MONTH($C72),1))</f>
        <v/>
      </c>
      <c r="M72" s="112">
        <f>IF($C72="","",IF(AND($D72&lt;&gt;"",$E72&lt;&gt;"",$G72&gt;0,$H72&lt;&gt;"",$I72&lt;&gt;""),IF($C72&gt;TODAY(),"İLERİ TARİH","UYGUN"),"EKSİK"))</f>
        <v/>
      </c>
      <c r="N72" s="6" t="n"/>
      <c r="O72" s="6" t="n"/>
    </row>
    <row r="73">
      <c r="A73" s="6" t="n"/>
      <c r="B73" s="112">
        <f>IF($C73="","","GG"&amp;TEXT(ROW()-6,"00000"))</f>
        <v/>
      </c>
      <c r="C73" s="114" t="n"/>
      <c r="D73" s="107" t="n"/>
      <c r="E73" s="108" t="n"/>
      <c r="F73" s="108" t="n"/>
      <c r="G73" s="115" t="n"/>
      <c r="H73" s="107" t="n"/>
      <c r="I73" s="107" t="n"/>
      <c r="J73" s="108" t="n"/>
      <c r="K73" s="108" t="n"/>
      <c r="L73" s="119">
        <f>IF($C73="","",DATE(YEAR($C73),MONTH($C73),1))</f>
        <v/>
      </c>
      <c r="M73" s="112">
        <f>IF($C73="","",IF(AND($D73&lt;&gt;"",$E73&lt;&gt;"",$G73&gt;0,$H73&lt;&gt;"",$I73&lt;&gt;""),IF($C73&gt;TODAY(),"İLERİ TARİH","UYGUN"),"EKSİK"))</f>
        <v/>
      </c>
      <c r="N73" s="6" t="n"/>
      <c r="O73" s="6" t="n"/>
    </row>
    <row r="74">
      <c r="A74" s="6" t="n"/>
      <c r="B74" s="112">
        <f>IF($C74="","","GG"&amp;TEXT(ROW()-6,"00000"))</f>
        <v/>
      </c>
      <c r="C74" s="114" t="n"/>
      <c r="D74" s="107" t="n"/>
      <c r="E74" s="108" t="n"/>
      <c r="F74" s="108" t="n"/>
      <c r="G74" s="115" t="n"/>
      <c r="H74" s="107" t="n"/>
      <c r="I74" s="107" t="n"/>
      <c r="J74" s="108" t="n"/>
      <c r="K74" s="108" t="n"/>
      <c r="L74" s="119">
        <f>IF($C74="","",DATE(YEAR($C74),MONTH($C74),1))</f>
        <v/>
      </c>
      <c r="M74" s="112">
        <f>IF($C74="","",IF(AND($D74&lt;&gt;"",$E74&lt;&gt;"",$G74&gt;0,$H74&lt;&gt;"",$I74&lt;&gt;""),IF($C74&gt;TODAY(),"İLERİ TARİH","UYGUN"),"EKSİK"))</f>
        <v/>
      </c>
      <c r="N74" s="6" t="n"/>
      <c r="O74" s="6" t="n"/>
    </row>
    <row r="75">
      <c r="A75" s="6" t="n"/>
      <c r="B75" s="112">
        <f>IF($C75="","","GG"&amp;TEXT(ROW()-6,"00000"))</f>
        <v/>
      </c>
      <c r="C75" s="114" t="n"/>
      <c r="D75" s="107" t="n"/>
      <c r="E75" s="108" t="n"/>
      <c r="F75" s="108" t="n"/>
      <c r="G75" s="115" t="n"/>
      <c r="H75" s="107" t="n"/>
      <c r="I75" s="107" t="n"/>
      <c r="J75" s="108" t="n"/>
      <c r="K75" s="108" t="n"/>
      <c r="L75" s="119">
        <f>IF($C75="","",DATE(YEAR($C75),MONTH($C75),1))</f>
        <v/>
      </c>
      <c r="M75" s="112">
        <f>IF($C75="","",IF(AND($D75&lt;&gt;"",$E75&lt;&gt;"",$G75&gt;0,$H75&lt;&gt;"",$I75&lt;&gt;""),IF($C75&gt;TODAY(),"İLERİ TARİH","UYGUN"),"EKSİK"))</f>
        <v/>
      </c>
      <c r="N75" s="6" t="n"/>
      <c r="O75" s="6" t="n"/>
    </row>
    <row r="76">
      <c r="A76" s="6" t="n"/>
      <c r="B76" s="112">
        <f>IF($C76="","","GG"&amp;TEXT(ROW()-6,"00000"))</f>
        <v/>
      </c>
      <c r="C76" s="114" t="n"/>
      <c r="D76" s="107" t="n"/>
      <c r="E76" s="108" t="n"/>
      <c r="F76" s="108" t="n"/>
      <c r="G76" s="115" t="n"/>
      <c r="H76" s="107" t="n"/>
      <c r="I76" s="107" t="n"/>
      <c r="J76" s="108" t="n"/>
      <c r="K76" s="108" t="n"/>
      <c r="L76" s="119">
        <f>IF($C76="","",DATE(YEAR($C76),MONTH($C76),1))</f>
        <v/>
      </c>
      <c r="M76" s="112">
        <f>IF($C76="","",IF(AND($D76&lt;&gt;"",$E76&lt;&gt;"",$G76&gt;0,$H76&lt;&gt;"",$I76&lt;&gt;""),IF($C76&gt;TODAY(),"İLERİ TARİH","UYGUN"),"EKSİK"))</f>
        <v/>
      </c>
      <c r="N76" s="6" t="n"/>
      <c r="O76" s="6" t="n"/>
    </row>
    <row r="77">
      <c r="A77" s="6" t="n"/>
      <c r="B77" s="112">
        <f>IF($C77="","","GG"&amp;TEXT(ROW()-6,"00000"))</f>
        <v/>
      </c>
      <c r="C77" s="114" t="n"/>
      <c r="D77" s="107" t="n"/>
      <c r="E77" s="108" t="n"/>
      <c r="F77" s="108" t="n"/>
      <c r="G77" s="115" t="n"/>
      <c r="H77" s="107" t="n"/>
      <c r="I77" s="107" t="n"/>
      <c r="J77" s="108" t="n"/>
      <c r="K77" s="108" t="n"/>
      <c r="L77" s="119">
        <f>IF($C77="","",DATE(YEAR($C77),MONTH($C77),1))</f>
        <v/>
      </c>
      <c r="M77" s="112">
        <f>IF($C77="","",IF(AND($D77&lt;&gt;"",$E77&lt;&gt;"",$G77&gt;0,$H77&lt;&gt;"",$I77&lt;&gt;""),IF($C77&gt;TODAY(),"İLERİ TARİH","UYGUN"),"EKSİK"))</f>
        <v/>
      </c>
      <c r="N77" s="6" t="n"/>
      <c r="O77" s="6" t="n"/>
    </row>
    <row r="78">
      <c r="A78" s="6" t="n"/>
      <c r="B78" s="112">
        <f>IF($C78="","","GG"&amp;TEXT(ROW()-6,"00000"))</f>
        <v/>
      </c>
      <c r="C78" s="114" t="n"/>
      <c r="D78" s="107" t="n"/>
      <c r="E78" s="108" t="n"/>
      <c r="F78" s="108" t="n"/>
      <c r="G78" s="115" t="n"/>
      <c r="H78" s="107" t="n"/>
      <c r="I78" s="107" t="n"/>
      <c r="J78" s="108" t="n"/>
      <c r="K78" s="108" t="n"/>
      <c r="L78" s="119">
        <f>IF($C78="","",DATE(YEAR($C78),MONTH($C78),1))</f>
        <v/>
      </c>
      <c r="M78" s="112">
        <f>IF($C78="","",IF(AND($D78&lt;&gt;"",$E78&lt;&gt;"",$G78&gt;0,$H78&lt;&gt;"",$I78&lt;&gt;""),IF($C78&gt;TODAY(),"İLERİ TARİH","UYGUN"),"EKSİK"))</f>
        <v/>
      </c>
      <c r="N78" s="6" t="n"/>
      <c r="O78" s="6" t="n"/>
    </row>
    <row r="79">
      <c r="A79" s="6" t="n"/>
      <c r="B79" s="112">
        <f>IF($C79="","","GG"&amp;TEXT(ROW()-6,"00000"))</f>
        <v/>
      </c>
      <c r="C79" s="114" t="n"/>
      <c r="D79" s="107" t="n"/>
      <c r="E79" s="108" t="n"/>
      <c r="F79" s="108" t="n"/>
      <c r="G79" s="115" t="n"/>
      <c r="H79" s="107" t="n"/>
      <c r="I79" s="107" t="n"/>
      <c r="J79" s="108" t="n"/>
      <c r="K79" s="108" t="n"/>
      <c r="L79" s="119">
        <f>IF($C79="","",DATE(YEAR($C79),MONTH($C79),1))</f>
        <v/>
      </c>
      <c r="M79" s="112">
        <f>IF($C79="","",IF(AND($D79&lt;&gt;"",$E79&lt;&gt;"",$G79&gt;0,$H79&lt;&gt;"",$I79&lt;&gt;""),IF($C79&gt;TODAY(),"İLERİ TARİH","UYGUN"),"EKSİK"))</f>
        <v/>
      </c>
      <c r="N79" s="6" t="n"/>
      <c r="O79" s="6" t="n"/>
    </row>
    <row r="80">
      <c r="A80" s="6" t="n"/>
      <c r="B80" s="112">
        <f>IF($C80="","","GG"&amp;TEXT(ROW()-6,"00000"))</f>
        <v/>
      </c>
      <c r="C80" s="114" t="n"/>
      <c r="D80" s="107" t="n"/>
      <c r="E80" s="108" t="n"/>
      <c r="F80" s="108" t="n"/>
      <c r="G80" s="115" t="n"/>
      <c r="H80" s="107" t="n"/>
      <c r="I80" s="107" t="n"/>
      <c r="J80" s="108" t="n"/>
      <c r="K80" s="108" t="n"/>
      <c r="L80" s="119">
        <f>IF($C80="","",DATE(YEAR($C80),MONTH($C80),1))</f>
        <v/>
      </c>
      <c r="M80" s="112">
        <f>IF($C80="","",IF(AND($D80&lt;&gt;"",$E80&lt;&gt;"",$G80&gt;0,$H80&lt;&gt;"",$I80&lt;&gt;""),IF($C80&gt;TODAY(),"İLERİ TARİH","UYGUN"),"EKSİK"))</f>
        <v/>
      </c>
      <c r="N80" s="6" t="n"/>
      <c r="O80" s="6" t="n"/>
    </row>
    <row r="81">
      <c r="A81" s="6" t="n"/>
      <c r="B81" s="112">
        <f>IF($C81="","","GG"&amp;TEXT(ROW()-6,"00000"))</f>
        <v/>
      </c>
      <c r="C81" s="114" t="n"/>
      <c r="D81" s="107" t="n"/>
      <c r="E81" s="108" t="n"/>
      <c r="F81" s="108" t="n"/>
      <c r="G81" s="115" t="n"/>
      <c r="H81" s="107" t="n"/>
      <c r="I81" s="107" t="n"/>
      <c r="J81" s="108" t="n"/>
      <c r="K81" s="108" t="n"/>
      <c r="L81" s="119">
        <f>IF($C81="","",DATE(YEAR($C81),MONTH($C81),1))</f>
        <v/>
      </c>
      <c r="M81" s="112">
        <f>IF($C81="","",IF(AND($D81&lt;&gt;"",$E81&lt;&gt;"",$G81&gt;0,$H81&lt;&gt;"",$I81&lt;&gt;""),IF($C81&gt;TODAY(),"İLERİ TARİH","UYGUN"),"EKSİK"))</f>
        <v/>
      </c>
      <c r="N81" s="6" t="n"/>
      <c r="O81" s="6" t="n"/>
    </row>
    <row r="82">
      <c r="A82" s="6" t="n"/>
      <c r="B82" s="112">
        <f>IF($C82="","","GG"&amp;TEXT(ROW()-6,"00000"))</f>
        <v/>
      </c>
      <c r="C82" s="114" t="n"/>
      <c r="D82" s="107" t="n"/>
      <c r="E82" s="108" t="n"/>
      <c r="F82" s="108" t="n"/>
      <c r="G82" s="115" t="n"/>
      <c r="H82" s="107" t="n"/>
      <c r="I82" s="107" t="n"/>
      <c r="J82" s="108" t="n"/>
      <c r="K82" s="108" t="n"/>
      <c r="L82" s="119">
        <f>IF($C82="","",DATE(YEAR($C82),MONTH($C82),1))</f>
        <v/>
      </c>
      <c r="M82" s="112">
        <f>IF($C82="","",IF(AND($D82&lt;&gt;"",$E82&lt;&gt;"",$G82&gt;0,$H82&lt;&gt;"",$I82&lt;&gt;""),IF($C82&gt;TODAY(),"İLERİ TARİH","UYGUN"),"EKSİK"))</f>
        <v/>
      </c>
      <c r="N82" s="6" t="n"/>
      <c r="O82" s="6" t="n"/>
    </row>
    <row r="83">
      <c r="A83" s="6" t="n"/>
      <c r="B83" s="112">
        <f>IF($C83="","","GG"&amp;TEXT(ROW()-6,"00000"))</f>
        <v/>
      </c>
      <c r="C83" s="114" t="n"/>
      <c r="D83" s="107" t="n"/>
      <c r="E83" s="108" t="n"/>
      <c r="F83" s="108" t="n"/>
      <c r="G83" s="115" t="n"/>
      <c r="H83" s="107" t="n"/>
      <c r="I83" s="107" t="n"/>
      <c r="J83" s="108" t="n"/>
      <c r="K83" s="108" t="n"/>
      <c r="L83" s="119">
        <f>IF($C83="","",DATE(YEAR($C83),MONTH($C83),1))</f>
        <v/>
      </c>
      <c r="M83" s="112">
        <f>IF($C83="","",IF(AND($D83&lt;&gt;"",$E83&lt;&gt;"",$G83&gt;0,$H83&lt;&gt;"",$I83&lt;&gt;""),IF($C83&gt;TODAY(),"İLERİ TARİH","UYGUN"),"EKSİK"))</f>
        <v/>
      </c>
      <c r="N83" s="6" t="n"/>
      <c r="O83" s="6" t="n"/>
    </row>
    <row r="84">
      <c r="A84" s="6" t="n"/>
      <c r="B84" s="112">
        <f>IF($C84="","","GG"&amp;TEXT(ROW()-6,"00000"))</f>
        <v/>
      </c>
      <c r="C84" s="114" t="n"/>
      <c r="D84" s="107" t="n"/>
      <c r="E84" s="108" t="n"/>
      <c r="F84" s="108" t="n"/>
      <c r="G84" s="115" t="n"/>
      <c r="H84" s="107" t="n"/>
      <c r="I84" s="107" t="n"/>
      <c r="J84" s="108" t="n"/>
      <c r="K84" s="108" t="n"/>
      <c r="L84" s="119">
        <f>IF($C84="","",DATE(YEAR($C84),MONTH($C84),1))</f>
        <v/>
      </c>
      <c r="M84" s="112">
        <f>IF($C84="","",IF(AND($D84&lt;&gt;"",$E84&lt;&gt;"",$G84&gt;0,$H84&lt;&gt;"",$I84&lt;&gt;""),IF($C84&gt;TODAY(),"İLERİ TARİH","UYGUN"),"EKSİK"))</f>
        <v/>
      </c>
      <c r="N84" s="6" t="n"/>
      <c r="O84" s="6" t="n"/>
    </row>
    <row r="85">
      <c r="A85" s="6" t="n"/>
      <c r="B85" s="112">
        <f>IF($C85="","","GG"&amp;TEXT(ROW()-6,"00000"))</f>
        <v/>
      </c>
      <c r="C85" s="114" t="n"/>
      <c r="D85" s="107" t="n"/>
      <c r="E85" s="108" t="n"/>
      <c r="F85" s="108" t="n"/>
      <c r="G85" s="115" t="n"/>
      <c r="H85" s="107" t="n"/>
      <c r="I85" s="107" t="n"/>
      <c r="J85" s="108" t="n"/>
      <c r="K85" s="108" t="n"/>
      <c r="L85" s="119">
        <f>IF($C85="","",DATE(YEAR($C85),MONTH($C85),1))</f>
        <v/>
      </c>
      <c r="M85" s="112">
        <f>IF($C85="","",IF(AND($D85&lt;&gt;"",$E85&lt;&gt;"",$G85&gt;0,$H85&lt;&gt;"",$I85&lt;&gt;""),IF($C85&gt;TODAY(),"İLERİ TARİH","UYGUN"),"EKSİK"))</f>
        <v/>
      </c>
      <c r="N85" s="6" t="n"/>
      <c r="O85" s="6" t="n"/>
    </row>
    <row r="86">
      <c r="A86" s="6" t="n"/>
      <c r="B86" s="112">
        <f>IF($C86="","","GG"&amp;TEXT(ROW()-6,"00000"))</f>
        <v/>
      </c>
      <c r="C86" s="114" t="n"/>
      <c r="D86" s="107" t="n"/>
      <c r="E86" s="108" t="n"/>
      <c r="F86" s="108" t="n"/>
      <c r="G86" s="115" t="n"/>
      <c r="H86" s="107" t="n"/>
      <c r="I86" s="107" t="n"/>
      <c r="J86" s="108" t="n"/>
      <c r="K86" s="108" t="n"/>
      <c r="L86" s="119">
        <f>IF($C86="","",DATE(YEAR($C86),MONTH($C86),1))</f>
        <v/>
      </c>
      <c r="M86" s="112">
        <f>IF($C86="","",IF(AND($D86&lt;&gt;"",$E86&lt;&gt;"",$G86&gt;0,$H86&lt;&gt;"",$I86&lt;&gt;""),IF($C86&gt;TODAY(),"İLERİ TARİH","UYGUN"),"EKSİK"))</f>
        <v/>
      </c>
      <c r="N86" s="6" t="n"/>
      <c r="O86" s="6" t="n"/>
    </row>
    <row r="87">
      <c r="A87" s="6" t="n"/>
      <c r="B87" s="112">
        <f>IF($C87="","","GG"&amp;TEXT(ROW()-6,"00000"))</f>
        <v/>
      </c>
      <c r="C87" s="114" t="n"/>
      <c r="D87" s="107" t="n"/>
      <c r="E87" s="108" t="n"/>
      <c r="F87" s="108" t="n"/>
      <c r="G87" s="115" t="n"/>
      <c r="H87" s="107" t="n"/>
      <c r="I87" s="107" t="n"/>
      <c r="J87" s="108" t="n"/>
      <c r="K87" s="108" t="n"/>
      <c r="L87" s="119">
        <f>IF($C87="","",DATE(YEAR($C87),MONTH($C87),1))</f>
        <v/>
      </c>
      <c r="M87" s="112">
        <f>IF($C87="","",IF(AND($D87&lt;&gt;"",$E87&lt;&gt;"",$G87&gt;0,$H87&lt;&gt;"",$I87&lt;&gt;""),IF($C87&gt;TODAY(),"İLERİ TARİH","UYGUN"),"EKSİK"))</f>
        <v/>
      </c>
      <c r="N87" s="6" t="n"/>
      <c r="O87" s="6" t="n"/>
    </row>
    <row r="88">
      <c r="A88" s="6" t="n"/>
      <c r="B88" s="112">
        <f>IF($C88="","","GG"&amp;TEXT(ROW()-6,"00000"))</f>
        <v/>
      </c>
      <c r="C88" s="114" t="n"/>
      <c r="D88" s="107" t="n"/>
      <c r="E88" s="108" t="n"/>
      <c r="F88" s="108" t="n"/>
      <c r="G88" s="115" t="n"/>
      <c r="H88" s="107" t="n"/>
      <c r="I88" s="107" t="n"/>
      <c r="J88" s="108" t="n"/>
      <c r="K88" s="108" t="n"/>
      <c r="L88" s="119">
        <f>IF($C88="","",DATE(YEAR($C88),MONTH($C88),1))</f>
        <v/>
      </c>
      <c r="M88" s="112">
        <f>IF($C88="","",IF(AND($D88&lt;&gt;"",$E88&lt;&gt;"",$G88&gt;0,$H88&lt;&gt;"",$I88&lt;&gt;""),IF($C88&gt;TODAY(),"İLERİ TARİH","UYGUN"),"EKSİK"))</f>
        <v/>
      </c>
      <c r="N88" s="6" t="n"/>
      <c r="O88" s="6" t="n"/>
    </row>
    <row r="89">
      <c r="A89" s="6" t="n"/>
      <c r="B89" s="112">
        <f>IF($C89="","","GG"&amp;TEXT(ROW()-6,"00000"))</f>
        <v/>
      </c>
      <c r="C89" s="114" t="n"/>
      <c r="D89" s="107" t="n"/>
      <c r="E89" s="108" t="n"/>
      <c r="F89" s="108" t="n"/>
      <c r="G89" s="115" t="n"/>
      <c r="H89" s="107" t="n"/>
      <c r="I89" s="107" t="n"/>
      <c r="J89" s="108" t="n"/>
      <c r="K89" s="108" t="n"/>
      <c r="L89" s="119">
        <f>IF($C89="","",DATE(YEAR($C89),MONTH($C89),1))</f>
        <v/>
      </c>
      <c r="M89" s="112">
        <f>IF($C89="","",IF(AND($D89&lt;&gt;"",$E89&lt;&gt;"",$G89&gt;0,$H89&lt;&gt;"",$I89&lt;&gt;""),IF($C89&gt;TODAY(),"İLERİ TARİH","UYGUN"),"EKSİK"))</f>
        <v/>
      </c>
      <c r="N89" s="6" t="n"/>
      <c r="O89" s="6" t="n"/>
    </row>
    <row r="90">
      <c r="A90" s="6" t="n"/>
      <c r="B90" s="112">
        <f>IF($C90="","","GG"&amp;TEXT(ROW()-6,"00000"))</f>
        <v/>
      </c>
      <c r="C90" s="114" t="n"/>
      <c r="D90" s="107" t="n"/>
      <c r="E90" s="108" t="n"/>
      <c r="F90" s="108" t="n"/>
      <c r="G90" s="115" t="n"/>
      <c r="H90" s="107" t="n"/>
      <c r="I90" s="107" t="n"/>
      <c r="J90" s="108" t="n"/>
      <c r="K90" s="108" t="n"/>
      <c r="L90" s="119">
        <f>IF($C90="","",DATE(YEAR($C90),MONTH($C90),1))</f>
        <v/>
      </c>
      <c r="M90" s="112">
        <f>IF($C90="","",IF(AND($D90&lt;&gt;"",$E90&lt;&gt;"",$G90&gt;0,$H90&lt;&gt;"",$I90&lt;&gt;""),IF($C90&gt;TODAY(),"İLERİ TARİH","UYGUN"),"EKSİK"))</f>
        <v/>
      </c>
      <c r="N90" s="6" t="n"/>
      <c r="O90" s="6" t="n"/>
    </row>
    <row r="91">
      <c r="A91" s="6" t="n"/>
      <c r="B91" s="112">
        <f>IF($C91="","","GG"&amp;TEXT(ROW()-6,"00000"))</f>
        <v/>
      </c>
      <c r="C91" s="114" t="n"/>
      <c r="D91" s="107" t="n"/>
      <c r="E91" s="108" t="n"/>
      <c r="F91" s="108" t="n"/>
      <c r="G91" s="115" t="n"/>
      <c r="H91" s="107" t="n"/>
      <c r="I91" s="107" t="n"/>
      <c r="J91" s="108" t="n"/>
      <c r="K91" s="108" t="n"/>
      <c r="L91" s="119">
        <f>IF($C91="","",DATE(YEAR($C91),MONTH($C91),1))</f>
        <v/>
      </c>
      <c r="M91" s="112">
        <f>IF($C91="","",IF(AND($D91&lt;&gt;"",$E91&lt;&gt;"",$G91&gt;0,$H91&lt;&gt;"",$I91&lt;&gt;""),IF($C91&gt;TODAY(),"İLERİ TARİH","UYGUN"),"EKSİK"))</f>
        <v/>
      </c>
      <c r="N91" s="6" t="n"/>
      <c r="O91" s="6" t="n"/>
    </row>
    <row r="92">
      <c r="A92" s="6" t="n"/>
      <c r="B92" s="112">
        <f>IF($C92="","","GG"&amp;TEXT(ROW()-6,"00000"))</f>
        <v/>
      </c>
      <c r="C92" s="114" t="n"/>
      <c r="D92" s="107" t="n"/>
      <c r="E92" s="108" t="n"/>
      <c r="F92" s="108" t="n"/>
      <c r="G92" s="115" t="n"/>
      <c r="H92" s="107" t="n"/>
      <c r="I92" s="107" t="n"/>
      <c r="J92" s="108" t="n"/>
      <c r="K92" s="108" t="n"/>
      <c r="L92" s="119">
        <f>IF($C92="","",DATE(YEAR($C92),MONTH($C92),1))</f>
        <v/>
      </c>
      <c r="M92" s="112">
        <f>IF($C92="","",IF(AND($D92&lt;&gt;"",$E92&lt;&gt;"",$G92&gt;0,$H92&lt;&gt;"",$I92&lt;&gt;""),IF($C92&gt;TODAY(),"İLERİ TARİH","UYGUN"),"EKSİK"))</f>
        <v/>
      </c>
      <c r="N92" s="6" t="n"/>
      <c r="O92" s="6" t="n"/>
    </row>
    <row r="93">
      <c r="A93" s="6" t="n"/>
      <c r="B93" s="112">
        <f>IF($C93="","","GG"&amp;TEXT(ROW()-6,"00000"))</f>
        <v/>
      </c>
      <c r="C93" s="114" t="n"/>
      <c r="D93" s="107" t="n"/>
      <c r="E93" s="108" t="n"/>
      <c r="F93" s="108" t="n"/>
      <c r="G93" s="115" t="n"/>
      <c r="H93" s="107" t="n"/>
      <c r="I93" s="107" t="n"/>
      <c r="J93" s="108" t="n"/>
      <c r="K93" s="108" t="n"/>
      <c r="L93" s="119">
        <f>IF($C93="","",DATE(YEAR($C93),MONTH($C93),1))</f>
        <v/>
      </c>
      <c r="M93" s="112">
        <f>IF($C93="","",IF(AND($D93&lt;&gt;"",$E93&lt;&gt;"",$G93&gt;0,$H93&lt;&gt;"",$I93&lt;&gt;""),IF($C93&gt;TODAY(),"İLERİ TARİH","UYGUN"),"EKSİK"))</f>
        <v/>
      </c>
      <c r="N93" s="6" t="n"/>
      <c r="O93" s="6" t="n"/>
    </row>
    <row r="94">
      <c r="A94" s="6" t="n"/>
      <c r="B94" s="112">
        <f>IF($C94="","","GG"&amp;TEXT(ROW()-6,"00000"))</f>
        <v/>
      </c>
      <c r="C94" s="114" t="n"/>
      <c r="D94" s="107" t="n"/>
      <c r="E94" s="108" t="n"/>
      <c r="F94" s="108" t="n"/>
      <c r="G94" s="115" t="n"/>
      <c r="H94" s="107" t="n"/>
      <c r="I94" s="107" t="n"/>
      <c r="J94" s="108" t="n"/>
      <c r="K94" s="108" t="n"/>
      <c r="L94" s="119">
        <f>IF($C94="","",DATE(YEAR($C94),MONTH($C94),1))</f>
        <v/>
      </c>
      <c r="M94" s="112">
        <f>IF($C94="","",IF(AND($D94&lt;&gt;"",$E94&lt;&gt;"",$G94&gt;0,$H94&lt;&gt;"",$I94&lt;&gt;""),IF($C94&gt;TODAY(),"İLERİ TARİH","UYGUN"),"EKSİK"))</f>
        <v/>
      </c>
      <c r="N94" s="6" t="n"/>
      <c r="O94" s="6" t="n"/>
    </row>
    <row r="95">
      <c r="A95" s="6" t="n"/>
      <c r="B95" s="112">
        <f>IF($C95="","","GG"&amp;TEXT(ROW()-6,"00000"))</f>
        <v/>
      </c>
      <c r="C95" s="114" t="n"/>
      <c r="D95" s="107" t="n"/>
      <c r="E95" s="108" t="n"/>
      <c r="F95" s="108" t="n"/>
      <c r="G95" s="115" t="n"/>
      <c r="H95" s="107" t="n"/>
      <c r="I95" s="107" t="n"/>
      <c r="J95" s="108" t="n"/>
      <c r="K95" s="108" t="n"/>
      <c r="L95" s="119">
        <f>IF($C95="","",DATE(YEAR($C95),MONTH($C95),1))</f>
        <v/>
      </c>
      <c r="M95" s="112">
        <f>IF($C95="","",IF(AND($D95&lt;&gt;"",$E95&lt;&gt;"",$G95&gt;0,$H95&lt;&gt;"",$I95&lt;&gt;""),IF($C95&gt;TODAY(),"İLERİ TARİH","UYGUN"),"EKSİK"))</f>
        <v/>
      </c>
      <c r="N95" s="6" t="n"/>
      <c r="O95" s="6" t="n"/>
    </row>
    <row r="96">
      <c r="A96" s="6" t="n"/>
      <c r="B96" s="112">
        <f>IF($C96="","","GG"&amp;TEXT(ROW()-6,"00000"))</f>
        <v/>
      </c>
      <c r="C96" s="114" t="n"/>
      <c r="D96" s="107" t="n"/>
      <c r="E96" s="108" t="n"/>
      <c r="F96" s="108" t="n"/>
      <c r="G96" s="115" t="n"/>
      <c r="H96" s="107" t="n"/>
      <c r="I96" s="107" t="n"/>
      <c r="J96" s="108" t="n"/>
      <c r="K96" s="108" t="n"/>
      <c r="L96" s="119">
        <f>IF($C96="","",DATE(YEAR($C96),MONTH($C96),1))</f>
        <v/>
      </c>
      <c r="M96" s="112">
        <f>IF($C96="","",IF(AND($D96&lt;&gt;"",$E96&lt;&gt;"",$G96&gt;0,$H96&lt;&gt;"",$I96&lt;&gt;""),IF($C96&gt;TODAY(),"İLERİ TARİH","UYGUN"),"EKSİK"))</f>
        <v/>
      </c>
      <c r="N96" s="6" t="n"/>
      <c r="O96" s="6" t="n"/>
    </row>
    <row r="97">
      <c r="A97" s="6" t="n"/>
      <c r="B97" s="112">
        <f>IF($C97="","","GG"&amp;TEXT(ROW()-6,"00000"))</f>
        <v/>
      </c>
      <c r="C97" s="114" t="n"/>
      <c r="D97" s="107" t="n"/>
      <c r="E97" s="108" t="n"/>
      <c r="F97" s="108" t="n"/>
      <c r="G97" s="115" t="n"/>
      <c r="H97" s="107" t="n"/>
      <c r="I97" s="107" t="n"/>
      <c r="J97" s="108" t="n"/>
      <c r="K97" s="108" t="n"/>
      <c r="L97" s="119">
        <f>IF($C97="","",DATE(YEAR($C97),MONTH($C97),1))</f>
        <v/>
      </c>
      <c r="M97" s="112">
        <f>IF($C97="","",IF(AND($D97&lt;&gt;"",$E97&lt;&gt;"",$G97&gt;0,$H97&lt;&gt;"",$I97&lt;&gt;""),IF($C97&gt;TODAY(),"İLERİ TARİH","UYGUN"),"EKSİK"))</f>
        <v/>
      </c>
      <c r="N97" s="6" t="n"/>
      <c r="O97" s="6" t="n"/>
    </row>
    <row r="98">
      <c r="A98" s="6" t="n"/>
      <c r="B98" s="112">
        <f>IF($C98="","","GG"&amp;TEXT(ROW()-6,"00000"))</f>
        <v/>
      </c>
      <c r="C98" s="114" t="n"/>
      <c r="D98" s="107" t="n"/>
      <c r="E98" s="108" t="n"/>
      <c r="F98" s="108" t="n"/>
      <c r="G98" s="115" t="n"/>
      <c r="H98" s="107" t="n"/>
      <c r="I98" s="107" t="n"/>
      <c r="J98" s="108" t="n"/>
      <c r="K98" s="108" t="n"/>
      <c r="L98" s="119">
        <f>IF($C98="","",DATE(YEAR($C98),MONTH($C98),1))</f>
        <v/>
      </c>
      <c r="M98" s="112">
        <f>IF($C98="","",IF(AND($D98&lt;&gt;"",$E98&lt;&gt;"",$G98&gt;0,$H98&lt;&gt;"",$I98&lt;&gt;""),IF($C98&gt;TODAY(),"İLERİ TARİH","UYGUN"),"EKSİK"))</f>
        <v/>
      </c>
      <c r="N98" s="6" t="n"/>
      <c r="O98" s="6" t="n"/>
    </row>
    <row r="99">
      <c r="A99" s="6" t="n"/>
      <c r="B99" s="112">
        <f>IF($C99="","","GG"&amp;TEXT(ROW()-6,"00000"))</f>
        <v/>
      </c>
      <c r="C99" s="114" t="n"/>
      <c r="D99" s="107" t="n"/>
      <c r="E99" s="108" t="n"/>
      <c r="F99" s="108" t="n"/>
      <c r="G99" s="115" t="n"/>
      <c r="H99" s="107" t="n"/>
      <c r="I99" s="107" t="n"/>
      <c r="J99" s="108" t="n"/>
      <c r="K99" s="108" t="n"/>
      <c r="L99" s="119">
        <f>IF($C99="","",DATE(YEAR($C99),MONTH($C99),1))</f>
        <v/>
      </c>
      <c r="M99" s="112">
        <f>IF($C99="","",IF(AND($D99&lt;&gt;"",$E99&lt;&gt;"",$G99&gt;0,$H99&lt;&gt;"",$I99&lt;&gt;""),IF($C99&gt;TODAY(),"İLERİ TARİH","UYGUN"),"EKSİK"))</f>
        <v/>
      </c>
      <c r="N99" s="6" t="n"/>
      <c r="O99" s="6" t="n"/>
    </row>
    <row r="100">
      <c r="A100" s="6" t="n"/>
      <c r="B100" s="112">
        <f>IF($C100="","","GG"&amp;TEXT(ROW()-6,"00000"))</f>
        <v/>
      </c>
      <c r="C100" s="114" t="n"/>
      <c r="D100" s="107" t="n"/>
      <c r="E100" s="108" t="n"/>
      <c r="F100" s="108" t="n"/>
      <c r="G100" s="115" t="n"/>
      <c r="H100" s="107" t="n"/>
      <c r="I100" s="107" t="n"/>
      <c r="J100" s="108" t="n"/>
      <c r="K100" s="108" t="n"/>
      <c r="L100" s="119">
        <f>IF($C100="","",DATE(YEAR($C100),MONTH($C100),1))</f>
        <v/>
      </c>
      <c r="M100" s="112">
        <f>IF($C100="","",IF(AND($D100&lt;&gt;"",$E100&lt;&gt;"",$G100&gt;0,$H100&lt;&gt;"",$I100&lt;&gt;""),IF($C100&gt;TODAY(),"İLERİ TARİH","UYGUN"),"EKSİK"))</f>
        <v/>
      </c>
      <c r="N100" s="6" t="n"/>
      <c r="O100" s="6" t="n"/>
    </row>
    <row r="101">
      <c r="A101" s="6" t="n"/>
      <c r="B101" s="112">
        <f>IF($C101="","","GG"&amp;TEXT(ROW()-6,"00000"))</f>
        <v/>
      </c>
      <c r="C101" s="114" t="n"/>
      <c r="D101" s="107" t="n"/>
      <c r="E101" s="108" t="n"/>
      <c r="F101" s="108" t="n"/>
      <c r="G101" s="115" t="n"/>
      <c r="H101" s="107" t="n"/>
      <c r="I101" s="107" t="n"/>
      <c r="J101" s="108" t="n"/>
      <c r="K101" s="108" t="n"/>
      <c r="L101" s="119">
        <f>IF($C101="","",DATE(YEAR($C101),MONTH($C101),1))</f>
        <v/>
      </c>
      <c r="M101" s="112">
        <f>IF($C101="","",IF(AND($D101&lt;&gt;"",$E101&lt;&gt;"",$G101&gt;0,$H101&lt;&gt;"",$I101&lt;&gt;""),IF($C101&gt;TODAY(),"İLERİ TARİH","UYGUN"),"EKSİK"))</f>
        <v/>
      </c>
      <c r="N101" s="6" t="n"/>
      <c r="O101" s="6" t="n"/>
    </row>
    <row r="102">
      <c r="A102" s="6" t="n"/>
      <c r="B102" s="112">
        <f>IF($C102="","","GG"&amp;TEXT(ROW()-6,"00000"))</f>
        <v/>
      </c>
      <c r="C102" s="114" t="n"/>
      <c r="D102" s="107" t="n"/>
      <c r="E102" s="108" t="n"/>
      <c r="F102" s="108" t="n"/>
      <c r="G102" s="115" t="n"/>
      <c r="H102" s="107" t="n"/>
      <c r="I102" s="107" t="n"/>
      <c r="J102" s="108" t="n"/>
      <c r="K102" s="108" t="n"/>
      <c r="L102" s="119">
        <f>IF($C102="","",DATE(YEAR($C102),MONTH($C102),1))</f>
        <v/>
      </c>
      <c r="M102" s="112">
        <f>IF($C102="","",IF(AND($D102&lt;&gt;"",$E102&lt;&gt;"",$G102&gt;0,$H102&lt;&gt;"",$I102&lt;&gt;""),IF($C102&gt;TODAY(),"İLERİ TARİH","UYGUN"),"EKSİK"))</f>
        <v/>
      </c>
      <c r="N102" s="6" t="n"/>
      <c r="O102" s="6" t="n"/>
    </row>
    <row r="103">
      <c r="A103" s="6" t="n"/>
      <c r="B103" s="112">
        <f>IF($C103="","","GG"&amp;TEXT(ROW()-6,"00000"))</f>
        <v/>
      </c>
      <c r="C103" s="114" t="n"/>
      <c r="D103" s="107" t="n"/>
      <c r="E103" s="108" t="n"/>
      <c r="F103" s="108" t="n"/>
      <c r="G103" s="115" t="n"/>
      <c r="H103" s="107" t="n"/>
      <c r="I103" s="107" t="n"/>
      <c r="J103" s="108" t="n"/>
      <c r="K103" s="108" t="n"/>
      <c r="L103" s="119">
        <f>IF($C103="","",DATE(YEAR($C103),MONTH($C103),1))</f>
        <v/>
      </c>
      <c r="M103" s="112">
        <f>IF($C103="","",IF(AND($D103&lt;&gt;"",$E103&lt;&gt;"",$G103&gt;0,$H103&lt;&gt;"",$I103&lt;&gt;""),IF($C103&gt;TODAY(),"İLERİ TARİH","UYGUN"),"EKSİK"))</f>
        <v/>
      </c>
      <c r="N103" s="6" t="n"/>
      <c r="O103" s="6" t="n"/>
    </row>
    <row r="104">
      <c r="A104" s="6" t="n"/>
      <c r="B104" s="112">
        <f>IF($C104="","","GG"&amp;TEXT(ROW()-6,"00000"))</f>
        <v/>
      </c>
      <c r="C104" s="114" t="n"/>
      <c r="D104" s="107" t="n"/>
      <c r="E104" s="108" t="n"/>
      <c r="F104" s="108" t="n"/>
      <c r="G104" s="115" t="n"/>
      <c r="H104" s="107" t="n"/>
      <c r="I104" s="107" t="n"/>
      <c r="J104" s="108" t="n"/>
      <c r="K104" s="108" t="n"/>
      <c r="L104" s="119">
        <f>IF($C104="","",DATE(YEAR($C104),MONTH($C104),1))</f>
        <v/>
      </c>
      <c r="M104" s="112">
        <f>IF($C104="","",IF(AND($D104&lt;&gt;"",$E104&lt;&gt;"",$G104&gt;0,$H104&lt;&gt;"",$I104&lt;&gt;""),IF($C104&gt;TODAY(),"İLERİ TARİH","UYGUN"),"EKSİK"))</f>
        <v/>
      </c>
      <c r="N104" s="6" t="n"/>
      <c r="O104" s="6" t="n"/>
    </row>
    <row r="105">
      <c r="A105" s="6" t="n"/>
      <c r="B105" s="112">
        <f>IF($C105="","","GG"&amp;TEXT(ROW()-6,"00000"))</f>
        <v/>
      </c>
      <c r="C105" s="114" t="n"/>
      <c r="D105" s="107" t="n"/>
      <c r="E105" s="108" t="n"/>
      <c r="F105" s="108" t="n"/>
      <c r="G105" s="115" t="n"/>
      <c r="H105" s="107" t="n"/>
      <c r="I105" s="107" t="n"/>
      <c r="J105" s="108" t="n"/>
      <c r="K105" s="108" t="n"/>
      <c r="L105" s="119">
        <f>IF($C105="","",DATE(YEAR($C105),MONTH($C105),1))</f>
        <v/>
      </c>
      <c r="M105" s="112">
        <f>IF($C105="","",IF(AND($D105&lt;&gt;"",$E105&lt;&gt;"",$G105&gt;0,$H105&lt;&gt;"",$I105&lt;&gt;""),IF($C105&gt;TODAY(),"İLERİ TARİH","UYGUN"),"EKSİK"))</f>
        <v/>
      </c>
      <c r="N105" s="6" t="n"/>
      <c r="O105" s="6" t="n"/>
    </row>
    <row r="106">
      <c r="A106" s="6" t="n"/>
      <c r="B106" s="112">
        <f>IF($C106="","","GG"&amp;TEXT(ROW()-6,"00000"))</f>
        <v/>
      </c>
      <c r="C106" s="114" t="n"/>
      <c r="D106" s="107" t="n"/>
      <c r="E106" s="108" t="n"/>
      <c r="F106" s="108" t="n"/>
      <c r="G106" s="115" t="n"/>
      <c r="H106" s="107" t="n"/>
      <c r="I106" s="107" t="n"/>
      <c r="J106" s="108" t="n"/>
      <c r="K106" s="108" t="n"/>
      <c r="L106" s="119">
        <f>IF($C106="","",DATE(YEAR($C106),MONTH($C106),1))</f>
        <v/>
      </c>
      <c r="M106" s="112">
        <f>IF($C106="","",IF(AND($D106&lt;&gt;"",$E106&lt;&gt;"",$G106&gt;0,$H106&lt;&gt;"",$I106&lt;&gt;""),IF($C106&gt;TODAY(),"İLERİ TARİH","UYGUN"),"EKSİK"))</f>
        <v/>
      </c>
      <c r="N106" s="6" t="n"/>
      <c r="O106" s="6" t="n"/>
    </row>
    <row r="107">
      <c r="A107" s="6" t="n"/>
      <c r="B107" s="112">
        <f>IF($C107="","","GG"&amp;TEXT(ROW()-6,"00000"))</f>
        <v/>
      </c>
      <c r="C107" s="114" t="n"/>
      <c r="D107" s="107" t="n"/>
      <c r="E107" s="108" t="n"/>
      <c r="F107" s="108" t="n"/>
      <c r="G107" s="115" t="n"/>
      <c r="H107" s="107" t="n"/>
      <c r="I107" s="107" t="n"/>
      <c r="J107" s="108" t="n"/>
      <c r="K107" s="108" t="n"/>
      <c r="L107" s="119">
        <f>IF($C107="","",DATE(YEAR($C107),MONTH($C107),1))</f>
        <v/>
      </c>
      <c r="M107" s="112">
        <f>IF($C107="","",IF(AND($D107&lt;&gt;"",$E107&lt;&gt;"",$G107&gt;0,$H107&lt;&gt;"",$I107&lt;&gt;""),IF($C107&gt;TODAY(),"İLERİ TARİH","UYGUN"),"EKSİK"))</f>
        <v/>
      </c>
      <c r="N107" s="6" t="n"/>
      <c r="O107" s="6" t="n"/>
    </row>
    <row r="108">
      <c r="A108" s="6" t="n"/>
      <c r="B108" s="112">
        <f>IF($C108="","","GG"&amp;TEXT(ROW()-6,"00000"))</f>
        <v/>
      </c>
      <c r="C108" s="114" t="n"/>
      <c r="D108" s="107" t="n"/>
      <c r="E108" s="108" t="n"/>
      <c r="F108" s="108" t="n"/>
      <c r="G108" s="115" t="n"/>
      <c r="H108" s="107" t="n"/>
      <c r="I108" s="107" t="n"/>
      <c r="J108" s="108" t="n"/>
      <c r="K108" s="108" t="n"/>
      <c r="L108" s="119">
        <f>IF($C108="","",DATE(YEAR($C108),MONTH($C108),1))</f>
        <v/>
      </c>
      <c r="M108" s="112">
        <f>IF($C108="","",IF(AND($D108&lt;&gt;"",$E108&lt;&gt;"",$G108&gt;0,$H108&lt;&gt;"",$I108&lt;&gt;""),IF($C108&gt;TODAY(),"İLERİ TARİH","UYGUN"),"EKSİK"))</f>
        <v/>
      </c>
      <c r="N108" s="6" t="n"/>
      <c r="O108" s="6" t="n"/>
    </row>
    <row r="109">
      <c r="A109" s="6" t="n"/>
      <c r="B109" s="112">
        <f>IF($C109="","","GG"&amp;TEXT(ROW()-6,"00000"))</f>
        <v/>
      </c>
      <c r="C109" s="114" t="n"/>
      <c r="D109" s="107" t="n"/>
      <c r="E109" s="108" t="n"/>
      <c r="F109" s="108" t="n"/>
      <c r="G109" s="115" t="n"/>
      <c r="H109" s="107" t="n"/>
      <c r="I109" s="107" t="n"/>
      <c r="J109" s="108" t="n"/>
      <c r="K109" s="108" t="n"/>
      <c r="L109" s="119">
        <f>IF($C109="","",DATE(YEAR($C109),MONTH($C109),1))</f>
        <v/>
      </c>
      <c r="M109" s="112">
        <f>IF($C109="","",IF(AND($D109&lt;&gt;"",$E109&lt;&gt;"",$G109&gt;0,$H109&lt;&gt;"",$I109&lt;&gt;""),IF($C109&gt;TODAY(),"İLERİ TARİH","UYGUN"),"EKSİK"))</f>
        <v/>
      </c>
      <c r="N109" s="6" t="n"/>
      <c r="O109" s="6" t="n"/>
    </row>
    <row r="110">
      <c r="A110" s="6" t="n"/>
      <c r="B110" s="112">
        <f>IF($C110="","","GG"&amp;TEXT(ROW()-6,"00000"))</f>
        <v/>
      </c>
      <c r="C110" s="114" t="n"/>
      <c r="D110" s="107" t="n"/>
      <c r="E110" s="108" t="n"/>
      <c r="F110" s="108" t="n"/>
      <c r="G110" s="115" t="n"/>
      <c r="H110" s="107" t="n"/>
      <c r="I110" s="107" t="n"/>
      <c r="J110" s="108" t="n"/>
      <c r="K110" s="108" t="n"/>
      <c r="L110" s="119">
        <f>IF($C110="","",DATE(YEAR($C110),MONTH($C110),1))</f>
        <v/>
      </c>
      <c r="M110" s="112">
        <f>IF($C110="","",IF(AND($D110&lt;&gt;"",$E110&lt;&gt;"",$G110&gt;0,$H110&lt;&gt;"",$I110&lt;&gt;""),IF($C110&gt;TODAY(),"İLERİ TARİH","UYGUN"),"EKSİK"))</f>
        <v/>
      </c>
      <c r="N110" s="6" t="n"/>
      <c r="O110" s="6" t="n"/>
    </row>
    <row r="111">
      <c r="A111" s="6" t="n"/>
      <c r="B111" s="112">
        <f>IF($C111="","","GG"&amp;TEXT(ROW()-6,"00000"))</f>
        <v/>
      </c>
      <c r="C111" s="114" t="n"/>
      <c r="D111" s="107" t="n"/>
      <c r="E111" s="108" t="n"/>
      <c r="F111" s="108" t="n"/>
      <c r="G111" s="115" t="n"/>
      <c r="H111" s="107" t="n"/>
      <c r="I111" s="107" t="n"/>
      <c r="J111" s="108" t="n"/>
      <c r="K111" s="108" t="n"/>
      <c r="L111" s="119">
        <f>IF($C111="","",DATE(YEAR($C111),MONTH($C111),1))</f>
        <v/>
      </c>
      <c r="M111" s="112">
        <f>IF($C111="","",IF(AND($D111&lt;&gt;"",$E111&lt;&gt;"",$G111&gt;0,$H111&lt;&gt;"",$I111&lt;&gt;""),IF($C111&gt;TODAY(),"İLERİ TARİH","UYGUN"),"EKSİK"))</f>
        <v/>
      </c>
      <c r="N111" s="6" t="n"/>
      <c r="O111" s="6" t="n"/>
    </row>
    <row r="112">
      <c r="A112" s="6" t="n"/>
      <c r="B112" s="112">
        <f>IF($C112="","","GG"&amp;TEXT(ROW()-6,"00000"))</f>
        <v/>
      </c>
      <c r="C112" s="114" t="n"/>
      <c r="D112" s="107" t="n"/>
      <c r="E112" s="108" t="n"/>
      <c r="F112" s="108" t="n"/>
      <c r="G112" s="115" t="n"/>
      <c r="H112" s="107" t="n"/>
      <c r="I112" s="107" t="n"/>
      <c r="J112" s="108" t="n"/>
      <c r="K112" s="108" t="n"/>
      <c r="L112" s="119">
        <f>IF($C112="","",DATE(YEAR($C112),MONTH($C112),1))</f>
        <v/>
      </c>
      <c r="M112" s="112">
        <f>IF($C112="","",IF(AND($D112&lt;&gt;"",$E112&lt;&gt;"",$G112&gt;0,$H112&lt;&gt;"",$I112&lt;&gt;""),IF($C112&gt;TODAY(),"İLERİ TARİH","UYGUN"),"EKSİK"))</f>
        <v/>
      </c>
      <c r="N112" s="6" t="n"/>
      <c r="O112" s="6" t="n"/>
    </row>
    <row r="113">
      <c r="A113" s="6" t="n"/>
      <c r="B113" s="112">
        <f>IF($C113="","","GG"&amp;TEXT(ROW()-6,"00000"))</f>
        <v/>
      </c>
      <c r="C113" s="114" t="n"/>
      <c r="D113" s="107" t="n"/>
      <c r="E113" s="108" t="n"/>
      <c r="F113" s="108" t="n"/>
      <c r="G113" s="115" t="n"/>
      <c r="H113" s="107" t="n"/>
      <c r="I113" s="107" t="n"/>
      <c r="J113" s="108" t="n"/>
      <c r="K113" s="108" t="n"/>
      <c r="L113" s="119">
        <f>IF($C113="","",DATE(YEAR($C113),MONTH($C113),1))</f>
        <v/>
      </c>
      <c r="M113" s="112">
        <f>IF($C113="","",IF(AND($D113&lt;&gt;"",$E113&lt;&gt;"",$G113&gt;0,$H113&lt;&gt;"",$I113&lt;&gt;""),IF($C113&gt;TODAY(),"İLERİ TARİH","UYGUN"),"EKSİK"))</f>
        <v/>
      </c>
      <c r="N113" s="6" t="n"/>
      <c r="O113" s="6" t="n"/>
    </row>
    <row r="114">
      <c r="A114" s="6" t="n"/>
      <c r="B114" s="112">
        <f>IF($C114="","","GG"&amp;TEXT(ROW()-6,"00000"))</f>
        <v/>
      </c>
      <c r="C114" s="114" t="n"/>
      <c r="D114" s="107" t="n"/>
      <c r="E114" s="108" t="n"/>
      <c r="F114" s="108" t="n"/>
      <c r="G114" s="115" t="n"/>
      <c r="H114" s="107" t="n"/>
      <c r="I114" s="107" t="n"/>
      <c r="J114" s="108" t="n"/>
      <c r="K114" s="108" t="n"/>
      <c r="L114" s="119">
        <f>IF($C114="","",DATE(YEAR($C114),MONTH($C114),1))</f>
        <v/>
      </c>
      <c r="M114" s="112">
        <f>IF($C114="","",IF(AND($D114&lt;&gt;"",$E114&lt;&gt;"",$G114&gt;0,$H114&lt;&gt;"",$I114&lt;&gt;""),IF($C114&gt;TODAY(),"İLERİ TARİH","UYGUN"),"EKSİK"))</f>
        <v/>
      </c>
      <c r="N114" s="6" t="n"/>
      <c r="O114" s="6" t="n"/>
    </row>
    <row r="115">
      <c r="A115" s="6" t="n"/>
      <c r="B115" s="112">
        <f>IF($C115="","","GG"&amp;TEXT(ROW()-6,"00000"))</f>
        <v/>
      </c>
      <c r="C115" s="114" t="n"/>
      <c r="D115" s="107" t="n"/>
      <c r="E115" s="108" t="n"/>
      <c r="F115" s="108" t="n"/>
      <c r="G115" s="115" t="n"/>
      <c r="H115" s="107" t="n"/>
      <c r="I115" s="107" t="n"/>
      <c r="J115" s="108" t="n"/>
      <c r="K115" s="108" t="n"/>
      <c r="L115" s="119">
        <f>IF($C115="","",DATE(YEAR($C115),MONTH($C115),1))</f>
        <v/>
      </c>
      <c r="M115" s="112">
        <f>IF($C115="","",IF(AND($D115&lt;&gt;"",$E115&lt;&gt;"",$G115&gt;0,$H115&lt;&gt;"",$I115&lt;&gt;""),IF($C115&gt;TODAY(),"İLERİ TARİH","UYGUN"),"EKSİK"))</f>
        <v/>
      </c>
      <c r="N115" s="6" t="n"/>
      <c r="O115" s="6" t="n"/>
    </row>
    <row r="116">
      <c r="A116" s="6" t="n"/>
      <c r="B116" s="112">
        <f>IF($C116="","","GG"&amp;TEXT(ROW()-6,"00000"))</f>
        <v/>
      </c>
      <c r="C116" s="114" t="n"/>
      <c r="D116" s="107" t="n"/>
      <c r="E116" s="108" t="n"/>
      <c r="F116" s="108" t="n"/>
      <c r="G116" s="115" t="n"/>
      <c r="H116" s="107" t="n"/>
      <c r="I116" s="107" t="n"/>
      <c r="J116" s="108" t="n"/>
      <c r="K116" s="108" t="n"/>
      <c r="L116" s="119">
        <f>IF($C116="","",DATE(YEAR($C116),MONTH($C116),1))</f>
        <v/>
      </c>
      <c r="M116" s="112">
        <f>IF($C116="","",IF(AND($D116&lt;&gt;"",$E116&lt;&gt;"",$G116&gt;0,$H116&lt;&gt;"",$I116&lt;&gt;""),IF($C116&gt;TODAY(),"İLERİ TARİH","UYGUN"),"EKSİK"))</f>
        <v/>
      </c>
      <c r="N116" s="6" t="n"/>
      <c r="O116" s="6" t="n"/>
    </row>
    <row r="117">
      <c r="A117" s="6" t="n"/>
      <c r="B117" s="112">
        <f>IF($C117="","","GG"&amp;TEXT(ROW()-6,"00000"))</f>
        <v/>
      </c>
      <c r="C117" s="114" t="n"/>
      <c r="D117" s="107" t="n"/>
      <c r="E117" s="108" t="n"/>
      <c r="F117" s="108" t="n"/>
      <c r="G117" s="115" t="n"/>
      <c r="H117" s="107" t="n"/>
      <c r="I117" s="107" t="n"/>
      <c r="J117" s="108" t="n"/>
      <c r="K117" s="108" t="n"/>
      <c r="L117" s="119">
        <f>IF($C117="","",DATE(YEAR($C117),MONTH($C117),1))</f>
        <v/>
      </c>
      <c r="M117" s="112">
        <f>IF($C117="","",IF(AND($D117&lt;&gt;"",$E117&lt;&gt;"",$G117&gt;0,$H117&lt;&gt;"",$I117&lt;&gt;""),IF($C117&gt;TODAY(),"İLERİ TARİH","UYGUN"),"EKSİK"))</f>
        <v/>
      </c>
      <c r="N117" s="6" t="n"/>
      <c r="O117" s="6" t="n"/>
    </row>
    <row r="118">
      <c r="A118" s="6" t="n"/>
      <c r="B118" s="112">
        <f>IF($C118="","","GG"&amp;TEXT(ROW()-6,"00000"))</f>
        <v/>
      </c>
      <c r="C118" s="114" t="n"/>
      <c r="D118" s="107" t="n"/>
      <c r="E118" s="108" t="n"/>
      <c r="F118" s="108" t="n"/>
      <c r="G118" s="115" t="n"/>
      <c r="H118" s="107" t="n"/>
      <c r="I118" s="107" t="n"/>
      <c r="J118" s="108" t="n"/>
      <c r="K118" s="108" t="n"/>
      <c r="L118" s="119">
        <f>IF($C118="","",DATE(YEAR($C118),MONTH($C118),1))</f>
        <v/>
      </c>
      <c r="M118" s="112">
        <f>IF($C118="","",IF(AND($D118&lt;&gt;"",$E118&lt;&gt;"",$G118&gt;0,$H118&lt;&gt;"",$I118&lt;&gt;""),IF($C118&gt;TODAY(),"İLERİ TARİH","UYGUN"),"EKSİK"))</f>
        <v/>
      </c>
      <c r="N118" s="6" t="n"/>
      <c r="O118" s="6" t="n"/>
    </row>
    <row r="119">
      <c r="A119" s="6" t="n"/>
      <c r="B119" s="112">
        <f>IF($C119="","","GG"&amp;TEXT(ROW()-6,"00000"))</f>
        <v/>
      </c>
      <c r="C119" s="114" t="n"/>
      <c r="D119" s="107" t="n"/>
      <c r="E119" s="108" t="n"/>
      <c r="F119" s="108" t="n"/>
      <c r="G119" s="115" t="n"/>
      <c r="H119" s="107" t="n"/>
      <c r="I119" s="107" t="n"/>
      <c r="J119" s="108" t="n"/>
      <c r="K119" s="108" t="n"/>
      <c r="L119" s="119">
        <f>IF($C119="","",DATE(YEAR($C119),MONTH($C119),1))</f>
        <v/>
      </c>
      <c r="M119" s="112">
        <f>IF($C119="","",IF(AND($D119&lt;&gt;"",$E119&lt;&gt;"",$G119&gt;0,$H119&lt;&gt;"",$I119&lt;&gt;""),IF($C119&gt;TODAY(),"İLERİ TARİH","UYGUN"),"EKSİK"))</f>
        <v/>
      </c>
      <c r="N119" s="6" t="n"/>
      <c r="O119" s="6" t="n"/>
    </row>
    <row r="120">
      <c r="A120" s="6" t="n"/>
      <c r="B120" s="112">
        <f>IF($C120="","","GG"&amp;TEXT(ROW()-6,"00000"))</f>
        <v/>
      </c>
      <c r="C120" s="114" t="n"/>
      <c r="D120" s="107" t="n"/>
      <c r="E120" s="108" t="n"/>
      <c r="F120" s="108" t="n"/>
      <c r="G120" s="115" t="n"/>
      <c r="H120" s="107" t="n"/>
      <c r="I120" s="107" t="n"/>
      <c r="J120" s="108" t="n"/>
      <c r="K120" s="108" t="n"/>
      <c r="L120" s="119">
        <f>IF($C120="","",DATE(YEAR($C120),MONTH($C120),1))</f>
        <v/>
      </c>
      <c r="M120" s="112">
        <f>IF($C120="","",IF(AND($D120&lt;&gt;"",$E120&lt;&gt;"",$G120&gt;0,$H120&lt;&gt;"",$I120&lt;&gt;""),IF($C120&gt;TODAY(),"İLERİ TARİH","UYGUN"),"EKSİK"))</f>
        <v/>
      </c>
      <c r="N120" s="6" t="n"/>
      <c r="O120" s="6" t="n"/>
    </row>
    <row r="121">
      <c r="A121" s="6" t="n"/>
      <c r="B121" s="112">
        <f>IF($C121="","","GG"&amp;TEXT(ROW()-6,"00000"))</f>
        <v/>
      </c>
      <c r="C121" s="114" t="n"/>
      <c r="D121" s="107" t="n"/>
      <c r="E121" s="108" t="n"/>
      <c r="F121" s="108" t="n"/>
      <c r="G121" s="115" t="n"/>
      <c r="H121" s="107" t="n"/>
      <c r="I121" s="107" t="n"/>
      <c r="J121" s="108" t="n"/>
      <c r="K121" s="108" t="n"/>
      <c r="L121" s="119">
        <f>IF($C121="","",DATE(YEAR($C121),MONTH($C121),1))</f>
        <v/>
      </c>
      <c r="M121" s="112">
        <f>IF($C121="","",IF(AND($D121&lt;&gt;"",$E121&lt;&gt;"",$G121&gt;0,$H121&lt;&gt;"",$I121&lt;&gt;""),IF($C121&gt;TODAY(),"İLERİ TARİH","UYGUN"),"EKSİK"))</f>
        <v/>
      </c>
      <c r="N121" s="6" t="n"/>
      <c r="O121" s="6" t="n"/>
    </row>
    <row r="122">
      <c r="A122" s="6" t="n"/>
      <c r="B122" s="112">
        <f>IF($C122="","","GG"&amp;TEXT(ROW()-6,"00000"))</f>
        <v/>
      </c>
      <c r="C122" s="114" t="n"/>
      <c r="D122" s="107" t="n"/>
      <c r="E122" s="108" t="n"/>
      <c r="F122" s="108" t="n"/>
      <c r="G122" s="115" t="n"/>
      <c r="H122" s="107" t="n"/>
      <c r="I122" s="107" t="n"/>
      <c r="J122" s="108" t="n"/>
      <c r="K122" s="108" t="n"/>
      <c r="L122" s="119">
        <f>IF($C122="","",DATE(YEAR($C122),MONTH($C122),1))</f>
        <v/>
      </c>
      <c r="M122" s="112">
        <f>IF($C122="","",IF(AND($D122&lt;&gt;"",$E122&lt;&gt;"",$G122&gt;0,$H122&lt;&gt;"",$I122&lt;&gt;""),IF($C122&gt;TODAY(),"İLERİ TARİH","UYGUN"),"EKSİK"))</f>
        <v/>
      </c>
      <c r="N122" s="6" t="n"/>
      <c r="O122" s="6" t="n"/>
    </row>
    <row r="123">
      <c r="A123" s="6" t="n"/>
      <c r="B123" s="112">
        <f>IF($C123="","","GG"&amp;TEXT(ROW()-6,"00000"))</f>
        <v/>
      </c>
      <c r="C123" s="114" t="n"/>
      <c r="D123" s="107" t="n"/>
      <c r="E123" s="108" t="n"/>
      <c r="F123" s="108" t="n"/>
      <c r="G123" s="115" t="n"/>
      <c r="H123" s="107" t="n"/>
      <c r="I123" s="107" t="n"/>
      <c r="J123" s="108" t="n"/>
      <c r="K123" s="108" t="n"/>
      <c r="L123" s="119">
        <f>IF($C123="","",DATE(YEAR($C123),MONTH($C123),1))</f>
        <v/>
      </c>
      <c r="M123" s="112">
        <f>IF($C123="","",IF(AND($D123&lt;&gt;"",$E123&lt;&gt;"",$G123&gt;0,$H123&lt;&gt;"",$I123&lt;&gt;""),IF($C123&gt;TODAY(),"İLERİ TARİH","UYGUN"),"EKSİK"))</f>
        <v/>
      </c>
      <c r="N123" s="6" t="n"/>
      <c r="O123" s="6" t="n"/>
    </row>
    <row r="124">
      <c r="A124" s="6" t="n"/>
      <c r="B124" s="112">
        <f>IF($C124="","","GG"&amp;TEXT(ROW()-6,"00000"))</f>
        <v/>
      </c>
      <c r="C124" s="114" t="n"/>
      <c r="D124" s="107" t="n"/>
      <c r="E124" s="108" t="n"/>
      <c r="F124" s="108" t="n"/>
      <c r="G124" s="115" t="n"/>
      <c r="H124" s="107" t="n"/>
      <c r="I124" s="107" t="n"/>
      <c r="J124" s="108" t="n"/>
      <c r="K124" s="108" t="n"/>
      <c r="L124" s="119">
        <f>IF($C124="","",DATE(YEAR($C124),MONTH($C124),1))</f>
        <v/>
      </c>
      <c r="M124" s="112">
        <f>IF($C124="","",IF(AND($D124&lt;&gt;"",$E124&lt;&gt;"",$G124&gt;0,$H124&lt;&gt;"",$I124&lt;&gt;""),IF($C124&gt;TODAY(),"İLERİ TARİH","UYGUN"),"EKSİK"))</f>
        <v/>
      </c>
      <c r="N124" s="6" t="n"/>
      <c r="O124" s="6" t="n"/>
    </row>
    <row r="125">
      <c r="A125" s="6" t="n"/>
      <c r="B125" s="112">
        <f>IF($C125="","","GG"&amp;TEXT(ROW()-6,"00000"))</f>
        <v/>
      </c>
      <c r="C125" s="114" t="n"/>
      <c r="D125" s="107" t="n"/>
      <c r="E125" s="108" t="n"/>
      <c r="F125" s="108" t="n"/>
      <c r="G125" s="115" t="n"/>
      <c r="H125" s="107" t="n"/>
      <c r="I125" s="107" t="n"/>
      <c r="J125" s="108" t="n"/>
      <c r="K125" s="108" t="n"/>
      <c r="L125" s="119">
        <f>IF($C125="","",DATE(YEAR($C125),MONTH($C125),1))</f>
        <v/>
      </c>
      <c r="M125" s="112">
        <f>IF($C125="","",IF(AND($D125&lt;&gt;"",$E125&lt;&gt;"",$G125&gt;0,$H125&lt;&gt;"",$I125&lt;&gt;""),IF($C125&gt;TODAY(),"İLERİ TARİH","UYGUN"),"EKSİK"))</f>
        <v/>
      </c>
      <c r="N125" s="6" t="n"/>
      <c r="O125" s="6" t="n"/>
    </row>
    <row r="126">
      <c r="A126" s="6" t="n"/>
      <c r="B126" s="112">
        <f>IF($C126="","","GG"&amp;TEXT(ROW()-6,"00000"))</f>
        <v/>
      </c>
      <c r="C126" s="114" t="n"/>
      <c r="D126" s="107" t="n"/>
      <c r="E126" s="108" t="n"/>
      <c r="F126" s="108" t="n"/>
      <c r="G126" s="115" t="n"/>
      <c r="H126" s="107" t="n"/>
      <c r="I126" s="107" t="n"/>
      <c r="J126" s="108" t="n"/>
      <c r="K126" s="108" t="n"/>
      <c r="L126" s="119">
        <f>IF($C126="","",DATE(YEAR($C126),MONTH($C126),1))</f>
        <v/>
      </c>
      <c r="M126" s="112">
        <f>IF($C126="","",IF(AND($D126&lt;&gt;"",$E126&lt;&gt;"",$G126&gt;0,$H126&lt;&gt;"",$I126&lt;&gt;""),IF($C126&gt;TODAY(),"İLERİ TARİH","UYGUN"),"EKSİK"))</f>
        <v/>
      </c>
      <c r="N126" s="6" t="n"/>
      <c r="O126" s="6" t="n"/>
    </row>
    <row r="127">
      <c r="A127" s="6" t="n"/>
      <c r="B127" s="112">
        <f>IF($C127="","","GG"&amp;TEXT(ROW()-6,"00000"))</f>
        <v/>
      </c>
      <c r="C127" s="114" t="n"/>
      <c r="D127" s="107" t="n"/>
      <c r="E127" s="108" t="n"/>
      <c r="F127" s="108" t="n"/>
      <c r="G127" s="115" t="n"/>
      <c r="H127" s="107" t="n"/>
      <c r="I127" s="107" t="n"/>
      <c r="J127" s="108" t="n"/>
      <c r="K127" s="108" t="n"/>
      <c r="L127" s="119">
        <f>IF($C127="","",DATE(YEAR($C127),MONTH($C127),1))</f>
        <v/>
      </c>
      <c r="M127" s="112">
        <f>IF($C127="","",IF(AND($D127&lt;&gt;"",$E127&lt;&gt;"",$G127&gt;0,$H127&lt;&gt;"",$I127&lt;&gt;""),IF($C127&gt;TODAY(),"İLERİ TARİH","UYGUN"),"EKSİK"))</f>
        <v/>
      </c>
      <c r="N127" s="6" t="n"/>
      <c r="O127" s="6" t="n"/>
    </row>
    <row r="128">
      <c r="A128" s="6" t="n"/>
      <c r="B128" s="112">
        <f>IF($C128="","","GG"&amp;TEXT(ROW()-6,"00000"))</f>
        <v/>
      </c>
      <c r="C128" s="114" t="n"/>
      <c r="D128" s="107" t="n"/>
      <c r="E128" s="108" t="n"/>
      <c r="F128" s="108" t="n"/>
      <c r="G128" s="115" t="n"/>
      <c r="H128" s="107" t="n"/>
      <c r="I128" s="107" t="n"/>
      <c r="J128" s="108" t="n"/>
      <c r="K128" s="108" t="n"/>
      <c r="L128" s="119">
        <f>IF($C128="","",DATE(YEAR($C128),MONTH($C128),1))</f>
        <v/>
      </c>
      <c r="M128" s="112">
        <f>IF($C128="","",IF(AND($D128&lt;&gt;"",$E128&lt;&gt;"",$G128&gt;0,$H128&lt;&gt;"",$I128&lt;&gt;""),IF($C128&gt;TODAY(),"İLERİ TARİH","UYGUN"),"EKSİK"))</f>
        <v/>
      </c>
      <c r="N128" s="6" t="n"/>
      <c r="O128" s="6" t="n"/>
    </row>
    <row r="129">
      <c r="A129" s="6" t="n"/>
      <c r="B129" s="112">
        <f>IF($C129="","","GG"&amp;TEXT(ROW()-6,"00000"))</f>
        <v/>
      </c>
      <c r="C129" s="114" t="n"/>
      <c r="D129" s="107" t="n"/>
      <c r="E129" s="108" t="n"/>
      <c r="F129" s="108" t="n"/>
      <c r="G129" s="115" t="n"/>
      <c r="H129" s="107" t="n"/>
      <c r="I129" s="107" t="n"/>
      <c r="J129" s="108" t="n"/>
      <c r="K129" s="108" t="n"/>
      <c r="L129" s="119">
        <f>IF($C129="","",DATE(YEAR($C129),MONTH($C129),1))</f>
        <v/>
      </c>
      <c r="M129" s="112">
        <f>IF($C129="","",IF(AND($D129&lt;&gt;"",$E129&lt;&gt;"",$G129&gt;0,$H129&lt;&gt;"",$I129&lt;&gt;""),IF($C129&gt;TODAY(),"İLERİ TARİH","UYGUN"),"EKSİK"))</f>
        <v/>
      </c>
      <c r="N129" s="6" t="n"/>
      <c r="O129" s="6" t="n"/>
    </row>
    <row r="130">
      <c r="A130" s="6" t="n"/>
      <c r="B130" s="112">
        <f>IF($C130="","","GG"&amp;TEXT(ROW()-6,"00000"))</f>
        <v/>
      </c>
      <c r="C130" s="114" t="n"/>
      <c r="D130" s="107" t="n"/>
      <c r="E130" s="108" t="n"/>
      <c r="F130" s="108" t="n"/>
      <c r="G130" s="115" t="n"/>
      <c r="H130" s="107" t="n"/>
      <c r="I130" s="107" t="n"/>
      <c r="J130" s="108" t="n"/>
      <c r="K130" s="108" t="n"/>
      <c r="L130" s="119">
        <f>IF($C130="","",DATE(YEAR($C130),MONTH($C130),1))</f>
        <v/>
      </c>
      <c r="M130" s="112">
        <f>IF($C130="","",IF(AND($D130&lt;&gt;"",$E130&lt;&gt;"",$G130&gt;0,$H130&lt;&gt;"",$I130&lt;&gt;""),IF($C130&gt;TODAY(),"İLERİ TARİH","UYGUN"),"EKSİK"))</f>
        <v/>
      </c>
      <c r="N130" s="6" t="n"/>
      <c r="O130" s="6" t="n"/>
    </row>
    <row r="131">
      <c r="A131" s="6" t="n"/>
      <c r="B131" s="112">
        <f>IF($C131="","","GG"&amp;TEXT(ROW()-6,"00000"))</f>
        <v/>
      </c>
      <c r="C131" s="114" t="n"/>
      <c r="D131" s="107" t="n"/>
      <c r="E131" s="108" t="n"/>
      <c r="F131" s="108" t="n"/>
      <c r="G131" s="115" t="n"/>
      <c r="H131" s="107" t="n"/>
      <c r="I131" s="107" t="n"/>
      <c r="J131" s="108" t="n"/>
      <c r="K131" s="108" t="n"/>
      <c r="L131" s="119">
        <f>IF($C131="","",DATE(YEAR($C131),MONTH($C131),1))</f>
        <v/>
      </c>
      <c r="M131" s="112">
        <f>IF($C131="","",IF(AND($D131&lt;&gt;"",$E131&lt;&gt;"",$G131&gt;0,$H131&lt;&gt;"",$I131&lt;&gt;""),IF($C131&gt;TODAY(),"İLERİ TARİH","UYGUN"),"EKSİK"))</f>
        <v/>
      </c>
      <c r="N131" s="6" t="n"/>
      <c r="O131" s="6" t="n"/>
    </row>
    <row r="132">
      <c r="A132" s="6" t="n"/>
      <c r="B132" s="112">
        <f>IF($C132="","","GG"&amp;TEXT(ROW()-6,"00000"))</f>
        <v/>
      </c>
      <c r="C132" s="114" t="n"/>
      <c r="D132" s="107" t="n"/>
      <c r="E132" s="108" t="n"/>
      <c r="F132" s="108" t="n"/>
      <c r="G132" s="115" t="n"/>
      <c r="H132" s="107" t="n"/>
      <c r="I132" s="107" t="n"/>
      <c r="J132" s="108" t="n"/>
      <c r="K132" s="108" t="n"/>
      <c r="L132" s="119">
        <f>IF($C132="","",DATE(YEAR($C132),MONTH($C132),1))</f>
        <v/>
      </c>
      <c r="M132" s="112">
        <f>IF($C132="","",IF(AND($D132&lt;&gt;"",$E132&lt;&gt;"",$G132&gt;0,$H132&lt;&gt;"",$I132&lt;&gt;""),IF($C132&gt;TODAY(),"İLERİ TARİH","UYGUN"),"EKSİK"))</f>
        <v/>
      </c>
      <c r="N132" s="6" t="n"/>
      <c r="O132" s="6" t="n"/>
    </row>
    <row r="133">
      <c r="A133" s="6" t="n"/>
      <c r="B133" s="112">
        <f>IF($C133="","","GG"&amp;TEXT(ROW()-6,"00000"))</f>
        <v/>
      </c>
      <c r="C133" s="114" t="n"/>
      <c r="D133" s="107" t="n"/>
      <c r="E133" s="108" t="n"/>
      <c r="F133" s="108" t="n"/>
      <c r="G133" s="115" t="n"/>
      <c r="H133" s="107" t="n"/>
      <c r="I133" s="107" t="n"/>
      <c r="J133" s="108" t="n"/>
      <c r="K133" s="108" t="n"/>
      <c r="L133" s="119">
        <f>IF($C133="","",DATE(YEAR($C133),MONTH($C133),1))</f>
        <v/>
      </c>
      <c r="M133" s="112">
        <f>IF($C133="","",IF(AND($D133&lt;&gt;"",$E133&lt;&gt;"",$G133&gt;0,$H133&lt;&gt;"",$I133&lt;&gt;""),IF($C133&gt;TODAY(),"İLERİ TARİH","UYGUN"),"EKSİK"))</f>
        <v/>
      </c>
      <c r="N133" s="6" t="n"/>
      <c r="O133" s="6" t="n"/>
    </row>
    <row r="134">
      <c r="A134" s="6" t="n"/>
      <c r="B134" s="112">
        <f>IF($C134="","","GG"&amp;TEXT(ROW()-6,"00000"))</f>
        <v/>
      </c>
      <c r="C134" s="114" t="n"/>
      <c r="D134" s="107" t="n"/>
      <c r="E134" s="108" t="n"/>
      <c r="F134" s="108" t="n"/>
      <c r="G134" s="115" t="n"/>
      <c r="H134" s="107" t="n"/>
      <c r="I134" s="107" t="n"/>
      <c r="J134" s="108" t="n"/>
      <c r="K134" s="108" t="n"/>
      <c r="L134" s="119">
        <f>IF($C134="","",DATE(YEAR($C134),MONTH($C134),1))</f>
        <v/>
      </c>
      <c r="M134" s="112">
        <f>IF($C134="","",IF(AND($D134&lt;&gt;"",$E134&lt;&gt;"",$G134&gt;0,$H134&lt;&gt;"",$I134&lt;&gt;""),IF($C134&gt;TODAY(),"İLERİ TARİH","UYGUN"),"EKSİK"))</f>
        <v/>
      </c>
      <c r="N134" s="6" t="n"/>
      <c r="O134" s="6" t="n"/>
    </row>
    <row r="135">
      <c r="A135" s="6" t="n"/>
      <c r="B135" s="112">
        <f>IF($C135="","","GG"&amp;TEXT(ROW()-6,"00000"))</f>
        <v/>
      </c>
      <c r="C135" s="114" t="n"/>
      <c r="D135" s="107" t="n"/>
      <c r="E135" s="108" t="n"/>
      <c r="F135" s="108" t="n"/>
      <c r="G135" s="115" t="n"/>
      <c r="H135" s="107" t="n"/>
      <c r="I135" s="107" t="n"/>
      <c r="J135" s="108" t="n"/>
      <c r="K135" s="108" t="n"/>
      <c r="L135" s="119">
        <f>IF($C135="","",DATE(YEAR($C135),MONTH($C135),1))</f>
        <v/>
      </c>
      <c r="M135" s="112">
        <f>IF($C135="","",IF(AND($D135&lt;&gt;"",$E135&lt;&gt;"",$G135&gt;0,$H135&lt;&gt;"",$I135&lt;&gt;""),IF($C135&gt;TODAY(),"İLERİ TARİH","UYGUN"),"EKSİK"))</f>
        <v/>
      </c>
      <c r="N135" s="6" t="n"/>
      <c r="O135" s="6" t="n"/>
    </row>
    <row r="136">
      <c r="A136" s="6" t="n"/>
      <c r="B136" s="112">
        <f>IF($C136="","","GG"&amp;TEXT(ROW()-6,"00000"))</f>
        <v/>
      </c>
      <c r="C136" s="114" t="n"/>
      <c r="D136" s="107" t="n"/>
      <c r="E136" s="108" t="n"/>
      <c r="F136" s="108" t="n"/>
      <c r="G136" s="115" t="n"/>
      <c r="H136" s="107" t="n"/>
      <c r="I136" s="107" t="n"/>
      <c r="J136" s="108" t="n"/>
      <c r="K136" s="108" t="n"/>
      <c r="L136" s="119">
        <f>IF($C136="","",DATE(YEAR($C136),MONTH($C136),1))</f>
        <v/>
      </c>
      <c r="M136" s="112">
        <f>IF($C136="","",IF(AND($D136&lt;&gt;"",$E136&lt;&gt;"",$G136&gt;0,$H136&lt;&gt;"",$I136&lt;&gt;""),IF($C136&gt;TODAY(),"İLERİ TARİH","UYGUN"),"EKSİK"))</f>
        <v/>
      </c>
      <c r="N136" s="6" t="n"/>
      <c r="O136" s="6" t="n"/>
    </row>
    <row r="137">
      <c r="A137" s="6" t="n"/>
      <c r="B137" s="112">
        <f>IF($C137="","","GG"&amp;TEXT(ROW()-6,"00000"))</f>
        <v/>
      </c>
      <c r="C137" s="114" t="n"/>
      <c r="D137" s="107" t="n"/>
      <c r="E137" s="108" t="n"/>
      <c r="F137" s="108" t="n"/>
      <c r="G137" s="115" t="n"/>
      <c r="H137" s="107" t="n"/>
      <c r="I137" s="107" t="n"/>
      <c r="J137" s="108" t="n"/>
      <c r="K137" s="108" t="n"/>
      <c r="L137" s="119">
        <f>IF($C137="","",DATE(YEAR($C137),MONTH($C137),1))</f>
        <v/>
      </c>
      <c r="M137" s="112">
        <f>IF($C137="","",IF(AND($D137&lt;&gt;"",$E137&lt;&gt;"",$G137&gt;0,$H137&lt;&gt;"",$I137&lt;&gt;""),IF($C137&gt;TODAY(),"İLERİ TARİH","UYGUN"),"EKSİK"))</f>
        <v/>
      </c>
      <c r="N137" s="6" t="n"/>
      <c r="O137" s="6" t="n"/>
    </row>
    <row r="138">
      <c r="A138" s="6" t="n"/>
      <c r="B138" s="112">
        <f>IF($C138="","","GG"&amp;TEXT(ROW()-6,"00000"))</f>
        <v/>
      </c>
      <c r="C138" s="114" t="n"/>
      <c r="D138" s="107" t="n"/>
      <c r="E138" s="108" t="n"/>
      <c r="F138" s="108" t="n"/>
      <c r="G138" s="115" t="n"/>
      <c r="H138" s="107" t="n"/>
      <c r="I138" s="107" t="n"/>
      <c r="J138" s="108" t="n"/>
      <c r="K138" s="108" t="n"/>
      <c r="L138" s="119">
        <f>IF($C138="","",DATE(YEAR($C138),MONTH($C138),1))</f>
        <v/>
      </c>
      <c r="M138" s="112">
        <f>IF($C138="","",IF(AND($D138&lt;&gt;"",$E138&lt;&gt;"",$G138&gt;0,$H138&lt;&gt;"",$I138&lt;&gt;""),IF($C138&gt;TODAY(),"İLERİ TARİH","UYGUN"),"EKSİK"))</f>
        <v/>
      </c>
      <c r="N138" s="6" t="n"/>
      <c r="O138" s="6" t="n"/>
    </row>
    <row r="139">
      <c r="A139" s="6" t="n"/>
      <c r="B139" s="112">
        <f>IF($C139="","","GG"&amp;TEXT(ROW()-6,"00000"))</f>
        <v/>
      </c>
      <c r="C139" s="114" t="n"/>
      <c r="D139" s="107" t="n"/>
      <c r="E139" s="108" t="n"/>
      <c r="F139" s="108" t="n"/>
      <c r="G139" s="115" t="n"/>
      <c r="H139" s="107" t="n"/>
      <c r="I139" s="107" t="n"/>
      <c r="J139" s="108" t="n"/>
      <c r="K139" s="108" t="n"/>
      <c r="L139" s="119">
        <f>IF($C139="","",DATE(YEAR($C139),MONTH($C139),1))</f>
        <v/>
      </c>
      <c r="M139" s="112">
        <f>IF($C139="","",IF(AND($D139&lt;&gt;"",$E139&lt;&gt;"",$G139&gt;0,$H139&lt;&gt;"",$I139&lt;&gt;""),IF($C139&gt;TODAY(),"İLERİ TARİH","UYGUN"),"EKSİK"))</f>
        <v/>
      </c>
      <c r="N139" s="6" t="n"/>
      <c r="O139" s="6" t="n"/>
    </row>
    <row r="140">
      <c r="A140" s="6" t="n"/>
      <c r="B140" s="112">
        <f>IF($C140="","","GG"&amp;TEXT(ROW()-6,"00000"))</f>
        <v/>
      </c>
      <c r="C140" s="114" t="n"/>
      <c r="D140" s="107" t="n"/>
      <c r="E140" s="108" t="n"/>
      <c r="F140" s="108" t="n"/>
      <c r="G140" s="115" t="n"/>
      <c r="H140" s="107" t="n"/>
      <c r="I140" s="107" t="n"/>
      <c r="J140" s="108" t="n"/>
      <c r="K140" s="108" t="n"/>
      <c r="L140" s="119">
        <f>IF($C140="","",DATE(YEAR($C140),MONTH($C140),1))</f>
        <v/>
      </c>
      <c r="M140" s="112">
        <f>IF($C140="","",IF(AND($D140&lt;&gt;"",$E140&lt;&gt;"",$G140&gt;0,$H140&lt;&gt;"",$I140&lt;&gt;""),IF($C140&gt;TODAY(),"İLERİ TARİH","UYGUN"),"EKSİK"))</f>
        <v/>
      </c>
      <c r="N140" s="6" t="n"/>
      <c r="O140" s="6" t="n"/>
    </row>
    <row r="141">
      <c r="A141" s="6" t="n"/>
      <c r="B141" s="112">
        <f>IF($C141="","","GG"&amp;TEXT(ROW()-6,"00000"))</f>
        <v/>
      </c>
      <c r="C141" s="114" t="n"/>
      <c r="D141" s="107" t="n"/>
      <c r="E141" s="108" t="n"/>
      <c r="F141" s="108" t="n"/>
      <c r="G141" s="115" t="n"/>
      <c r="H141" s="107" t="n"/>
      <c r="I141" s="107" t="n"/>
      <c r="J141" s="108" t="n"/>
      <c r="K141" s="108" t="n"/>
      <c r="L141" s="119">
        <f>IF($C141="","",DATE(YEAR($C141),MONTH($C141),1))</f>
        <v/>
      </c>
      <c r="M141" s="112">
        <f>IF($C141="","",IF(AND($D141&lt;&gt;"",$E141&lt;&gt;"",$G141&gt;0,$H141&lt;&gt;"",$I141&lt;&gt;""),IF($C141&gt;TODAY(),"İLERİ TARİH","UYGUN"),"EKSİK"))</f>
        <v/>
      </c>
      <c r="N141" s="6" t="n"/>
      <c r="O141" s="6" t="n"/>
    </row>
    <row r="142">
      <c r="A142" s="6" t="n"/>
      <c r="B142" s="112">
        <f>IF($C142="","","GG"&amp;TEXT(ROW()-6,"00000"))</f>
        <v/>
      </c>
      <c r="C142" s="114" t="n"/>
      <c r="D142" s="107" t="n"/>
      <c r="E142" s="108" t="n"/>
      <c r="F142" s="108" t="n"/>
      <c r="G142" s="115" t="n"/>
      <c r="H142" s="107" t="n"/>
      <c r="I142" s="107" t="n"/>
      <c r="J142" s="108" t="n"/>
      <c r="K142" s="108" t="n"/>
      <c r="L142" s="119">
        <f>IF($C142="","",DATE(YEAR($C142),MONTH($C142),1))</f>
        <v/>
      </c>
      <c r="M142" s="112">
        <f>IF($C142="","",IF(AND($D142&lt;&gt;"",$E142&lt;&gt;"",$G142&gt;0,$H142&lt;&gt;"",$I142&lt;&gt;""),IF($C142&gt;TODAY(),"İLERİ TARİH","UYGUN"),"EKSİK"))</f>
        <v/>
      </c>
      <c r="N142" s="6" t="n"/>
      <c r="O142" s="6" t="n"/>
    </row>
    <row r="143">
      <c r="A143" s="6" t="n"/>
      <c r="B143" s="112">
        <f>IF($C143="","","GG"&amp;TEXT(ROW()-6,"00000"))</f>
        <v/>
      </c>
      <c r="C143" s="114" t="n"/>
      <c r="D143" s="107" t="n"/>
      <c r="E143" s="108" t="n"/>
      <c r="F143" s="108" t="n"/>
      <c r="G143" s="115" t="n"/>
      <c r="H143" s="107" t="n"/>
      <c r="I143" s="107" t="n"/>
      <c r="J143" s="108" t="n"/>
      <c r="K143" s="108" t="n"/>
      <c r="L143" s="119">
        <f>IF($C143="","",DATE(YEAR($C143),MONTH($C143),1))</f>
        <v/>
      </c>
      <c r="M143" s="112">
        <f>IF($C143="","",IF(AND($D143&lt;&gt;"",$E143&lt;&gt;"",$G143&gt;0,$H143&lt;&gt;"",$I143&lt;&gt;""),IF($C143&gt;TODAY(),"İLERİ TARİH","UYGUN"),"EKSİK"))</f>
        <v/>
      </c>
      <c r="N143" s="6" t="n"/>
      <c r="O143" s="6" t="n"/>
    </row>
    <row r="144">
      <c r="A144" s="6" t="n"/>
      <c r="B144" s="112">
        <f>IF($C144="","","GG"&amp;TEXT(ROW()-6,"00000"))</f>
        <v/>
      </c>
      <c r="C144" s="114" t="n"/>
      <c r="D144" s="107" t="n"/>
      <c r="E144" s="108" t="n"/>
      <c r="F144" s="108" t="n"/>
      <c r="G144" s="115" t="n"/>
      <c r="H144" s="107" t="n"/>
      <c r="I144" s="107" t="n"/>
      <c r="J144" s="108" t="n"/>
      <c r="K144" s="108" t="n"/>
      <c r="L144" s="119">
        <f>IF($C144="","",DATE(YEAR($C144),MONTH($C144),1))</f>
        <v/>
      </c>
      <c r="M144" s="112">
        <f>IF($C144="","",IF(AND($D144&lt;&gt;"",$E144&lt;&gt;"",$G144&gt;0,$H144&lt;&gt;"",$I144&lt;&gt;""),IF($C144&gt;TODAY(),"İLERİ TARİH","UYGUN"),"EKSİK"))</f>
        <v/>
      </c>
      <c r="N144" s="6" t="n"/>
      <c r="O144" s="6" t="n"/>
    </row>
    <row r="145">
      <c r="A145" s="6" t="n"/>
      <c r="B145" s="112">
        <f>IF($C145="","","GG"&amp;TEXT(ROW()-6,"00000"))</f>
        <v/>
      </c>
      <c r="C145" s="114" t="n"/>
      <c r="D145" s="107" t="n"/>
      <c r="E145" s="108" t="n"/>
      <c r="F145" s="108" t="n"/>
      <c r="G145" s="115" t="n"/>
      <c r="H145" s="107" t="n"/>
      <c r="I145" s="107" t="n"/>
      <c r="J145" s="108" t="n"/>
      <c r="K145" s="108" t="n"/>
      <c r="L145" s="119">
        <f>IF($C145="","",DATE(YEAR($C145),MONTH($C145),1))</f>
        <v/>
      </c>
      <c r="M145" s="112">
        <f>IF($C145="","",IF(AND($D145&lt;&gt;"",$E145&lt;&gt;"",$G145&gt;0,$H145&lt;&gt;"",$I145&lt;&gt;""),IF($C145&gt;TODAY(),"İLERİ TARİH","UYGUN"),"EKSİK"))</f>
        <v/>
      </c>
      <c r="N145" s="6" t="n"/>
      <c r="O145" s="6" t="n"/>
    </row>
    <row r="146">
      <c r="A146" s="6" t="n"/>
      <c r="B146" s="112">
        <f>IF($C146="","","GG"&amp;TEXT(ROW()-6,"00000"))</f>
        <v/>
      </c>
      <c r="C146" s="114" t="n"/>
      <c r="D146" s="107" t="n"/>
      <c r="E146" s="108" t="n"/>
      <c r="F146" s="108" t="n"/>
      <c r="G146" s="115" t="n"/>
      <c r="H146" s="107" t="n"/>
      <c r="I146" s="107" t="n"/>
      <c r="J146" s="108" t="n"/>
      <c r="K146" s="108" t="n"/>
      <c r="L146" s="119">
        <f>IF($C146="","",DATE(YEAR($C146),MONTH($C146),1))</f>
        <v/>
      </c>
      <c r="M146" s="112">
        <f>IF($C146="","",IF(AND($D146&lt;&gt;"",$E146&lt;&gt;"",$G146&gt;0,$H146&lt;&gt;"",$I146&lt;&gt;""),IF($C146&gt;TODAY(),"İLERİ TARİH","UYGUN"),"EKSİK"))</f>
        <v/>
      </c>
      <c r="N146" s="6" t="n"/>
      <c r="O146" s="6" t="n"/>
    </row>
    <row r="147">
      <c r="A147" s="6" t="n"/>
      <c r="B147" s="112">
        <f>IF($C147="","","GG"&amp;TEXT(ROW()-6,"00000"))</f>
        <v/>
      </c>
      <c r="C147" s="114" t="n"/>
      <c r="D147" s="107" t="n"/>
      <c r="E147" s="108" t="n"/>
      <c r="F147" s="108" t="n"/>
      <c r="G147" s="115" t="n"/>
      <c r="H147" s="107" t="n"/>
      <c r="I147" s="107" t="n"/>
      <c r="J147" s="108" t="n"/>
      <c r="K147" s="108" t="n"/>
      <c r="L147" s="119">
        <f>IF($C147="","",DATE(YEAR($C147),MONTH($C147),1))</f>
        <v/>
      </c>
      <c r="M147" s="112">
        <f>IF($C147="","",IF(AND($D147&lt;&gt;"",$E147&lt;&gt;"",$G147&gt;0,$H147&lt;&gt;"",$I147&lt;&gt;""),IF($C147&gt;TODAY(),"İLERİ TARİH","UYGUN"),"EKSİK"))</f>
        <v/>
      </c>
      <c r="N147" s="6" t="n"/>
      <c r="O147" s="6" t="n"/>
    </row>
    <row r="148">
      <c r="A148" s="6" t="n"/>
      <c r="B148" s="112">
        <f>IF($C148="","","GG"&amp;TEXT(ROW()-6,"00000"))</f>
        <v/>
      </c>
      <c r="C148" s="114" t="n"/>
      <c r="D148" s="107" t="n"/>
      <c r="E148" s="108" t="n"/>
      <c r="F148" s="108" t="n"/>
      <c r="G148" s="115" t="n"/>
      <c r="H148" s="107" t="n"/>
      <c r="I148" s="107" t="n"/>
      <c r="J148" s="108" t="n"/>
      <c r="K148" s="108" t="n"/>
      <c r="L148" s="119">
        <f>IF($C148="","",DATE(YEAR($C148),MONTH($C148),1))</f>
        <v/>
      </c>
      <c r="M148" s="112">
        <f>IF($C148="","",IF(AND($D148&lt;&gt;"",$E148&lt;&gt;"",$G148&gt;0,$H148&lt;&gt;"",$I148&lt;&gt;""),IF($C148&gt;TODAY(),"İLERİ TARİH","UYGUN"),"EKSİK"))</f>
        <v/>
      </c>
      <c r="N148" s="6" t="n"/>
      <c r="O148" s="6" t="n"/>
    </row>
    <row r="149">
      <c r="A149" s="6" t="n"/>
      <c r="B149" s="112">
        <f>IF($C149="","","GG"&amp;TEXT(ROW()-6,"00000"))</f>
        <v/>
      </c>
      <c r="C149" s="114" t="n"/>
      <c r="D149" s="107" t="n"/>
      <c r="E149" s="108" t="n"/>
      <c r="F149" s="108" t="n"/>
      <c r="G149" s="115" t="n"/>
      <c r="H149" s="107" t="n"/>
      <c r="I149" s="107" t="n"/>
      <c r="J149" s="108" t="n"/>
      <c r="K149" s="108" t="n"/>
      <c r="L149" s="119">
        <f>IF($C149="","",DATE(YEAR($C149),MONTH($C149),1))</f>
        <v/>
      </c>
      <c r="M149" s="112">
        <f>IF($C149="","",IF(AND($D149&lt;&gt;"",$E149&lt;&gt;"",$G149&gt;0,$H149&lt;&gt;"",$I149&lt;&gt;""),IF($C149&gt;TODAY(),"İLERİ TARİH","UYGUN"),"EKSİK"))</f>
        <v/>
      </c>
      <c r="N149" s="6" t="n"/>
      <c r="O149" s="6" t="n"/>
    </row>
    <row r="150">
      <c r="A150" s="6" t="n"/>
      <c r="B150" s="112">
        <f>IF($C150="","","GG"&amp;TEXT(ROW()-6,"00000"))</f>
        <v/>
      </c>
      <c r="C150" s="114" t="n"/>
      <c r="D150" s="107" t="n"/>
      <c r="E150" s="108" t="n"/>
      <c r="F150" s="108" t="n"/>
      <c r="G150" s="115" t="n"/>
      <c r="H150" s="107" t="n"/>
      <c r="I150" s="107" t="n"/>
      <c r="J150" s="108" t="n"/>
      <c r="K150" s="108" t="n"/>
      <c r="L150" s="119">
        <f>IF($C150="","",DATE(YEAR($C150),MONTH($C150),1))</f>
        <v/>
      </c>
      <c r="M150" s="112">
        <f>IF($C150="","",IF(AND($D150&lt;&gt;"",$E150&lt;&gt;"",$G150&gt;0,$H150&lt;&gt;"",$I150&lt;&gt;""),IF($C150&gt;TODAY(),"İLERİ TARİH","UYGUN"),"EKSİK"))</f>
        <v/>
      </c>
      <c r="N150" s="6" t="n"/>
      <c r="O150" s="6" t="n"/>
    </row>
    <row r="151">
      <c r="A151" s="6" t="n"/>
      <c r="B151" s="112">
        <f>IF($C151="","","GG"&amp;TEXT(ROW()-6,"00000"))</f>
        <v/>
      </c>
      <c r="C151" s="114" t="n"/>
      <c r="D151" s="107" t="n"/>
      <c r="E151" s="108" t="n"/>
      <c r="F151" s="108" t="n"/>
      <c r="G151" s="115" t="n"/>
      <c r="H151" s="107" t="n"/>
      <c r="I151" s="107" t="n"/>
      <c r="J151" s="108" t="n"/>
      <c r="K151" s="108" t="n"/>
      <c r="L151" s="119">
        <f>IF($C151="","",DATE(YEAR($C151),MONTH($C151),1))</f>
        <v/>
      </c>
      <c r="M151" s="112">
        <f>IF($C151="","",IF(AND($D151&lt;&gt;"",$E151&lt;&gt;"",$G151&gt;0,$H151&lt;&gt;"",$I151&lt;&gt;""),IF($C151&gt;TODAY(),"İLERİ TARİH","UYGUN"),"EKSİK"))</f>
        <v/>
      </c>
      <c r="N151" s="6" t="n"/>
      <c r="O151" s="6" t="n"/>
    </row>
    <row r="152">
      <c r="A152" s="6" t="n"/>
      <c r="B152" s="112">
        <f>IF($C152="","","GG"&amp;TEXT(ROW()-6,"00000"))</f>
        <v/>
      </c>
      <c r="C152" s="114" t="n"/>
      <c r="D152" s="107" t="n"/>
      <c r="E152" s="108" t="n"/>
      <c r="F152" s="108" t="n"/>
      <c r="G152" s="115" t="n"/>
      <c r="H152" s="107" t="n"/>
      <c r="I152" s="107" t="n"/>
      <c r="J152" s="108" t="n"/>
      <c r="K152" s="108" t="n"/>
      <c r="L152" s="119">
        <f>IF($C152="","",DATE(YEAR($C152),MONTH($C152),1))</f>
        <v/>
      </c>
      <c r="M152" s="112">
        <f>IF($C152="","",IF(AND($D152&lt;&gt;"",$E152&lt;&gt;"",$G152&gt;0,$H152&lt;&gt;"",$I152&lt;&gt;""),IF($C152&gt;TODAY(),"İLERİ TARİH","UYGUN"),"EKSİK"))</f>
        <v/>
      </c>
      <c r="N152" s="6" t="n"/>
      <c r="O152" s="6" t="n"/>
    </row>
    <row r="153">
      <c r="A153" s="6" t="n"/>
      <c r="B153" s="112">
        <f>IF($C153="","","GG"&amp;TEXT(ROW()-6,"00000"))</f>
        <v/>
      </c>
      <c r="C153" s="114" t="n"/>
      <c r="D153" s="107" t="n"/>
      <c r="E153" s="108" t="n"/>
      <c r="F153" s="108" t="n"/>
      <c r="G153" s="115" t="n"/>
      <c r="H153" s="107" t="n"/>
      <c r="I153" s="107" t="n"/>
      <c r="J153" s="108" t="n"/>
      <c r="K153" s="108" t="n"/>
      <c r="L153" s="119">
        <f>IF($C153="","",DATE(YEAR($C153),MONTH($C153),1))</f>
        <v/>
      </c>
      <c r="M153" s="112">
        <f>IF($C153="","",IF(AND($D153&lt;&gt;"",$E153&lt;&gt;"",$G153&gt;0,$H153&lt;&gt;"",$I153&lt;&gt;""),IF($C153&gt;TODAY(),"İLERİ TARİH","UYGUN"),"EKSİK"))</f>
        <v/>
      </c>
      <c r="N153" s="6" t="n"/>
      <c r="O153" s="6" t="n"/>
    </row>
    <row r="154">
      <c r="A154" s="6" t="n"/>
      <c r="B154" s="112">
        <f>IF($C154="","","GG"&amp;TEXT(ROW()-6,"00000"))</f>
        <v/>
      </c>
      <c r="C154" s="114" t="n"/>
      <c r="D154" s="107" t="n"/>
      <c r="E154" s="108" t="n"/>
      <c r="F154" s="108" t="n"/>
      <c r="G154" s="115" t="n"/>
      <c r="H154" s="107" t="n"/>
      <c r="I154" s="107" t="n"/>
      <c r="J154" s="108" t="n"/>
      <c r="K154" s="108" t="n"/>
      <c r="L154" s="119">
        <f>IF($C154="","",DATE(YEAR($C154),MONTH($C154),1))</f>
        <v/>
      </c>
      <c r="M154" s="112">
        <f>IF($C154="","",IF(AND($D154&lt;&gt;"",$E154&lt;&gt;"",$G154&gt;0,$H154&lt;&gt;"",$I154&lt;&gt;""),IF($C154&gt;TODAY(),"İLERİ TARİH","UYGUN"),"EKSİK"))</f>
        <v/>
      </c>
      <c r="N154" s="6" t="n"/>
      <c r="O154" s="6" t="n"/>
    </row>
    <row r="155">
      <c r="A155" s="6" t="n"/>
      <c r="B155" s="112">
        <f>IF($C155="","","GG"&amp;TEXT(ROW()-6,"00000"))</f>
        <v/>
      </c>
      <c r="C155" s="114" t="n"/>
      <c r="D155" s="107" t="n"/>
      <c r="E155" s="108" t="n"/>
      <c r="F155" s="108" t="n"/>
      <c r="G155" s="115" t="n"/>
      <c r="H155" s="107" t="n"/>
      <c r="I155" s="107" t="n"/>
      <c r="J155" s="108" t="n"/>
      <c r="K155" s="108" t="n"/>
      <c r="L155" s="119">
        <f>IF($C155="","",DATE(YEAR($C155),MONTH($C155),1))</f>
        <v/>
      </c>
      <c r="M155" s="112">
        <f>IF($C155="","",IF(AND($D155&lt;&gt;"",$E155&lt;&gt;"",$G155&gt;0,$H155&lt;&gt;"",$I155&lt;&gt;""),IF($C155&gt;TODAY(),"İLERİ TARİH","UYGUN"),"EKSİK"))</f>
        <v/>
      </c>
      <c r="N155" s="6" t="n"/>
      <c r="O155" s="6" t="n"/>
    </row>
    <row r="156">
      <c r="A156" s="6" t="n"/>
      <c r="B156" s="112">
        <f>IF($C156="","","GG"&amp;TEXT(ROW()-6,"00000"))</f>
        <v/>
      </c>
      <c r="C156" s="114" t="n"/>
      <c r="D156" s="107" t="n"/>
      <c r="E156" s="108" t="n"/>
      <c r="F156" s="108" t="n"/>
      <c r="G156" s="115" t="n"/>
      <c r="H156" s="107" t="n"/>
      <c r="I156" s="107" t="n"/>
      <c r="J156" s="108" t="n"/>
      <c r="K156" s="108" t="n"/>
      <c r="L156" s="119">
        <f>IF($C156="","",DATE(YEAR($C156),MONTH($C156),1))</f>
        <v/>
      </c>
      <c r="M156" s="112">
        <f>IF($C156="","",IF(AND($D156&lt;&gt;"",$E156&lt;&gt;"",$G156&gt;0,$H156&lt;&gt;"",$I156&lt;&gt;""),IF($C156&gt;TODAY(),"İLERİ TARİH","UYGUN"),"EKSİK"))</f>
        <v/>
      </c>
      <c r="N156" s="6" t="n"/>
      <c r="O156" s="6" t="n"/>
    </row>
    <row r="157">
      <c r="A157" s="6" t="n"/>
      <c r="B157" s="112">
        <f>IF($C157="","","GG"&amp;TEXT(ROW()-6,"00000"))</f>
        <v/>
      </c>
      <c r="C157" s="114" t="n"/>
      <c r="D157" s="107" t="n"/>
      <c r="E157" s="108" t="n"/>
      <c r="F157" s="108" t="n"/>
      <c r="G157" s="115" t="n"/>
      <c r="H157" s="107" t="n"/>
      <c r="I157" s="107" t="n"/>
      <c r="J157" s="108" t="n"/>
      <c r="K157" s="108" t="n"/>
      <c r="L157" s="119">
        <f>IF($C157="","",DATE(YEAR($C157),MONTH($C157),1))</f>
        <v/>
      </c>
      <c r="M157" s="112">
        <f>IF($C157="","",IF(AND($D157&lt;&gt;"",$E157&lt;&gt;"",$G157&gt;0,$H157&lt;&gt;"",$I157&lt;&gt;""),IF($C157&gt;TODAY(),"İLERİ TARİH","UYGUN"),"EKSİK"))</f>
        <v/>
      </c>
      <c r="N157" s="6" t="n"/>
      <c r="O157" s="6" t="n"/>
    </row>
    <row r="158">
      <c r="A158" s="6" t="n"/>
      <c r="B158" s="112">
        <f>IF($C158="","","GG"&amp;TEXT(ROW()-6,"00000"))</f>
        <v/>
      </c>
      <c r="C158" s="114" t="n"/>
      <c r="D158" s="107" t="n"/>
      <c r="E158" s="108" t="n"/>
      <c r="F158" s="108" t="n"/>
      <c r="G158" s="115" t="n"/>
      <c r="H158" s="107" t="n"/>
      <c r="I158" s="107" t="n"/>
      <c r="J158" s="108" t="n"/>
      <c r="K158" s="108" t="n"/>
      <c r="L158" s="119">
        <f>IF($C158="","",DATE(YEAR($C158),MONTH($C158),1))</f>
        <v/>
      </c>
      <c r="M158" s="112">
        <f>IF($C158="","",IF(AND($D158&lt;&gt;"",$E158&lt;&gt;"",$G158&gt;0,$H158&lt;&gt;"",$I158&lt;&gt;""),IF($C158&gt;TODAY(),"İLERİ TARİH","UYGUN"),"EKSİK"))</f>
        <v/>
      </c>
      <c r="N158" s="6" t="n"/>
      <c r="O158" s="6" t="n"/>
    </row>
    <row r="159">
      <c r="A159" s="6" t="n"/>
      <c r="B159" s="112">
        <f>IF($C159="","","GG"&amp;TEXT(ROW()-6,"00000"))</f>
        <v/>
      </c>
      <c r="C159" s="114" t="n"/>
      <c r="D159" s="107" t="n"/>
      <c r="E159" s="108" t="n"/>
      <c r="F159" s="108" t="n"/>
      <c r="G159" s="115" t="n"/>
      <c r="H159" s="107" t="n"/>
      <c r="I159" s="107" t="n"/>
      <c r="J159" s="108" t="n"/>
      <c r="K159" s="108" t="n"/>
      <c r="L159" s="119">
        <f>IF($C159="","",DATE(YEAR($C159),MONTH($C159),1))</f>
        <v/>
      </c>
      <c r="M159" s="112">
        <f>IF($C159="","",IF(AND($D159&lt;&gt;"",$E159&lt;&gt;"",$G159&gt;0,$H159&lt;&gt;"",$I159&lt;&gt;""),IF($C159&gt;TODAY(),"İLERİ TARİH","UYGUN"),"EKSİK"))</f>
        <v/>
      </c>
      <c r="N159" s="6" t="n"/>
      <c r="O159" s="6" t="n"/>
    </row>
    <row r="160">
      <c r="A160" s="6" t="n"/>
      <c r="B160" s="112">
        <f>IF($C160="","","GG"&amp;TEXT(ROW()-6,"00000"))</f>
        <v/>
      </c>
      <c r="C160" s="114" t="n"/>
      <c r="D160" s="107" t="n"/>
      <c r="E160" s="108" t="n"/>
      <c r="F160" s="108" t="n"/>
      <c r="G160" s="115" t="n"/>
      <c r="H160" s="107" t="n"/>
      <c r="I160" s="107" t="n"/>
      <c r="J160" s="108" t="n"/>
      <c r="K160" s="108" t="n"/>
      <c r="L160" s="119">
        <f>IF($C160="","",DATE(YEAR($C160),MONTH($C160),1))</f>
        <v/>
      </c>
      <c r="M160" s="112">
        <f>IF($C160="","",IF(AND($D160&lt;&gt;"",$E160&lt;&gt;"",$G160&gt;0,$H160&lt;&gt;"",$I160&lt;&gt;""),IF($C160&gt;TODAY(),"İLERİ TARİH","UYGUN"),"EKSİK"))</f>
        <v/>
      </c>
      <c r="N160" s="6" t="n"/>
      <c r="O160" s="6" t="n"/>
    </row>
    <row r="161">
      <c r="A161" s="6" t="n"/>
      <c r="B161" s="112">
        <f>IF($C161="","","GG"&amp;TEXT(ROW()-6,"00000"))</f>
        <v/>
      </c>
      <c r="C161" s="114" t="n"/>
      <c r="D161" s="107" t="n"/>
      <c r="E161" s="108" t="n"/>
      <c r="F161" s="108" t="n"/>
      <c r="G161" s="115" t="n"/>
      <c r="H161" s="107" t="n"/>
      <c r="I161" s="107" t="n"/>
      <c r="J161" s="108" t="n"/>
      <c r="K161" s="108" t="n"/>
      <c r="L161" s="119">
        <f>IF($C161="","",DATE(YEAR($C161),MONTH($C161),1))</f>
        <v/>
      </c>
      <c r="M161" s="112">
        <f>IF($C161="","",IF(AND($D161&lt;&gt;"",$E161&lt;&gt;"",$G161&gt;0,$H161&lt;&gt;"",$I161&lt;&gt;""),IF($C161&gt;TODAY(),"İLERİ TARİH","UYGUN"),"EKSİK"))</f>
        <v/>
      </c>
      <c r="N161" s="6" t="n"/>
      <c r="O161" s="6" t="n"/>
    </row>
    <row r="162">
      <c r="A162" s="6" t="n"/>
      <c r="B162" s="112">
        <f>IF($C162="","","GG"&amp;TEXT(ROW()-6,"00000"))</f>
        <v/>
      </c>
      <c r="C162" s="114" t="n"/>
      <c r="D162" s="107" t="n"/>
      <c r="E162" s="108" t="n"/>
      <c r="F162" s="108" t="n"/>
      <c r="G162" s="115" t="n"/>
      <c r="H162" s="107" t="n"/>
      <c r="I162" s="107" t="n"/>
      <c r="J162" s="108" t="n"/>
      <c r="K162" s="108" t="n"/>
      <c r="L162" s="119">
        <f>IF($C162="","",DATE(YEAR($C162),MONTH($C162),1))</f>
        <v/>
      </c>
      <c r="M162" s="112">
        <f>IF($C162="","",IF(AND($D162&lt;&gt;"",$E162&lt;&gt;"",$G162&gt;0,$H162&lt;&gt;"",$I162&lt;&gt;""),IF($C162&gt;TODAY(),"İLERİ TARİH","UYGUN"),"EKSİK"))</f>
        <v/>
      </c>
      <c r="N162" s="6" t="n"/>
      <c r="O162" s="6" t="n"/>
    </row>
    <row r="163">
      <c r="A163" s="6" t="n"/>
      <c r="B163" s="112">
        <f>IF($C163="","","GG"&amp;TEXT(ROW()-6,"00000"))</f>
        <v/>
      </c>
      <c r="C163" s="114" t="n"/>
      <c r="D163" s="107" t="n"/>
      <c r="E163" s="108" t="n"/>
      <c r="F163" s="108" t="n"/>
      <c r="G163" s="115" t="n"/>
      <c r="H163" s="107" t="n"/>
      <c r="I163" s="107" t="n"/>
      <c r="J163" s="108" t="n"/>
      <c r="K163" s="108" t="n"/>
      <c r="L163" s="119">
        <f>IF($C163="","",DATE(YEAR($C163),MONTH($C163),1))</f>
        <v/>
      </c>
      <c r="M163" s="112">
        <f>IF($C163="","",IF(AND($D163&lt;&gt;"",$E163&lt;&gt;"",$G163&gt;0,$H163&lt;&gt;"",$I163&lt;&gt;""),IF($C163&gt;TODAY(),"İLERİ TARİH","UYGUN"),"EKSİK"))</f>
        <v/>
      </c>
      <c r="N163" s="6" t="n"/>
      <c r="O163" s="6" t="n"/>
    </row>
    <row r="164">
      <c r="A164" s="6" t="n"/>
      <c r="B164" s="112">
        <f>IF($C164="","","GG"&amp;TEXT(ROW()-6,"00000"))</f>
        <v/>
      </c>
      <c r="C164" s="114" t="n"/>
      <c r="D164" s="107" t="n"/>
      <c r="E164" s="108" t="n"/>
      <c r="F164" s="108" t="n"/>
      <c r="G164" s="115" t="n"/>
      <c r="H164" s="107" t="n"/>
      <c r="I164" s="107" t="n"/>
      <c r="J164" s="108" t="n"/>
      <c r="K164" s="108" t="n"/>
      <c r="L164" s="119">
        <f>IF($C164="","",DATE(YEAR($C164),MONTH($C164),1))</f>
        <v/>
      </c>
      <c r="M164" s="112">
        <f>IF($C164="","",IF(AND($D164&lt;&gt;"",$E164&lt;&gt;"",$G164&gt;0,$H164&lt;&gt;"",$I164&lt;&gt;""),IF($C164&gt;TODAY(),"İLERİ TARİH","UYGUN"),"EKSİK"))</f>
        <v/>
      </c>
      <c r="N164" s="6" t="n"/>
      <c r="O164" s="6" t="n"/>
    </row>
    <row r="165">
      <c r="A165" s="6" t="n"/>
      <c r="B165" s="112">
        <f>IF($C165="","","GG"&amp;TEXT(ROW()-6,"00000"))</f>
        <v/>
      </c>
      <c r="C165" s="114" t="n"/>
      <c r="D165" s="107" t="n"/>
      <c r="E165" s="108" t="n"/>
      <c r="F165" s="108" t="n"/>
      <c r="G165" s="115" t="n"/>
      <c r="H165" s="107" t="n"/>
      <c r="I165" s="107" t="n"/>
      <c r="J165" s="108" t="n"/>
      <c r="K165" s="108" t="n"/>
      <c r="L165" s="119">
        <f>IF($C165="","",DATE(YEAR($C165),MONTH($C165),1))</f>
        <v/>
      </c>
      <c r="M165" s="112">
        <f>IF($C165="","",IF(AND($D165&lt;&gt;"",$E165&lt;&gt;"",$G165&gt;0,$H165&lt;&gt;"",$I165&lt;&gt;""),IF($C165&gt;TODAY(),"İLERİ TARİH","UYGUN"),"EKSİK"))</f>
        <v/>
      </c>
      <c r="N165" s="6" t="n"/>
      <c r="O165" s="6" t="n"/>
    </row>
    <row r="166">
      <c r="A166" s="6" t="n"/>
      <c r="B166" s="112">
        <f>IF($C166="","","GG"&amp;TEXT(ROW()-6,"00000"))</f>
        <v/>
      </c>
      <c r="C166" s="114" t="n"/>
      <c r="D166" s="107" t="n"/>
      <c r="E166" s="108" t="n"/>
      <c r="F166" s="108" t="n"/>
      <c r="G166" s="115" t="n"/>
      <c r="H166" s="107" t="n"/>
      <c r="I166" s="107" t="n"/>
      <c r="J166" s="108" t="n"/>
      <c r="K166" s="108" t="n"/>
      <c r="L166" s="119">
        <f>IF($C166="","",DATE(YEAR($C166),MONTH($C166),1))</f>
        <v/>
      </c>
      <c r="M166" s="112">
        <f>IF($C166="","",IF(AND($D166&lt;&gt;"",$E166&lt;&gt;"",$G166&gt;0,$H166&lt;&gt;"",$I166&lt;&gt;""),IF($C166&gt;TODAY(),"İLERİ TARİH","UYGUN"),"EKSİK"))</f>
        <v/>
      </c>
      <c r="N166" s="6" t="n"/>
      <c r="O166" s="6" t="n"/>
    </row>
    <row r="167">
      <c r="A167" s="6" t="n"/>
      <c r="B167" s="112">
        <f>IF($C167="","","GG"&amp;TEXT(ROW()-6,"00000"))</f>
        <v/>
      </c>
      <c r="C167" s="114" t="n"/>
      <c r="D167" s="107" t="n"/>
      <c r="E167" s="108" t="n"/>
      <c r="F167" s="108" t="n"/>
      <c r="G167" s="115" t="n"/>
      <c r="H167" s="107" t="n"/>
      <c r="I167" s="107" t="n"/>
      <c r="J167" s="108" t="n"/>
      <c r="K167" s="108" t="n"/>
      <c r="L167" s="119">
        <f>IF($C167="","",DATE(YEAR($C167),MONTH($C167),1))</f>
        <v/>
      </c>
      <c r="M167" s="112">
        <f>IF($C167="","",IF(AND($D167&lt;&gt;"",$E167&lt;&gt;"",$G167&gt;0,$H167&lt;&gt;"",$I167&lt;&gt;""),IF($C167&gt;TODAY(),"İLERİ TARİH","UYGUN"),"EKSİK"))</f>
        <v/>
      </c>
      <c r="N167" s="6" t="n"/>
      <c r="O167" s="6" t="n"/>
    </row>
    <row r="168">
      <c r="A168" s="6" t="n"/>
      <c r="B168" s="112">
        <f>IF($C168="","","GG"&amp;TEXT(ROW()-6,"00000"))</f>
        <v/>
      </c>
      <c r="C168" s="114" t="n"/>
      <c r="D168" s="107" t="n"/>
      <c r="E168" s="108" t="n"/>
      <c r="F168" s="108" t="n"/>
      <c r="G168" s="115" t="n"/>
      <c r="H168" s="107" t="n"/>
      <c r="I168" s="107" t="n"/>
      <c r="J168" s="108" t="n"/>
      <c r="K168" s="108" t="n"/>
      <c r="L168" s="119">
        <f>IF($C168="","",DATE(YEAR($C168),MONTH($C168),1))</f>
        <v/>
      </c>
      <c r="M168" s="112">
        <f>IF($C168="","",IF(AND($D168&lt;&gt;"",$E168&lt;&gt;"",$G168&gt;0,$H168&lt;&gt;"",$I168&lt;&gt;""),IF($C168&gt;TODAY(),"İLERİ TARİH","UYGUN"),"EKSİK"))</f>
        <v/>
      </c>
      <c r="N168" s="6" t="n"/>
      <c r="O168" s="6" t="n"/>
    </row>
    <row r="169">
      <c r="A169" s="6" t="n"/>
      <c r="B169" s="112">
        <f>IF($C169="","","GG"&amp;TEXT(ROW()-6,"00000"))</f>
        <v/>
      </c>
      <c r="C169" s="114" t="n"/>
      <c r="D169" s="107" t="n"/>
      <c r="E169" s="108" t="n"/>
      <c r="F169" s="108" t="n"/>
      <c r="G169" s="115" t="n"/>
      <c r="H169" s="107" t="n"/>
      <c r="I169" s="107" t="n"/>
      <c r="J169" s="108" t="n"/>
      <c r="K169" s="108" t="n"/>
      <c r="L169" s="119">
        <f>IF($C169="","",DATE(YEAR($C169),MONTH($C169),1))</f>
        <v/>
      </c>
      <c r="M169" s="112">
        <f>IF($C169="","",IF(AND($D169&lt;&gt;"",$E169&lt;&gt;"",$G169&gt;0,$H169&lt;&gt;"",$I169&lt;&gt;""),IF($C169&gt;TODAY(),"İLERİ TARİH","UYGUN"),"EKSİK"))</f>
        <v/>
      </c>
      <c r="N169" s="6" t="n"/>
      <c r="O169" s="6" t="n"/>
    </row>
    <row r="170">
      <c r="A170" s="6" t="n"/>
      <c r="B170" s="112">
        <f>IF($C170="","","GG"&amp;TEXT(ROW()-6,"00000"))</f>
        <v/>
      </c>
      <c r="C170" s="114" t="n"/>
      <c r="D170" s="107" t="n"/>
      <c r="E170" s="108" t="n"/>
      <c r="F170" s="108" t="n"/>
      <c r="G170" s="115" t="n"/>
      <c r="H170" s="107" t="n"/>
      <c r="I170" s="107" t="n"/>
      <c r="J170" s="108" t="n"/>
      <c r="K170" s="108" t="n"/>
      <c r="L170" s="119">
        <f>IF($C170="","",DATE(YEAR($C170),MONTH($C170),1))</f>
        <v/>
      </c>
      <c r="M170" s="112">
        <f>IF($C170="","",IF(AND($D170&lt;&gt;"",$E170&lt;&gt;"",$G170&gt;0,$H170&lt;&gt;"",$I170&lt;&gt;""),IF($C170&gt;TODAY(),"İLERİ TARİH","UYGUN"),"EKSİK"))</f>
        <v/>
      </c>
      <c r="N170" s="6" t="n"/>
      <c r="O170" s="6" t="n"/>
    </row>
    <row r="171">
      <c r="A171" s="6" t="n"/>
      <c r="B171" s="112">
        <f>IF($C171="","","GG"&amp;TEXT(ROW()-6,"00000"))</f>
        <v/>
      </c>
      <c r="C171" s="114" t="n"/>
      <c r="D171" s="107" t="n"/>
      <c r="E171" s="108" t="n"/>
      <c r="F171" s="108" t="n"/>
      <c r="G171" s="115" t="n"/>
      <c r="H171" s="107" t="n"/>
      <c r="I171" s="107" t="n"/>
      <c r="J171" s="108" t="n"/>
      <c r="K171" s="108" t="n"/>
      <c r="L171" s="119">
        <f>IF($C171="","",DATE(YEAR($C171),MONTH($C171),1))</f>
        <v/>
      </c>
      <c r="M171" s="112">
        <f>IF($C171="","",IF(AND($D171&lt;&gt;"",$E171&lt;&gt;"",$G171&gt;0,$H171&lt;&gt;"",$I171&lt;&gt;""),IF($C171&gt;TODAY(),"İLERİ TARİH","UYGUN"),"EKSİK"))</f>
        <v/>
      </c>
      <c r="N171" s="6" t="n"/>
      <c r="O171" s="6" t="n"/>
    </row>
    <row r="172">
      <c r="A172" s="6" t="n"/>
      <c r="B172" s="112">
        <f>IF($C172="","","GG"&amp;TEXT(ROW()-6,"00000"))</f>
        <v/>
      </c>
      <c r="C172" s="114" t="n"/>
      <c r="D172" s="107" t="n"/>
      <c r="E172" s="108" t="n"/>
      <c r="F172" s="108" t="n"/>
      <c r="G172" s="115" t="n"/>
      <c r="H172" s="107" t="n"/>
      <c r="I172" s="107" t="n"/>
      <c r="J172" s="108" t="n"/>
      <c r="K172" s="108" t="n"/>
      <c r="L172" s="119">
        <f>IF($C172="","",DATE(YEAR($C172),MONTH($C172),1))</f>
        <v/>
      </c>
      <c r="M172" s="112">
        <f>IF($C172="","",IF(AND($D172&lt;&gt;"",$E172&lt;&gt;"",$G172&gt;0,$H172&lt;&gt;"",$I172&lt;&gt;""),IF($C172&gt;TODAY(),"İLERİ TARİH","UYGUN"),"EKSİK"))</f>
        <v/>
      </c>
      <c r="N172" s="6" t="n"/>
      <c r="O172" s="6" t="n"/>
    </row>
    <row r="173">
      <c r="A173" s="6" t="n"/>
      <c r="B173" s="112">
        <f>IF($C173="","","GG"&amp;TEXT(ROW()-6,"00000"))</f>
        <v/>
      </c>
      <c r="C173" s="114" t="n"/>
      <c r="D173" s="107" t="n"/>
      <c r="E173" s="108" t="n"/>
      <c r="F173" s="108" t="n"/>
      <c r="G173" s="115" t="n"/>
      <c r="H173" s="107" t="n"/>
      <c r="I173" s="107" t="n"/>
      <c r="J173" s="108" t="n"/>
      <c r="K173" s="108" t="n"/>
      <c r="L173" s="119">
        <f>IF($C173="","",DATE(YEAR($C173),MONTH($C173),1))</f>
        <v/>
      </c>
      <c r="M173" s="112">
        <f>IF($C173="","",IF(AND($D173&lt;&gt;"",$E173&lt;&gt;"",$G173&gt;0,$H173&lt;&gt;"",$I173&lt;&gt;""),IF($C173&gt;TODAY(),"İLERİ TARİH","UYGUN"),"EKSİK"))</f>
        <v/>
      </c>
      <c r="N173" s="6" t="n"/>
      <c r="O173" s="6" t="n"/>
    </row>
    <row r="174">
      <c r="A174" s="6" t="n"/>
      <c r="B174" s="112">
        <f>IF($C174="","","GG"&amp;TEXT(ROW()-6,"00000"))</f>
        <v/>
      </c>
      <c r="C174" s="114" t="n"/>
      <c r="D174" s="107" t="n"/>
      <c r="E174" s="108" t="n"/>
      <c r="F174" s="108" t="n"/>
      <c r="G174" s="115" t="n"/>
      <c r="H174" s="107" t="n"/>
      <c r="I174" s="107" t="n"/>
      <c r="J174" s="108" t="n"/>
      <c r="K174" s="108" t="n"/>
      <c r="L174" s="119">
        <f>IF($C174="","",DATE(YEAR($C174),MONTH($C174),1))</f>
        <v/>
      </c>
      <c r="M174" s="112">
        <f>IF($C174="","",IF(AND($D174&lt;&gt;"",$E174&lt;&gt;"",$G174&gt;0,$H174&lt;&gt;"",$I174&lt;&gt;""),IF($C174&gt;TODAY(),"İLERİ TARİH","UYGUN"),"EKSİK"))</f>
        <v/>
      </c>
      <c r="N174" s="6" t="n"/>
      <c r="O174" s="6" t="n"/>
    </row>
    <row r="175">
      <c r="A175" s="6" t="n"/>
      <c r="B175" s="112">
        <f>IF($C175="","","GG"&amp;TEXT(ROW()-6,"00000"))</f>
        <v/>
      </c>
      <c r="C175" s="114" t="n"/>
      <c r="D175" s="107" t="n"/>
      <c r="E175" s="108" t="n"/>
      <c r="F175" s="108" t="n"/>
      <c r="G175" s="115" t="n"/>
      <c r="H175" s="107" t="n"/>
      <c r="I175" s="107" t="n"/>
      <c r="J175" s="108" t="n"/>
      <c r="K175" s="108" t="n"/>
      <c r="L175" s="119">
        <f>IF($C175="","",DATE(YEAR($C175),MONTH($C175),1))</f>
        <v/>
      </c>
      <c r="M175" s="112">
        <f>IF($C175="","",IF(AND($D175&lt;&gt;"",$E175&lt;&gt;"",$G175&gt;0,$H175&lt;&gt;"",$I175&lt;&gt;""),IF($C175&gt;TODAY(),"İLERİ TARİH","UYGUN"),"EKSİK"))</f>
        <v/>
      </c>
      <c r="N175" s="6" t="n"/>
      <c r="O175" s="6" t="n"/>
    </row>
    <row r="176">
      <c r="A176" s="6" t="n"/>
      <c r="B176" s="112">
        <f>IF($C176="","","GG"&amp;TEXT(ROW()-6,"00000"))</f>
        <v/>
      </c>
      <c r="C176" s="114" t="n"/>
      <c r="D176" s="107" t="n"/>
      <c r="E176" s="108" t="n"/>
      <c r="F176" s="108" t="n"/>
      <c r="G176" s="115" t="n"/>
      <c r="H176" s="107" t="n"/>
      <c r="I176" s="107" t="n"/>
      <c r="J176" s="108" t="n"/>
      <c r="K176" s="108" t="n"/>
      <c r="L176" s="119">
        <f>IF($C176="","",DATE(YEAR($C176),MONTH($C176),1))</f>
        <v/>
      </c>
      <c r="M176" s="112">
        <f>IF($C176="","",IF(AND($D176&lt;&gt;"",$E176&lt;&gt;"",$G176&gt;0,$H176&lt;&gt;"",$I176&lt;&gt;""),IF($C176&gt;TODAY(),"İLERİ TARİH","UYGUN"),"EKSİK"))</f>
        <v/>
      </c>
      <c r="N176" s="6" t="n"/>
      <c r="O176" s="6" t="n"/>
    </row>
    <row r="177">
      <c r="A177" s="6" t="n"/>
      <c r="B177" s="112">
        <f>IF($C177="","","GG"&amp;TEXT(ROW()-6,"00000"))</f>
        <v/>
      </c>
      <c r="C177" s="114" t="n"/>
      <c r="D177" s="107" t="n"/>
      <c r="E177" s="108" t="n"/>
      <c r="F177" s="108" t="n"/>
      <c r="G177" s="115" t="n"/>
      <c r="H177" s="107" t="n"/>
      <c r="I177" s="107" t="n"/>
      <c r="J177" s="108" t="n"/>
      <c r="K177" s="108" t="n"/>
      <c r="L177" s="119">
        <f>IF($C177="","",DATE(YEAR($C177),MONTH($C177),1))</f>
        <v/>
      </c>
      <c r="M177" s="112">
        <f>IF($C177="","",IF(AND($D177&lt;&gt;"",$E177&lt;&gt;"",$G177&gt;0,$H177&lt;&gt;"",$I177&lt;&gt;""),IF($C177&gt;TODAY(),"İLERİ TARİH","UYGUN"),"EKSİK"))</f>
        <v/>
      </c>
      <c r="N177" s="6" t="n"/>
      <c r="O177" s="6" t="n"/>
    </row>
    <row r="178">
      <c r="A178" s="6" t="n"/>
      <c r="B178" s="112">
        <f>IF($C178="","","GG"&amp;TEXT(ROW()-6,"00000"))</f>
        <v/>
      </c>
      <c r="C178" s="114" t="n"/>
      <c r="D178" s="107" t="n"/>
      <c r="E178" s="108" t="n"/>
      <c r="F178" s="108" t="n"/>
      <c r="G178" s="115" t="n"/>
      <c r="H178" s="107" t="n"/>
      <c r="I178" s="107" t="n"/>
      <c r="J178" s="108" t="n"/>
      <c r="K178" s="108" t="n"/>
      <c r="L178" s="119">
        <f>IF($C178="","",DATE(YEAR($C178),MONTH($C178),1))</f>
        <v/>
      </c>
      <c r="M178" s="112">
        <f>IF($C178="","",IF(AND($D178&lt;&gt;"",$E178&lt;&gt;"",$G178&gt;0,$H178&lt;&gt;"",$I178&lt;&gt;""),IF($C178&gt;TODAY(),"İLERİ TARİH","UYGUN"),"EKSİK"))</f>
        <v/>
      </c>
      <c r="N178" s="6" t="n"/>
      <c r="O178" s="6" t="n"/>
    </row>
    <row r="179">
      <c r="A179" s="6" t="n"/>
      <c r="B179" s="112">
        <f>IF($C179="","","GG"&amp;TEXT(ROW()-6,"00000"))</f>
        <v/>
      </c>
      <c r="C179" s="114" t="n"/>
      <c r="D179" s="107" t="n"/>
      <c r="E179" s="108" t="n"/>
      <c r="F179" s="108" t="n"/>
      <c r="G179" s="115" t="n"/>
      <c r="H179" s="107" t="n"/>
      <c r="I179" s="107" t="n"/>
      <c r="J179" s="108" t="n"/>
      <c r="K179" s="108" t="n"/>
      <c r="L179" s="119">
        <f>IF($C179="","",DATE(YEAR($C179),MONTH($C179),1))</f>
        <v/>
      </c>
      <c r="M179" s="112">
        <f>IF($C179="","",IF(AND($D179&lt;&gt;"",$E179&lt;&gt;"",$G179&gt;0,$H179&lt;&gt;"",$I179&lt;&gt;""),IF($C179&gt;TODAY(),"İLERİ TARİH","UYGUN"),"EKSİK"))</f>
        <v/>
      </c>
      <c r="N179" s="6" t="n"/>
      <c r="O179" s="6" t="n"/>
    </row>
    <row r="180">
      <c r="A180" s="6" t="n"/>
      <c r="B180" s="112">
        <f>IF($C180="","","GG"&amp;TEXT(ROW()-6,"00000"))</f>
        <v/>
      </c>
      <c r="C180" s="114" t="n"/>
      <c r="D180" s="107" t="n"/>
      <c r="E180" s="108" t="n"/>
      <c r="F180" s="108" t="n"/>
      <c r="G180" s="115" t="n"/>
      <c r="H180" s="107" t="n"/>
      <c r="I180" s="107" t="n"/>
      <c r="J180" s="108" t="n"/>
      <c r="K180" s="108" t="n"/>
      <c r="L180" s="119">
        <f>IF($C180="","",DATE(YEAR($C180),MONTH($C180),1))</f>
        <v/>
      </c>
      <c r="M180" s="112">
        <f>IF($C180="","",IF(AND($D180&lt;&gt;"",$E180&lt;&gt;"",$G180&gt;0,$H180&lt;&gt;"",$I180&lt;&gt;""),IF($C180&gt;TODAY(),"İLERİ TARİH","UYGUN"),"EKSİK"))</f>
        <v/>
      </c>
      <c r="N180" s="6" t="n"/>
      <c r="O180" s="6" t="n"/>
    </row>
    <row r="181">
      <c r="A181" s="6" t="n"/>
      <c r="B181" s="112">
        <f>IF($C181="","","GG"&amp;TEXT(ROW()-6,"00000"))</f>
        <v/>
      </c>
      <c r="C181" s="114" t="n"/>
      <c r="D181" s="107" t="n"/>
      <c r="E181" s="108" t="n"/>
      <c r="F181" s="108" t="n"/>
      <c r="G181" s="115" t="n"/>
      <c r="H181" s="107" t="n"/>
      <c r="I181" s="107" t="n"/>
      <c r="J181" s="108" t="n"/>
      <c r="K181" s="108" t="n"/>
      <c r="L181" s="119">
        <f>IF($C181="","",DATE(YEAR($C181),MONTH($C181),1))</f>
        <v/>
      </c>
      <c r="M181" s="112">
        <f>IF($C181="","",IF(AND($D181&lt;&gt;"",$E181&lt;&gt;"",$G181&gt;0,$H181&lt;&gt;"",$I181&lt;&gt;""),IF($C181&gt;TODAY(),"İLERİ TARİH","UYGUN"),"EKSİK"))</f>
        <v/>
      </c>
      <c r="N181" s="6" t="n"/>
      <c r="O181" s="6" t="n"/>
    </row>
    <row r="182">
      <c r="A182" s="6" t="n"/>
      <c r="B182" s="112">
        <f>IF($C182="","","GG"&amp;TEXT(ROW()-6,"00000"))</f>
        <v/>
      </c>
      <c r="C182" s="114" t="n"/>
      <c r="D182" s="107" t="n"/>
      <c r="E182" s="108" t="n"/>
      <c r="F182" s="108" t="n"/>
      <c r="G182" s="115" t="n"/>
      <c r="H182" s="107" t="n"/>
      <c r="I182" s="107" t="n"/>
      <c r="J182" s="108" t="n"/>
      <c r="K182" s="108" t="n"/>
      <c r="L182" s="119">
        <f>IF($C182="","",DATE(YEAR($C182),MONTH($C182),1))</f>
        <v/>
      </c>
      <c r="M182" s="112">
        <f>IF($C182="","",IF(AND($D182&lt;&gt;"",$E182&lt;&gt;"",$G182&gt;0,$H182&lt;&gt;"",$I182&lt;&gt;""),IF($C182&gt;TODAY(),"İLERİ TARİH","UYGUN"),"EKSİK"))</f>
        <v/>
      </c>
      <c r="N182" s="6" t="n"/>
      <c r="O182" s="6" t="n"/>
    </row>
    <row r="183">
      <c r="A183" s="6" t="n"/>
      <c r="B183" s="112">
        <f>IF($C183="","","GG"&amp;TEXT(ROW()-6,"00000"))</f>
        <v/>
      </c>
      <c r="C183" s="114" t="n"/>
      <c r="D183" s="107" t="n"/>
      <c r="E183" s="108" t="n"/>
      <c r="F183" s="108" t="n"/>
      <c r="G183" s="115" t="n"/>
      <c r="H183" s="107" t="n"/>
      <c r="I183" s="107" t="n"/>
      <c r="J183" s="108" t="n"/>
      <c r="K183" s="108" t="n"/>
      <c r="L183" s="119">
        <f>IF($C183="","",DATE(YEAR($C183),MONTH($C183),1))</f>
        <v/>
      </c>
      <c r="M183" s="112">
        <f>IF($C183="","",IF(AND($D183&lt;&gt;"",$E183&lt;&gt;"",$G183&gt;0,$H183&lt;&gt;"",$I183&lt;&gt;""),IF($C183&gt;TODAY(),"İLERİ TARİH","UYGUN"),"EKSİK"))</f>
        <v/>
      </c>
      <c r="N183" s="6" t="n"/>
      <c r="O183" s="6" t="n"/>
    </row>
    <row r="184">
      <c r="A184" s="6" t="n"/>
      <c r="B184" s="112">
        <f>IF($C184="","","GG"&amp;TEXT(ROW()-6,"00000"))</f>
        <v/>
      </c>
      <c r="C184" s="114" t="n"/>
      <c r="D184" s="107" t="n"/>
      <c r="E184" s="108" t="n"/>
      <c r="F184" s="108" t="n"/>
      <c r="G184" s="115" t="n"/>
      <c r="H184" s="107" t="n"/>
      <c r="I184" s="107" t="n"/>
      <c r="J184" s="108" t="n"/>
      <c r="K184" s="108" t="n"/>
      <c r="L184" s="119">
        <f>IF($C184="","",DATE(YEAR($C184),MONTH($C184),1))</f>
        <v/>
      </c>
      <c r="M184" s="112">
        <f>IF($C184="","",IF(AND($D184&lt;&gt;"",$E184&lt;&gt;"",$G184&gt;0,$H184&lt;&gt;"",$I184&lt;&gt;""),IF($C184&gt;TODAY(),"İLERİ TARİH","UYGUN"),"EKSİK"))</f>
        <v/>
      </c>
      <c r="N184" s="6" t="n"/>
      <c r="O184" s="6" t="n"/>
    </row>
    <row r="185">
      <c r="A185" s="6" t="n"/>
      <c r="B185" s="112">
        <f>IF($C185="","","GG"&amp;TEXT(ROW()-6,"00000"))</f>
        <v/>
      </c>
      <c r="C185" s="114" t="n"/>
      <c r="D185" s="107" t="n"/>
      <c r="E185" s="108" t="n"/>
      <c r="F185" s="108" t="n"/>
      <c r="G185" s="115" t="n"/>
      <c r="H185" s="107" t="n"/>
      <c r="I185" s="107" t="n"/>
      <c r="J185" s="108" t="n"/>
      <c r="K185" s="108" t="n"/>
      <c r="L185" s="119">
        <f>IF($C185="","",DATE(YEAR($C185),MONTH($C185),1))</f>
        <v/>
      </c>
      <c r="M185" s="112">
        <f>IF($C185="","",IF(AND($D185&lt;&gt;"",$E185&lt;&gt;"",$G185&gt;0,$H185&lt;&gt;"",$I185&lt;&gt;""),IF($C185&gt;TODAY(),"İLERİ TARİH","UYGUN"),"EKSİK"))</f>
        <v/>
      </c>
      <c r="N185" s="6" t="n"/>
      <c r="O185" s="6" t="n"/>
    </row>
    <row r="186">
      <c r="A186" s="6" t="n"/>
      <c r="B186" s="112">
        <f>IF($C186="","","GG"&amp;TEXT(ROW()-6,"00000"))</f>
        <v/>
      </c>
      <c r="C186" s="114" t="n"/>
      <c r="D186" s="107" t="n"/>
      <c r="E186" s="108" t="n"/>
      <c r="F186" s="108" t="n"/>
      <c r="G186" s="115" t="n"/>
      <c r="H186" s="107" t="n"/>
      <c r="I186" s="107" t="n"/>
      <c r="J186" s="108" t="n"/>
      <c r="K186" s="108" t="n"/>
      <c r="L186" s="119">
        <f>IF($C186="","",DATE(YEAR($C186),MONTH($C186),1))</f>
        <v/>
      </c>
      <c r="M186" s="112">
        <f>IF($C186="","",IF(AND($D186&lt;&gt;"",$E186&lt;&gt;"",$G186&gt;0,$H186&lt;&gt;"",$I186&lt;&gt;""),IF($C186&gt;TODAY(),"İLERİ TARİH","UYGUN"),"EKSİK"))</f>
        <v/>
      </c>
      <c r="N186" s="6" t="n"/>
      <c r="O186" s="6" t="n"/>
    </row>
    <row r="187">
      <c r="A187" s="6" t="n"/>
      <c r="B187" s="112">
        <f>IF($C187="","","GG"&amp;TEXT(ROW()-6,"00000"))</f>
        <v/>
      </c>
      <c r="C187" s="114" t="n"/>
      <c r="D187" s="107" t="n"/>
      <c r="E187" s="108" t="n"/>
      <c r="F187" s="108" t="n"/>
      <c r="G187" s="115" t="n"/>
      <c r="H187" s="107" t="n"/>
      <c r="I187" s="107" t="n"/>
      <c r="J187" s="108" t="n"/>
      <c r="K187" s="108" t="n"/>
      <c r="L187" s="119">
        <f>IF($C187="","",DATE(YEAR($C187),MONTH($C187),1))</f>
        <v/>
      </c>
      <c r="M187" s="112">
        <f>IF($C187="","",IF(AND($D187&lt;&gt;"",$E187&lt;&gt;"",$G187&gt;0,$H187&lt;&gt;"",$I187&lt;&gt;""),IF($C187&gt;TODAY(),"İLERİ TARİH","UYGUN"),"EKSİK"))</f>
        <v/>
      </c>
      <c r="N187" s="6" t="n"/>
      <c r="O187" s="6" t="n"/>
    </row>
    <row r="188">
      <c r="A188" s="6" t="n"/>
      <c r="B188" s="112">
        <f>IF($C188="","","GG"&amp;TEXT(ROW()-6,"00000"))</f>
        <v/>
      </c>
      <c r="C188" s="114" t="n"/>
      <c r="D188" s="107" t="n"/>
      <c r="E188" s="108" t="n"/>
      <c r="F188" s="108" t="n"/>
      <c r="G188" s="115" t="n"/>
      <c r="H188" s="107" t="n"/>
      <c r="I188" s="107" t="n"/>
      <c r="J188" s="108" t="n"/>
      <c r="K188" s="108" t="n"/>
      <c r="L188" s="119">
        <f>IF($C188="","",DATE(YEAR($C188),MONTH($C188),1))</f>
        <v/>
      </c>
      <c r="M188" s="112">
        <f>IF($C188="","",IF(AND($D188&lt;&gt;"",$E188&lt;&gt;"",$G188&gt;0,$H188&lt;&gt;"",$I188&lt;&gt;""),IF($C188&gt;TODAY(),"İLERİ TARİH","UYGUN"),"EKSİK"))</f>
        <v/>
      </c>
      <c r="N188" s="6" t="n"/>
      <c r="O188" s="6" t="n"/>
    </row>
    <row r="189">
      <c r="A189" s="6" t="n"/>
      <c r="B189" s="112">
        <f>IF($C189="","","GG"&amp;TEXT(ROW()-6,"00000"))</f>
        <v/>
      </c>
      <c r="C189" s="114" t="n"/>
      <c r="D189" s="107" t="n"/>
      <c r="E189" s="108" t="n"/>
      <c r="F189" s="108" t="n"/>
      <c r="G189" s="115" t="n"/>
      <c r="H189" s="107" t="n"/>
      <c r="I189" s="107" t="n"/>
      <c r="J189" s="108" t="n"/>
      <c r="K189" s="108" t="n"/>
      <c r="L189" s="119">
        <f>IF($C189="","",DATE(YEAR($C189),MONTH($C189),1))</f>
        <v/>
      </c>
      <c r="M189" s="112">
        <f>IF($C189="","",IF(AND($D189&lt;&gt;"",$E189&lt;&gt;"",$G189&gt;0,$H189&lt;&gt;"",$I189&lt;&gt;""),IF($C189&gt;TODAY(),"İLERİ TARİH","UYGUN"),"EKSİK"))</f>
        <v/>
      </c>
      <c r="N189" s="6" t="n"/>
      <c r="O189" s="6" t="n"/>
    </row>
    <row r="190">
      <c r="A190" s="6" t="n"/>
      <c r="B190" s="112">
        <f>IF($C190="","","GG"&amp;TEXT(ROW()-6,"00000"))</f>
        <v/>
      </c>
      <c r="C190" s="114" t="n"/>
      <c r="D190" s="107" t="n"/>
      <c r="E190" s="108" t="n"/>
      <c r="F190" s="108" t="n"/>
      <c r="G190" s="115" t="n"/>
      <c r="H190" s="107" t="n"/>
      <c r="I190" s="107" t="n"/>
      <c r="J190" s="108" t="n"/>
      <c r="K190" s="108" t="n"/>
      <c r="L190" s="119">
        <f>IF($C190="","",DATE(YEAR($C190),MONTH($C190),1))</f>
        <v/>
      </c>
      <c r="M190" s="112">
        <f>IF($C190="","",IF(AND($D190&lt;&gt;"",$E190&lt;&gt;"",$G190&gt;0,$H190&lt;&gt;"",$I190&lt;&gt;""),IF($C190&gt;TODAY(),"İLERİ TARİH","UYGUN"),"EKSİK"))</f>
        <v/>
      </c>
      <c r="N190" s="6" t="n"/>
      <c r="O190" s="6" t="n"/>
    </row>
    <row r="191">
      <c r="A191" s="6" t="n"/>
      <c r="B191" s="112">
        <f>IF($C191="","","GG"&amp;TEXT(ROW()-6,"00000"))</f>
        <v/>
      </c>
      <c r="C191" s="114" t="n"/>
      <c r="D191" s="107" t="n"/>
      <c r="E191" s="108" t="n"/>
      <c r="F191" s="108" t="n"/>
      <c r="G191" s="115" t="n"/>
      <c r="H191" s="107" t="n"/>
      <c r="I191" s="107" t="n"/>
      <c r="J191" s="108" t="n"/>
      <c r="K191" s="108" t="n"/>
      <c r="L191" s="119">
        <f>IF($C191="","",DATE(YEAR($C191),MONTH($C191),1))</f>
        <v/>
      </c>
      <c r="M191" s="112">
        <f>IF($C191="","",IF(AND($D191&lt;&gt;"",$E191&lt;&gt;"",$G191&gt;0,$H191&lt;&gt;"",$I191&lt;&gt;""),IF($C191&gt;TODAY(),"İLERİ TARİH","UYGUN"),"EKSİK"))</f>
        <v/>
      </c>
      <c r="N191" s="6" t="n"/>
      <c r="O191" s="6" t="n"/>
    </row>
    <row r="192">
      <c r="A192" s="6" t="n"/>
      <c r="B192" s="112">
        <f>IF($C192="","","GG"&amp;TEXT(ROW()-6,"00000"))</f>
        <v/>
      </c>
      <c r="C192" s="114" t="n"/>
      <c r="D192" s="107" t="n"/>
      <c r="E192" s="108" t="n"/>
      <c r="F192" s="108" t="n"/>
      <c r="G192" s="115" t="n"/>
      <c r="H192" s="107" t="n"/>
      <c r="I192" s="107" t="n"/>
      <c r="J192" s="108" t="n"/>
      <c r="K192" s="108" t="n"/>
      <c r="L192" s="119">
        <f>IF($C192="","",DATE(YEAR($C192),MONTH($C192),1))</f>
        <v/>
      </c>
      <c r="M192" s="112">
        <f>IF($C192="","",IF(AND($D192&lt;&gt;"",$E192&lt;&gt;"",$G192&gt;0,$H192&lt;&gt;"",$I192&lt;&gt;""),IF($C192&gt;TODAY(),"İLERİ TARİH","UYGUN"),"EKSİK"))</f>
        <v/>
      </c>
      <c r="N192" s="6" t="n"/>
      <c r="O192" s="6" t="n"/>
    </row>
    <row r="193">
      <c r="A193" s="6" t="n"/>
      <c r="B193" s="112">
        <f>IF($C193="","","GG"&amp;TEXT(ROW()-6,"00000"))</f>
        <v/>
      </c>
      <c r="C193" s="114" t="n"/>
      <c r="D193" s="107" t="n"/>
      <c r="E193" s="108" t="n"/>
      <c r="F193" s="108" t="n"/>
      <c r="G193" s="115" t="n"/>
      <c r="H193" s="107" t="n"/>
      <c r="I193" s="107" t="n"/>
      <c r="J193" s="108" t="n"/>
      <c r="K193" s="108" t="n"/>
      <c r="L193" s="119">
        <f>IF($C193="","",DATE(YEAR($C193),MONTH($C193),1))</f>
        <v/>
      </c>
      <c r="M193" s="112">
        <f>IF($C193="","",IF(AND($D193&lt;&gt;"",$E193&lt;&gt;"",$G193&gt;0,$H193&lt;&gt;"",$I193&lt;&gt;""),IF($C193&gt;TODAY(),"İLERİ TARİH","UYGUN"),"EKSİK"))</f>
        <v/>
      </c>
      <c r="N193" s="6" t="n"/>
      <c r="O193" s="6" t="n"/>
    </row>
    <row r="194">
      <c r="A194" s="6" t="n"/>
      <c r="B194" s="112">
        <f>IF($C194="","","GG"&amp;TEXT(ROW()-6,"00000"))</f>
        <v/>
      </c>
      <c r="C194" s="114" t="n"/>
      <c r="D194" s="107" t="n"/>
      <c r="E194" s="108" t="n"/>
      <c r="F194" s="108" t="n"/>
      <c r="G194" s="115" t="n"/>
      <c r="H194" s="107" t="n"/>
      <c r="I194" s="107" t="n"/>
      <c r="J194" s="108" t="n"/>
      <c r="K194" s="108" t="n"/>
      <c r="L194" s="119">
        <f>IF($C194="","",DATE(YEAR($C194),MONTH($C194),1))</f>
        <v/>
      </c>
      <c r="M194" s="112">
        <f>IF($C194="","",IF(AND($D194&lt;&gt;"",$E194&lt;&gt;"",$G194&gt;0,$H194&lt;&gt;"",$I194&lt;&gt;""),IF($C194&gt;TODAY(),"İLERİ TARİH","UYGUN"),"EKSİK"))</f>
        <v/>
      </c>
      <c r="N194" s="6" t="n"/>
      <c r="O194" s="6" t="n"/>
    </row>
    <row r="195">
      <c r="A195" s="6" t="n"/>
      <c r="B195" s="112">
        <f>IF($C195="","","GG"&amp;TEXT(ROW()-6,"00000"))</f>
        <v/>
      </c>
      <c r="C195" s="114" t="n"/>
      <c r="D195" s="107" t="n"/>
      <c r="E195" s="108" t="n"/>
      <c r="F195" s="108" t="n"/>
      <c r="G195" s="115" t="n"/>
      <c r="H195" s="107" t="n"/>
      <c r="I195" s="107" t="n"/>
      <c r="J195" s="108" t="n"/>
      <c r="K195" s="108" t="n"/>
      <c r="L195" s="119">
        <f>IF($C195="","",DATE(YEAR($C195),MONTH($C195),1))</f>
        <v/>
      </c>
      <c r="M195" s="112">
        <f>IF($C195="","",IF(AND($D195&lt;&gt;"",$E195&lt;&gt;"",$G195&gt;0,$H195&lt;&gt;"",$I195&lt;&gt;""),IF($C195&gt;TODAY(),"İLERİ TARİH","UYGUN"),"EKSİK"))</f>
        <v/>
      </c>
      <c r="N195" s="6" t="n"/>
      <c r="O195" s="6" t="n"/>
    </row>
    <row r="196">
      <c r="A196" s="6" t="n"/>
      <c r="B196" s="112">
        <f>IF($C196="","","GG"&amp;TEXT(ROW()-6,"00000"))</f>
        <v/>
      </c>
      <c r="C196" s="114" t="n"/>
      <c r="D196" s="107" t="n"/>
      <c r="E196" s="108" t="n"/>
      <c r="F196" s="108" t="n"/>
      <c r="G196" s="115" t="n"/>
      <c r="H196" s="107" t="n"/>
      <c r="I196" s="107" t="n"/>
      <c r="J196" s="108" t="n"/>
      <c r="K196" s="108" t="n"/>
      <c r="L196" s="119">
        <f>IF($C196="","",DATE(YEAR($C196),MONTH($C196),1))</f>
        <v/>
      </c>
      <c r="M196" s="112">
        <f>IF($C196="","",IF(AND($D196&lt;&gt;"",$E196&lt;&gt;"",$G196&gt;0,$H196&lt;&gt;"",$I196&lt;&gt;""),IF($C196&gt;TODAY(),"İLERİ TARİH","UYGUN"),"EKSİK"))</f>
        <v/>
      </c>
      <c r="N196" s="6" t="n"/>
      <c r="O196" s="6" t="n"/>
    </row>
    <row r="197">
      <c r="A197" s="6" t="n"/>
      <c r="B197" s="112">
        <f>IF($C197="","","GG"&amp;TEXT(ROW()-6,"00000"))</f>
        <v/>
      </c>
      <c r="C197" s="114" t="n"/>
      <c r="D197" s="107" t="n"/>
      <c r="E197" s="108" t="n"/>
      <c r="F197" s="108" t="n"/>
      <c r="G197" s="115" t="n"/>
      <c r="H197" s="107" t="n"/>
      <c r="I197" s="107" t="n"/>
      <c r="J197" s="108" t="n"/>
      <c r="K197" s="108" t="n"/>
      <c r="L197" s="119">
        <f>IF($C197="","",DATE(YEAR($C197),MONTH($C197),1))</f>
        <v/>
      </c>
      <c r="M197" s="112">
        <f>IF($C197="","",IF(AND($D197&lt;&gt;"",$E197&lt;&gt;"",$G197&gt;0,$H197&lt;&gt;"",$I197&lt;&gt;""),IF($C197&gt;TODAY(),"İLERİ TARİH","UYGUN"),"EKSİK"))</f>
        <v/>
      </c>
      <c r="N197" s="6" t="n"/>
      <c r="O197" s="6" t="n"/>
    </row>
    <row r="198">
      <c r="A198" s="6" t="n"/>
      <c r="B198" s="112">
        <f>IF($C198="","","GG"&amp;TEXT(ROW()-6,"00000"))</f>
        <v/>
      </c>
      <c r="C198" s="114" t="n"/>
      <c r="D198" s="107" t="n"/>
      <c r="E198" s="108" t="n"/>
      <c r="F198" s="108" t="n"/>
      <c r="G198" s="115" t="n"/>
      <c r="H198" s="107" t="n"/>
      <c r="I198" s="107" t="n"/>
      <c r="J198" s="108" t="n"/>
      <c r="K198" s="108" t="n"/>
      <c r="L198" s="119">
        <f>IF($C198="","",DATE(YEAR($C198),MONTH($C198),1))</f>
        <v/>
      </c>
      <c r="M198" s="112">
        <f>IF($C198="","",IF(AND($D198&lt;&gt;"",$E198&lt;&gt;"",$G198&gt;0,$H198&lt;&gt;"",$I198&lt;&gt;""),IF($C198&gt;TODAY(),"İLERİ TARİH","UYGUN"),"EKSİK"))</f>
        <v/>
      </c>
      <c r="N198" s="6" t="n"/>
      <c r="O198" s="6" t="n"/>
    </row>
    <row r="199">
      <c r="A199" s="6" t="n"/>
      <c r="B199" s="112">
        <f>IF($C199="","","GG"&amp;TEXT(ROW()-6,"00000"))</f>
        <v/>
      </c>
      <c r="C199" s="114" t="n"/>
      <c r="D199" s="107" t="n"/>
      <c r="E199" s="108" t="n"/>
      <c r="F199" s="108" t="n"/>
      <c r="G199" s="115" t="n"/>
      <c r="H199" s="107" t="n"/>
      <c r="I199" s="107" t="n"/>
      <c r="J199" s="108" t="n"/>
      <c r="K199" s="108" t="n"/>
      <c r="L199" s="119">
        <f>IF($C199="","",DATE(YEAR($C199),MONTH($C199),1))</f>
        <v/>
      </c>
      <c r="M199" s="112">
        <f>IF($C199="","",IF(AND($D199&lt;&gt;"",$E199&lt;&gt;"",$G199&gt;0,$H199&lt;&gt;"",$I199&lt;&gt;""),IF($C199&gt;TODAY(),"İLERİ TARİH","UYGUN"),"EKSİK"))</f>
        <v/>
      </c>
      <c r="N199" s="6" t="n"/>
      <c r="O199" s="6" t="n"/>
    </row>
    <row r="200">
      <c r="A200" s="6" t="n"/>
      <c r="B200" s="112">
        <f>IF($C200="","","GG"&amp;TEXT(ROW()-6,"00000"))</f>
        <v/>
      </c>
      <c r="C200" s="114" t="n"/>
      <c r="D200" s="107" t="n"/>
      <c r="E200" s="108" t="n"/>
      <c r="F200" s="108" t="n"/>
      <c r="G200" s="115" t="n"/>
      <c r="H200" s="107" t="n"/>
      <c r="I200" s="107" t="n"/>
      <c r="J200" s="108" t="n"/>
      <c r="K200" s="108" t="n"/>
      <c r="L200" s="119">
        <f>IF($C200="","",DATE(YEAR($C200),MONTH($C200),1))</f>
        <v/>
      </c>
      <c r="M200" s="112">
        <f>IF($C200="","",IF(AND($D200&lt;&gt;"",$E200&lt;&gt;"",$G200&gt;0,$H200&lt;&gt;"",$I200&lt;&gt;""),IF($C200&gt;TODAY(),"İLERİ TARİH","UYGUN"),"EKSİK"))</f>
        <v/>
      </c>
      <c r="N200" s="6" t="n"/>
      <c r="O200" s="6" t="n"/>
    </row>
    <row r="201">
      <c r="A201" s="6" t="n"/>
      <c r="B201" s="112">
        <f>IF($C201="","","GG"&amp;TEXT(ROW()-6,"00000"))</f>
        <v/>
      </c>
      <c r="C201" s="114" t="n"/>
      <c r="D201" s="107" t="n"/>
      <c r="E201" s="108" t="n"/>
      <c r="F201" s="108" t="n"/>
      <c r="G201" s="115" t="n"/>
      <c r="H201" s="107" t="n"/>
      <c r="I201" s="107" t="n"/>
      <c r="J201" s="108" t="n"/>
      <c r="K201" s="108" t="n"/>
      <c r="L201" s="119">
        <f>IF($C201="","",DATE(YEAR($C201),MONTH($C201),1))</f>
        <v/>
      </c>
      <c r="M201" s="112">
        <f>IF($C201="","",IF(AND($D201&lt;&gt;"",$E201&lt;&gt;"",$G201&gt;0,$H201&lt;&gt;"",$I201&lt;&gt;""),IF($C201&gt;TODAY(),"İLERİ TARİH","UYGUN"),"EKSİK"))</f>
        <v/>
      </c>
      <c r="N201" s="6" t="n"/>
      <c r="O201" s="6" t="n"/>
    </row>
    <row r="202">
      <c r="A202" s="6" t="n"/>
      <c r="B202" s="112">
        <f>IF($C202="","","GG"&amp;TEXT(ROW()-6,"00000"))</f>
        <v/>
      </c>
      <c r="C202" s="114" t="n"/>
      <c r="D202" s="107" t="n"/>
      <c r="E202" s="108" t="n"/>
      <c r="F202" s="108" t="n"/>
      <c r="G202" s="115" t="n"/>
      <c r="H202" s="107" t="n"/>
      <c r="I202" s="107" t="n"/>
      <c r="J202" s="108" t="n"/>
      <c r="K202" s="108" t="n"/>
      <c r="L202" s="119">
        <f>IF($C202="","",DATE(YEAR($C202),MONTH($C202),1))</f>
        <v/>
      </c>
      <c r="M202" s="112">
        <f>IF($C202="","",IF(AND($D202&lt;&gt;"",$E202&lt;&gt;"",$G202&gt;0,$H202&lt;&gt;"",$I202&lt;&gt;""),IF($C202&gt;TODAY(),"İLERİ TARİH","UYGUN"),"EKSİK"))</f>
        <v/>
      </c>
      <c r="N202" s="6" t="n"/>
      <c r="O202" s="6" t="n"/>
    </row>
    <row r="203">
      <c r="A203" s="6" t="n"/>
      <c r="B203" s="112">
        <f>IF($C203="","","GG"&amp;TEXT(ROW()-6,"00000"))</f>
        <v/>
      </c>
      <c r="C203" s="114" t="n"/>
      <c r="D203" s="107" t="n"/>
      <c r="E203" s="108" t="n"/>
      <c r="F203" s="108" t="n"/>
      <c r="G203" s="115" t="n"/>
      <c r="H203" s="107" t="n"/>
      <c r="I203" s="107" t="n"/>
      <c r="J203" s="108" t="n"/>
      <c r="K203" s="108" t="n"/>
      <c r="L203" s="119">
        <f>IF($C203="","",DATE(YEAR($C203),MONTH($C203),1))</f>
        <v/>
      </c>
      <c r="M203" s="112">
        <f>IF($C203="","",IF(AND($D203&lt;&gt;"",$E203&lt;&gt;"",$G203&gt;0,$H203&lt;&gt;"",$I203&lt;&gt;""),IF($C203&gt;TODAY(),"İLERİ TARİH","UYGUN"),"EKSİK"))</f>
        <v/>
      </c>
      <c r="N203" s="6" t="n"/>
      <c r="O203" s="6" t="n"/>
    </row>
    <row r="204">
      <c r="A204" s="6" t="n"/>
      <c r="B204" s="112">
        <f>IF($C204="","","GG"&amp;TEXT(ROW()-6,"00000"))</f>
        <v/>
      </c>
      <c r="C204" s="114" t="n"/>
      <c r="D204" s="107" t="n"/>
      <c r="E204" s="108" t="n"/>
      <c r="F204" s="108" t="n"/>
      <c r="G204" s="115" t="n"/>
      <c r="H204" s="107" t="n"/>
      <c r="I204" s="107" t="n"/>
      <c r="J204" s="108" t="n"/>
      <c r="K204" s="108" t="n"/>
      <c r="L204" s="119">
        <f>IF($C204="","",DATE(YEAR($C204),MONTH($C204),1))</f>
        <v/>
      </c>
      <c r="M204" s="112">
        <f>IF($C204="","",IF(AND($D204&lt;&gt;"",$E204&lt;&gt;"",$G204&gt;0,$H204&lt;&gt;"",$I204&lt;&gt;""),IF($C204&gt;TODAY(),"İLERİ TARİH","UYGUN"),"EKSİK"))</f>
        <v/>
      </c>
      <c r="N204" s="6" t="n"/>
      <c r="O204" s="6" t="n"/>
    </row>
    <row r="205">
      <c r="A205" s="6" t="n"/>
      <c r="B205" s="112">
        <f>IF($C205="","","GG"&amp;TEXT(ROW()-6,"00000"))</f>
        <v/>
      </c>
      <c r="C205" s="114" t="n"/>
      <c r="D205" s="107" t="n"/>
      <c r="E205" s="108" t="n"/>
      <c r="F205" s="108" t="n"/>
      <c r="G205" s="115" t="n"/>
      <c r="H205" s="107" t="n"/>
      <c r="I205" s="107" t="n"/>
      <c r="J205" s="108" t="n"/>
      <c r="K205" s="108" t="n"/>
      <c r="L205" s="119">
        <f>IF($C205="","",DATE(YEAR($C205),MONTH($C205),1))</f>
        <v/>
      </c>
      <c r="M205" s="112">
        <f>IF($C205="","",IF(AND($D205&lt;&gt;"",$E205&lt;&gt;"",$G205&gt;0,$H205&lt;&gt;"",$I205&lt;&gt;""),IF($C205&gt;TODAY(),"İLERİ TARİH","UYGUN"),"EKSİK"))</f>
        <v/>
      </c>
      <c r="N205" s="6" t="n"/>
      <c r="O205" s="6" t="n"/>
    </row>
    <row r="206">
      <c r="A206" s="6" t="n"/>
      <c r="B206" s="112">
        <f>IF($C206="","","GG"&amp;TEXT(ROW()-6,"00000"))</f>
        <v/>
      </c>
      <c r="C206" s="114" t="n"/>
      <c r="D206" s="107" t="n"/>
      <c r="E206" s="108" t="n"/>
      <c r="F206" s="108" t="n"/>
      <c r="G206" s="115" t="n"/>
      <c r="H206" s="107" t="n"/>
      <c r="I206" s="107" t="n"/>
      <c r="J206" s="108" t="n"/>
      <c r="K206" s="108" t="n"/>
      <c r="L206" s="119">
        <f>IF($C206="","",DATE(YEAR($C206),MONTH($C206),1))</f>
        <v/>
      </c>
      <c r="M206" s="112">
        <f>IF($C206="","",IF(AND($D206&lt;&gt;"",$E206&lt;&gt;"",$G206&gt;0,$H206&lt;&gt;"",$I206&lt;&gt;""),IF($C206&gt;TODAY(),"İLERİ TARİH","UYGUN"),"EKSİK"))</f>
        <v/>
      </c>
      <c r="N206" s="6" t="n"/>
      <c r="O206" s="6" t="n"/>
    </row>
    <row r="207">
      <c r="A207" s="6" t="n"/>
      <c r="B207" s="112">
        <f>IF($C207="","","GG"&amp;TEXT(ROW()-6,"00000"))</f>
        <v/>
      </c>
      <c r="C207" s="114" t="n"/>
      <c r="D207" s="107" t="n"/>
      <c r="E207" s="108" t="n"/>
      <c r="F207" s="108" t="n"/>
      <c r="G207" s="115" t="n"/>
      <c r="H207" s="107" t="n"/>
      <c r="I207" s="107" t="n"/>
      <c r="J207" s="108" t="n"/>
      <c r="K207" s="108" t="n"/>
      <c r="L207" s="119">
        <f>IF($C207="","",DATE(YEAR($C207),MONTH($C207),1))</f>
        <v/>
      </c>
      <c r="M207" s="112">
        <f>IF($C207="","",IF(AND($D207&lt;&gt;"",$E207&lt;&gt;"",$G207&gt;0,$H207&lt;&gt;"",$I207&lt;&gt;""),IF($C207&gt;TODAY(),"İLERİ TARİH","UYGUN"),"EKSİK"))</f>
        <v/>
      </c>
      <c r="N207" s="6" t="n"/>
      <c r="O207" s="6" t="n"/>
    </row>
    <row r="208">
      <c r="A208" s="6" t="n"/>
      <c r="B208" s="112">
        <f>IF($C208="","","GG"&amp;TEXT(ROW()-6,"00000"))</f>
        <v/>
      </c>
      <c r="C208" s="114" t="n"/>
      <c r="D208" s="107" t="n"/>
      <c r="E208" s="108" t="n"/>
      <c r="F208" s="108" t="n"/>
      <c r="G208" s="115" t="n"/>
      <c r="H208" s="107" t="n"/>
      <c r="I208" s="107" t="n"/>
      <c r="J208" s="108" t="n"/>
      <c r="K208" s="108" t="n"/>
      <c r="L208" s="119">
        <f>IF($C208="","",DATE(YEAR($C208),MONTH($C208),1))</f>
        <v/>
      </c>
      <c r="M208" s="112">
        <f>IF($C208="","",IF(AND($D208&lt;&gt;"",$E208&lt;&gt;"",$G208&gt;0,$H208&lt;&gt;"",$I208&lt;&gt;""),IF($C208&gt;TODAY(),"İLERİ TARİH","UYGUN"),"EKSİK"))</f>
        <v/>
      </c>
      <c r="N208" s="6" t="n"/>
      <c r="O208" s="6" t="n"/>
    </row>
    <row r="209">
      <c r="A209" s="6" t="n"/>
      <c r="B209" s="112">
        <f>IF($C209="","","GG"&amp;TEXT(ROW()-6,"00000"))</f>
        <v/>
      </c>
      <c r="C209" s="114" t="n"/>
      <c r="D209" s="107" t="n"/>
      <c r="E209" s="108" t="n"/>
      <c r="F209" s="108" t="n"/>
      <c r="G209" s="115" t="n"/>
      <c r="H209" s="107" t="n"/>
      <c r="I209" s="107" t="n"/>
      <c r="J209" s="108" t="n"/>
      <c r="K209" s="108" t="n"/>
      <c r="L209" s="119">
        <f>IF($C209="","",DATE(YEAR($C209),MONTH($C209),1))</f>
        <v/>
      </c>
      <c r="M209" s="112">
        <f>IF($C209="","",IF(AND($D209&lt;&gt;"",$E209&lt;&gt;"",$G209&gt;0,$H209&lt;&gt;"",$I209&lt;&gt;""),IF($C209&gt;TODAY(),"İLERİ TARİH","UYGUN"),"EKSİK"))</f>
        <v/>
      </c>
      <c r="N209" s="6" t="n"/>
      <c r="O209" s="6" t="n"/>
    </row>
    <row r="210">
      <c r="A210" s="6" t="n"/>
      <c r="B210" s="112">
        <f>IF($C210="","","GG"&amp;TEXT(ROW()-6,"00000"))</f>
        <v/>
      </c>
      <c r="C210" s="114" t="n"/>
      <c r="D210" s="107" t="n"/>
      <c r="E210" s="108" t="n"/>
      <c r="F210" s="108" t="n"/>
      <c r="G210" s="115" t="n"/>
      <c r="H210" s="107" t="n"/>
      <c r="I210" s="107" t="n"/>
      <c r="J210" s="108" t="n"/>
      <c r="K210" s="108" t="n"/>
      <c r="L210" s="119">
        <f>IF($C210="","",DATE(YEAR($C210),MONTH($C210),1))</f>
        <v/>
      </c>
      <c r="M210" s="112">
        <f>IF($C210="","",IF(AND($D210&lt;&gt;"",$E210&lt;&gt;"",$G210&gt;0,$H210&lt;&gt;"",$I210&lt;&gt;""),IF($C210&gt;TODAY(),"İLERİ TARİH","UYGUN"),"EKSİK"))</f>
        <v/>
      </c>
      <c r="N210" s="6" t="n"/>
      <c r="O210" s="6" t="n"/>
    </row>
    <row r="211">
      <c r="A211" s="6" t="n"/>
      <c r="B211" s="112">
        <f>IF($C211="","","GG"&amp;TEXT(ROW()-6,"00000"))</f>
        <v/>
      </c>
      <c r="C211" s="114" t="n"/>
      <c r="D211" s="107" t="n"/>
      <c r="E211" s="108" t="n"/>
      <c r="F211" s="108" t="n"/>
      <c r="G211" s="115" t="n"/>
      <c r="H211" s="107" t="n"/>
      <c r="I211" s="107" t="n"/>
      <c r="J211" s="108" t="n"/>
      <c r="K211" s="108" t="n"/>
      <c r="L211" s="119">
        <f>IF($C211="","",DATE(YEAR($C211),MONTH($C211),1))</f>
        <v/>
      </c>
      <c r="M211" s="112">
        <f>IF($C211="","",IF(AND($D211&lt;&gt;"",$E211&lt;&gt;"",$G211&gt;0,$H211&lt;&gt;"",$I211&lt;&gt;""),IF($C211&gt;TODAY(),"İLERİ TARİH","UYGUN"),"EKSİK"))</f>
        <v/>
      </c>
      <c r="N211" s="6" t="n"/>
      <c r="O211" s="6" t="n"/>
    </row>
    <row r="212">
      <c r="A212" s="6" t="n"/>
      <c r="B212" s="112">
        <f>IF($C212="","","GG"&amp;TEXT(ROW()-6,"00000"))</f>
        <v/>
      </c>
      <c r="C212" s="114" t="n"/>
      <c r="D212" s="107" t="n"/>
      <c r="E212" s="108" t="n"/>
      <c r="F212" s="108" t="n"/>
      <c r="G212" s="115" t="n"/>
      <c r="H212" s="107" t="n"/>
      <c r="I212" s="107" t="n"/>
      <c r="J212" s="108" t="n"/>
      <c r="K212" s="108" t="n"/>
      <c r="L212" s="119">
        <f>IF($C212="","",DATE(YEAR($C212),MONTH($C212),1))</f>
        <v/>
      </c>
      <c r="M212" s="112">
        <f>IF($C212="","",IF(AND($D212&lt;&gt;"",$E212&lt;&gt;"",$G212&gt;0,$H212&lt;&gt;"",$I212&lt;&gt;""),IF($C212&gt;TODAY(),"İLERİ TARİH","UYGUN"),"EKSİK"))</f>
        <v/>
      </c>
      <c r="N212" s="6" t="n"/>
      <c r="O212" s="6" t="n"/>
    </row>
    <row r="213">
      <c r="A213" s="6" t="n"/>
      <c r="B213" s="112">
        <f>IF($C213="","","GG"&amp;TEXT(ROW()-6,"00000"))</f>
        <v/>
      </c>
      <c r="C213" s="114" t="n"/>
      <c r="D213" s="107" t="n"/>
      <c r="E213" s="108" t="n"/>
      <c r="F213" s="108" t="n"/>
      <c r="G213" s="115" t="n"/>
      <c r="H213" s="107" t="n"/>
      <c r="I213" s="107" t="n"/>
      <c r="J213" s="108" t="n"/>
      <c r="K213" s="108" t="n"/>
      <c r="L213" s="119">
        <f>IF($C213="","",DATE(YEAR($C213),MONTH($C213),1))</f>
        <v/>
      </c>
      <c r="M213" s="112">
        <f>IF($C213="","",IF(AND($D213&lt;&gt;"",$E213&lt;&gt;"",$G213&gt;0,$H213&lt;&gt;"",$I213&lt;&gt;""),IF($C213&gt;TODAY(),"İLERİ TARİH","UYGUN"),"EKSİK"))</f>
        <v/>
      </c>
      <c r="N213" s="6" t="n"/>
      <c r="O213" s="6" t="n"/>
    </row>
    <row r="214">
      <c r="A214" s="6" t="n"/>
      <c r="B214" s="112">
        <f>IF($C214="","","GG"&amp;TEXT(ROW()-6,"00000"))</f>
        <v/>
      </c>
      <c r="C214" s="114" t="n"/>
      <c r="D214" s="107" t="n"/>
      <c r="E214" s="108" t="n"/>
      <c r="F214" s="108" t="n"/>
      <c r="G214" s="115" t="n"/>
      <c r="H214" s="107" t="n"/>
      <c r="I214" s="107" t="n"/>
      <c r="J214" s="108" t="n"/>
      <c r="K214" s="108" t="n"/>
      <c r="L214" s="119">
        <f>IF($C214="","",DATE(YEAR($C214),MONTH($C214),1))</f>
        <v/>
      </c>
      <c r="M214" s="112">
        <f>IF($C214="","",IF(AND($D214&lt;&gt;"",$E214&lt;&gt;"",$G214&gt;0,$H214&lt;&gt;"",$I214&lt;&gt;""),IF($C214&gt;TODAY(),"İLERİ TARİH","UYGUN"),"EKSİK"))</f>
        <v/>
      </c>
      <c r="N214" s="6" t="n"/>
      <c r="O214" s="6" t="n"/>
    </row>
    <row r="215">
      <c r="A215" s="6" t="n"/>
      <c r="B215" s="112">
        <f>IF($C215="","","GG"&amp;TEXT(ROW()-6,"00000"))</f>
        <v/>
      </c>
      <c r="C215" s="114" t="n"/>
      <c r="D215" s="107" t="n"/>
      <c r="E215" s="108" t="n"/>
      <c r="F215" s="108" t="n"/>
      <c r="G215" s="115" t="n"/>
      <c r="H215" s="107" t="n"/>
      <c r="I215" s="107" t="n"/>
      <c r="J215" s="108" t="n"/>
      <c r="K215" s="108" t="n"/>
      <c r="L215" s="119">
        <f>IF($C215="","",DATE(YEAR($C215),MONTH($C215),1))</f>
        <v/>
      </c>
      <c r="M215" s="112">
        <f>IF($C215="","",IF(AND($D215&lt;&gt;"",$E215&lt;&gt;"",$G215&gt;0,$H215&lt;&gt;"",$I215&lt;&gt;""),IF($C215&gt;TODAY(),"İLERİ TARİH","UYGUN"),"EKSİK"))</f>
        <v/>
      </c>
      <c r="N215" s="6" t="n"/>
      <c r="O215" s="6" t="n"/>
    </row>
    <row r="216">
      <c r="A216" s="6" t="n"/>
      <c r="B216" s="112">
        <f>IF($C216="","","GG"&amp;TEXT(ROW()-6,"00000"))</f>
        <v/>
      </c>
      <c r="C216" s="114" t="n"/>
      <c r="D216" s="107" t="n"/>
      <c r="E216" s="108" t="n"/>
      <c r="F216" s="108" t="n"/>
      <c r="G216" s="115" t="n"/>
      <c r="H216" s="107" t="n"/>
      <c r="I216" s="107" t="n"/>
      <c r="J216" s="108" t="n"/>
      <c r="K216" s="108" t="n"/>
      <c r="L216" s="119">
        <f>IF($C216="","",DATE(YEAR($C216),MONTH($C216),1))</f>
        <v/>
      </c>
      <c r="M216" s="112">
        <f>IF($C216="","",IF(AND($D216&lt;&gt;"",$E216&lt;&gt;"",$G216&gt;0,$H216&lt;&gt;"",$I216&lt;&gt;""),IF($C216&gt;TODAY(),"İLERİ TARİH","UYGUN"),"EKSİK"))</f>
        <v/>
      </c>
      <c r="N216" s="6" t="n"/>
      <c r="O216" s="6" t="n"/>
    </row>
    <row r="217">
      <c r="A217" s="6" t="n"/>
      <c r="B217" s="112">
        <f>IF($C217="","","GG"&amp;TEXT(ROW()-6,"00000"))</f>
        <v/>
      </c>
      <c r="C217" s="114" t="n"/>
      <c r="D217" s="107" t="n"/>
      <c r="E217" s="108" t="n"/>
      <c r="F217" s="108" t="n"/>
      <c r="G217" s="115" t="n"/>
      <c r="H217" s="107" t="n"/>
      <c r="I217" s="107" t="n"/>
      <c r="J217" s="108" t="n"/>
      <c r="K217" s="108" t="n"/>
      <c r="L217" s="119">
        <f>IF($C217="","",DATE(YEAR($C217),MONTH($C217),1))</f>
        <v/>
      </c>
      <c r="M217" s="112">
        <f>IF($C217="","",IF(AND($D217&lt;&gt;"",$E217&lt;&gt;"",$G217&gt;0,$H217&lt;&gt;"",$I217&lt;&gt;""),IF($C217&gt;TODAY(),"İLERİ TARİH","UYGUN"),"EKSİK"))</f>
        <v/>
      </c>
      <c r="N217" s="6" t="n"/>
      <c r="O217" s="6" t="n"/>
    </row>
    <row r="218">
      <c r="A218" s="6" t="n"/>
      <c r="B218" s="112">
        <f>IF($C218="","","GG"&amp;TEXT(ROW()-6,"00000"))</f>
        <v/>
      </c>
      <c r="C218" s="114" t="n"/>
      <c r="D218" s="107" t="n"/>
      <c r="E218" s="108" t="n"/>
      <c r="F218" s="108" t="n"/>
      <c r="G218" s="115" t="n"/>
      <c r="H218" s="107" t="n"/>
      <c r="I218" s="107" t="n"/>
      <c r="J218" s="108" t="n"/>
      <c r="K218" s="108" t="n"/>
      <c r="L218" s="119">
        <f>IF($C218="","",DATE(YEAR($C218),MONTH($C218),1))</f>
        <v/>
      </c>
      <c r="M218" s="112">
        <f>IF($C218="","",IF(AND($D218&lt;&gt;"",$E218&lt;&gt;"",$G218&gt;0,$H218&lt;&gt;"",$I218&lt;&gt;""),IF($C218&gt;TODAY(),"İLERİ TARİH","UYGUN"),"EKSİK"))</f>
        <v/>
      </c>
      <c r="N218" s="6" t="n"/>
      <c r="O218" s="6" t="n"/>
    </row>
    <row r="219">
      <c r="A219" s="6" t="n"/>
      <c r="B219" s="112">
        <f>IF($C219="","","GG"&amp;TEXT(ROW()-6,"00000"))</f>
        <v/>
      </c>
      <c r="C219" s="114" t="n"/>
      <c r="D219" s="107" t="n"/>
      <c r="E219" s="108" t="n"/>
      <c r="F219" s="108" t="n"/>
      <c r="G219" s="115" t="n"/>
      <c r="H219" s="107" t="n"/>
      <c r="I219" s="107" t="n"/>
      <c r="J219" s="108" t="n"/>
      <c r="K219" s="108" t="n"/>
      <c r="L219" s="119">
        <f>IF($C219="","",DATE(YEAR($C219),MONTH($C219),1))</f>
        <v/>
      </c>
      <c r="M219" s="112">
        <f>IF($C219="","",IF(AND($D219&lt;&gt;"",$E219&lt;&gt;"",$G219&gt;0,$H219&lt;&gt;"",$I219&lt;&gt;""),IF($C219&gt;TODAY(),"İLERİ TARİH","UYGUN"),"EKSİK"))</f>
        <v/>
      </c>
      <c r="N219" s="6" t="n"/>
      <c r="O219" s="6" t="n"/>
    </row>
    <row r="220">
      <c r="A220" s="6" t="n"/>
      <c r="B220" s="112">
        <f>IF($C220="","","GG"&amp;TEXT(ROW()-6,"00000"))</f>
        <v/>
      </c>
      <c r="C220" s="114" t="n"/>
      <c r="D220" s="107" t="n"/>
      <c r="E220" s="108" t="n"/>
      <c r="F220" s="108" t="n"/>
      <c r="G220" s="115" t="n"/>
      <c r="H220" s="107" t="n"/>
      <c r="I220" s="107" t="n"/>
      <c r="J220" s="108" t="n"/>
      <c r="K220" s="108" t="n"/>
      <c r="L220" s="119">
        <f>IF($C220="","",DATE(YEAR($C220),MONTH($C220),1))</f>
        <v/>
      </c>
      <c r="M220" s="112">
        <f>IF($C220="","",IF(AND($D220&lt;&gt;"",$E220&lt;&gt;"",$G220&gt;0,$H220&lt;&gt;"",$I220&lt;&gt;""),IF($C220&gt;TODAY(),"İLERİ TARİH","UYGUN"),"EKSİK"))</f>
        <v/>
      </c>
      <c r="N220" s="6" t="n"/>
      <c r="O220" s="6" t="n"/>
    </row>
    <row r="221">
      <c r="A221" s="6" t="n"/>
      <c r="B221" s="112">
        <f>IF($C221="","","GG"&amp;TEXT(ROW()-6,"00000"))</f>
        <v/>
      </c>
      <c r="C221" s="114" t="n"/>
      <c r="D221" s="107" t="n"/>
      <c r="E221" s="108" t="n"/>
      <c r="F221" s="108" t="n"/>
      <c r="G221" s="115" t="n"/>
      <c r="H221" s="107" t="n"/>
      <c r="I221" s="107" t="n"/>
      <c r="J221" s="108" t="n"/>
      <c r="K221" s="108" t="n"/>
      <c r="L221" s="119">
        <f>IF($C221="","",DATE(YEAR($C221),MONTH($C221),1))</f>
        <v/>
      </c>
      <c r="M221" s="112">
        <f>IF($C221="","",IF(AND($D221&lt;&gt;"",$E221&lt;&gt;"",$G221&gt;0,$H221&lt;&gt;"",$I221&lt;&gt;""),IF($C221&gt;TODAY(),"İLERİ TARİH","UYGUN"),"EKSİK"))</f>
        <v/>
      </c>
      <c r="N221" s="6" t="n"/>
      <c r="O221" s="6" t="n"/>
    </row>
    <row r="222">
      <c r="A222" s="6" t="n"/>
      <c r="B222" s="112">
        <f>IF($C222="","","GG"&amp;TEXT(ROW()-6,"00000"))</f>
        <v/>
      </c>
      <c r="C222" s="114" t="n"/>
      <c r="D222" s="107" t="n"/>
      <c r="E222" s="108" t="n"/>
      <c r="F222" s="108" t="n"/>
      <c r="G222" s="115" t="n"/>
      <c r="H222" s="107" t="n"/>
      <c r="I222" s="107" t="n"/>
      <c r="J222" s="108" t="n"/>
      <c r="K222" s="108" t="n"/>
      <c r="L222" s="119">
        <f>IF($C222="","",DATE(YEAR($C222),MONTH($C222),1))</f>
        <v/>
      </c>
      <c r="M222" s="112">
        <f>IF($C222="","",IF(AND($D222&lt;&gt;"",$E222&lt;&gt;"",$G222&gt;0,$H222&lt;&gt;"",$I222&lt;&gt;""),IF($C222&gt;TODAY(),"İLERİ TARİH","UYGUN"),"EKSİK"))</f>
        <v/>
      </c>
      <c r="N222" s="6" t="n"/>
      <c r="O222" s="6" t="n"/>
    </row>
    <row r="223">
      <c r="A223" s="6" t="n"/>
      <c r="B223" s="112">
        <f>IF($C223="","","GG"&amp;TEXT(ROW()-6,"00000"))</f>
        <v/>
      </c>
      <c r="C223" s="114" t="n"/>
      <c r="D223" s="107" t="n"/>
      <c r="E223" s="108" t="n"/>
      <c r="F223" s="108" t="n"/>
      <c r="G223" s="115" t="n"/>
      <c r="H223" s="107" t="n"/>
      <c r="I223" s="107" t="n"/>
      <c r="J223" s="108" t="n"/>
      <c r="K223" s="108" t="n"/>
      <c r="L223" s="119">
        <f>IF($C223="","",DATE(YEAR($C223),MONTH($C223),1))</f>
        <v/>
      </c>
      <c r="M223" s="112">
        <f>IF($C223="","",IF(AND($D223&lt;&gt;"",$E223&lt;&gt;"",$G223&gt;0,$H223&lt;&gt;"",$I223&lt;&gt;""),IF($C223&gt;TODAY(),"İLERİ TARİH","UYGUN"),"EKSİK"))</f>
        <v/>
      </c>
      <c r="N223" s="6" t="n"/>
      <c r="O223" s="6" t="n"/>
    </row>
    <row r="224">
      <c r="A224" s="6" t="n"/>
      <c r="B224" s="112">
        <f>IF($C224="","","GG"&amp;TEXT(ROW()-6,"00000"))</f>
        <v/>
      </c>
      <c r="C224" s="114" t="n"/>
      <c r="D224" s="107" t="n"/>
      <c r="E224" s="108" t="n"/>
      <c r="F224" s="108" t="n"/>
      <c r="G224" s="115" t="n"/>
      <c r="H224" s="107" t="n"/>
      <c r="I224" s="107" t="n"/>
      <c r="J224" s="108" t="n"/>
      <c r="K224" s="108" t="n"/>
      <c r="L224" s="119">
        <f>IF($C224="","",DATE(YEAR($C224),MONTH($C224),1))</f>
        <v/>
      </c>
      <c r="M224" s="112">
        <f>IF($C224="","",IF(AND($D224&lt;&gt;"",$E224&lt;&gt;"",$G224&gt;0,$H224&lt;&gt;"",$I224&lt;&gt;""),IF($C224&gt;TODAY(),"İLERİ TARİH","UYGUN"),"EKSİK"))</f>
        <v/>
      </c>
      <c r="N224" s="6" t="n"/>
      <c r="O224" s="6" t="n"/>
    </row>
    <row r="225">
      <c r="A225" s="6" t="n"/>
      <c r="B225" s="112">
        <f>IF($C225="","","GG"&amp;TEXT(ROW()-6,"00000"))</f>
        <v/>
      </c>
      <c r="C225" s="114" t="n"/>
      <c r="D225" s="107" t="n"/>
      <c r="E225" s="108" t="n"/>
      <c r="F225" s="108" t="n"/>
      <c r="G225" s="115" t="n"/>
      <c r="H225" s="107" t="n"/>
      <c r="I225" s="107" t="n"/>
      <c r="J225" s="108" t="n"/>
      <c r="K225" s="108" t="n"/>
      <c r="L225" s="119">
        <f>IF($C225="","",DATE(YEAR($C225),MONTH($C225),1))</f>
        <v/>
      </c>
      <c r="M225" s="112">
        <f>IF($C225="","",IF(AND($D225&lt;&gt;"",$E225&lt;&gt;"",$G225&gt;0,$H225&lt;&gt;"",$I225&lt;&gt;""),IF($C225&gt;TODAY(),"İLERİ TARİH","UYGUN"),"EKSİK"))</f>
        <v/>
      </c>
      <c r="N225" s="6" t="n"/>
      <c r="O225" s="6" t="n"/>
    </row>
    <row r="226">
      <c r="A226" s="6" t="n"/>
      <c r="B226" s="112">
        <f>IF($C226="","","GG"&amp;TEXT(ROW()-6,"00000"))</f>
        <v/>
      </c>
      <c r="C226" s="114" t="n"/>
      <c r="D226" s="107" t="n"/>
      <c r="E226" s="108" t="n"/>
      <c r="F226" s="108" t="n"/>
      <c r="G226" s="115" t="n"/>
      <c r="H226" s="107" t="n"/>
      <c r="I226" s="107" t="n"/>
      <c r="J226" s="108" t="n"/>
      <c r="K226" s="108" t="n"/>
      <c r="L226" s="119">
        <f>IF($C226="","",DATE(YEAR($C226),MONTH($C226),1))</f>
        <v/>
      </c>
      <c r="M226" s="112">
        <f>IF($C226="","",IF(AND($D226&lt;&gt;"",$E226&lt;&gt;"",$G226&gt;0,$H226&lt;&gt;"",$I226&lt;&gt;""),IF($C226&gt;TODAY(),"İLERİ TARİH","UYGUN"),"EKSİK"))</f>
        <v/>
      </c>
      <c r="N226" s="6" t="n"/>
      <c r="O226" s="6" t="n"/>
    </row>
    <row r="227">
      <c r="A227" s="6" t="n"/>
      <c r="B227" s="112">
        <f>IF($C227="","","GG"&amp;TEXT(ROW()-6,"00000"))</f>
        <v/>
      </c>
      <c r="C227" s="114" t="n"/>
      <c r="D227" s="107" t="n"/>
      <c r="E227" s="108" t="n"/>
      <c r="F227" s="108" t="n"/>
      <c r="G227" s="115" t="n"/>
      <c r="H227" s="107" t="n"/>
      <c r="I227" s="107" t="n"/>
      <c r="J227" s="108" t="n"/>
      <c r="K227" s="108" t="n"/>
      <c r="L227" s="119">
        <f>IF($C227="","",DATE(YEAR($C227),MONTH($C227),1))</f>
        <v/>
      </c>
      <c r="M227" s="112">
        <f>IF($C227="","",IF(AND($D227&lt;&gt;"",$E227&lt;&gt;"",$G227&gt;0,$H227&lt;&gt;"",$I227&lt;&gt;""),IF($C227&gt;TODAY(),"İLERİ TARİH","UYGUN"),"EKSİK"))</f>
        <v/>
      </c>
      <c r="N227" s="6" t="n"/>
      <c r="O227" s="6" t="n"/>
    </row>
    <row r="228">
      <c r="A228" s="6" t="n"/>
      <c r="B228" s="112">
        <f>IF($C228="","","GG"&amp;TEXT(ROW()-6,"00000"))</f>
        <v/>
      </c>
      <c r="C228" s="114" t="n"/>
      <c r="D228" s="107" t="n"/>
      <c r="E228" s="108" t="n"/>
      <c r="F228" s="108" t="n"/>
      <c r="G228" s="115" t="n"/>
      <c r="H228" s="107" t="n"/>
      <c r="I228" s="107" t="n"/>
      <c r="J228" s="108" t="n"/>
      <c r="K228" s="108" t="n"/>
      <c r="L228" s="119">
        <f>IF($C228="","",DATE(YEAR($C228),MONTH($C228),1))</f>
        <v/>
      </c>
      <c r="M228" s="112">
        <f>IF($C228="","",IF(AND($D228&lt;&gt;"",$E228&lt;&gt;"",$G228&gt;0,$H228&lt;&gt;"",$I228&lt;&gt;""),IF($C228&gt;TODAY(),"İLERİ TARİH","UYGUN"),"EKSİK"))</f>
        <v/>
      </c>
      <c r="N228" s="6" t="n"/>
      <c r="O228" s="6" t="n"/>
    </row>
    <row r="229">
      <c r="A229" s="6" t="n"/>
      <c r="B229" s="112">
        <f>IF($C229="","","GG"&amp;TEXT(ROW()-6,"00000"))</f>
        <v/>
      </c>
      <c r="C229" s="114" t="n"/>
      <c r="D229" s="107" t="n"/>
      <c r="E229" s="108" t="n"/>
      <c r="F229" s="108" t="n"/>
      <c r="G229" s="115" t="n"/>
      <c r="H229" s="107" t="n"/>
      <c r="I229" s="107" t="n"/>
      <c r="J229" s="108" t="n"/>
      <c r="K229" s="108" t="n"/>
      <c r="L229" s="119">
        <f>IF($C229="","",DATE(YEAR($C229),MONTH($C229),1))</f>
        <v/>
      </c>
      <c r="M229" s="112">
        <f>IF($C229="","",IF(AND($D229&lt;&gt;"",$E229&lt;&gt;"",$G229&gt;0,$H229&lt;&gt;"",$I229&lt;&gt;""),IF($C229&gt;TODAY(),"İLERİ TARİH","UYGUN"),"EKSİK"))</f>
        <v/>
      </c>
      <c r="N229" s="6" t="n"/>
      <c r="O229" s="6" t="n"/>
    </row>
    <row r="230">
      <c r="A230" s="6" t="n"/>
      <c r="B230" s="112">
        <f>IF($C230="","","GG"&amp;TEXT(ROW()-6,"00000"))</f>
        <v/>
      </c>
      <c r="C230" s="114" t="n"/>
      <c r="D230" s="107" t="n"/>
      <c r="E230" s="108" t="n"/>
      <c r="F230" s="108" t="n"/>
      <c r="G230" s="115" t="n"/>
      <c r="H230" s="107" t="n"/>
      <c r="I230" s="107" t="n"/>
      <c r="J230" s="108" t="n"/>
      <c r="K230" s="108" t="n"/>
      <c r="L230" s="119">
        <f>IF($C230="","",DATE(YEAR($C230),MONTH($C230),1))</f>
        <v/>
      </c>
      <c r="M230" s="112">
        <f>IF($C230="","",IF(AND($D230&lt;&gt;"",$E230&lt;&gt;"",$G230&gt;0,$H230&lt;&gt;"",$I230&lt;&gt;""),IF($C230&gt;TODAY(),"İLERİ TARİH","UYGUN"),"EKSİK"))</f>
        <v/>
      </c>
      <c r="N230" s="6" t="n"/>
      <c r="O230" s="6" t="n"/>
    </row>
    <row r="231">
      <c r="A231" s="6" t="n"/>
      <c r="B231" s="112">
        <f>IF($C231="","","GG"&amp;TEXT(ROW()-6,"00000"))</f>
        <v/>
      </c>
      <c r="C231" s="114" t="n"/>
      <c r="D231" s="107" t="n"/>
      <c r="E231" s="108" t="n"/>
      <c r="F231" s="108" t="n"/>
      <c r="G231" s="115" t="n"/>
      <c r="H231" s="107" t="n"/>
      <c r="I231" s="107" t="n"/>
      <c r="J231" s="108" t="n"/>
      <c r="K231" s="108" t="n"/>
      <c r="L231" s="119">
        <f>IF($C231="","",DATE(YEAR($C231),MONTH($C231),1))</f>
        <v/>
      </c>
      <c r="M231" s="112">
        <f>IF($C231="","",IF(AND($D231&lt;&gt;"",$E231&lt;&gt;"",$G231&gt;0,$H231&lt;&gt;"",$I231&lt;&gt;""),IF($C231&gt;TODAY(),"İLERİ TARİH","UYGUN"),"EKSİK"))</f>
        <v/>
      </c>
      <c r="N231" s="6" t="n"/>
      <c r="O231" s="6" t="n"/>
    </row>
    <row r="232">
      <c r="A232" s="6" t="n"/>
      <c r="B232" s="112">
        <f>IF($C232="","","GG"&amp;TEXT(ROW()-6,"00000"))</f>
        <v/>
      </c>
      <c r="C232" s="114" t="n"/>
      <c r="D232" s="107" t="n"/>
      <c r="E232" s="108" t="n"/>
      <c r="F232" s="108" t="n"/>
      <c r="G232" s="115" t="n"/>
      <c r="H232" s="107" t="n"/>
      <c r="I232" s="107" t="n"/>
      <c r="J232" s="108" t="n"/>
      <c r="K232" s="108" t="n"/>
      <c r="L232" s="119">
        <f>IF($C232="","",DATE(YEAR($C232),MONTH($C232),1))</f>
        <v/>
      </c>
      <c r="M232" s="112">
        <f>IF($C232="","",IF(AND($D232&lt;&gt;"",$E232&lt;&gt;"",$G232&gt;0,$H232&lt;&gt;"",$I232&lt;&gt;""),IF($C232&gt;TODAY(),"İLERİ TARİH","UYGUN"),"EKSİK"))</f>
        <v/>
      </c>
      <c r="N232" s="6" t="n"/>
      <c r="O232" s="6" t="n"/>
    </row>
    <row r="233">
      <c r="A233" s="6" t="n"/>
      <c r="B233" s="112">
        <f>IF($C233="","","GG"&amp;TEXT(ROW()-6,"00000"))</f>
        <v/>
      </c>
      <c r="C233" s="114" t="n"/>
      <c r="D233" s="107" t="n"/>
      <c r="E233" s="108" t="n"/>
      <c r="F233" s="108" t="n"/>
      <c r="G233" s="115" t="n"/>
      <c r="H233" s="107" t="n"/>
      <c r="I233" s="107" t="n"/>
      <c r="J233" s="108" t="n"/>
      <c r="K233" s="108" t="n"/>
      <c r="L233" s="119">
        <f>IF($C233="","",DATE(YEAR($C233),MONTH($C233),1))</f>
        <v/>
      </c>
      <c r="M233" s="112">
        <f>IF($C233="","",IF(AND($D233&lt;&gt;"",$E233&lt;&gt;"",$G233&gt;0,$H233&lt;&gt;"",$I233&lt;&gt;""),IF($C233&gt;TODAY(),"İLERİ TARİH","UYGUN"),"EKSİK"))</f>
        <v/>
      </c>
      <c r="N233" s="6" t="n"/>
      <c r="O233" s="6" t="n"/>
    </row>
    <row r="234">
      <c r="A234" s="6" t="n"/>
      <c r="B234" s="112">
        <f>IF($C234="","","GG"&amp;TEXT(ROW()-6,"00000"))</f>
        <v/>
      </c>
      <c r="C234" s="114" t="n"/>
      <c r="D234" s="107" t="n"/>
      <c r="E234" s="108" t="n"/>
      <c r="F234" s="108" t="n"/>
      <c r="G234" s="115" t="n"/>
      <c r="H234" s="107" t="n"/>
      <c r="I234" s="107" t="n"/>
      <c r="J234" s="108" t="n"/>
      <c r="K234" s="108" t="n"/>
      <c r="L234" s="119">
        <f>IF($C234="","",DATE(YEAR($C234),MONTH($C234),1))</f>
        <v/>
      </c>
      <c r="M234" s="112">
        <f>IF($C234="","",IF(AND($D234&lt;&gt;"",$E234&lt;&gt;"",$G234&gt;0,$H234&lt;&gt;"",$I234&lt;&gt;""),IF($C234&gt;TODAY(),"İLERİ TARİH","UYGUN"),"EKSİK"))</f>
        <v/>
      </c>
      <c r="N234" s="6" t="n"/>
      <c r="O234" s="6" t="n"/>
    </row>
    <row r="235">
      <c r="A235" s="6" t="n"/>
      <c r="B235" s="112">
        <f>IF($C235="","","GG"&amp;TEXT(ROW()-6,"00000"))</f>
        <v/>
      </c>
      <c r="C235" s="114" t="n"/>
      <c r="D235" s="107" t="n"/>
      <c r="E235" s="108" t="n"/>
      <c r="F235" s="108" t="n"/>
      <c r="G235" s="115" t="n"/>
      <c r="H235" s="107" t="n"/>
      <c r="I235" s="107" t="n"/>
      <c r="J235" s="108" t="n"/>
      <c r="K235" s="108" t="n"/>
      <c r="L235" s="119">
        <f>IF($C235="","",DATE(YEAR($C235),MONTH($C235),1))</f>
        <v/>
      </c>
      <c r="M235" s="112">
        <f>IF($C235="","",IF(AND($D235&lt;&gt;"",$E235&lt;&gt;"",$G235&gt;0,$H235&lt;&gt;"",$I235&lt;&gt;""),IF($C235&gt;TODAY(),"İLERİ TARİH","UYGUN"),"EKSİK"))</f>
        <v/>
      </c>
      <c r="N235" s="6" t="n"/>
      <c r="O235" s="6" t="n"/>
    </row>
    <row r="236">
      <c r="A236" s="6" t="n"/>
      <c r="B236" s="112">
        <f>IF($C236="","","GG"&amp;TEXT(ROW()-6,"00000"))</f>
        <v/>
      </c>
      <c r="C236" s="114" t="n"/>
      <c r="D236" s="107" t="n"/>
      <c r="E236" s="108" t="n"/>
      <c r="F236" s="108" t="n"/>
      <c r="G236" s="115" t="n"/>
      <c r="H236" s="107" t="n"/>
      <c r="I236" s="107" t="n"/>
      <c r="J236" s="108" t="n"/>
      <c r="K236" s="108" t="n"/>
      <c r="L236" s="119">
        <f>IF($C236="","",DATE(YEAR($C236),MONTH($C236),1))</f>
        <v/>
      </c>
      <c r="M236" s="112">
        <f>IF($C236="","",IF(AND($D236&lt;&gt;"",$E236&lt;&gt;"",$G236&gt;0,$H236&lt;&gt;"",$I236&lt;&gt;""),IF($C236&gt;TODAY(),"İLERİ TARİH","UYGUN"),"EKSİK"))</f>
        <v/>
      </c>
      <c r="N236" s="6" t="n"/>
      <c r="O236" s="6" t="n"/>
    </row>
    <row r="237">
      <c r="A237" s="6" t="n"/>
      <c r="B237" s="112">
        <f>IF($C237="","","GG"&amp;TEXT(ROW()-6,"00000"))</f>
        <v/>
      </c>
      <c r="C237" s="114" t="n"/>
      <c r="D237" s="107" t="n"/>
      <c r="E237" s="108" t="n"/>
      <c r="F237" s="108" t="n"/>
      <c r="G237" s="115" t="n"/>
      <c r="H237" s="107" t="n"/>
      <c r="I237" s="107" t="n"/>
      <c r="J237" s="108" t="n"/>
      <c r="K237" s="108" t="n"/>
      <c r="L237" s="119">
        <f>IF($C237="","",DATE(YEAR($C237),MONTH($C237),1))</f>
        <v/>
      </c>
      <c r="M237" s="112">
        <f>IF($C237="","",IF(AND($D237&lt;&gt;"",$E237&lt;&gt;"",$G237&gt;0,$H237&lt;&gt;"",$I237&lt;&gt;""),IF($C237&gt;TODAY(),"İLERİ TARİH","UYGUN"),"EKSİK"))</f>
        <v/>
      </c>
      <c r="N237" s="6" t="n"/>
      <c r="O237" s="6" t="n"/>
    </row>
    <row r="238">
      <c r="A238" s="6" t="n"/>
      <c r="B238" s="112">
        <f>IF($C238="","","GG"&amp;TEXT(ROW()-6,"00000"))</f>
        <v/>
      </c>
      <c r="C238" s="114" t="n"/>
      <c r="D238" s="107" t="n"/>
      <c r="E238" s="108" t="n"/>
      <c r="F238" s="108" t="n"/>
      <c r="G238" s="115" t="n"/>
      <c r="H238" s="107" t="n"/>
      <c r="I238" s="107" t="n"/>
      <c r="J238" s="108" t="n"/>
      <c r="K238" s="108" t="n"/>
      <c r="L238" s="119">
        <f>IF($C238="","",DATE(YEAR($C238),MONTH($C238),1))</f>
        <v/>
      </c>
      <c r="M238" s="112">
        <f>IF($C238="","",IF(AND($D238&lt;&gt;"",$E238&lt;&gt;"",$G238&gt;0,$H238&lt;&gt;"",$I238&lt;&gt;""),IF($C238&gt;TODAY(),"İLERİ TARİH","UYGUN"),"EKSİK"))</f>
        <v/>
      </c>
      <c r="N238" s="6" t="n"/>
      <c r="O238" s="6" t="n"/>
    </row>
    <row r="239">
      <c r="A239" s="6" t="n"/>
      <c r="B239" s="112">
        <f>IF($C239="","","GG"&amp;TEXT(ROW()-6,"00000"))</f>
        <v/>
      </c>
      <c r="C239" s="114" t="n"/>
      <c r="D239" s="107" t="n"/>
      <c r="E239" s="108" t="n"/>
      <c r="F239" s="108" t="n"/>
      <c r="G239" s="115" t="n"/>
      <c r="H239" s="107" t="n"/>
      <c r="I239" s="107" t="n"/>
      <c r="J239" s="108" t="n"/>
      <c r="K239" s="108" t="n"/>
      <c r="L239" s="119">
        <f>IF($C239="","",DATE(YEAR($C239),MONTH($C239),1))</f>
        <v/>
      </c>
      <c r="M239" s="112">
        <f>IF($C239="","",IF(AND($D239&lt;&gt;"",$E239&lt;&gt;"",$G239&gt;0,$H239&lt;&gt;"",$I239&lt;&gt;""),IF($C239&gt;TODAY(),"İLERİ TARİH","UYGUN"),"EKSİK"))</f>
        <v/>
      </c>
      <c r="N239" s="6" t="n"/>
      <c r="O239" s="6" t="n"/>
    </row>
    <row r="240">
      <c r="A240" s="6" t="n"/>
      <c r="B240" s="112">
        <f>IF($C240="","","GG"&amp;TEXT(ROW()-6,"00000"))</f>
        <v/>
      </c>
      <c r="C240" s="114" t="n"/>
      <c r="D240" s="107" t="n"/>
      <c r="E240" s="108" t="n"/>
      <c r="F240" s="108" t="n"/>
      <c r="G240" s="115" t="n"/>
      <c r="H240" s="107" t="n"/>
      <c r="I240" s="107" t="n"/>
      <c r="J240" s="108" t="n"/>
      <c r="K240" s="108" t="n"/>
      <c r="L240" s="119">
        <f>IF($C240="","",DATE(YEAR($C240),MONTH($C240),1))</f>
        <v/>
      </c>
      <c r="M240" s="112">
        <f>IF($C240="","",IF(AND($D240&lt;&gt;"",$E240&lt;&gt;"",$G240&gt;0,$H240&lt;&gt;"",$I240&lt;&gt;""),IF($C240&gt;TODAY(),"İLERİ TARİH","UYGUN"),"EKSİK"))</f>
        <v/>
      </c>
      <c r="N240" s="6" t="n"/>
      <c r="O240" s="6" t="n"/>
    </row>
    <row r="241">
      <c r="A241" s="6" t="n"/>
      <c r="B241" s="112">
        <f>IF($C241="","","GG"&amp;TEXT(ROW()-6,"00000"))</f>
        <v/>
      </c>
      <c r="C241" s="114" t="n"/>
      <c r="D241" s="107" t="n"/>
      <c r="E241" s="108" t="n"/>
      <c r="F241" s="108" t="n"/>
      <c r="G241" s="115" t="n"/>
      <c r="H241" s="107" t="n"/>
      <c r="I241" s="107" t="n"/>
      <c r="J241" s="108" t="n"/>
      <c r="K241" s="108" t="n"/>
      <c r="L241" s="119">
        <f>IF($C241="","",DATE(YEAR($C241),MONTH($C241),1))</f>
        <v/>
      </c>
      <c r="M241" s="112">
        <f>IF($C241="","",IF(AND($D241&lt;&gt;"",$E241&lt;&gt;"",$G241&gt;0,$H241&lt;&gt;"",$I241&lt;&gt;""),IF($C241&gt;TODAY(),"İLERİ TARİH","UYGUN"),"EKSİK"))</f>
        <v/>
      </c>
      <c r="N241" s="6" t="n"/>
      <c r="O241" s="6" t="n"/>
    </row>
    <row r="242">
      <c r="A242" s="6" t="n"/>
      <c r="B242" s="112">
        <f>IF($C242="","","GG"&amp;TEXT(ROW()-6,"00000"))</f>
        <v/>
      </c>
      <c r="C242" s="114" t="n"/>
      <c r="D242" s="107" t="n"/>
      <c r="E242" s="108" t="n"/>
      <c r="F242" s="108" t="n"/>
      <c r="G242" s="115" t="n"/>
      <c r="H242" s="107" t="n"/>
      <c r="I242" s="107" t="n"/>
      <c r="J242" s="108" t="n"/>
      <c r="K242" s="108" t="n"/>
      <c r="L242" s="119">
        <f>IF($C242="","",DATE(YEAR($C242),MONTH($C242),1))</f>
        <v/>
      </c>
      <c r="M242" s="112">
        <f>IF($C242="","",IF(AND($D242&lt;&gt;"",$E242&lt;&gt;"",$G242&gt;0,$H242&lt;&gt;"",$I242&lt;&gt;""),IF($C242&gt;TODAY(),"İLERİ TARİH","UYGUN"),"EKSİK"))</f>
        <v/>
      </c>
      <c r="N242" s="6" t="n"/>
      <c r="O242" s="6" t="n"/>
    </row>
    <row r="243">
      <c r="A243" s="6" t="n"/>
      <c r="B243" s="112">
        <f>IF($C243="","","GG"&amp;TEXT(ROW()-6,"00000"))</f>
        <v/>
      </c>
      <c r="C243" s="114" t="n"/>
      <c r="D243" s="107" t="n"/>
      <c r="E243" s="108" t="n"/>
      <c r="F243" s="108" t="n"/>
      <c r="G243" s="115" t="n"/>
      <c r="H243" s="107" t="n"/>
      <c r="I243" s="107" t="n"/>
      <c r="J243" s="108" t="n"/>
      <c r="K243" s="108" t="n"/>
      <c r="L243" s="119">
        <f>IF($C243="","",DATE(YEAR($C243),MONTH($C243),1))</f>
        <v/>
      </c>
      <c r="M243" s="112">
        <f>IF($C243="","",IF(AND($D243&lt;&gt;"",$E243&lt;&gt;"",$G243&gt;0,$H243&lt;&gt;"",$I243&lt;&gt;""),IF($C243&gt;TODAY(),"İLERİ TARİH","UYGUN"),"EKSİK"))</f>
        <v/>
      </c>
      <c r="N243" s="6" t="n"/>
      <c r="O243" s="6" t="n"/>
    </row>
    <row r="244">
      <c r="A244" s="6" t="n"/>
      <c r="B244" s="112">
        <f>IF($C244="","","GG"&amp;TEXT(ROW()-6,"00000"))</f>
        <v/>
      </c>
      <c r="C244" s="114" t="n"/>
      <c r="D244" s="107" t="n"/>
      <c r="E244" s="108" t="n"/>
      <c r="F244" s="108" t="n"/>
      <c r="G244" s="115" t="n"/>
      <c r="H244" s="107" t="n"/>
      <c r="I244" s="107" t="n"/>
      <c r="J244" s="108" t="n"/>
      <c r="K244" s="108" t="n"/>
      <c r="L244" s="119">
        <f>IF($C244="","",DATE(YEAR($C244),MONTH($C244),1))</f>
        <v/>
      </c>
      <c r="M244" s="112">
        <f>IF($C244="","",IF(AND($D244&lt;&gt;"",$E244&lt;&gt;"",$G244&gt;0,$H244&lt;&gt;"",$I244&lt;&gt;""),IF($C244&gt;TODAY(),"İLERİ TARİH","UYGUN"),"EKSİK"))</f>
        <v/>
      </c>
      <c r="N244" s="6" t="n"/>
      <c r="O244" s="6" t="n"/>
    </row>
    <row r="245">
      <c r="A245" s="6" t="n"/>
      <c r="B245" s="112">
        <f>IF($C245="","","GG"&amp;TEXT(ROW()-6,"00000"))</f>
        <v/>
      </c>
      <c r="C245" s="114" t="n"/>
      <c r="D245" s="107" t="n"/>
      <c r="E245" s="108" t="n"/>
      <c r="F245" s="108" t="n"/>
      <c r="G245" s="115" t="n"/>
      <c r="H245" s="107" t="n"/>
      <c r="I245" s="107" t="n"/>
      <c r="J245" s="108" t="n"/>
      <c r="K245" s="108" t="n"/>
      <c r="L245" s="119">
        <f>IF($C245="","",DATE(YEAR($C245),MONTH($C245),1))</f>
        <v/>
      </c>
      <c r="M245" s="112">
        <f>IF($C245="","",IF(AND($D245&lt;&gt;"",$E245&lt;&gt;"",$G245&gt;0,$H245&lt;&gt;"",$I245&lt;&gt;""),IF($C245&gt;TODAY(),"İLERİ TARİH","UYGUN"),"EKSİK"))</f>
        <v/>
      </c>
      <c r="N245" s="6" t="n"/>
      <c r="O245" s="6" t="n"/>
    </row>
    <row r="246">
      <c r="A246" s="6" t="n"/>
      <c r="B246" s="112">
        <f>IF($C246="","","GG"&amp;TEXT(ROW()-6,"00000"))</f>
        <v/>
      </c>
      <c r="C246" s="114" t="n"/>
      <c r="D246" s="107" t="n"/>
      <c r="E246" s="108" t="n"/>
      <c r="F246" s="108" t="n"/>
      <c r="G246" s="115" t="n"/>
      <c r="H246" s="107" t="n"/>
      <c r="I246" s="107" t="n"/>
      <c r="J246" s="108" t="n"/>
      <c r="K246" s="108" t="n"/>
      <c r="L246" s="119">
        <f>IF($C246="","",DATE(YEAR($C246),MONTH($C246),1))</f>
        <v/>
      </c>
      <c r="M246" s="112">
        <f>IF($C246="","",IF(AND($D246&lt;&gt;"",$E246&lt;&gt;"",$G246&gt;0,$H246&lt;&gt;"",$I246&lt;&gt;""),IF($C246&gt;TODAY(),"İLERİ TARİH","UYGUN"),"EKSİK"))</f>
        <v/>
      </c>
      <c r="N246" s="6" t="n"/>
      <c r="O246" s="6" t="n"/>
    </row>
    <row r="247">
      <c r="A247" s="6" t="n"/>
      <c r="B247" s="112">
        <f>IF($C247="","","GG"&amp;TEXT(ROW()-6,"00000"))</f>
        <v/>
      </c>
      <c r="C247" s="114" t="n"/>
      <c r="D247" s="107" t="n"/>
      <c r="E247" s="108" t="n"/>
      <c r="F247" s="108" t="n"/>
      <c r="G247" s="115" t="n"/>
      <c r="H247" s="107" t="n"/>
      <c r="I247" s="107" t="n"/>
      <c r="J247" s="108" t="n"/>
      <c r="K247" s="108" t="n"/>
      <c r="L247" s="119">
        <f>IF($C247="","",DATE(YEAR($C247),MONTH($C247),1))</f>
        <v/>
      </c>
      <c r="M247" s="112">
        <f>IF($C247="","",IF(AND($D247&lt;&gt;"",$E247&lt;&gt;"",$G247&gt;0,$H247&lt;&gt;"",$I247&lt;&gt;""),IF($C247&gt;TODAY(),"İLERİ TARİH","UYGUN"),"EKSİK"))</f>
        <v/>
      </c>
      <c r="N247" s="6" t="n"/>
      <c r="O247" s="6" t="n"/>
    </row>
    <row r="248">
      <c r="A248" s="6" t="n"/>
      <c r="B248" s="112">
        <f>IF($C248="","","GG"&amp;TEXT(ROW()-6,"00000"))</f>
        <v/>
      </c>
      <c r="C248" s="114" t="n"/>
      <c r="D248" s="107" t="n"/>
      <c r="E248" s="108" t="n"/>
      <c r="F248" s="108" t="n"/>
      <c r="G248" s="115" t="n"/>
      <c r="H248" s="107" t="n"/>
      <c r="I248" s="107" t="n"/>
      <c r="J248" s="108" t="n"/>
      <c r="K248" s="108" t="n"/>
      <c r="L248" s="119">
        <f>IF($C248="","",DATE(YEAR($C248),MONTH($C248),1))</f>
        <v/>
      </c>
      <c r="M248" s="112">
        <f>IF($C248="","",IF(AND($D248&lt;&gt;"",$E248&lt;&gt;"",$G248&gt;0,$H248&lt;&gt;"",$I248&lt;&gt;""),IF($C248&gt;TODAY(),"İLERİ TARİH","UYGUN"),"EKSİK"))</f>
        <v/>
      </c>
      <c r="N248" s="6" t="n"/>
      <c r="O248" s="6" t="n"/>
    </row>
    <row r="249">
      <c r="A249" s="6" t="n"/>
      <c r="B249" s="112">
        <f>IF($C249="","","GG"&amp;TEXT(ROW()-6,"00000"))</f>
        <v/>
      </c>
      <c r="C249" s="114" t="n"/>
      <c r="D249" s="107" t="n"/>
      <c r="E249" s="108" t="n"/>
      <c r="F249" s="108" t="n"/>
      <c r="G249" s="115" t="n"/>
      <c r="H249" s="107" t="n"/>
      <c r="I249" s="107" t="n"/>
      <c r="J249" s="108" t="n"/>
      <c r="K249" s="108" t="n"/>
      <c r="L249" s="119">
        <f>IF($C249="","",DATE(YEAR($C249),MONTH($C249),1))</f>
        <v/>
      </c>
      <c r="M249" s="112">
        <f>IF($C249="","",IF(AND($D249&lt;&gt;"",$E249&lt;&gt;"",$G249&gt;0,$H249&lt;&gt;"",$I249&lt;&gt;""),IF($C249&gt;TODAY(),"İLERİ TARİH","UYGUN"),"EKSİK"))</f>
        <v/>
      </c>
      <c r="N249" s="6" t="n"/>
      <c r="O249" s="6" t="n"/>
    </row>
    <row r="250">
      <c r="A250" s="6" t="n"/>
      <c r="B250" s="112">
        <f>IF($C250="","","GG"&amp;TEXT(ROW()-6,"00000"))</f>
        <v/>
      </c>
      <c r="C250" s="114" t="n"/>
      <c r="D250" s="107" t="n"/>
      <c r="E250" s="108" t="n"/>
      <c r="F250" s="108" t="n"/>
      <c r="G250" s="115" t="n"/>
      <c r="H250" s="107" t="n"/>
      <c r="I250" s="107" t="n"/>
      <c r="J250" s="108" t="n"/>
      <c r="K250" s="108" t="n"/>
      <c r="L250" s="119">
        <f>IF($C250="","",DATE(YEAR($C250),MONTH($C250),1))</f>
        <v/>
      </c>
      <c r="M250" s="112">
        <f>IF($C250="","",IF(AND($D250&lt;&gt;"",$E250&lt;&gt;"",$G250&gt;0,$H250&lt;&gt;"",$I250&lt;&gt;""),IF($C250&gt;TODAY(),"İLERİ TARİH","UYGUN"),"EKSİK"))</f>
        <v/>
      </c>
      <c r="N250" s="6" t="n"/>
      <c r="O250" s="6" t="n"/>
    </row>
    <row r="251">
      <c r="A251" s="6" t="n"/>
      <c r="B251" s="112">
        <f>IF($C251="","","GG"&amp;TEXT(ROW()-6,"00000"))</f>
        <v/>
      </c>
      <c r="C251" s="114" t="n"/>
      <c r="D251" s="107" t="n"/>
      <c r="E251" s="108" t="n"/>
      <c r="F251" s="108" t="n"/>
      <c r="G251" s="115" t="n"/>
      <c r="H251" s="107" t="n"/>
      <c r="I251" s="107" t="n"/>
      <c r="J251" s="108" t="n"/>
      <c r="K251" s="108" t="n"/>
      <c r="L251" s="119">
        <f>IF($C251="","",DATE(YEAR($C251),MONTH($C251),1))</f>
        <v/>
      </c>
      <c r="M251" s="112">
        <f>IF($C251="","",IF(AND($D251&lt;&gt;"",$E251&lt;&gt;"",$G251&gt;0,$H251&lt;&gt;"",$I251&lt;&gt;""),IF($C251&gt;TODAY(),"İLERİ TARİH","UYGUN"),"EKSİK"))</f>
        <v/>
      </c>
      <c r="N251" s="6" t="n"/>
      <c r="O251" s="6" t="n"/>
    </row>
    <row r="252">
      <c r="A252" s="6" t="n"/>
      <c r="B252" s="112">
        <f>IF($C252="","","GG"&amp;TEXT(ROW()-6,"00000"))</f>
        <v/>
      </c>
      <c r="C252" s="114" t="n"/>
      <c r="D252" s="107" t="n"/>
      <c r="E252" s="108" t="n"/>
      <c r="F252" s="108" t="n"/>
      <c r="G252" s="115" t="n"/>
      <c r="H252" s="107" t="n"/>
      <c r="I252" s="107" t="n"/>
      <c r="J252" s="108" t="n"/>
      <c r="K252" s="108" t="n"/>
      <c r="L252" s="119">
        <f>IF($C252="","",DATE(YEAR($C252),MONTH($C252),1))</f>
        <v/>
      </c>
      <c r="M252" s="112">
        <f>IF($C252="","",IF(AND($D252&lt;&gt;"",$E252&lt;&gt;"",$G252&gt;0,$H252&lt;&gt;"",$I252&lt;&gt;""),IF($C252&gt;TODAY(),"İLERİ TARİH","UYGUN"),"EKSİK"))</f>
        <v/>
      </c>
      <c r="N252" s="6" t="n"/>
      <c r="O252" s="6" t="n"/>
    </row>
    <row r="253">
      <c r="A253" s="6" t="n"/>
      <c r="B253" s="112">
        <f>IF($C253="","","GG"&amp;TEXT(ROW()-6,"00000"))</f>
        <v/>
      </c>
      <c r="C253" s="114" t="n"/>
      <c r="D253" s="107" t="n"/>
      <c r="E253" s="108" t="n"/>
      <c r="F253" s="108" t="n"/>
      <c r="G253" s="115" t="n"/>
      <c r="H253" s="107" t="n"/>
      <c r="I253" s="107" t="n"/>
      <c r="J253" s="108" t="n"/>
      <c r="K253" s="108" t="n"/>
      <c r="L253" s="119">
        <f>IF($C253="","",DATE(YEAR($C253),MONTH($C253),1))</f>
        <v/>
      </c>
      <c r="M253" s="112">
        <f>IF($C253="","",IF(AND($D253&lt;&gt;"",$E253&lt;&gt;"",$G253&gt;0,$H253&lt;&gt;"",$I253&lt;&gt;""),IF($C253&gt;TODAY(),"İLERİ TARİH","UYGUN"),"EKSİK"))</f>
        <v/>
      </c>
      <c r="N253" s="6" t="n"/>
      <c r="O253" s="6" t="n"/>
    </row>
    <row r="254">
      <c r="A254" s="6" t="n"/>
      <c r="B254" s="112">
        <f>IF($C254="","","GG"&amp;TEXT(ROW()-6,"00000"))</f>
        <v/>
      </c>
      <c r="C254" s="114" t="n"/>
      <c r="D254" s="107" t="n"/>
      <c r="E254" s="108" t="n"/>
      <c r="F254" s="108" t="n"/>
      <c r="G254" s="115" t="n"/>
      <c r="H254" s="107" t="n"/>
      <c r="I254" s="107" t="n"/>
      <c r="J254" s="108" t="n"/>
      <c r="K254" s="108" t="n"/>
      <c r="L254" s="119">
        <f>IF($C254="","",DATE(YEAR($C254),MONTH($C254),1))</f>
        <v/>
      </c>
      <c r="M254" s="112">
        <f>IF($C254="","",IF(AND($D254&lt;&gt;"",$E254&lt;&gt;"",$G254&gt;0,$H254&lt;&gt;"",$I254&lt;&gt;""),IF($C254&gt;TODAY(),"İLERİ TARİH","UYGUN"),"EKSİK"))</f>
        <v/>
      </c>
      <c r="N254" s="6" t="n"/>
      <c r="O254" s="6" t="n"/>
    </row>
    <row r="255">
      <c r="A255" s="6" t="n"/>
      <c r="B255" s="112">
        <f>IF($C255="","","GG"&amp;TEXT(ROW()-6,"00000"))</f>
        <v/>
      </c>
      <c r="C255" s="114" t="n"/>
      <c r="D255" s="107" t="n"/>
      <c r="E255" s="108" t="n"/>
      <c r="F255" s="108" t="n"/>
      <c r="G255" s="115" t="n"/>
      <c r="H255" s="107" t="n"/>
      <c r="I255" s="107" t="n"/>
      <c r="J255" s="108" t="n"/>
      <c r="K255" s="108" t="n"/>
      <c r="L255" s="119">
        <f>IF($C255="","",DATE(YEAR($C255),MONTH($C255),1))</f>
        <v/>
      </c>
      <c r="M255" s="112">
        <f>IF($C255="","",IF(AND($D255&lt;&gt;"",$E255&lt;&gt;"",$G255&gt;0,$H255&lt;&gt;"",$I255&lt;&gt;""),IF($C255&gt;TODAY(),"İLERİ TARİH","UYGUN"),"EKSİK"))</f>
        <v/>
      </c>
      <c r="N255" s="6" t="n"/>
      <c r="O255" s="6" t="n"/>
    </row>
    <row r="256">
      <c r="A256" s="6" t="n"/>
      <c r="B256" s="112">
        <f>IF($C256="","","GG"&amp;TEXT(ROW()-6,"00000"))</f>
        <v/>
      </c>
      <c r="C256" s="114" t="n"/>
      <c r="D256" s="107" t="n"/>
      <c r="E256" s="108" t="n"/>
      <c r="F256" s="108" t="n"/>
      <c r="G256" s="115" t="n"/>
      <c r="H256" s="107" t="n"/>
      <c r="I256" s="107" t="n"/>
      <c r="J256" s="108" t="n"/>
      <c r="K256" s="108" t="n"/>
      <c r="L256" s="119">
        <f>IF($C256="","",DATE(YEAR($C256),MONTH($C256),1))</f>
        <v/>
      </c>
      <c r="M256" s="112">
        <f>IF($C256="","",IF(AND($D256&lt;&gt;"",$E256&lt;&gt;"",$G256&gt;0,$H256&lt;&gt;"",$I256&lt;&gt;""),IF($C256&gt;TODAY(),"İLERİ TARİH","UYGUN"),"EKSİK"))</f>
        <v/>
      </c>
      <c r="N256" s="6" t="n"/>
      <c r="O256" s="6" t="n"/>
    </row>
    <row r="257">
      <c r="A257" s="6" t="n"/>
      <c r="B257" s="112">
        <f>IF($C257="","","GG"&amp;TEXT(ROW()-6,"00000"))</f>
        <v/>
      </c>
      <c r="C257" s="114" t="n"/>
      <c r="D257" s="107" t="n"/>
      <c r="E257" s="108" t="n"/>
      <c r="F257" s="108" t="n"/>
      <c r="G257" s="115" t="n"/>
      <c r="H257" s="107" t="n"/>
      <c r="I257" s="107" t="n"/>
      <c r="J257" s="108" t="n"/>
      <c r="K257" s="108" t="n"/>
      <c r="L257" s="119">
        <f>IF($C257="","",DATE(YEAR($C257),MONTH($C257),1))</f>
        <v/>
      </c>
      <c r="M257" s="112">
        <f>IF($C257="","",IF(AND($D257&lt;&gt;"",$E257&lt;&gt;"",$G257&gt;0,$H257&lt;&gt;"",$I257&lt;&gt;""),IF($C257&gt;TODAY(),"İLERİ TARİH","UYGUN"),"EKSİK"))</f>
        <v/>
      </c>
      <c r="N257" s="6" t="n"/>
      <c r="O257" s="6" t="n"/>
    </row>
    <row r="258">
      <c r="A258" s="6" t="n"/>
      <c r="B258" s="112">
        <f>IF($C258="","","GG"&amp;TEXT(ROW()-6,"00000"))</f>
        <v/>
      </c>
      <c r="C258" s="114" t="n"/>
      <c r="D258" s="107" t="n"/>
      <c r="E258" s="108" t="n"/>
      <c r="F258" s="108" t="n"/>
      <c r="G258" s="115" t="n"/>
      <c r="H258" s="107" t="n"/>
      <c r="I258" s="107" t="n"/>
      <c r="J258" s="108" t="n"/>
      <c r="K258" s="108" t="n"/>
      <c r="L258" s="119">
        <f>IF($C258="","",DATE(YEAR($C258),MONTH($C258),1))</f>
        <v/>
      </c>
      <c r="M258" s="112">
        <f>IF($C258="","",IF(AND($D258&lt;&gt;"",$E258&lt;&gt;"",$G258&gt;0,$H258&lt;&gt;"",$I258&lt;&gt;""),IF($C258&gt;TODAY(),"İLERİ TARİH","UYGUN"),"EKSİK"))</f>
        <v/>
      </c>
      <c r="N258" s="6" t="n"/>
      <c r="O258" s="6" t="n"/>
    </row>
    <row r="259">
      <c r="A259" s="6" t="n"/>
      <c r="B259" s="112">
        <f>IF($C259="","","GG"&amp;TEXT(ROW()-6,"00000"))</f>
        <v/>
      </c>
      <c r="C259" s="114" t="n"/>
      <c r="D259" s="107" t="n"/>
      <c r="E259" s="108" t="n"/>
      <c r="F259" s="108" t="n"/>
      <c r="G259" s="115" t="n"/>
      <c r="H259" s="107" t="n"/>
      <c r="I259" s="107" t="n"/>
      <c r="J259" s="108" t="n"/>
      <c r="K259" s="108" t="n"/>
      <c r="L259" s="119">
        <f>IF($C259="","",DATE(YEAR($C259),MONTH($C259),1))</f>
        <v/>
      </c>
      <c r="M259" s="112">
        <f>IF($C259="","",IF(AND($D259&lt;&gt;"",$E259&lt;&gt;"",$G259&gt;0,$H259&lt;&gt;"",$I259&lt;&gt;""),IF($C259&gt;TODAY(),"İLERİ TARİH","UYGUN"),"EKSİK"))</f>
        <v/>
      </c>
      <c r="N259" s="6" t="n"/>
      <c r="O259" s="6" t="n"/>
    </row>
    <row r="260">
      <c r="A260" s="6" t="n"/>
      <c r="B260" s="112">
        <f>IF($C260="","","GG"&amp;TEXT(ROW()-6,"00000"))</f>
        <v/>
      </c>
      <c r="C260" s="114" t="n"/>
      <c r="D260" s="107" t="n"/>
      <c r="E260" s="108" t="n"/>
      <c r="F260" s="108" t="n"/>
      <c r="G260" s="115" t="n"/>
      <c r="H260" s="107" t="n"/>
      <c r="I260" s="107" t="n"/>
      <c r="J260" s="108" t="n"/>
      <c r="K260" s="108" t="n"/>
      <c r="L260" s="119">
        <f>IF($C260="","",DATE(YEAR($C260),MONTH($C260),1))</f>
        <v/>
      </c>
      <c r="M260" s="112">
        <f>IF($C260="","",IF(AND($D260&lt;&gt;"",$E260&lt;&gt;"",$G260&gt;0,$H260&lt;&gt;"",$I260&lt;&gt;""),IF($C260&gt;TODAY(),"İLERİ TARİH","UYGUN"),"EKSİK"))</f>
        <v/>
      </c>
      <c r="N260" s="6" t="n"/>
      <c r="O260" s="6" t="n"/>
    </row>
    <row r="261">
      <c r="A261" s="6" t="n"/>
      <c r="B261" s="112">
        <f>IF($C261="","","GG"&amp;TEXT(ROW()-6,"00000"))</f>
        <v/>
      </c>
      <c r="C261" s="114" t="n"/>
      <c r="D261" s="107" t="n"/>
      <c r="E261" s="108" t="n"/>
      <c r="F261" s="108" t="n"/>
      <c r="G261" s="115" t="n"/>
      <c r="H261" s="107" t="n"/>
      <c r="I261" s="107" t="n"/>
      <c r="J261" s="108" t="n"/>
      <c r="K261" s="108" t="n"/>
      <c r="L261" s="119">
        <f>IF($C261="","",DATE(YEAR($C261),MONTH($C261),1))</f>
        <v/>
      </c>
      <c r="M261" s="112">
        <f>IF($C261="","",IF(AND($D261&lt;&gt;"",$E261&lt;&gt;"",$G261&gt;0,$H261&lt;&gt;"",$I261&lt;&gt;""),IF($C261&gt;TODAY(),"İLERİ TARİH","UYGUN"),"EKSİK"))</f>
        <v/>
      </c>
      <c r="N261" s="6" t="n"/>
      <c r="O261" s="6" t="n"/>
    </row>
    <row r="262">
      <c r="A262" s="6" t="n"/>
      <c r="B262" s="112">
        <f>IF($C262="","","GG"&amp;TEXT(ROW()-6,"00000"))</f>
        <v/>
      </c>
      <c r="C262" s="114" t="n"/>
      <c r="D262" s="107" t="n"/>
      <c r="E262" s="108" t="n"/>
      <c r="F262" s="108" t="n"/>
      <c r="G262" s="115" t="n"/>
      <c r="H262" s="107" t="n"/>
      <c r="I262" s="107" t="n"/>
      <c r="J262" s="108" t="n"/>
      <c r="K262" s="108" t="n"/>
      <c r="L262" s="119">
        <f>IF($C262="","",DATE(YEAR($C262),MONTH($C262),1))</f>
        <v/>
      </c>
      <c r="M262" s="112">
        <f>IF($C262="","",IF(AND($D262&lt;&gt;"",$E262&lt;&gt;"",$G262&gt;0,$H262&lt;&gt;"",$I262&lt;&gt;""),IF($C262&gt;TODAY(),"İLERİ TARİH","UYGUN"),"EKSİK"))</f>
        <v/>
      </c>
      <c r="N262" s="6" t="n"/>
      <c r="O262" s="6" t="n"/>
    </row>
    <row r="263">
      <c r="A263" s="6" t="n"/>
      <c r="B263" s="112">
        <f>IF($C263="","","GG"&amp;TEXT(ROW()-6,"00000"))</f>
        <v/>
      </c>
      <c r="C263" s="114" t="n"/>
      <c r="D263" s="107" t="n"/>
      <c r="E263" s="108" t="n"/>
      <c r="F263" s="108" t="n"/>
      <c r="G263" s="115" t="n"/>
      <c r="H263" s="107" t="n"/>
      <c r="I263" s="107" t="n"/>
      <c r="J263" s="108" t="n"/>
      <c r="K263" s="108" t="n"/>
      <c r="L263" s="119">
        <f>IF($C263="","",DATE(YEAR($C263),MONTH($C263),1))</f>
        <v/>
      </c>
      <c r="M263" s="112">
        <f>IF($C263="","",IF(AND($D263&lt;&gt;"",$E263&lt;&gt;"",$G263&gt;0,$H263&lt;&gt;"",$I263&lt;&gt;""),IF($C263&gt;TODAY(),"İLERİ TARİH","UYGUN"),"EKSİK"))</f>
        <v/>
      </c>
      <c r="N263" s="6" t="n"/>
      <c r="O263" s="6" t="n"/>
    </row>
    <row r="264">
      <c r="A264" s="6" t="n"/>
      <c r="B264" s="112">
        <f>IF($C264="","","GG"&amp;TEXT(ROW()-6,"00000"))</f>
        <v/>
      </c>
      <c r="C264" s="114" t="n"/>
      <c r="D264" s="107" t="n"/>
      <c r="E264" s="108" t="n"/>
      <c r="F264" s="108" t="n"/>
      <c r="G264" s="115" t="n"/>
      <c r="H264" s="107" t="n"/>
      <c r="I264" s="107" t="n"/>
      <c r="J264" s="108" t="n"/>
      <c r="K264" s="108" t="n"/>
      <c r="L264" s="119">
        <f>IF($C264="","",DATE(YEAR($C264),MONTH($C264),1))</f>
        <v/>
      </c>
      <c r="M264" s="112">
        <f>IF($C264="","",IF(AND($D264&lt;&gt;"",$E264&lt;&gt;"",$G264&gt;0,$H264&lt;&gt;"",$I264&lt;&gt;""),IF($C264&gt;TODAY(),"İLERİ TARİH","UYGUN"),"EKSİK"))</f>
        <v/>
      </c>
      <c r="N264" s="6" t="n"/>
      <c r="O264" s="6" t="n"/>
    </row>
    <row r="265">
      <c r="A265" s="6" t="n"/>
      <c r="B265" s="112">
        <f>IF($C265="","","GG"&amp;TEXT(ROW()-6,"00000"))</f>
        <v/>
      </c>
      <c r="C265" s="114" t="n"/>
      <c r="D265" s="107" t="n"/>
      <c r="E265" s="108" t="n"/>
      <c r="F265" s="108" t="n"/>
      <c r="G265" s="115" t="n"/>
      <c r="H265" s="107" t="n"/>
      <c r="I265" s="107" t="n"/>
      <c r="J265" s="108" t="n"/>
      <c r="K265" s="108" t="n"/>
      <c r="L265" s="119">
        <f>IF($C265="","",DATE(YEAR($C265),MONTH($C265),1))</f>
        <v/>
      </c>
      <c r="M265" s="112">
        <f>IF($C265="","",IF(AND($D265&lt;&gt;"",$E265&lt;&gt;"",$G265&gt;0,$H265&lt;&gt;"",$I265&lt;&gt;""),IF($C265&gt;TODAY(),"İLERİ TARİH","UYGUN"),"EKSİK"))</f>
        <v/>
      </c>
      <c r="N265" s="6" t="n"/>
      <c r="O265" s="6" t="n"/>
    </row>
    <row r="266">
      <c r="A266" s="6" t="n"/>
      <c r="B266" s="112">
        <f>IF($C266="","","GG"&amp;TEXT(ROW()-6,"00000"))</f>
        <v/>
      </c>
      <c r="C266" s="114" t="n"/>
      <c r="D266" s="107" t="n"/>
      <c r="E266" s="108" t="n"/>
      <c r="F266" s="108" t="n"/>
      <c r="G266" s="115" t="n"/>
      <c r="H266" s="107" t="n"/>
      <c r="I266" s="107" t="n"/>
      <c r="J266" s="108" t="n"/>
      <c r="K266" s="108" t="n"/>
      <c r="L266" s="119">
        <f>IF($C266="","",DATE(YEAR($C266),MONTH($C266),1))</f>
        <v/>
      </c>
      <c r="M266" s="112">
        <f>IF($C266="","",IF(AND($D266&lt;&gt;"",$E266&lt;&gt;"",$G266&gt;0,$H266&lt;&gt;"",$I266&lt;&gt;""),IF($C266&gt;TODAY(),"İLERİ TARİH","UYGUN"),"EKSİK"))</f>
        <v/>
      </c>
      <c r="N266" s="6" t="n"/>
      <c r="O266" s="6" t="n"/>
    </row>
    <row r="267">
      <c r="A267" s="6" t="n"/>
      <c r="B267" s="112">
        <f>IF($C267="","","GG"&amp;TEXT(ROW()-6,"00000"))</f>
        <v/>
      </c>
      <c r="C267" s="114" t="n"/>
      <c r="D267" s="107" t="n"/>
      <c r="E267" s="108" t="n"/>
      <c r="F267" s="108" t="n"/>
      <c r="G267" s="115" t="n"/>
      <c r="H267" s="107" t="n"/>
      <c r="I267" s="107" t="n"/>
      <c r="J267" s="108" t="n"/>
      <c r="K267" s="108" t="n"/>
      <c r="L267" s="119">
        <f>IF($C267="","",DATE(YEAR($C267),MONTH($C267),1))</f>
        <v/>
      </c>
      <c r="M267" s="112">
        <f>IF($C267="","",IF(AND($D267&lt;&gt;"",$E267&lt;&gt;"",$G267&gt;0,$H267&lt;&gt;"",$I267&lt;&gt;""),IF($C267&gt;TODAY(),"İLERİ TARİH","UYGUN"),"EKSİK"))</f>
        <v/>
      </c>
      <c r="N267" s="6" t="n"/>
      <c r="O267" s="6" t="n"/>
    </row>
    <row r="268">
      <c r="A268" s="6" t="n"/>
      <c r="B268" s="112">
        <f>IF($C268="","","GG"&amp;TEXT(ROW()-6,"00000"))</f>
        <v/>
      </c>
      <c r="C268" s="114" t="n"/>
      <c r="D268" s="107" t="n"/>
      <c r="E268" s="108" t="n"/>
      <c r="F268" s="108" t="n"/>
      <c r="G268" s="115" t="n"/>
      <c r="H268" s="107" t="n"/>
      <c r="I268" s="107" t="n"/>
      <c r="J268" s="108" t="n"/>
      <c r="K268" s="108" t="n"/>
      <c r="L268" s="119">
        <f>IF($C268="","",DATE(YEAR($C268),MONTH($C268),1))</f>
        <v/>
      </c>
      <c r="M268" s="112">
        <f>IF($C268="","",IF(AND($D268&lt;&gt;"",$E268&lt;&gt;"",$G268&gt;0,$H268&lt;&gt;"",$I268&lt;&gt;""),IF($C268&gt;TODAY(),"İLERİ TARİH","UYGUN"),"EKSİK"))</f>
        <v/>
      </c>
      <c r="N268" s="6" t="n"/>
      <c r="O268" s="6" t="n"/>
    </row>
    <row r="269">
      <c r="A269" s="6" t="n"/>
      <c r="B269" s="112">
        <f>IF($C269="","","GG"&amp;TEXT(ROW()-6,"00000"))</f>
        <v/>
      </c>
      <c r="C269" s="114" t="n"/>
      <c r="D269" s="107" t="n"/>
      <c r="E269" s="108" t="n"/>
      <c r="F269" s="108" t="n"/>
      <c r="G269" s="115" t="n"/>
      <c r="H269" s="107" t="n"/>
      <c r="I269" s="107" t="n"/>
      <c r="J269" s="108" t="n"/>
      <c r="K269" s="108" t="n"/>
      <c r="L269" s="119">
        <f>IF($C269="","",DATE(YEAR($C269),MONTH($C269),1))</f>
        <v/>
      </c>
      <c r="M269" s="112">
        <f>IF($C269="","",IF(AND($D269&lt;&gt;"",$E269&lt;&gt;"",$G269&gt;0,$H269&lt;&gt;"",$I269&lt;&gt;""),IF($C269&gt;TODAY(),"İLERİ TARİH","UYGUN"),"EKSİK"))</f>
        <v/>
      </c>
      <c r="N269" s="6" t="n"/>
      <c r="O269" s="6" t="n"/>
    </row>
    <row r="270">
      <c r="A270" s="6" t="n"/>
      <c r="B270" s="112">
        <f>IF($C270="","","GG"&amp;TEXT(ROW()-6,"00000"))</f>
        <v/>
      </c>
      <c r="C270" s="114" t="n"/>
      <c r="D270" s="107" t="n"/>
      <c r="E270" s="108" t="n"/>
      <c r="F270" s="108" t="n"/>
      <c r="G270" s="115" t="n"/>
      <c r="H270" s="107" t="n"/>
      <c r="I270" s="107" t="n"/>
      <c r="J270" s="108" t="n"/>
      <c r="K270" s="108" t="n"/>
      <c r="L270" s="119">
        <f>IF($C270="","",DATE(YEAR($C270),MONTH($C270),1))</f>
        <v/>
      </c>
      <c r="M270" s="112">
        <f>IF($C270="","",IF(AND($D270&lt;&gt;"",$E270&lt;&gt;"",$G270&gt;0,$H270&lt;&gt;"",$I270&lt;&gt;""),IF($C270&gt;TODAY(),"İLERİ TARİH","UYGUN"),"EKSİK"))</f>
        <v/>
      </c>
      <c r="N270" s="6" t="n"/>
      <c r="O270" s="6" t="n"/>
    </row>
    <row r="271">
      <c r="A271" s="6" t="n"/>
      <c r="B271" s="112">
        <f>IF($C271="","","GG"&amp;TEXT(ROW()-6,"00000"))</f>
        <v/>
      </c>
      <c r="C271" s="114" t="n"/>
      <c r="D271" s="107" t="n"/>
      <c r="E271" s="108" t="n"/>
      <c r="F271" s="108" t="n"/>
      <c r="G271" s="115" t="n"/>
      <c r="H271" s="107" t="n"/>
      <c r="I271" s="107" t="n"/>
      <c r="J271" s="108" t="n"/>
      <c r="K271" s="108" t="n"/>
      <c r="L271" s="119">
        <f>IF($C271="","",DATE(YEAR($C271),MONTH($C271),1))</f>
        <v/>
      </c>
      <c r="M271" s="112">
        <f>IF($C271="","",IF(AND($D271&lt;&gt;"",$E271&lt;&gt;"",$G271&gt;0,$H271&lt;&gt;"",$I271&lt;&gt;""),IF($C271&gt;TODAY(),"İLERİ TARİH","UYGUN"),"EKSİK"))</f>
        <v/>
      </c>
      <c r="N271" s="6" t="n"/>
      <c r="O271" s="6" t="n"/>
    </row>
    <row r="272">
      <c r="A272" s="6" t="n"/>
      <c r="B272" s="112">
        <f>IF($C272="","","GG"&amp;TEXT(ROW()-6,"00000"))</f>
        <v/>
      </c>
      <c r="C272" s="114" t="n"/>
      <c r="D272" s="107" t="n"/>
      <c r="E272" s="108" t="n"/>
      <c r="F272" s="108" t="n"/>
      <c r="G272" s="115" t="n"/>
      <c r="H272" s="107" t="n"/>
      <c r="I272" s="107" t="n"/>
      <c r="J272" s="108" t="n"/>
      <c r="K272" s="108" t="n"/>
      <c r="L272" s="119">
        <f>IF($C272="","",DATE(YEAR($C272),MONTH($C272),1))</f>
        <v/>
      </c>
      <c r="M272" s="112">
        <f>IF($C272="","",IF(AND($D272&lt;&gt;"",$E272&lt;&gt;"",$G272&gt;0,$H272&lt;&gt;"",$I272&lt;&gt;""),IF($C272&gt;TODAY(),"İLERİ TARİH","UYGUN"),"EKSİK"))</f>
        <v/>
      </c>
      <c r="N272" s="6" t="n"/>
      <c r="O272" s="6" t="n"/>
    </row>
    <row r="273">
      <c r="A273" s="6" t="n"/>
      <c r="B273" s="112">
        <f>IF($C273="","","GG"&amp;TEXT(ROW()-6,"00000"))</f>
        <v/>
      </c>
      <c r="C273" s="114" t="n"/>
      <c r="D273" s="107" t="n"/>
      <c r="E273" s="108" t="n"/>
      <c r="F273" s="108" t="n"/>
      <c r="G273" s="115" t="n"/>
      <c r="H273" s="107" t="n"/>
      <c r="I273" s="107" t="n"/>
      <c r="J273" s="108" t="n"/>
      <c r="K273" s="108" t="n"/>
      <c r="L273" s="119">
        <f>IF($C273="","",DATE(YEAR($C273),MONTH($C273),1))</f>
        <v/>
      </c>
      <c r="M273" s="112">
        <f>IF($C273="","",IF(AND($D273&lt;&gt;"",$E273&lt;&gt;"",$G273&gt;0,$H273&lt;&gt;"",$I273&lt;&gt;""),IF($C273&gt;TODAY(),"İLERİ TARİH","UYGUN"),"EKSİK"))</f>
        <v/>
      </c>
      <c r="N273" s="6" t="n"/>
      <c r="O273" s="6" t="n"/>
    </row>
    <row r="274">
      <c r="A274" s="6" t="n"/>
      <c r="B274" s="112">
        <f>IF($C274="","","GG"&amp;TEXT(ROW()-6,"00000"))</f>
        <v/>
      </c>
      <c r="C274" s="114" t="n"/>
      <c r="D274" s="107" t="n"/>
      <c r="E274" s="108" t="n"/>
      <c r="F274" s="108" t="n"/>
      <c r="G274" s="115" t="n"/>
      <c r="H274" s="107" t="n"/>
      <c r="I274" s="107" t="n"/>
      <c r="J274" s="108" t="n"/>
      <c r="K274" s="108" t="n"/>
      <c r="L274" s="119">
        <f>IF($C274="","",DATE(YEAR($C274),MONTH($C274),1))</f>
        <v/>
      </c>
      <c r="M274" s="112">
        <f>IF($C274="","",IF(AND($D274&lt;&gt;"",$E274&lt;&gt;"",$G274&gt;0,$H274&lt;&gt;"",$I274&lt;&gt;""),IF($C274&gt;TODAY(),"İLERİ TARİH","UYGUN"),"EKSİK"))</f>
        <v/>
      </c>
      <c r="N274" s="6" t="n"/>
      <c r="O274" s="6" t="n"/>
    </row>
    <row r="275">
      <c r="A275" s="6" t="n"/>
      <c r="B275" s="112">
        <f>IF($C275="","","GG"&amp;TEXT(ROW()-6,"00000"))</f>
        <v/>
      </c>
      <c r="C275" s="114" t="n"/>
      <c r="D275" s="107" t="n"/>
      <c r="E275" s="108" t="n"/>
      <c r="F275" s="108" t="n"/>
      <c r="G275" s="115" t="n"/>
      <c r="H275" s="107" t="n"/>
      <c r="I275" s="107" t="n"/>
      <c r="J275" s="108" t="n"/>
      <c r="K275" s="108" t="n"/>
      <c r="L275" s="119">
        <f>IF($C275="","",DATE(YEAR($C275),MONTH($C275),1))</f>
        <v/>
      </c>
      <c r="M275" s="112">
        <f>IF($C275="","",IF(AND($D275&lt;&gt;"",$E275&lt;&gt;"",$G275&gt;0,$H275&lt;&gt;"",$I275&lt;&gt;""),IF($C275&gt;TODAY(),"İLERİ TARİH","UYGUN"),"EKSİK"))</f>
        <v/>
      </c>
      <c r="N275" s="6" t="n"/>
      <c r="O275" s="6" t="n"/>
    </row>
    <row r="276">
      <c r="A276" s="6" t="n"/>
      <c r="B276" s="112">
        <f>IF($C276="","","GG"&amp;TEXT(ROW()-6,"00000"))</f>
        <v/>
      </c>
      <c r="C276" s="114" t="n"/>
      <c r="D276" s="107" t="n"/>
      <c r="E276" s="108" t="n"/>
      <c r="F276" s="108" t="n"/>
      <c r="G276" s="115" t="n"/>
      <c r="H276" s="107" t="n"/>
      <c r="I276" s="107" t="n"/>
      <c r="J276" s="108" t="n"/>
      <c r="K276" s="108" t="n"/>
      <c r="L276" s="119">
        <f>IF($C276="","",DATE(YEAR($C276),MONTH($C276),1))</f>
        <v/>
      </c>
      <c r="M276" s="112">
        <f>IF($C276="","",IF(AND($D276&lt;&gt;"",$E276&lt;&gt;"",$G276&gt;0,$H276&lt;&gt;"",$I276&lt;&gt;""),IF($C276&gt;TODAY(),"İLERİ TARİH","UYGUN"),"EKSİK"))</f>
        <v/>
      </c>
      <c r="N276" s="6" t="n"/>
      <c r="O276" s="6" t="n"/>
    </row>
    <row r="277">
      <c r="A277" s="6" t="n"/>
      <c r="B277" s="112">
        <f>IF($C277="","","GG"&amp;TEXT(ROW()-6,"00000"))</f>
        <v/>
      </c>
      <c r="C277" s="114" t="n"/>
      <c r="D277" s="107" t="n"/>
      <c r="E277" s="108" t="n"/>
      <c r="F277" s="108" t="n"/>
      <c r="G277" s="115" t="n"/>
      <c r="H277" s="107" t="n"/>
      <c r="I277" s="107" t="n"/>
      <c r="J277" s="108" t="n"/>
      <c r="K277" s="108" t="n"/>
      <c r="L277" s="119">
        <f>IF($C277="","",DATE(YEAR($C277),MONTH($C277),1))</f>
        <v/>
      </c>
      <c r="M277" s="112">
        <f>IF($C277="","",IF(AND($D277&lt;&gt;"",$E277&lt;&gt;"",$G277&gt;0,$H277&lt;&gt;"",$I277&lt;&gt;""),IF($C277&gt;TODAY(),"İLERİ TARİH","UYGUN"),"EKSİK"))</f>
        <v/>
      </c>
      <c r="N277" s="6" t="n"/>
      <c r="O277" s="6" t="n"/>
    </row>
    <row r="278">
      <c r="A278" s="6" t="n"/>
      <c r="B278" s="112">
        <f>IF($C278="","","GG"&amp;TEXT(ROW()-6,"00000"))</f>
        <v/>
      </c>
      <c r="C278" s="114" t="n"/>
      <c r="D278" s="107" t="n"/>
      <c r="E278" s="108" t="n"/>
      <c r="F278" s="108" t="n"/>
      <c r="G278" s="115" t="n"/>
      <c r="H278" s="107" t="n"/>
      <c r="I278" s="107" t="n"/>
      <c r="J278" s="108" t="n"/>
      <c r="K278" s="108" t="n"/>
      <c r="L278" s="119">
        <f>IF($C278="","",DATE(YEAR($C278),MONTH($C278),1))</f>
        <v/>
      </c>
      <c r="M278" s="112">
        <f>IF($C278="","",IF(AND($D278&lt;&gt;"",$E278&lt;&gt;"",$G278&gt;0,$H278&lt;&gt;"",$I278&lt;&gt;""),IF($C278&gt;TODAY(),"İLERİ TARİH","UYGUN"),"EKSİK"))</f>
        <v/>
      </c>
      <c r="N278" s="6" t="n"/>
      <c r="O278" s="6" t="n"/>
    </row>
    <row r="279">
      <c r="A279" s="6" t="n"/>
      <c r="B279" s="112">
        <f>IF($C279="","","GG"&amp;TEXT(ROW()-6,"00000"))</f>
        <v/>
      </c>
      <c r="C279" s="114" t="n"/>
      <c r="D279" s="107" t="n"/>
      <c r="E279" s="108" t="n"/>
      <c r="F279" s="108" t="n"/>
      <c r="G279" s="115" t="n"/>
      <c r="H279" s="107" t="n"/>
      <c r="I279" s="107" t="n"/>
      <c r="J279" s="108" t="n"/>
      <c r="K279" s="108" t="n"/>
      <c r="L279" s="119">
        <f>IF($C279="","",DATE(YEAR($C279),MONTH($C279),1))</f>
        <v/>
      </c>
      <c r="M279" s="112">
        <f>IF($C279="","",IF(AND($D279&lt;&gt;"",$E279&lt;&gt;"",$G279&gt;0,$H279&lt;&gt;"",$I279&lt;&gt;""),IF($C279&gt;TODAY(),"İLERİ TARİH","UYGUN"),"EKSİK"))</f>
        <v/>
      </c>
      <c r="N279" s="6" t="n"/>
      <c r="O279" s="6" t="n"/>
    </row>
    <row r="280">
      <c r="A280" s="6" t="n"/>
      <c r="B280" s="112">
        <f>IF($C280="","","GG"&amp;TEXT(ROW()-6,"00000"))</f>
        <v/>
      </c>
      <c r="C280" s="114" t="n"/>
      <c r="D280" s="107" t="n"/>
      <c r="E280" s="108" t="n"/>
      <c r="F280" s="108" t="n"/>
      <c r="G280" s="115" t="n"/>
      <c r="H280" s="107" t="n"/>
      <c r="I280" s="107" t="n"/>
      <c r="J280" s="108" t="n"/>
      <c r="K280" s="108" t="n"/>
      <c r="L280" s="119">
        <f>IF($C280="","",DATE(YEAR($C280),MONTH($C280),1))</f>
        <v/>
      </c>
      <c r="M280" s="112">
        <f>IF($C280="","",IF(AND($D280&lt;&gt;"",$E280&lt;&gt;"",$G280&gt;0,$H280&lt;&gt;"",$I280&lt;&gt;""),IF($C280&gt;TODAY(),"İLERİ TARİH","UYGUN"),"EKSİK"))</f>
        <v/>
      </c>
      <c r="N280" s="6" t="n"/>
      <c r="O280" s="6" t="n"/>
    </row>
    <row r="281">
      <c r="A281" s="6" t="n"/>
      <c r="B281" s="112">
        <f>IF($C281="","","GG"&amp;TEXT(ROW()-6,"00000"))</f>
        <v/>
      </c>
      <c r="C281" s="114" t="n"/>
      <c r="D281" s="107" t="n"/>
      <c r="E281" s="108" t="n"/>
      <c r="F281" s="108" t="n"/>
      <c r="G281" s="115" t="n"/>
      <c r="H281" s="107" t="n"/>
      <c r="I281" s="107" t="n"/>
      <c r="J281" s="108" t="n"/>
      <c r="K281" s="108" t="n"/>
      <c r="L281" s="119">
        <f>IF($C281="","",DATE(YEAR($C281),MONTH($C281),1))</f>
        <v/>
      </c>
      <c r="M281" s="112">
        <f>IF($C281="","",IF(AND($D281&lt;&gt;"",$E281&lt;&gt;"",$G281&gt;0,$H281&lt;&gt;"",$I281&lt;&gt;""),IF($C281&gt;TODAY(),"İLERİ TARİH","UYGUN"),"EKSİK"))</f>
        <v/>
      </c>
      <c r="N281" s="6" t="n"/>
      <c r="O281" s="6" t="n"/>
    </row>
    <row r="282">
      <c r="A282" s="6" t="n"/>
      <c r="B282" s="112">
        <f>IF($C282="","","GG"&amp;TEXT(ROW()-6,"00000"))</f>
        <v/>
      </c>
      <c r="C282" s="114" t="n"/>
      <c r="D282" s="107" t="n"/>
      <c r="E282" s="108" t="n"/>
      <c r="F282" s="108" t="n"/>
      <c r="G282" s="115" t="n"/>
      <c r="H282" s="107" t="n"/>
      <c r="I282" s="107" t="n"/>
      <c r="J282" s="108" t="n"/>
      <c r="K282" s="108" t="n"/>
      <c r="L282" s="119">
        <f>IF($C282="","",DATE(YEAR($C282),MONTH($C282),1))</f>
        <v/>
      </c>
      <c r="M282" s="112">
        <f>IF($C282="","",IF(AND($D282&lt;&gt;"",$E282&lt;&gt;"",$G282&gt;0,$H282&lt;&gt;"",$I282&lt;&gt;""),IF($C282&gt;TODAY(),"İLERİ TARİH","UYGUN"),"EKSİK"))</f>
        <v/>
      </c>
      <c r="N282" s="6" t="n"/>
      <c r="O282" s="6" t="n"/>
    </row>
    <row r="283">
      <c r="A283" s="6" t="n"/>
      <c r="B283" s="112">
        <f>IF($C283="","","GG"&amp;TEXT(ROW()-6,"00000"))</f>
        <v/>
      </c>
      <c r="C283" s="114" t="n"/>
      <c r="D283" s="107" t="n"/>
      <c r="E283" s="108" t="n"/>
      <c r="F283" s="108" t="n"/>
      <c r="G283" s="115" t="n"/>
      <c r="H283" s="107" t="n"/>
      <c r="I283" s="107" t="n"/>
      <c r="J283" s="108" t="n"/>
      <c r="K283" s="108" t="n"/>
      <c r="L283" s="119">
        <f>IF($C283="","",DATE(YEAR($C283),MONTH($C283),1))</f>
        <v/>
      </c>
      <c r="M283" s="112">
        <f>IF($C283="","",IF(AND($D283&lt;&gt;"",$E283&lt;&gt;"",$G283&gt;0,$H283&lt;&gt;"",$I283&lt;&gt;""),IF($C283&gt;TODAY(),"İLERİ TARİH","UYGUN"),"EKSİK"))</f>
        <v/>
      </c>
      <c r="N283" s="6" t="n"/>
      <c r="O283" s="6" t="n"/>
    </row>
    <row r="284">
      <c r="A284" s="6" t="n"/>
      <c r="B284" s="112">
        <f>IF($C284="","","GG"&amp;TEXT(ROW()-6,"00000"))</f>
        <v/>
      </c>
      <c r="C284" s="114" t="n"/>
      <c r="D284" s="107" t="n"/>
      <c r="E284" s="108" t="n"/>
      <c r="F284" s="108" t="n"/>
      <c r="G284" s="115" t="n"/>
      <c r="H284" s="107" t="n"/>
      <c r="I284" s="107" t="n"/>
      <c r="J284" s="108" t="n"/>
      <c r="K284" s="108" t="n"/>
      <c r="L284" s="119">
        <f>IF($C284="","",DATE(YEAR($C284),MONTH($C284),1))</f>
        <v/>
      </c>
      <c r="M284" s="112">
        <f>IF($C284="","",IF(AND($D284&lt;&gt;"",$E284&lt;&gt;"",$G284&gt;0,$H284&lt;&gt;"",$I284&lt;&gt;""),IF($C284&gt;TODAY(),"İLERİ TARİH","UYGUN"),"EKSİK"))</f>
        <v/>
      </c>
      <c r="N284" s="6" t="n"/>
      <c r="O284" s="6" t="n"/>
    </row>
    <row r="285">
      <c r="A285" s="6" t="n"/>
      <c r="B285" s="112">
        <f>IF($C285="","","GG"&amp;TEXT(ROW()-6,"00000"))</f>
        <v/>
      </c>
      <c r="C285" s="114" t="n"/>
      <c r="D285" s="107" t="n"/>
      <c r="E285" s="108" t="n"/>
      <c r="F285" s="108" t="n"/>
      <c r="G285" s="115" t="n"/>
      <c r="H285" s="107" t="n"/>
      <c r="I285" s="107" t="n"/>
      <c r="J285" s="108" t="n"/>
      <c r="K285" s="108" t="n"/>
      <c r="L285" s="119">
        <f>IF($C285="","",DATE(YEAR($C285),MONTH($C285),1))</f>
        <v/>
      </c>
      <c r="M285" s="112">
        <f>IF($C285="","",IF(AND($D285&lt;&gt;"",$E285&lt;&gt;"",$G285&gt;0,$H285&lt;&gt;"",$I285&lt;&gt;""),IF($C285&gt;TODAY(),"İLERİ TARİH","UYGUN"),"EKSİK"))</f>
        <v/>
      </c>
      <c r="N285" s="6" t="n"/>
      <c r="O285" s="6" t="n"/>
    </row>
    <row r="286">
      <c r="A286" s="6" t="n"/>
      <c r="B286" s="112">
        <f>IF($C286="","","GG"&amp;TEXT(ROW()-6,"00000"))</f>
        <v/>
      </c>
      <c r="C286" s="114" t="n"/>
      <c r="D286" s="107" t="n"/>
      <c r="E286" s="108" t="n"/>
      <c r="F286" s="108" t="n"/>
      <c r="G286" s="115" t="n"/>
      <c r="H286" s="107" t="n"/>
      <c r="I286" s="107" t="n"/>
      <c r="J286" s="108" t="n"/>
      <c r="K286" s="108" t="n"/>
      <c r="L286" s="119">
        <f>IF($C286="","",DATE(YEAR($C286),MONTH($C286),1))</f>
        <v/>
      </c>
      <c r="M286" s="112">
        <f>IF($C286="","",IF(AND($D286&lt;&gt;"",$E286&lt;&gt;"",$G286&gt;0,$H286&lt;&gt;"",$I286&lt;&gt;""),IF($C286&gt;TODAY(),"İLERİ TARİH","UYGUN"),"EKSİK"))</f>
        <v/>
      </c>
      <c r="N286" s="6" t="n"/>
      <c r="O286" s="6" t="n"/>
    </row>
    <row r="287">
      <c r="A287" s="6" t="n"/>
      <c r="B287" s="112">
        <f>IF($C287="","","GG"&amp;TEXT(ROW()-6,"00000"))</f>
        <v/>
      </c>
      <c r="C287" s="114" t="n"/>
      <c r="D287" s="107" t="n"/>
      <c r="E287" s="108" t="n"/>
      <c r="F287" s="108" t="n"/>
      <c r="G287" s="115" t="n"/>
      <c r="H287" s="107" t="n"/>
      <c r="I287" s="107" t="n"/>
      <c r="J287" s="108" t="n"/>
      <c r="K287" s="108" t="n"/>
      <c r="L287" s="119">
        <f>IF($C287="","",DATE(YEAR($C287),MONTH($C287),1))</f>
        <v/>
      </c>
      <c r="M287" s="112">
        <f>IF($C287="","",IF(AND($D287&lt;&gt;"",$E287&lt;&gt;"",$G287&gt;0,$H287&lt;&gt;"",$I287&lt;&gt;""),IF($C287&gt;TODAY(),"İLERİ TARİH","UYGUN"),"EKSİK"))</f>
        <v/>
      </c>
      <c r="N287" s="6" t="n"/>
      <c r="O287" s="6" t="n"/>
    </row>
    <row r="288">
      <c r="A288" s="6" t="n"/>
      <c r="B288" s="112">
        <f>IF($C288="","","GG"&amp;TEXT(ROW()-6,"00000"))</f>
        <v/>
      </c>
      <c r="C288" s="114" t="n"/>
      <c r="D288" s="107" t="n"/>
      <c r="E288" s="108" t="n"/>
      <c r="F288" s="108" t="n"/>
      <c r="G288" s="115" t="n"/>
      <c r="H288" s="107" t="n"/>
      <c r="I288" s="107" t="n"/>
      <c r="J288" s="108" t="n"/>
      <c r="K288" s="108" t="n"/>
      <c r="L288" s="119">
        <f>IF($C288="","",DATE(YEAR($C288),MONTH($C288),1))</f>
        <v/>
      </c>
      <c r="M288" s="112">
        <f>IF($C288="","",IF(AND($D288&lt;&gt;"",$E288&lt;&gt;"",$G288&gt;0,$H288&lt;&gt;"",$I288&lt;&gt;""),IF($C288&gt;TODAY(),"İLERİ TARİH","UYGUN"),"EKSİK"))</f>
        <v/>
      </c>
      <c r="N288" s="6" t="n"/>
      <c r="O288" s="6" t="n"/>
    </row>
    <row r="289">
      <c r="A289" s="6" t="n"/>
      <c r="B289" s="112">
        <f>IF($C289="","","GG"&amp;TEXT(ROW()-6,"00000"))</f>
        <v/>
      </c>
      <c r="C289" s="114" t="n"/>
      <c r="D289" s="107" t="n"/>
      <c r="E289" s="108" t="n"/>
      <c r="F289" s="108" t="n"/>
      <c r="G289" s="115" t="n"/>
      <c r="H289" s="107" t="n"/>
      <c r="I289" s="107" t="n"/>
      <c r="J289" s="108" t="n"/>
      <c r="K289" s="108" t="n"/>
      <c r="L289" s="119">
        <f>IF($C289="","",DATE(YEAR($C289),MONTH($C289),1))</f>
        <v/>
      </c>
      <c r="M289" s="112">
        <f>IF($C289="","",IF(AND($D289&lt;&gt;"",$E289&lt;&gt;"",$G289&gt;0,$H289&lt;&gt;"",$I289&lt;&gt;""),IF($C289&gt;TODAY(),"İLERİ TARİH","UYGUN"),"EKSİK"))</f>
        <v/>
      </c>
      <c r="N289" s="6" t="n"/>
      <c r="O289" s="6" t="n"/>
    </row>
    <row r="290">
      <c r="A290" s="6" t="n"/>
      <c r="B290" s="112">
        <f>IF($C290="","","GG"&amp;TEXT(ROW()-6,"00000"))</f>
        <v/>
      </c>
      <c r="C290" s="114" t="n"/>
      <c r="D290" s="107" t="n"/>
      <c r="E290" s="108" t="n"/>
      <c r="F290" s="108" t="n"/>
      <c r="G290" s="115" t="n"/>
      <c r="H290" s="107" t="n"/>
      <c r="I290" s="107" t="n"/>
      <c r="J290" s="108" t="n"/>
      <c r="K290" s="108" t="n"/>
      <c r="L290" s="119">
        <f>IF($C290="","",DATE(YEAR($C290),MONTH($C290),1))</f>
        <v/>
      </c>
      <c r="M290" s="112">
        <f>IF($C290="","",IF(AND($D290&lt;&gt;"",$E290&lt;&gt;"",$G290&gt;0,$H290&lt;&gt;"",$I290&lt;&gt;""),IF($C290&gt;TODAY(),"İLERİ TARİH","UYGUN"),"EKSİK"))</f>
        <v/>
      </c>
      <c r="N290" s="6" t="n"/>
      <c r="O290" s="6" t="n"/>
    </row>
    <row r="291">
      <c r="A291" s="6" t="n"/>
      <c r="B291" s="112">
        <f>IF($C291="","","GG"&amp;TEXT(ROW()-6,"00000"))</f>
        <v/>
      </c>
      <c r="C291" s="114" t="n"/>
      <c r="D291" s="107" t="n"/>
      <c r="E291" s="108" t="n"/>
      <c r="F291" s="108" t="n"/>
      <c r="G291" s="115" t="n"/>
      <c r="H291" s="107" t="n"/>
      <c r="I291" s="107" t="n"/>
      <c r="J291" s="108" t="n"/>
      <c r="K291" s="108" t="n"/>
      <c r="L291" s="119">
        <f>IF($C291="","",DATE(YEAR($C291),MONTH($C291),1))</f>
        <v/>
      </c>
      <c r="M291" s="112">
        <f>IF($C291="","",IF(AND($D291&lt;&gt;"",$E291&lt;&gt;"",$G291&gt;0,$H291&lt;&gt;"",$I291&lt;&gt;""),IF($C291&gt;TODAY(),"İLERİ TARİH","UYGUN"),"EKSİK"))</f>
        <v/>
      </c>
      <c r="N291" s="6" t="n"/>
      <c r="O291" s="6" t="n"/>
    </row>
    <row r="292">
      <c r="A292" s="6" t="n"/>
      <c r="B292" s="112">
        <f>IF($C292="","","GG"&amp;TEXT(ROW()-6,"00000"))</f>
        <v/>
      </c>
      <c r="C292" s="114" t="n"/>
      <c r="D292" s="107" t="n"/>
      <c r="E292" s="108" t="n"/>
      <c r="F292" s="108" t="n"/>
      <c r="G292" s="115" t="n"/>
      <c r="H292" s="107" t="n"/>
      <c r="I292" s="107" t="n"/>
      <c r="J292" s="108" t="n"/>
      <c r="K292" s="108" t="n"/>
      <c r="L292" s="119">
        <f>IF($C292="","",DATE(YEAR($C292),MONTH($C292),1))</f>
        <v/>
      </c>
      <c r="M292" s="112">
        <f>IF($C292="","",IF(AND($D292&lt;&gt;"",$E292&lt;&gt;"",$G292&gt;0,$H292&lt;&gt;"",$I292&lt;&gt;""),IF($C292&gt;TODAY(),"İLERİ TARİH","UYGUN"),"EKSİK"))</f>
        <v/>
      </c>
      <c r="N292" s="6" t="n"/>
      <c r="O292" s="6" t="n"/>
    </row>
    <row r="293">
      <c r="A293" s="6" t="n"/>
      <c r="B293" s="112">
        <f>IF($C293="","","GG"&amp;TEXT(ROW()-6,"00000"))</f>
        <v/>
      </c>
      <c r="C293" s="114" t="n"/>
      <c r="D293" s="107" t="n"/>
      <c r="E293" s="108" t="n"/>
      <c r="F293" s="108" t="n"/>
      <c r="G293" s="115" t="n"/>
      <c r="H293" s="107" t="n"/>
      <c r="I293" s="107" t="n"/>
      <c r="J293" s="108" t="n"/>
      <c r="K293" s="108" t="n"/>
      <c r="L293" s="119">
        <f>IF($C293="","",DATE(YEAR($C293),MONTH($C293),1))</f>
        <v/>
      </c>
      <c r="M293" s="112">
        <f>IF($C293="","",IF(AND($D293&lt;&gt;"",$E293&lt;&gt;"",$G293&gt;0,$H293&lt;&gt;"",$I293&lt;&gt;""),IF($C293&gt;TODAY(),"İLERİ TARİH","UYGUN"),"EKSİK"))</f>
        <v/>
      </c>
      <c r="N293" s="6" t="n"/>
      <c r="O293" s="6" t="n"/>
    </row>
    <row r="294">
      <c r="A294" s="6" t="n"/>
      <c r="B294" s="112">
        <f>IF($C294="","","GG"&amp;TEXT(ROW()-6,"00000"))</f>
        <v/>
      </c>
      <c r="C294" s="114" t="n"/>
      <c r="D294" s="107" t="n"/>
      <c r="E294" s="108" t="n"/>
      <c r="F294" s="108" t="n"/>
      <c r="G294" s="115" t="n"/>
      <c r="H294" s="107" t="n"/>
      <c r="I294" s="107" t="n"/>
      <c r="J294" s="108" t="n"/>
      <c r="K294" s="108" t="n"/>
      <c r="L294" s="119">
        <f>IF($C294="","",DATE(YEAR($C294),MONTH($C294),1))</f>
        <v/>
      </c>
      <c r="M294" s="112">
        <f>IF($C294="","",IF(AND($D294&lt;&gt;"",$E294&lt;&gt;"",$G294&gt;0,$H294&lt;&gt;"",$I294&lt;&gt;""),IF($C294&gt;TODAY(),"İLERİ TARİH","UYGUN"),"EKSİK"))</f>
        <v/>
      </c>
      <c r="N294" s="6" t="n"/>
      <c r="O294" s="6" t="n"/>
    </row>
    <row r="295">
      <c r="A295" s="6" t="n"/>
      <c r="B295" s="112">
        <f>IF($C295="","","GG"&amp;TEXT(ROW()-6,"00000"))</f>
        <v/>
      </c>
      <c r="C295" s="114" t="n"/>
      <c r="D295" s="107" t="n"/>
      <c r="E295" s="108" t="n"/>
      <c r="F295" s="108" t="n"/>
      <c r="G295" s="115" t="n"/>
      <c r="H295" s="107" t="n"/>
      <c r="I295" s="107" t="n"/>
      <c r="J295" s="108" t="n"/>
      <c r="K295" s="108" t="n"/>
      <c r="L295" s="119">
        <f>IF($C295="","",DATE(YEAR($C295),MONTH($C295),1))</f>
        <v/>
      </c>
      <c r="M295" s="112">
        <f>IF($C295="","",IF(AND($D295&lt;&gt;"",$E295&lt;&gt;"",$G295&gt;0,$H295&lt;&gt;"",$I295&lt;&gt;""),IF($C295&gt;TODAY(),"İLERİ TARİH","UYGUN"),"EKSİK"))</f>
        <v/>
      </c>
      <c r="N295" s="6" t="n"/>
      <c r="O295" s="6" t="n"/>
    </row>
    <row r="296">
      <c r="A296" s="6" t="n"/>
      <c r="B296" s="112">
        <f>IF($C296="","","GG"&amp;TEXT(ROW()-6,"00000"))</f>
        <v/>
      </c>
      <c r="C296" s="114" t="n"/>
      <c r="D296" s="107" t="n"/>
      <c r="E296" s="108" t="n"/>
      <c r="F296" s="108" t="n"/>
      <c r="G296" s="115" t="n"/>
      <c r="H296" s="107" t="n"/>
      <c r="I296" s="107" t="n"/>
      <c r="J296" s="108" t="n"/>
      <c r="K296" s="108" t="n"/>
      <c r="L296" s="119">
        <f>IF($C296="","",DATE(YEAR($C296),MONTH($C296),1))</f>
        <v/>
      </c>
      <c r="M296" s="112">
        <f>IF($C296="","",IF(AND($D296&lt;&gt;"",$E296&lt;&gt;"",$G296&gt;0,$H296&lt;&gt;"",$I296&lt;&gt;""),IF($C296&gt;TODAY(),"İLERİ TARİH","UYGUN"),"EKSİK"))</f>
        <v/>
      </c>
      <c r="N296" s="6" t="n"/>
      <c r="O296" s="6" t="n"/>
    </row>
    <row r="297">
      <c r="A297" s="6" t="n"/>
      <c r="B297" s="112">
        <f>IF($C297="","","GG"&amp;TEXT(ROW()-6,"00000"))</f>
        <v/>
      </c>
      <c r="C297" s="114" t="n"/>
      <c r="D297" s="107" t="n"/>
      <c r="E297" s="108" t="n"/>
      <c r="F297" s="108" t="n"/>
      <c r="G297" s="115" t="n"/>
      <c r="H297" s="107" t="n"/>
      <c r="I297" s="107" t="n"/>
      <c r="J297" s="108" t="n"/>
      <c r="K297" s="108" t="n"/>
      <c r="L297" s="119">
        <f>IF($C297="","",DATE(YEAR($C297),MONTH($C297),1))</f>
        <v/>
      </c>
      <c r="M297" s="112">
        <f>IF($C297="","",IF(AND($D297&lt;&gt;"",$E297&lt;&gt;"",$G297&gt;0,$H297&lt;&gt;"",$I297&lt;&gt;""),IF($C297&gt;TODAY(),"İLERİ TARİH","UYGUN"),"EKSİK"))</f>
        <v/>
      </c>
      <c r="N297" s="6" t="n"/>
      <c r="O297" s="6" t="n"/>
    </row>
    <row r="298">
      <c r="A298" s="6" t="n"/>
      <c r="B298" s="112">
        <f>IF($C298="","","GG"&amp;TEXT(ROW()-6,"00000"))</f>
        <v/>
      </c>
      <c r="C298" s="114" t="n"/>
      <c r="D298" s="107" t="n"/>
      <c r="E298" s="108" t="n"/>
      <c r="F298" s="108" t="n"/>
      <c r="G298" s="115" t="n"/>
      <c r="H298" s="107" t="n"/>
      <c r="I298" s="107" t="n"/>
      <c r="J298" s="108" t="n"/>
      <c r="K298" s="108" t="n"/>
      <c r="L298" s="119">
        <f>IF($C298="","",DATE(YEAR($C298),MONTH($C298),1))</f>
        <v/>
      </c>
      <c r="M298" s="112">
        <f>IF($C298="","",IF(AND($D298&lt;&gt;"",$E298&lt;&gt;"",$G298&gt;0,$H298&lt;&gt;"",$I298&lt;&gt;""),IF($C298&gt;TODAY(),"İLERİ TARİH","UYGUN"),"EKSİK"))</f>
        <v/>
      </c>
      <c r="N298" s="6" t="n"/>
      <c r="O298" s="6" t="n"/>
    </row>
    <row r="299">
      <c r="A299" s="6" t="n"/>
      <c r="B299" s="112">
        <f>IF($C299="","","GG"&amp;TEXT(ROW()-6,"00000"))</f>
        <v/>
      </c>
      <c r="C299" s="114" t="n"/>
      <c r="D299" s="107" t="n"/>
      <c r="E299" s="108" t="n"/>
      <c r="F299" s="108" t="n"/>
      <c r="G299" s="115" t="n"/>
      <c r="H299" s="107" t="n"/>
      <c r="I299" s="107" t="n"/>
      <c r="J299" s="108" t="n"/>
      <c r="K299" s="108" t="n"/>
      <c r="L299" s="119">
        <f>IF($C299="","",DATE(YEAR($C299),MONTH($C299),1))</f>
        <v/>
      </c>
      <c r="M299" s="112">
        <f>IF($C299="","",IF(AND($D299&lt;&gt;"",$E299&lt;&gt;"",$G299&gt;0,$H299&lt;&gt;"",$I299&lt;&gt;""),IF($C299&gt;TODAY(),"İLERİ TARİH","UYGUN"),"EKSİK"))</f>
        <v/>
      </c>
      <c r="N299" s="6" t="n"/>
      <c r="O299" s="6" t="n"/>
    </row>
    <row r="300">
      <c r="A300" s="6" t="n"/>
      <c r="B300" s="112">
        <f>IF($C300="","","GG"&amp;TEXT(ROW()-6,"00000"))</f>
        <v/>
      </c>
      <c r="C300" s="114" t="n"/>
      <c r="D300" s="107" t="n"/>
      <c r="E300" s="108" t="n"/>
      <c r="F300" s="108" t="n"/>
      <c r="G300" s="115" t="n"/>
      <c r="H300" s="107" t="n"/>
      <c r="I300" s="107" t="n"/>
      <c r="J300" s="108" t="n"/>
      <c r="K300" s="108" t="n"/>
      <c r="L300" s="119">
        <f>IF($C300="","",DATE(YEAR($C300),MONTH($C300),1))</f>
        <v/>
      </c>
      <c r="M300" s="112">
        <f>IF($C300="","",IF(AND($D300&lt;&gt;"",$E300&lt;&gt;"",$G300&gt;0,$H300&lt;&gt;"",$I300&lt;&gt;""),IF($C300&gt;TODAY(),"İLERİ TARİH","UYGUN"),"EKSİK"))</f>
        <v/>
      </c>
      <c r="N300" s="6" t="n"/>
      <c r="O300" s="6" t="n"/>
    </row>
    <row r="301">
      <c r="A301" s="6" t="n"/>
      <c r="B301" s="112">
        <f>IF($C301="","","GG"&amp;TEXT(ROW()-6,"00000"))</f>
        <v/>
      </c>
      <c r="C301" s="114" t="n"/>
      <c r="D301" s="107" t="n"/>
      <c r="E301" s="108" t="n"/>
      <c r="F301" s="108" t="n"/>
      <c r="G301" s="115" t="n"/>
      <c r="H301" s="107" t="n"/>
      <c r="I301" s="107" t="n"/>
      <c r="J301" s="108" t="n"/>
      <c r="K301" s="108" t="n"/>
      <c r="L301" s="119">
        <f>IF($C301="","",DATE(YEAR($C301),MONTH($C301),1))</f>
        <v/>
      </c>
      <c r="M301" s="112">
        <f>IF($C301="","",IF(AND($D301&lt;&gt;"",$E301&lt;&gt;"",$G301&gt;0,$H301&lt;&gt;"",$I301&lt;&gt;""),IF($C301&gt;TODAY(),"İLERİ TARİH","UYGUN"),"EKSİK"))</f>
        <v/>
      </c>
      <c r="N301" s="6" t="n"/>
      <c r="O301" s="6" t="n"/>
    </row>
    <row r="302">
      <c r="A302" s="6" t="n"/>
      <c r="B302" s="112">
        <f>IF($C302="","","GG"&amp;TEXT(ROW()-6,"00000"))</f>
        <v/>
      </c>
      <c r="C302" s="114" t="n"/>
      <c r="D302" s="107" t="n"/>
      <c r="E302" s="108" t="n"/>
      <c r="F302" s="108" t="n"/>
      <c r="G302" s="115" t="n"/>
      <c r="H302" s="107" t="n"/>
      <c r="I302" s="107" t="n"/>
      <c r="J302" s="108" t="n"/>
      <c r="K302" s="108" t="n"/>
      <c r="L302" s="119">
        <f>IF($C302="","",DATE(YEAR($C302),MONTH($C302),1))</f>
        <v/>
      </c>
      <c r="M302" s="112">
        <f>IF($C302="","",IF(AND($D302&lt;&gt;"",$E302&lt;&gt;"",$G302&gt;0,$H302&lt;&gt;"",$I302&lt;&gt;""),IF($C302&gt;TODAY(),"İLERİ TARİH","UYGUN"),"EKSİK"))</f>
        <v/>
      </c>
      <c r="N302" s="6" t="n"/>
      <c r="O302" s="6" t="n"/>
    </row>
    <row r="303">
      <c r="A303" s="6" t="n"/>
      <c r="B303" s="112">
        <f>IF($C303="","","GG"&amp;TEXT(ROW()-6,"00000"))</f>
        <v/>
      </c>
      <c r="C303" s="114" t="n"/>
      <c r="D303" s="107" t="n"/>
      <c r="E303" s="108" t="n"/>
      <c r="F303" s="108" t="n"/>
      <c r="G303" s="115" t="n"/>
      <c r="H303" s="107" t="n"/>
      <c r="I303" s="107" t="n"/>
      <c r="J303" s="108" t="n"/>
      <c r="K303" s="108" t="n"/>
      <c r="L303" s="119">
        <f>IF($C303="","",DATE(YEAR($C303),MONTH($C303),1))</f>
        <v/>
      </c>
      <c r="M303" s="112">
        <f>IF($C303="","",IF(AND($D303&lt;&gt;"",$E303&lt;&gt;"",$G303&gt;0,$H303&lt;&gt;"",$I303&lt;&gt;""),IF($C303&gt;TODAY(),"İLERİ TARİH","UYGUN"),"EKSİK"))</f>
        <v/>
      </c>
      <c r="N303" s="6" t="n"/>
      <c r="O303" s="6" t="n"/>
    </row>
    <row r="304">
      <c r="A304" s="6" t="n"/>
      <c r="B304" s="112">
        <f>IF($C304="","","GG"&amp;TEXT(ROW()-6,"00000"))</f>
        <v/>
      </c>
      <c r="C304" s="114" t="n"/>
      <c r="D304" s="107" t="n"/>
      <c r="E304" s="108" t="n"/>
      <c r="F304" s="108" t="n"/>
      <c r="G304" s="115" t="n"/>
      <c r="H304" s="107" t="n"/>
      <c r="I304" s="107" t="n"/>
      <c r="J304" s="108" t="n"/>
      <c r="K304" s="108" t="n"/>
      <c r="L304" s="119">
        <f>IF($C304="","",DATE(YEAR($C304),MONTH($C304),1))</f>
        <v/>
      </c>
      <c r="M304" s="112">
        <f>IF($C304="","",IF(AND($D304&lt;&gt;"",$E304&lt;&gt;"",$G304&gt;0,$H304&lt;&gt;"",$I304&lt;&gt;""),IF($C304&gt;TODAY(),"İLERİ TARİH","UYGUN"),"EKSİK"))</f>
        <v/>
      </c>
      <c r="N304" s="6" t="n"/>
      <c r="O304" s="6" t="n"/>
    </row>
    <row r="305">
      <c r="A305" s="6" t="n"/>
      <c r="B305" s="112">
        <f>IF($C305="","","GG"&amp;TEXT(ROW()-6,"00000"))</f>
        <v/>
      </c>
      <c r="C305" s="114" t="n"/>
      <c r="D305" s="107" t="n"/>
      <c r="E305" s="108" t="n"/>
      <c r="F305" s="108" t="n"/>
      <c r="G305" s="115" t="n"/>
      <c r="H305" s="107" t="n"/>
      <c r="I305" s="107" t="n"/>
      <c r="J305" s="108" t="n"/>
      <c r="K305" s="108" t="n"/>
      <c r="L305" s="119">
        <f>IF($C305="","",DATE(YEAR($C305),MONTH($C305),1))</f>
        <v/>
      </c>
      <c r="M305" s="112">
        <f>IF($C305="","",IF(AND($D305&lt;&gt;"",$E305&lt;&gt;"",$G305&gt;0,$H305&lt;&gt;"",$I305&lt;&gt;""),IF($C305&gt;TODAY(),"İLERİ TARİH","UYGUN"),"EKSİK"))</f>
        <v/>
      </c>
      <c r="N305" s="6" t="n"/>
      <c r="O305" s="6" t="n"/>
    </row>
    <row r="306">
      <c r="A306" s="6" t="n"/>
      <c r="B306" s="112">
        <f>IF($C306="","","GG"&amp;TEXT(ROW()-6,"00000"))</f>
        <v/>
      </c>
      <c r="C306" s="114" t="n"/>
      <c r="D306" s="107" t="n"/>
      <c r="E306" s="108" t="n"/>
      <c r="F306" s="108" t="n"/>
      <c r="G306" s="115" t="n"/>
      <c r="H306" s="107" t="n"/>
      <c r="I306" s="107" t="n"/>
      <c r="J306" s="108" t="n"/>
      <c r="K306" s="108" t="n"/>
      <c r="L306" s="119">
        <f>IF($C306="","",DATE(YEAR($C306),MONTH($C306),1))</f>
        <v/>
      </c>
      <c r="M306" s="112">
        <f>IF($C306="","",IF(AND($D306&lt;&gt;"",$E306&lt;&gt;"",$G306&gt;0,$H306&lt;&gt;"",$I306&lt;&gt;""),IF($C306&gt;TODAY(),"İLERİ TARİH","UYGUN"),"EKSİK"))</f>
        <v/>
      </c>
      <c r="N306" s="6" t="n"/>
      <c r="O306" s="6" t="n"/>
    </row>
    <row r="307">
      <c r="A307" s="6" t="n"/>
      <c r="B307" s="112">
        <f>IF($C307="","","GG"&amp;TEXT(ROW()-6,"00000"))</f>
        <v/>
      </c>
      <c r="C307" s="114" t="n"/>
      <c r="D307" s="107" t="n"/>
      <c r="E307" s="108" t="n"/>
      <c r="F307" s="108" t="n"/>
      <c r="G307" s="115" t="n"/>
      <c r="H307" s="107" t="n"/>
      <c r="I307" s="107" t="n"/>
      <c r="J307" s="108" t="n"/>
      <c r="K307" s="108" t="n"/>
      <c r="L307" s="119">
        <f>IF($C307="","",DATE(YEAR($C307),MONTH($C307),1))</f>
        <v/>
      </c>
      <c r="M307" s="112">
        <f>IF($C307="","",IF(AND($D307&lt;&gt;"",$E307&lt;&gt;"",$G307&gt;0,$H307&lt;&gt;"",$I307&lt;&gt;""),IF($C307&gt;TODAY(),"İLERİ TARİH","UYGUN"),"EKSİK"))</f>
        <v/>
      </c>
      <c r="N307" s="6" t="n"/>
      <c r="O307" s="6" t="n"/>
    </row>
    <row r="308">
      <c r="A308" s="6" t="n"/>
      <c r="B308" s="112">
        <f>IF($C308="","","GG"&amp;TEXT(ROW()-6,"00000"))</f>
        <v/>
      </c>
      <c r="C308" s="114" t="n"/>
      <c r="D308" s="107" t="n"/>
      <c r="E308" s="108" t="n"/>
      <c r="F308" s="108" t="n"/>
      <c r="G308" s="115" t="n"/>
      <c r="H308" s="107" t="n"/>
      <c r="I308" s="107" t="n"/>
      <c r="J308" s="108" t="n"/>
      <c r="K308" s="108" t="n"/>
      <c r="L308" s="119">
        <f>IF($C308="","",DATE(YEAR($C308),MONTH($C308),1))</f>
        <v/>
      </c>
      <c r="M308" s="112">
        <f>IF($C308="","",IF(AND($D308&lt;&gt;"",$E308&lt;&gt;"",$G308&gt;0,$H308&lt;&gt;"",$I308&lt;&gt;""),IF($C308&gt;TODAY(),"İLERİ TARİH","UYGUN"),"EKSİK"))</f>
        <v/>
      </c>
      <c r="N308" s="6" t="n"/>
      <c r="O308" s="6" t="n"/>
    </row>
    <row r="309">
      <c r="A309" s="6" t="n"/>
      <c r="B309" s="112">
        <f>IF($C309="","","GG"&amp;TEXT(ROW()-6,"00000"))</f>
        <v/>
      </c>
      <c r="C309" s="114" t="n"/>
      <c r="D309" s="107" t="n"/>
      <c r="E309" s="108" t="n"/>
      <c r="F309" s="108" t="n"/>
      <c r="G309" s="115" t="n"/>
      <c r="H309" s="107" t="n"/>
      <c r="I309" s="107" t="n"/>
      <c r="J309" s="108" t="n"/>
      <c r="K309" s="108" t="n"/>
      <c r="L309" s="119">
        <f>IF($C309="","",DATE(YEAR($C309),MONTH($C309),1))</f>
        <v/>
      </c>
      <c r="M309" s="112">
        <f>IF($C309="","",IF(AND($D309&lt;&gt;"",$E309&lt;&gt;"",$G309&gt;0,$H309&lt;&gt;"",$I309&lt;&gt;""),IF($C309&gt;TODAY(),"İLERİ TARİH","UYGUN"),"EKSİK"))</f>
        <v/>
      </c>
      <c r="N309" s="6" t="n"/>
      <c r="O309" s="6" t="n"/>
    </row>
    <row r="310">
      <c r="A310" s="6" t="n"/>
      <c r="B310" s="112">
        <f>IF($C310="","","GG"&amp;TEXT(ROW()-6,"00000"))</f>
        <v/>
      </c>
      <c r="C310" s="114" t="n"/>
      <c r="D310" s="107" t="n"/>
      <c r="E310" s="108" t="n"/>
      <c r="F310" s="108" t="n"/>
      <c r="G310" s="115" t="n"/>
      <c r="H310" s="107" t="n"/>
      <c r="I310" s="107" t="n"/>
      <c r="J310" s="108" t="n"/>
      <c r="K310" s="108" t="n"/>
      <c r="L310" s="119">
        <f>IF($C310="","",DATE(YEAR($C310),MONTH($C310),1))</f>
        <v/>
      </c>
      <c r="M310" s="112">
        <f>IF($C310="","",IF(AND($D310&lt;&gt;"",$E310&lt;&gt;"",$G310&gt;0,$H310&lt;&gt;"",$I310&lt;&gt;""),IF($C310&gt;TODAY(),"İLERİ TARİH","UYGUN"),"EKSİK"))</f>
        <v/>
      </c>
      <c r="N310" s="6" t="n"/>
      <c r="O310" s="6" t="n"/>
    </row>
    <row r="311">
      <c r="A311" s="6" t="n"/>
      <c r="B311" s="112">
        <f>IF($C311="","","GG"&amp;TEXT(ROW()-6,"00000"))</f>
        <v/>
      </c>
      <c r="C311" s="114" t="n"/>
      <c r="D311" s="107" t="n"/>
      <c r="E311" s="108" t="n"/>
      <c r="F311" s="108" t="n"/>
      <c r="G311" s="115" t="n"/>
      <c r="H311" s="107" t="n"/>
      <c r="I311" s="107" t="n"/>
      <c r="J311" s="108" t="n"/>
      <c r="K311" s="108" t="n"/>
      <c r="L311" s="119">
        <f>IF($C311="","",DATE(YEAR($C311),MONTH($C311),1))</f>
        <v/>
      </c>
      <c r="M311" s="112">
        <f>IF($C311="","",IF(AND($D311&lt;&gt;"",$E311&lt;&gt;"",$G311&gt;0,$H311&lt;&gt;"",$I311&lt;&gt;""),IF($C311&gt;TODAY(),"İLERİ TARİH","UYGUN"),"EKSİK"))</f>
        <v/>
      </c>
      <c r="N311" s="6" t="n"/>
      <c r="O311" s="6" t="n"/>
    </row>
    <row r="312">
      <c r="A312" s="6" t="n"/>
      <c r="B312" s="112">
        <f>IF($C312="","","GG"&amp;TEXT(ROW()-6,"00000"))</f>
        <v/>
      </c>
      <c r="C312" s="114" t="n"/>
      <c r="D312" s="107" t="n"/>
      <c r="E312" s="108" t="n"/>
      <c r="F312" s="108" t="n"/>
      <c r="G312" s="115" t="n"/>
      <c r="H312" s="107" t="n"/>
      <c r="I312" s="107" t="n"/>
      <c r="J312" s="108" t="n"/>
      <c r="K312" s="108" t="n"/>
      <c r="L312" s="119">
        <f>IF($C312="","",DATE(YEAR($C312),MONTH($C312),1))</f>
        <v/>
      </c>
      <c r="M312" s="112">
        <f>IF($C312="","",IF(AND($D312&lt;&gt;"",$E312&lt;&gt;"",$G312&gt;0,$H312&lt;&gt;"",$I312&lt;&gt;""),IF($C312&gt;TODAY(),"İLERİ TARİH","UYGUN"),"EKSİK"))</f>
        <v/>
      </c>
      <c r="N312" s="6" t="n"/>
      <c r="O312" s="6" t="n"/>
    </row>
    <row r="313">
      <c r="A313" s="6" t="n"/>
      <c r="B313" s="112">
        <f>IF($C313="","","GG"&amp;TEXT(ROW()-6,"00000"))</f>
        <v/>
      </c>
      <c r="C313" s="114" t="n"/>
      <c r="D313" s="107" t="n"/>
      <c r="E313" s="108" t="n"/>
      <c r="F313" s="108" t="n"/>
      <c r="G313" s="115" t="n"/>
      <c r="H313" s="107" t="n"/>
      <c r="I313" s="107" t="n"/>
      <c r="J313" s="108" t="n"/>
      <c r="K313" s="108" t="n"/>
      <c r="L313" s="119">
        <f>IF($C313="","",DATE(YEAR($C313),MONTH($C313),1))</f>
        <v/>
      </c>
      <c r="M313" s="112">
        <f>IF($C313="","",IF(AND($D313&lt;&gt;"",$E313&lt;&gt;"",$G313&gt;0,$H313&lt;&gt;"",$I313&lt;&gt;""),IF($C313&gt;TODAY(),"İLERİ TARİH","UYGUN"),"EKSİK"))</f>
        <v/>
      </c>
      <c r="N313" s="6" t="n"/>
      <c r="O313" s="6" t="n"/>
    </row>
    <row r="314">
      <c r="A314" s="6" t="n"/>
      <c r="B314" s="112">
        <f>IF($C314="","","GG"&amp;TEXT(ROW()-6,"00000"))</f>
        <v/>
      </c>
      <c r="C314" s="114" t="n"/>
      <c r="D314" s="107" t="n"/>
      <c r="E314" s="108" t="n"/>
      <c r="F314" s="108" t="n"/>
      <c r="G314" s="115" t="n"/>
      <c r="H314" s="107" t="n"/>
      <c r="I314" s="107" t="n"/>
      <c r="J314" s="108" t="n"/>
      <c r="K314" s="108" t="n"/>
      <c r="L314" s="119">
        <f>IF($C314="","",DATE(YEAR($C314),MONTH($C314),1))</f>
        <v/>
      </c>
      <c r="M314" s="112">
        <f>IF($C314="","",IF(AND($D314&lt;&gt;"",$E314&lt;&gt;"",$G314&gt;0,$H314&lt;&gt;"",$I314&lt;&gt;""),IF($C314&gt;TODAY(),"İLERİ TARİH","UYGUN"),"EKSİK"))</f>
        <v/>
      </c>
      <c r="N314" s="6" t="n"/>
      <c r="O314" s="6" t="n"/>
    </row>
    <row r="315">
      <c r="A315" s="6" t="n"/>
      <c r="B315" s="112">
        <f>IF($C315="","","GG"&amp;TEXT(ROW()-6,"00000"))</f>
        <v/>
      </c>
      <c r="C315" s="114" t="n"/>
      <c r="D315" s="107" t="n"/>
      <c r="E315" s="108" t="n"/>
      <c r="F315" s="108" t="n"/>
      <c r="G315" s="115" t="n"/>
      <c r="H315" s="107" t="n"/>
      <c r="I315" s="107" t="n"/>
      <c r="J315" s="108" t="n"/>
      <c r="K315" s="108" t="n"/>
      <c r="L315" s="119">
        <f>IF($C315="","",DATE(YEAR($C315),MONTH($C315),1))</f>
        <v/>
      </c>
      <c r="M315" s="112">
        <f>IF($C315="","",IF(AND($D315&lt;&gt;"",$E315&lt;&gt;"",$G315&gt;0,$H315&lt;&gt;"",$I315&lt;&gt;""),IF($C315&gt;TODAY(),"İLERİ TARİH","UYGUN"),"EKSİK"))</f>
        <v/>
      </c>
      <c r="N315" s="6" t="n"/>
      <c r="O315" s="6" t="n"/>
    </row>
    <row r="316">
      <c r="A316" s="6" t="n"/>
      <c r="B316" s="112">
        <f>IF($C316="","","GG"&amp;TEXT(ROW()-6,"00000"))</f>
        <v/>
      </c>
      <c r="C316" s="114" t="n"/>
      <c r="D316" s="107" t="n"/>
      <c r="E316" s="108" t="n"/>
      <c r="F316" s="108" t="n"/>
      <c r="G316" s="115" t="n"/>
      <c r="H316" s="107" t="n"/>
      <c r="I316" s="107" t="n"/>
      <c r="J316" s="108" t="n"/>
      <c r="K316" s="108" t="n"/>
      <c r="L316" s="119">
        <f>IF($C316="","",DATE(YEAR($C316),MONTH($C316),1))</f>
        <v/>
      </c>
      <c r="M316" s="112">
        <f>IF($C316="","",IF(AND($D316&lt;&gt;"",$E316&lt;&gt;"",$G316&gt;0,$H316&lt;&gt;"",$I316&lt;&gt;""),IF($C316&gt;TODAY(),"İLERİ TARİH","UYGUN"),"EKSİK"))</f>
        <v/>
      </c>
      <c r="N316" s="6" t="n"/>
      <c r="O316" s="6" t="n"/>
    </row>
    <row r="317">
      <c r="A317" s="6" t="n"/>
      <c r="B317" s="112">
        <f>IF($C317="","","GG"&amp;TEXT(ROW()-6,"00000"))</f>
        <v/>
      </c>
      <c r="C317" s="114" t="n"/>
      <c r="D317" s="107" t="n"/>
      <c r="E317" s="108" t="n"/>
      <c r="F317" s="108" t="n"/>
      <c r="G317" s="115" t="n"/>
      <c r="H317" s="107" t="n"/>
      <c r="I317" s="107" t="n"/>
      <c r="J317" s="108" t="n"/>
      <c r="K317" s="108" t="n"/>
      <c r="L317" s="119">
        <f>IF($C317="","",DATE(YEAR($C317),MONTH($C317),1))</f>
        <v/>
      </c>
      <c r="M317" s="112">
        <f>IF($C317="","",IF(AND($D317&lt;&gt;"",$E317&lt;&gt;"",$G317&gt;0,$H317&lt;&gt;"",$I317&lt;&gt;""),IF($C317&gt;TODAY(),"İLERİ TARİH","UYGUN"),"EKSİK"))</f>
        <v/>
      </c>
      <c r="N317" s="6" t="n"/>
      <c r="O317" s="6" t="n"/>
    </row>
    <row r="318">
      <c r="A318" s="6" t="n"/>
      <c r="B318" s="112">
        <f>IF($C318="","","GG"&amp;TEXT(ROW()-6,"00000"))</f>
        <v/>
      </c>
      <c r="C318" s="114" t="n"/>
      <c r="D318" s="107" t="n"/>
      <c r="E318" s="108" t="n"/>
      <c r="F318" s="108" t="n"/>
      <c r="G318" s="115" t="n"/>
      <c r="H318" s="107" t="n"/>
      <c r="I318" s="107" t="n"/>
      <c r="J318" s="108" t="n"/>
      <c r="K318" s="108" t="n"/>
      <c r="L318" s="119">
        <f>IF($C318="","",DATE(YEAR($C318),MONTH($C318),1))</f>
        <v/>
      </c>
      <c r="M318" s="112">
        <f>IF($C318="","",IF(AND($D318&lt;&gt;"",$E318&lt;&gt;"",$G318&gt;0,$H318&lt;&gt;"",$I318&lt;&gt;""),IF($C318&gt;TODAY(),"İLERİ TARİH","UYGUN"),"EKSİK"))</f>
        <v/>
      </c>
      <c r="N318" s="6" t="n"/>
      <c r="O318" s="6" t="n"/>
    </row>
    <row r="319">
      <c r="A319" s="6" t="n"/>
      <c r="B319" s="112">
        <f>IF($C319="","","GG"&amp;TEXT(ROW()-6,"00000"))</f>
        <v/>
      </c>
      <c r="C319" s="114" t="n"/>
      <c r="D319" s="107" t="n"/>
      <c r="E319" s="108" t="n"/>
      <c r="F319" s="108" t="n"/>
      <c r="G319" s="115" t="n"/>
      <c r="H319" s="107" t="n"/>
      <c r="I319" s="107" t="n"/>
      <c r="J319" s="108" t="n"/>
      <c r="K319" s="108" t="n"/>
      <c r="L319" s="119">
        <f>IF($C319="","",DATE(YEAR($C319),MONTH($C319),1))</f>
        <v/>
      </c>
      <c r="M319" s="112">
        <f>IF($C319="","",IF(AND($D319&lt;&gt;"",$E319&lt;&gt;"",$G319&gt;0,$H319&lt;&gt;"",$I319&lt;&gt;""),IF($C319&gt;TODAY(),"İLERİ TARİH","UYGUN"),"EKSİK"))</f>
        <v/>
      </c>
      <c r="N319" s="6" t="n"/>
      <c r="O319" s="6" t="n"/>
    </row>
    <row r="320">
      <c r="A320" s="6" t="n"/>
      <c r="B320" s="112">
        <f>IF($C320="","","GG"&amp;TEXT(ROW()-6,"00000"))</f>
        <v/>
      </c>
      <c r="C320" s="114" t="n"/>
      <c r="D320" s="107" t="n"/>
      <c r="E320" s="108" t="n"/>
      <c r="F320" s="108" t="n"/>
      <c r="G320" s="115" t="n"/>
      <c r="H320" s="107" t="n"/>
      <c r="I320" s="107" t="n"/>
      <c r="J320" s="108" t="n"/>
      <c r="K320" s="108" t="n"/>
      <c r="L320" s="119">
        <f>IF($C320="","",DATE(YEAR($C320),MONTH($C320),1))</f>
        <v/>
      </c>
      <c r="M320" s="112">
        <f>IF($C320="","",IF(AND($D320&lt;&gt;"",$E320&lt;&gt;"",$G320&gt;0,$H320&lt;&gt;"",$I320&lt;&gt;""),IF($C320&gt;TODAY(),"İLERİ TARİH","UYGUN"),"EKSİK"))</f>
        <v/>
      </c>
      <c r="N320" s="6" t="n"/>
      <c r="O320" s="6" t="n"/>
    </row>
    <row r="321">
      <c r="A321" s="6" t="n"/>
      <c r="B321" s="112">
        <f>IF($C321="","","GG"&amp;TEXT(ROW()-6,"00000"))</f>
        <v/>
      </c>
      <c r="C321" s="114" t="n"/>
      <c r="D321" s="107" t="n"/>
      <c r="E321" s="108" t="n"/>
      <c r="F321" s="108" t="n"/>
      <c r="G321" s="115" t="n"/>
      <c r="H321" s="107" t="n"/>
      <c r="I321" s="107" t="n"/>
      <c r="J321" s="108" t="n"/>
      <c r="K321" s="108" t="n"/>
      <c r="L321" s="119">
        <f>IF($C321="","",DATE(YEAR($C321),MONTH($C321),1))</f>
        <v/>
      </c>
      <c r="M321" s="112">
        <f>IF($C321="","",IF(AND($D321&lt;&gt;"",$E321&lt;&gt;"",$G321&gt;0,$H321&lt;&gt;"",$I321&lt;&gt;""),IF($C321&gt;TODAY(),"İLERİ TARİH","UYGUN"),"EKSİK"))</f>
        <v/>
      </c>
      <c r="N321" s="6" t="n"/>
      <c r="O321" s="6" t="n"/>
    </row>
    <row r="322">
      <c r="A322" s="6" t="n"/>
      <c r="B322" s="112">
        <f>IF($C322="","","GG"&amp;TEXT(ROW()-6,"00000"))</f>
        <v/>
      </c>
      <c r="C322" s="114" t="n"/>
      <c r="D322" s="107" t="n"/>
      <c r="E322" s="108" t="n"/>
      <c r="F322" s="108" t="n"/>
      <c r="G322" s="115" t="n"/>
      <c r="H322" s="107" t="n"/>
      <c r="I322" s="107" t="n"/>
      <c r="J322" s="108" t="n"/>
      <c r="K322" s="108" t="n"/>
      <c r="L322" s="119">
        <f>IF($C322="","",DATE(YEAR($C322),MONTH($C322),1))</f>
        <v/>
      </c>
      <c r="M322" s="112">
        <f>IF($C322="","",IF(AND($D322&lt;&gt;"",$E322&lt;&gt;"",$G322&gt;0,$H322&lt;&gt;"",$I322&lt;&gt;""),IF($C322&gt;TODAY(),"İLERİ TARİH","UYGUN"),"EKSİK"))</f>
        <v/>
      </c>
      <c r="N322" s="6" t="n"/>
      <c r="O322" s="6" t="n"/>
    </row>
    <row r="323">
      <c r="A323" s="6" t="n"/>
      <c r="B323" s="112">
        <f>IF($C323="","","GG"&amp;TEXT(ROW()-6,"00000"))</f>
        <v/>
      </c>
      <c r="C323" s="114" t="n"/>
      <c r="D323" s="107" t="n"/>
      <c r="E323" s="108" t="n"/>
      <c r="F323" s="108" t="n"/>
      <c r="G323" s="115" t="n"/>
      <c r="H323" s="107" t="n"/>
      <c r="I323" s="107" t="n"/>
      <c r="J323" s="108" t="n"/>
      <c r="K323" s="108" t="n"/>
      <c r="L323" s="119">
        <f>IF($C323="","",DATE(YEAR($C323),MONTH($C323),1))</f>
        <v/>
      </c>
      <c r="M323" s="112">
        <f>IF($C323="","",IF(AND($D323&lt;&gt;"",$E323&lt;&gt;"",$G323&gt;0,$H323&lt;&gt;"",$I323&lt;&gt;""),IF($C323&gt;TODAY(),"İLERİ TARİH","UYGUN"),"EKSİK"))</f>
        <v/>
      </c>
      <c r="N323" s="6" t="n"/>
      <c r="O323" s="6" t="n"/>
    </row>
    <row r="324">
      <c r="A324" s="6" t="n"/>
      <c r="B324" s="112">
        <f>IF($C324="","","GG"&amp;TEXT(ROW()-6,"00000"))</f>
        <v/>
      </c>
      <c r="C324" s="114" t="n"/>
      <c r="D324" s="107" t="n"/>
      <c r="E324" s="108" t="n"/>
      <c r="F324" s="108" t="n"/>
      <c r="G324" s="115" t="n"/>
      <c r="H324" s="107" t="n"/>
      <c r="I324" s="107" t="n"/>
      <c r="J324" s="108" t="n"/>
      <c r="K324" s="108" t="n"/>
      <c r="L324" s="119">
        <f>IF($C324="","",DATE(YEAR($C324),MONTH($C324),1))</f>
        <v/>
      </c>
      <c r="M324" s="112">
        <f>IF($C324="","",IF(AND($D324&lt;&gt;"",$E324&lt;&gt;"",$G324&gt;0,$H324&lt;&gt;"",$I324&lt;&gt;""),IF($C324&gt;TODAY(),"İLERİ TARİH","UYGUN"),"EKSİK"))</f>
        <v/>
      </c>
      <c r="N324" s="6" t="n"/>
      <c r="O324" s="6" t="n"/>
    </row>
    <row r="325">
      <c r="A325" s="6" t="n"/>
      <c r="B325" s="112">
        <f>IF($C325="","","GG"&amp;TEXT(ROW()-6,"00000"))</f>
        <v/>
      </c>
      <c r="C325" s="114" t="n"/>
      <c r="D325" s="107" t="n"/>
      <c r="E325" s="108" t="n"/>
      <c r="F325" s="108" t="n"/>
      <c r="G325" s="115" t="n"/>
      <c r="H325" s="107" t="n"/>
      <c r="I325" s="107" t="n"/>
      <c r="J325" s="108" t="n"/>
      <c r="K325" s="108" t="n"/>
      <c r="L325" s="119">
        <f>IF($C325="","",DATE(YEAR($C325),MONTH($C325),1))</f>
        <v/>
      </c>
      <c r="M325" s="112">
        <f>IF($C325="","",IF(AND($D325&lt;&gt;"",$E325&lt;&gt;"",$G325&gt;0,$H325&lt;&gt;"",$I325&lt;&gt;""),IF($C325&gt;TODAY(),"İLERİ TARİH","UYGUN"),"EKSİK"))</f>
        <v/>
      </c>
      <c r="N325" s="6" t="n"/>
      <c r="O325" s="6" t="n"/>
    </row>
    <row r="326">
      <c r="A326" s="6" t="n"/>
      <c r="B326" s="112">
        <f>IF($C326="","","GG"&amp;TEXT(ROW()-6,"00000"))</f>
        <v/>
      </c>
      <c r="C326" s="114" t="n"/>
      <c r="D326" s="107" t="n"/>
      <c r="E326" s="108" t="n"/>
      <c r="F326" s="108" t="n"/>
      <c r="G326" s="115" t="n"/>
      <c r="H326" s="107" t="n"/>
      <c r="I326" s="107" t="n"/>
      <c r="J326" s="108" t="n"/>
      <c r="K326" s="108" t="n"/>
      <c r="L326" s="119">
        <f>IF($C326="","",DATE(YEAR($C326),MONTH($C326),1))</f>
        <v/>
      </c>
      <c r="M326" s="112">
        <f>IF($C326="","",IF(AND($D326&lt;&gt;"",$E326&lt;&gt;"",$G326&gt;0,$H326&lt;&gt;"",$I326&lt;&gt;""),IF($C326&gt;TODAY(),"İLERİ TARİH","UYGUN"),"EKSİK"))</f>
        <v/>
      </c>
      <c r="N326" s="6" t="n"/>
      <c r="O326" s="6" t="n"/>
    </row>
    <row r="327">
      <c r="A327" s="6" t="n"/>
      <c r="B327" s="112">
        <f>IF($C327="","","GG"&amp;TEXT(ROW()-6,"00000"))</f>
        <v/>
      </c>
      <c r="C327" s="114" t="n"/>
      <c r="D327" s="107" t="n"/>
      <c r="E327" s="108" t="n"/>
      <c r="F327" s="108" t="n"/>
      <c r="G327" s="115" t="n"/>
      <c r="H327" s="107" t="n"/>
      <c r="I327" s="107" t="n"/>
      <c r="J327" s="108" t="n"/>
      <c r="K327" s="108" t="n"/>
      <c r="L327" s="119">
        <f>IF($C327="","",DATE(YEAR($C327),MONTH($C327),1))</f>
        <v/>
      </c>
      <c r="M327" s="112">
        <f>IF($C327="","",IF(AND($D327&lt;&gt;"",$E327&lt;&gt;"",$G327&gt;0,$H327&lt;&gt;"",$I327&lt;&gt;""),IF($C327&gt;TODAY(),"İLERİ TARİH","UYGUN"),"EKSİK"))</f>
        <v/>
      </c>
      <c r="N327" s="6" t="n"/>
      <c r="O327" s="6" t="n"/>
    </row>
    <row r="328">
      <c r="A328" s="6" t="n"/>
      <c r="B328" s="112">
        <f>IF($C328="","","GG"&amp;TEXT(ROW()-6,"00000"))</f>
        <v/>
      </c>
      <c r="C328" s="114" t="n"/>
      <c r="D328" s="107" t="n"/>
      <c r="E328" s="108" t="n"/>
      <c r="F328" s="108" t="n"/>
      <c r="G328" s="115" t="n"/>
      <c r="H328" s="107" t="n"/>
      <c r="I328" s="107" t="n"/>
      <c r="J328" s="108" t="n"/>
      <c r="K328" s="108" t="n"/>
      <c r="L328" s="119">
        <f>IF($C328="","",DATE(YEAR($C328),MONTH($C328),1))</f>
        <v/>
      </c>
      <c r="M328" s="112">
        <f>IF($C328="","",IF(AND($D328&lt;&gt;"",$E328&lt;&gt;"",$G328&gt;0,$H328&lt;&gt;"",$I328&lt;&gt;""),IF($C328&gt;TODAY(),"İLERİ TARİH","UYGUN"),"EKSİK"))</f>
        <v/>
      </c>
      <c r="N328" s="6" t="n"/>
      <c r="O328" s="6" t="n"/>
    </row>
    <row r="329">
      <c r="A329" s="6" t="n"/>
      <c r="B329" s="112">
        <f>IF($C329="","","GG"&amp;TEXT(ROW()-6,"00000"))</f>
        <v/>
      </c>
      <c r="C329" s="114" t="n"/>
      <c r="D329" s="107" t="n"/>
      <c r="E329" s="108" t="n"/>
      <c r="F329" s="108" t="n"/>
      <c r="G329" s="115" t="n"/>
      <c r="H329" s="107" t="n"/>
      <c r="I329" s="107" t="n"/>
      <c r="J329" s="108" t="n"/>
      <c r="K329" s="108" t="n"/>
      <c r="L329" s="119">
        <f>IF($C329="","",DATE(YEAR($C329),MONTH($C329),1))</f>
        <v/>
      </c>
      <c r="M329" s="112">
        <f>IF($C329="","",IF(AND($D329&lt;&gt;"",$E329&lt;&gt;"",$G329&gt;0,$H329&lt;&gt;"",$I329&lt;&gt;""),IF($C329&gt;TODAY(),"İLERİ TARİH","UYGUN"),"EKSİK"))</f>
        <v/>
      </c>
      <c r="N329" s="6" t="n"/>
      <c r="O329" s="6" t="n"/>
    </row>
    <row r="330">
      <c r="A330" s="6" t="n"/>
      <c r="B330" s="112">
        <f>IF($C330="","","GG"&amp;TEXT(ROW()-6,"00000"))</f>
        <v/>
      </c>
      <c r="C330" s="114" t="n"/>
      <c r="D330" s="107" t="n"/>
      <c r="E330" s="108" t="n"/>
      <c r="F330" s="108" t="n"/>
      <c r="G330" s="115" t="n"/>
      <c r="H330" s="107" t="n"/>
      <c r="I330" s="107" t="n"/>
      <c r="J330" s="108" t="n"/>
      <c r="K330" s="108" t="n"/>
      <c r="L330" s="119">
        <f>IF($C330="","",DATE(YEAR($C330),MONTH($C330),1))</f>
        <v/>
      </c>
      <c r="M330" s="112">
        <f>IF($C330="","",IF(AND($D330&lt;&gt;"",$E330&lt;&gt;"",$G330&gt;0,$H330&lt;&gt;"",$I330&lt;&gt;""),IF($C330&gt;TODAY(),"İLERİ TARİH","UYGUN"),"EKSİK"))</f>
        <v/>
      </c>
      <c r="N330" s="6" t="n"/>
      <c r="O330" s="6" t="n"/>
    </row>
    <row r="331">
      <c r="A331" s="6" t="n"/>
      <c r="B331" s="112">
        <f>IF($C331="","","GG"&amp;TEXT(ROW()-6,"00000"))</f>
        <v/>
      </c>
      <c r="C331" s="114" t="n"/>
      <c r="D331" s="107" t="n"/>
      <c r="E331" s="108" t="n"/>
      <c r="F331" s="108" t="n"/>
      <c r="G331" s="115" t="n"/>
      <c r="H331" s="107" t="n"/>
      <c r="I331" s="107" t="n"/>
      <c r="J331" s="108" t="n"/>
      <c r="K331" s="108" t="n"/>
      <c r="L331" s="119">
        <f>IF($C331="","",DATE(YEAR($C331),MONTH($C331),1))</f>
        <v/>
      </c>
      <c r="M331" s="112">
        <f>IF($C331="","",IF(AND($D331&lt;&gt;"",$E331&lt;&gt;"",$G331&gt;0,$H331&lt;&gt;"",$I331&lt;&gt;""),IF($C331&gt;TODAY(),"İLERİ TARİH","UYGUN"),"EKSİK"))</f>
        <v/>
      </c>
      <c r="N331" s="6" t="n"/>
      <c r="O331" s="6" t="n"/>
    </row>
    <row r="332">
      <c r="A332" s="6" t="n"/>
      <c r="B332" s="112">
        <f>IF($C332="","","GG"&amp;TEXT(ROW()-6,"00000"))</f>
        <v/>
      </c>
      <c r="C332" s="114" t="n"/>
      <c r="D332" s="107" t="n"/>
      <c r="E332" s="108" t="n"/>
      <c r="F332" s="108" t="n"/>
      <c r="G332" s="115" t="n"/>
      <c r="H332" s="107" t="n"/>
      <c r="I332" s="107" t="n"/>
      <c r="J332" s="108" t="n"/>
      <c r="K332" s="108" t="n"/>
      <c r="L332" s="119">
        <f>IF($C332="","",DATE(YEAR($C332),MONTH($C332),1))</f>
        <v/>
      </c>
      <c r="M332" s="112">
        <f>IF($C332="","",IF(AND($D332&lt;&gt;"",$E332&lt;&gt;"",$G332&gt;0,$H332&lt;&gt;"",$I332&lt;&gt;""),IF($C332&gt;TODAY(),"İLERİ TARİH","UYGUN"),"EKSİK"))</f>
        <v/>
      </c>
      <c r="N332" s="6" t="n"/>
      <c r="O332" s="6" t="n"/>
    </row>
    <row r="333">
      <c r="A333" s="6" t="n"/>
      <c r="B333" s="112">
        <f>IF($C333="","","GG"&amp;TEXT(ROW()-6,"00000"))</f>
        <v/>
      </c>
      <c r="C333" s="114" t="n"/>
      <c r="D333" s="107" t="n"/>
      <c r="E333" s="108" t="n"/>
      <c r="F333" s="108" t="n"/>
      <c r="G333" s="115" t="n"/>
      <c r="H333" s="107" t="n"/>
      <c r="I333" s="107" t="n"/>
      <c r="J333" s="108" t="n"/>
      <c r="K333" s="108" t="n"/>
      <c r="L333" s="119">
        <f>IF($C333="","",DATE(YEAR($C333),MONTH($C333),1))</f>
        <v/>
      </c>
      <c r="M333" s="112">
        <f>IF($C333="","",IF(AND($D333&lt;&gt;"",$E333&lt;&gt;"",$G333&gt;0,$H333&lt;&gt;"",$I333&lt;&gt;""),IF($C333&gt;TODAY(),"İLERİ TARİH","UYGUN"),"EKSİK"))</f>
        <v/>
      </c>
      <c r="N333" s="6" t="n"/>
      <c r="O333" s="6" t="n"/>
    </row>
    <row r="334">
      <c r="A334" s="6" t="n"/>
      <c r="B334" s="112">
        <f>IF($C334="","","GG"&amp;TEXT(ROW()-6,"00000"))</f>
        <v/>
      </c>
      <c r="C334" s="114" t="n"/>
      <c r="D334" s="107" t="n"/>
      <c r="E334" s="108" t="n"/>
      <c r="F334" s="108" t="n"/>
      <c r="G334" s="115" t="n"/>
      <c r="H334" s="107" t="n"/>
      <c r="I334" s="107" t="n"/>
      <c r="J334" s="108" t="n"/>
      <c r="K334" s="108" t="n"/>
      <c r="L334" s="119">
        <f>IF($C334="","",DATE(YEAR($C334),MONTH($C334),1))</f>
        <v/>
      </c>
      <c r="M334" s="112">
        <f>IF($C334="","",IF(AND($D334&lt;&gt;"",$E334&lt;&gt;"",$G334&gt;0,$H334&lt;&gt;"",$I334&lt;&gt;""),IF($C334&gt;TODAY(),"İLERİ TARİH","UYGUN"),"EKSİK"))</f>
        <v/>
      </c>
      <c r="N334" s="6" t="n"/>
      <c r="O334" s="6" t="n"/>
    </row>
    <row r="335">
      <c r="A335" s="6" t="n"/>
      <c r="B335" s="112">
        <f>IF($C335="","","GG"&amp;TEXT(ROW()-6,"00000"))</f>
        <v/>
      </c>
      <c r="C335" s="114" t="n"/>
      <c r="D335" s="107" t="n"/>
      <c r="E335" s="108" t="n"/>
      <c r="F335" s="108" t="n"/>
      <c r="G335" s="115" t="n"/>
      <c r="H335" s="107" t="n"/>
      <c r="I335" s="107" t="n"/>
      <c r="J335" s="108" t="n"/>
      <c r="K335" s="108" t="n"/>
      <c r="L335" s="119">
        <f>IF($C335="","",DATE(YEAR($C335),MONTH($C335),1))</f>
        <v/>
      </c>
      <c r="M335" s="112">
        <f>IF($C335="","",IF(AND($D335&lt;&gt;"",$E335&lt;&gt;"",$G335&gt;0,$H335&lt;&gt;"",$I335&lt;&gt;""),IF($C335&gt;TODAY(),"İLERİ TARİH","UYGUN"),"EKSİK"))</f>
        <v/>
      </c>
      <c r="N335" s="6" t="n"/>
      <c r="O335" s="6" t="n"/>
    </row>
    <row r="336">
      <c r="A336" s="6" t="n"/>
      <c r="B336" s="112">
        <f>IF($C336="","","GG"&amp;TEXT(ROW()-6,"00000"))</f>
        <v/>
      </c>
      <c r="C336" s="114" t="n"/>
      <c r="D336" s="107" t="n"/>
      <c r="E336" s="108" t="n"/>
      <c r="F336" s="108" t="n"/>
      <c r="G336" s="115" t="n"/>
      <c r="H336" s="107" t="n"/>
      <c r="I336" s="107" t="n"/>
      <c r="J336" s="108" t="n"/>
      <c r="K336" s="108" t="n"/>
      <c r="L336" s="119">
        <f>IF($C336="","",DATE(YEAR($C336),MONTH($C336),1))</f>
        <v/>
      </c>
      <c r="M336" s="112">
        <f>IF($C336="","",IF(AND($D336&lt;&gt;"",$E336&lt;&gt;"",$G336&gt;0,$H336&lt;&gt;"",$I336&lt;&gt;""),IF($C336&gt;TODAY(),"İLERİ TARİH","UYGUN"),"EKSİK"))</f>
        <v/>
      </c>
      <c r="N336" s="6" t="n"/>
      <c r="O336" s="6" t="n"/>
    </row>
    <row r="337">
      <c r="A337" s="6" t="n"/>
      <c r="B337" s="112">
        <f>IF($C337="","","GG"&amp;TEXT(ROW()-6,"00000"))</f>
        <v/>
      </c>
      <c r="C337" s="114" t="n"/>
      <c r="D337" s="107" t="n"/>
      <c r="E337" s="108" t="n"/>
      <c r="F337" s="108" t="n"/>
      <c r="G337" s="115" t="n"/>
      <c r="H337" s="107" t="n"/>
      <c r="I337" s="107" t="n"/>
      <c r="J337" s="108" t="n"/>
      <c r="K337" s="108" t="n"/>
      <c r="L337" s="119">
        <f>IF($C337="","",DATE(YEAR($C337),MONTH($C337),1))</f>
        <v/>
      </c>
      <c r="M337" s="112">
        <f>IF($C337="","",IF(AND($D337&lt;&gt;"",$E337&lt;&gt;"",$G337&gt;0,$H337&lt;&gt;"",$I337&lt;&gt;""),IF($C337&gt;TODAY(),"İLERİ TARİH","UYGUN"),"EKSİK"))</f>
        <v/>
      </c>
      <c r="N337" s="6" t="n"/>
      <c r="O337" s="6" t="n"/>
    </row>
    <row r="338">
      <c r="A338" s="6" t="n"/>
      <c r="B338" s="112">
        <f>IF($C338="","","GG"&amp;TEXT(ROW()-6,"00000"))</f>
        <v/>
      </c>
      <c r="C338" s="114" t="n"/>
      <c r="D338" s="107" t="n"/>
      <c r="E338" s="108" t="n"/>
      <c r="F338" s="108" t="n"/>
      <c r="G338" s="115" t="n"/>
      <c r="H338" s="107" t="n"/>
      <c r="I338" s="107" t="n"/>
      <c r="J338" s="108" t="n"/>
      <c r="K338" s="108" t="n"/>
      <c r="L338" s="119">
        <f>IF($C338="","",DATE(YEAR($C338),MONTH($C338),1))</f>
        <v/>
      </c>
      <c r="M338" s="112">
        <f>IF($C338="","",IF(AND($D338&lt;&gt;"",$E338&lt;&gt;"",$G338&gt;0,$H338&lt;&gt;"",$I338&lt;&gt;""),IF($C338&gt;TODAY(),"İLERİ TARİH","UYGUN"),"EKSİK"))</f>
        <v/>
      </c>
      <c r="N338" s="6" t="n"/>
      <c r="O338" s="6" t="n"/>
    </row>
    <row r="339">
      <c r="A339" s="6" t="n"/>
      <c r="B339" s="112">
        <f>IF($C339="","","GG"&amp;TEXT(ROW()-6,"00000"))</f>
        <v/>
      </c>
      <c r="C339" s="114" t="n"/>
      <c r="D339" s="107" t="n"/>
      <c r="E339" s="108" t="n"/>
      <c r="F339" s="108" t="n"/>
      <c r="G339" s="115" t="n"/>
      <c r="H339" s="107" t="n"/>
      <c r="I339" s="107" t="n"/>
      <c r="J339" s="108" t="n"/>
      <c r="K339" s="108" t="n"/>
      <c r="L339" s="119">
        <f>IF($C339="","",DATE(YEAR($C339),MONTH($C339),1))</f>
        <v/>
      </c>
      <c r="M339" s="112">
        <f>IF($C339="","",IF(AND($D339&lt;&gt;"",$E339&lt;&gt;"",$G339&gt;0,$H339&lt;&gt;"",$I339&lt;&gt;""),IF($C339&gt;TODAY(),"İLERİ TARİH","UYGUN"),"EKSİK"))</f>
        <v/>
      </c>
      <c r="N339" s="6" t="n"/>
      <c r="O339" s="6" t="n"/>
    </row>
    <row r="340">
      <c r="A340" s="6" t="n"/>
      <c r="B340" s="112">
        <f>IF($C340="","","GG"&amp;TEXT(ROW()-6,"00000"))</f>
        <v/>
      </c>
      <c r="C340" s="114" t="n"/>
      <c r="D340" s="107" t="n"/>
      <c r="E340" s="108" t="n"/>
      <c r="F340" s="108" t="n"/>
      <c r="G340" s="115" t="n"/>
      <c r="H340" s="107" t="n"/>
      <c r="I340" s="107" t="n"/>
      <c r="J340" s="108" t="n"/>
      <c r="K340" s="108" t="n"/>
      <c r="L340" s="119">
        <f>IF($C340="","",DATE(YEAR($C340),MONTH($C340),1))</f>
        <v/>
      </c>
      <c r="M340" s="112">
        <f>IF($C340="","",IF(AND($D340&lt;&gt;"",$E340&lt;&gt;"",$G340&gt;0,$H340&lt;&gt;"",$I340&lt;&gt;""),IF($C340&gt;TODAY(),"İLERİ TARİH","UYGUN"),"EKSİK"))</f>
        <v/>
      </c>
      <c r="N340" s="6" t="n"/>
      <c r="O340" s="6" t="n"/>
    </row>
    <row r="341">
      <c r="A341" s="6" t="n"/>
      <c r="B341" s="112">
        <f>IF($C341="","","GG"&amp;TEXT(ROW()-6,"00000"))</f>
        <v/>
      </c>
      <c r="C341" s="114" t="n"/>
      <c r="D341" s="107" t="n"/>
      <c r="E341" s="108" t="n"/>
      <c r="F341" s="108" t="n"/>
      <c r="G341" s="115" t="n"/>
      <c r="H341" s="107" t="n"/>
      <c r="I341" s="107" t="n"/>
      <c r="J341" s="108" t="n"/>
      <c r="K341" s="108" t="n"/>
      <c r="L341" s="119">
        <f>IF($C341="","",DATE(YEAR($C341),MONTH($C341),1))</f>
        <v/>
      </c>
      <c r="M341" s="112">
        <f>IF($C341="","",IF(AND($D341&lt;&gt;"",$E341&lt;&gt;"",$G341&gt;0,$H341&lt;&gt;"",$I341&lt;&gt;""),IF($C341&gt;TODAY(),"İLERİ TARİH","UYGUN"),"EKSİK"))</f>
        <v/>
      </c>
      <c r="N341" s="6" t="n"/>
      <c r="O341" s="6" t="n"/>
    </row>
    <row r="342">
      <c r="A342" s="6" t="n"/>
      <c r="B342" s="112">
        <f>IF($C342="","","GG"&amp;TEXT(ROW()-6,"00000"))</f>
        <v/>
      </c>
      <c r="C342" s="114" t="n"/>
      <c r="D342" s="107" t="n"/>
      <c r="E342" s="108" t="n"/>
      <c r="F342" s="108" t="n"/>
      <c r="G342" s="115" t="n"/>
      <c r="H342" s="107" t="n"/>
      <c r="I342" s="107" t="n"/>
      <c r="J342" s="108" t="n"/>
      <c r="K342" s="108" t="n"/>
      <c r="L342" s="119">
        <f>IF($C342="","",DATE(YEAR($C342),MONTH($C342),1))</f>
        <v/>
      </c>
      <c r="M342" s="112">
        <f>IF($C342="","",IF(AND($D342&lt;&gt;"",$E342&lt;&gt;"",$G342&gt;0,$H342&lt;&gt;"",$I342&lt;&gt;""),IF($C342&gt;TODAY(),"İLERİ TARİH","UYGUN"),"EKSİK"))</f>
        <v/>
      </c>
      <c r="N342" s="6" t="n"/>
      <c r="O342" s="6" t="n"/>
    </row>
    <row r="343">
      <c r="A343" s="6" t="n"/>
      <c r="B343" s="112">
        <f>IF($C343="","","GG"&amp;TEXT(ROW()-6,"00000"))</f>
        <v/>
      </c>
      <c r="C343" s="114" t="n"/>
      <c r="D343" s="107" t="n"/>
      <c r="E343" s="108" t="n"/>
      <c r="F343" s="108" t="n"/>
      <c r="G343" s="115" t="n"/>
      <c r="H343" s="107" t="n"/>
      <c r="I343" s="107" t="n"/>
      <c r="J343" s="108" t="n"/>
      <c r="K343" s="108" t="n"/>
      <c r="L343" s="119">
        <f>IF($C343="","",DATE(YEAR($C343),MONTH($C343),1))</f>
        <v/>
      </c>
      <c r="M343" s="112">
        <f>IF($C343="","",IF(AND($D343&lt;&gt;"",$E343&lt;&gt;"",$G343&gt;0,$H343&lt;&gt;"",$I343&lt;&gt;""),IF($C343&gt;TODAY(),"İLERİ TARİH","UYGUN"),"EKSİK"))</f>
        <v/>
      </c>
      <c r="N343" s="6" t="n"/>
      <c r="O343" s="6" t="n"/>
    </row>
    <row r="344">
      <c r="A344" s="6" t="n"/>
      <c r="B344" s="112">
        <f>IF($C344="","","GG"&amp;TEXT(ROW()-6,"00000"))</f>
        <v/>
      </c>
      <c r="C344" s="114" t="n"/>
      <c r="D344" s="107" t="n"/>
      <c r="E344" s="108" t="n"/>
      <c r="F344" s="108" t="n"/>
      <c r="G344" s="115" t="n"/>
      <c r="H344" s="107" t="n"/>
      <c r="I344" s="107" t="n"/>
      <c r="J344" s="108" t="n"/>
      <c r="K344" s="108" t="n"/>
      <c r="L344" s="119">
        <f>IF($C344="","",DATE(YEAR($C344),MONTH($C344),1))</f>
        <v/>
      </c>
      <c r="M344" s="112">
        <f>IF($C344="","",IF(AND($D344&lt;&gt;"",$E344&lt;&gt;"",$G344&gt;0,$H344&lt;&gt;"",$I344&lt;&gt;""),IF($C344&gt;TODAY(),"İLERİ TARİH","UYGUN"),"EKSİK"))</f>
        <v/>
      </c>
      <c r="N344" s="6" t="n"/>
      <c r="O344" s="6" t="n"/>
    </row>
    <row r="345">
      <c r="A345" s="6" t="n"/>
      <c r="B345" s="112">
        <f>IF($C345="","","GG"&amp;TEXT(ROW()-6,"00000"))</f>
        <v/>
      </c>
      <c r="C345" s="114" t="n"/>
      <c r="D345" s="107" t="n"/>
      <c r="E345" s="108" t="n"/>
      <c r="F345" s="108" t="n"/>
      <c r="G345" s="115" t="n"/>
      <c r="H345" s="107" t="n"/>
      <c r="I345" s="107" t="n"/>
      <c r="J345" s="108" t="n"/>
      <c r="K345" s="108" t="n"/>
      <c r="L345" s="119">
        <f>IF($C345="","",DATE(YEAR($C345),MONTH($C345),1))</f>
        <v/>
      </c>
      <c r="M345" s="112">
        <f>IF($C345="","",IF(AND($D345&lt;&gt;"",$E345&lt;&gt;"",$G345&gt;0,$H345&lt;&gt;"",$I345&lt;&gt;""),IF($C345&gt;TODAY(),"İLERİ TARİH","UYGUN"),"EKSİK"))</f>
        <v/>
      </c>
      <c r="N345" s="6" t="n"/>
      <c r="O345" s="6" t="n"/>
    </row>
    <row r="346">
      <c r="A346" s="6" t="n"/>
      <c r="B346" s="112">
        <f>IF($C346="","","GG"&amp;TEXT(ROW()-6,"00000"))</f>
        <v/>
      </c>
      <c r="C346" s="114" t="n"/>
      <c r="D346" s="107" t="n"/>
      <c r="E346" s="108" t="n"/>
      <c r="F346" s="108" t="n"/>
      <c r="G346" s="115" t="n"/>
      <c r="H346" s="107" t="n"/>
      <c r="I346" s="107" t="n"/>
      <c r="J346" s="108" t="n"/>
      <c r="K346" s="108" t="n"/>
      <c r="L346" s="119">
        <f>IF($C346="","",DATE(YEAR($C346),MONTH($C346),1))</f>
        <v/>
      </c>
      <c r="M346" s="112">
        <f>IF($C346="","",IF(AND($D346&lt;&gt;"",$E346&lt;&gt;"",$G346&gt;0,$H346&lt;&gt;"",$I346&lt;&gt;""),IF($C346&gt;TODAY(),"İLERİ TARİH","UYGUN"),"EKSİK"))</f>
        <v/>
      </c>
      <c r="N346" s="6" t="n"/>
      <c r="O346" s="6" t="n"/>
    </row>
    <row r="347">
      <c r="A347" s="6" t="n"/>
      <c r="B347" s="112">
        <f>IF($C347="","","GG"&amp;TEXT(ROW()-6,"00000"))</f>
        <v/>
      </c>
      <c r="C347" s="114" t="n"/>
      <c r="D347" s="107" t="n"/>
      <c r="E347" s="108" t="n"/>
      <c r="F347" s="108" t="n"/>
      <c r="G347" s="115" t="n"/>
      <c r="H347" s="107" t="n"/>
      <c r="I347" s="107" t="n"/>
      <c r="J347" s="108" t="n"/>
      <c r="K347" s="108" t="n"/>
      <c r="L347" s="119">
        <f>IF($C347="","",DATE(YEAR($C347),MONTH($C347),1))</f>
        <v/>
      </c>
      <c r="M347" s="112">
        <f>IF($C347="","",IF(AND($D347&lt;&gt;"",$E347&lt;&gt;"",$G347&gt;0,$H347&lt;&gt;"",$I347&lt;&gt;""),IF($C347&gt;TODAY(),"İLERİ TARİH","UYGUN"),"EKSİK"))</f>
        <v/>
      </c>
      <c r="N347" s="6" t="n"/>
      <c r="O347" s="6" t="n"/>
    </row>
    <row r="348">
      <c r="A348" s="6" t="n"/>
      <c r="B348" s="112">
        <f>IF($C348="","","GG"&amp;TEXT(ROW()-6,"00000"))</f>
        <v/>
      </c>
      <c r="C348" s="114" t="n"/>
      <c r="D348" s="107" t="n"/>
      <c r="E348" s="108" t="n"/>
      <c r="F348" s="108" t="n"/>
      <c r="G348" s="115" t="n"/>
      <c r="H348" s="107" t="n"/>
      <c r="I348" s="107" t="n"/>
      <c r="J348" s="108" t="n"/>
      <c r="K348" s="108" t="n"/>
      <c r="L348" s="119">
        <f>IF($C348="","",DATE(YEAR($C348),MONTH($C348),1))</f>
        <v/>
      </c>
      <c r="M348" s="112">
        <f>IF($C348="","",IF(AND($D348&lt;&gt;"",$E348&lt;&gt;"",$G348&gt;0,$H348&lt;&gt;"",$I348&lt;&gt;""),IF($C348&gt;TODAY(),"İLERİ TARİH","UYGUN"),"EKSİK"))</f>
        <v/>
      </c>
      <c r="N348" s="6" t="n"/>
      <c r="O348" s="6" t="n"/>
    </row>
    <row r="349">
      <c r="A349" s="6" t="n"/>
      <c r="B349" s="112">
        <f>IF($C349="","","GG"&amp;TEXT(ROW()-6,"00000"))</f>
        <v/>
      </c>
      <c r="C349" s="114" t="n"/>
      <c r="D349" s="107" t="n"/>
      <c r="E349" s="108" t="n"/>
      <c r="F349" s="108" t="n"/>
      <c r="G349" s="115" t="n"/>
      <c r="H349" s="107" t="n"/>
      <c r="I349" s="107" t="n"/>
      <c r="J349" s="108" t="n"/>
      <c r="K349" s="108" t="n"/>
      <c r="L349" s="119">
        <f>IF($C349="","",DATE(YEAR($C349),MONTH($C349),1))</f>
        <v/>
      </c>
      <c r="M349" s="112">
        <f>IF($C349="","",IF(AND($D349&lt;&gt;"",$E349&lt;&gt;"",$G349&gt;0,$H349&lt;&gt;"",$I349&lt;&gt;""),IF($C349&gt;TODAY(),"İLERİ TARİH","UYGUN"),"EKSİK"))</f>
        <v/>
      </c>
      <c r="N349" s="6" t="n"/>
      <c r="O349" s="6" t="n"/>
    </row>
    <row r="350">
      <c r="A350" s="6" t="n"/>
      <c r="B350" s="112">
        <f>IF($C350="","","GG"&amp;TEXT(ROW()-6,"00000"))</f>
        <v/>
      </c>
      <c r="C350" s="114" t="n"/>
      <c r="D350" s="107" t="n"/>
      <c r="E350" s="108" t="n"/>
      <c r="F350" s="108" t="n"/>
      <c r="G350" s="115" t="n"/>
      <c r="H350" s="107" t="n"/>
      <c r="I350" s="107" t="n"/>
      <c r="J350" s="108" t="n"/>
      <c r="K350" s="108" t="n"/>
      <c r="L350" s="119">
        <f>IF($C350="","",DATE(YEAR($C350),MONTH($C350),1))</f>
        <v/>
      </c>
      <c r="M350" s="112">
        <f>IF($C350="","",IF(AND($D350&lt;&gt;"",$E350&lt;&gt;"",$G350&gt;0,$H350&lt;&gt;"",$I350&lt;&gt;""),IF($C350&gt;TODAY(),"İLERİ TARİH","UYGUN"),"EKSİK"))</f>
        <v/>
      </c>
      <c r="N350" s="6" t="n"/>
      <c r="O350" s="6" t="n"/>
    </row>
    <row r="351">
      <c r="A351" s="6" t="n"/>
      <c r="B351" s="112">
        <f>IF($C351="","","GG"&amp;TEXT(ROW()-6,"00000"))</f>
        <v/>
      </c>
      <c r="C351" s="114" t="n"/>
      <c r="D351" s="107" t="n"/>
      <c r="E351" s="108" t="n"/>
      <c r="F351" s="108" t="n"/>
      <c r="G351" s="115" t="n"/>
      <c r="H351" s="107" t="n"/>
      <c r="I351" s="107" t="n"/>
      <c r="J351" s="108" t="n"/>
      <c r="K351" s="108" t="n"/>
      <c r="L351" s="119">
        <f>IF($C351="","",DATE(YEAR($C351),MONTH($C351),1))</f>
        <v/>
      </c>
      <c r="M351" s="112">
        <f>IF($C351="","",IF(AND($D351&lt;&gt;"",$E351&lt;&gt;"",$G351&gt;0,$H351&lt;&gt;"",$I351&lt;&gt;""),IF($C351&gt;TODAY(),"İLERİ TARİH","UYGUN"),"EKSİK"))</f>
        <v/>
      </c>
      <c r="N351" s="6" t="n"/>
      <c r="O351" s="6" t="n"/>
    </row>
    <row r="352">
      <c r="A352" s="6" t="n"/>
      <c r="B352" s="112">
        <f>IF($C352="","","GG"&amp;TEXT(ROW()-6,"00000"))</f>
        <v/>
      </c>
      <c r="C352" s="114" t="n"/>
      <c r="D352" s="107" t="n"/>
      <c r="E352" s="108" t="n"/>
      <c r="F352" s="108" t="n"/>
      <c r="G352" s="115" t="n"/>
      <c r="H352" s="107" t="n"/>
      <c r="I352" s="107" t="n"/>
      <c r="J352" s="108" t="n"/>
      <c r="K352" s="108" t="n"/>
      <c r="L352" s="119">
        <f>IF($C352="","",DATE(YEAR($C352),MONTH($C352),1))</f>
        <v/>
      </c>
      <c r="M352" s="112">
        <f>IF($C352="","",IF(AND($D352&lt;&gt;"",$E352&lt;&gt;"",$G352&gt;0,$H352&lt;&gt;"",$I352&lt;&gt;""),IF($C352&gt;TODAY(),"İLERİ TARİH","UYGUN"),"EKSİK"))</f>
        <v/>
      </c>
      <c r="N352" s="6" t="n"/>
      <c r="O352" s="6" t="n"/>
    </row>
    <row r="353">
      <c r="A353" s="6" t="n"/>
      <c r="B353" s="112">
        <f>IF($C353="","","GG"&amp;TEXT(ROW()-6,"00000"))</f>
        <v/>
      </c>
      <c r="C353" s="114" t="n"/>
      <c r="D353" s="107" t="n"/>
      <c r="E353" s="108" t="n"/>
      <c r="F353" s="108" t="n"/>
      <c r="G353" s="115" t="n"/>
      <c r="H353" s="107" t="n"/>
      <c r="I353" s="107" t="n"/>
      <c r="J353" s="108" t="n"/>
      <c r="K353" s="108" t="n"/>
      <c r="L353" s="119">
        <f>IF($C353="","",DATE(YEAR($C353),MONTH($C353),1))</f>
        <v/>
      </c>
      <c r="M353" s="112">
        <f>IF($C353="","",IF(AND($D353&lt;&gt;"",$E353&lt;&gt;"",$G353&gt;0,$H353&lt;&gt;"",$I353&lt;&gt;""),IF($C353&gt;TODAY(),"İLERİ TARİH","UYGUN"),"EKSİK"))</f>
        <v/>
      </c>
      <c r="N353" s="6" t="n"/>
      <c r="O353" s="6" t="n"/>
    </row>
    <row r="354">
      <c r="A354" s="6" t="n"/>
      <c r="B354" s="112">
        <f>IF($C354="","","GG"&amp;TEXT(ROW()-6,"00000"))</f>
        <v/>
      </c>
      <c r="C354" s="114" t="n"/>
      <c r="D354" s="107" t="n"/>
      <c r="E354" s="108" t="n"/>
      <c r="F354" s="108" t="n"/>
      <c r="G354" s="115" t="n"/>
      <c r="H354" s="107" t="n"/>
      <c r="I354" s="107" t="n"/>
      <c r="J354" s="108" t="n"/>
      <c r="K354" s="108" t="n"/>
      <c r="L354" s="119">
        <f>IF($C354="","",DATE(YEAR($C354),MONTH($C354),1))</f>
        <v/>
      </c>
      <c r="M354" s="112">
        <f>IF($C354="","",IF(AND($D354&lt;&gt;"",$E354&lt;&gt;"",$G354&gt;0,$H354&lt;&gt;"",$I354&lt;&gt;""),IF($C354&gt;TODAY(),"İLERİ TARİH","UYGUN"),"EKSİK"))</f>
        <v/>
      </c>
      <c r="N354" s="6" t="n"/>
      <c r="O354" s="6" t="n"/>
    </row>
    <row r="355">
      <c r="A355" s="6" t="n"/>
      <c r="B355" s="112">
        <f>IF($C355="","","GG"&amp;TEXT(ROW()-6,"00000"))</f>
        <v/>
      </c>
      <c r="C355" s="114" t="n"/>
      <c r="D355" s="107" t="n"/>
      <c r="E355" s="108" t="n"/>
      <c r="F355" s="108" t="n"/>
      <c r="G355" s="115" t="n"/>
      <c r="H355" s="107" t="n"/>
      <c r="I355" s="107" t="n"/>
      <c r="J355" s="108" t="n"/>
      <c r="K355" s="108" t="n"/>
      <c r="L355" s="119">
        <f>IF($C355="","",DATE(YEAR($C355),MONTH($C355),1))</f>
        <v/>
      </c>
      <c r="M355" s="112">
        <f>IF($C355="","",IF(AND($D355&lt;&gt;"",$E355&lt;&gt;"",$G355&gt;0,$H355&lt;&gt;"",$I355&lt;&gt;""),IF($C355&gt;TODAY(),"İLERİ TARİH","UYGUN"),"EKSİK"))</f>
        <v/>
      </c>
      <c r="N355" s="6" t="n"/>
      <c r="O355" s="6" t="n"/>
    </row>
    <row r="356">
      <c r="A356" s="6" t="n"/>
      <c r="B356" s="112">
        <f>IF($C356="","","GG"&amp;TEXT(ROW()-6,"00000"))</f>
        <v/>
      </c>
      <c r="C356" s="114" t="n"/>
      <c r="D356" s="107" t="n"/>
      <c r="E356" s="108" t="n"/>
      <c r="F356" s="108" t="n"/>
      <c r="G356" s="115" t="n"/>
      <c r="H356" s="107" t="n"/>
      <c r="I356" s="107" t="n"/>
      <c r="J356" s="108" t="n"/>
      <c r="K356" s="108" t="n"/>
      <c r="L356" s="119">
        <f>IF($C356="","",DATE(YEAR($C356),MONTH($C356),1))</f>
        <v/>
      </c>
      <c r="M356" s="112">
        <f>IF($C356="","",IF(AND($D356&lt;&gt;"",$E356&lt;&gt;"",$G356&gt;0,$H356&lt;&gt;"",$I356&lt;&gt;""),IF($C356&gt;TODAY(),"İLERİ TARİH","UYGUN"),"EKSİK"))</f>
        <v/>
      </c>
      <c r="N356" s="6" t="n"/>
      <c r="O356" s="6" t="n"/>
    </row>
    <row r="357">
      <c r="A357" s="6" t="n"/>
      <c r="B357" s="112">
        <f>IF($C357="","","GG"&amp;TEXT(ROW()-6,"00000"))</f>
        <v/>
      </c>
      <c r="C357" s="114" t="n"/>
      <c r="D357" s="107" t="n"/>
      <c r="E357" s="108" t="n"/>
      <c r="F357" s="108" t="n"/>
      <c r="G357" s="115" t="n"/>
      <c r="H357" s="107" t="n"/>
      <c r="I357" s="107" t="n"/>
      <c r="J357" s="108" t="n"/>
      <c r="K357" s="108" t="n"/>
      <c r="L357" s="119">
        <f>IF($C357="","",DATE(YEAR($C357),MONTH($C357),1))</f>
        <v/>
      </c>
      <c r="M357" s="112">
        <f>IF($C357="","",IF(AND($D357&lt;&gt;"",$E357&lt;&gt;"",$G357&gt;0,$H357&lt;&gt;"",$I357&lt;&gt;""),IF($C357&gt;TODAY(),"İLERİ TARİH","UYGUN"),"EKSİK"))</f>
        <v/>
      </c>
      <c r="N357" s="6" t="n"/>
      <c r="O357" s="6" t="n"/>
    </row>
    <row r="358">
      <c r="A358" s="6" t="n"/>
      <c r="B358" s="112">
        <f>IF($C358="","","GG"&amp;TEXT(ROW()-6,"00000"))</f>
        <v/>
      </c>
      <c r="C358" s="114" t="n"/>
      <c r="D358" s="107" t="n"/>
      <c r="E358" s="108" t="n"/>
      <c r="F358" s="108" t="n"/>
      <c r="G358" s="115" t="n"/>
      <c r="H358" s="107" t="n"/>
      <c r="I358" s="107" t="n"/>
      <c r="J358" s="108" t="n"/>
      <c r="K358" s="108" t="n"/>
      <c r="L358" s="119">
        <f>IF($C358="","",DATE(YEAR($C358),MONTH($C358),1))</f>
        <v/>
      </c>
      <c r="M358" s="112">
        <f>IF($C358="","",IF(AND($D358&lt;&gt;"",$E358&lt;&gt;"",$G358&gt;0,$H358&lt;&gt;"",$I358&lt;&gt;""),IF($C358&gt;TODAY(),"İLERİ TARİH","UYGUN"),"EKSİK"))</f>
        <v/>
      </c>
      <c r="N358" s="6" t="n"/>
      <c r="O358" s="6" t="n"/>
    </row>
    <row r="359">
      <c r="A359" s="6" t="n"/>
      <c r="B359" s="112">
        <f>IF($C359="","","GG"&amp;TEXT(ROW()-6,"00000"))</f>
        <v/>
      </c>
      <c r="C359" s="114" t="n"/>
      <c r="D359" s="107" t="n"/>
      <c r="E359" s="108" t="n"/>
      <c r="F359" s="108" t="n"/>
      <c r="G359" s="115" t="n"/>
      <c r="H359" s="107" t="n"/>
      <c r="I359" s="107" t="n"/>
      <c r="J359" s="108" t="n"/>
      <c r="K359" s="108" t="n"/>
      <c r="L359" s="119">
        <f>IF($C359="","",DATE(YEAR($C359),MONTH($C359),1))</f>
        <v/>
      </c>
      <c r="M359" s="112">
        <f>IF($C359="","",IF(AND($D359&lt;&gt;"",$E359&lt;&gt;"",$G359&gt;0,$H359&lt;&gt;"",$I359&lt;&gt;""),IF($C359&gt;TODAY(),"İLERİ TARİH","UYGUN"),"EKSİK"))</f>
        <v/>
      </c>
      <c r="N359" s="6" t="n"/>
      <c r="O359" s="6" t="n"/>
    </row>
    <row r="360">
      <c r="A360" s="6" t="n"/>
      <c r="B360" s="112">
        <f>IF($C360="","","GG"&amp;TEXT(ROW()-6,"00000"))</f>
        <v/>
      </c>
      <c r="C360" s="114" t="n"/>
      <c r="D360" s="107" t="n"/>
      <c r="E360" s="108" t="n"/>
      <c r="F360" s="108" t="n"/>
      <c r="G360" s="115" t="n"/>
      <c r="H360" s="107" t="n"/>
      <c r="I360" s="107" t="n"/>
      <c r="J360" s="108" t="n"/>
      <c r="K360" s="108" t="n"/>
      <c r="L360" s="119">
        <f>IF($C360="","",DATE(YEAR($C360),MONTH($C360),1))</f>
        <v/>
      </c>
      <c r="M360" s="112">
        <f>IF($C360="","",IF(AND($D360&lt;&gt;"",$E360&lt;&gt;"",$G360&gt;0,$H360&lt;&gt;"",$I360&lt;&gt;""),IF($C360&gt;TODAY(),"İLERİ TARİH","UYGUN"),"EKSİK"))</f>
        <v/>
      </c>
      <c r="N360" s="6" t="n"/>
      <c r="O360" s="6" t="n"/>
    </row>
    <row r="361">
      <c r="A361" s="6" t="n"/>
      <c r="B361" s="112">
        <f>IF($C361="","","GG"&amp;TEXT(ROW()-6,"00000"))</f>
        <v/>
      </c>
      <c r="C361" s="114" t="n"/>
      <c r="D361" s="107" t="n"/>
      <c r="E361" s="108" t="n"/>
      <c r="F361" s="108" t="n"/>
      <c r="G361" s="115" t="n"/>
      <c r="H361" s="107" t="n"/>
      <c r="I361" s="107" t="n"/>
      <c r="J361" s="108" t="n"/>
      <c r="K361" s="108" t="n"/>
      <c r="L361" s="119">
        <f>IF($C361="","",DATE(YEAR($C361),MONTH($C361),1))</f>
        <v/>
      </c>
      <c r="M361" s="112">
        <f>IF($C361="","",IF(AND($D361&lt;&gt;"",$E361&lt;&gt;"",$G361&gt;0,$H361&lt;&gt;"",$I361&lt;&gt;""),IF($C361&gt;TODAY(),"İLERİ TARİH","UYGUN"),"EKSİK"))</f>
        <v/>
      </c>
      <c r="N361" s="6" t="n"/>
      <c r="O361" s="6" t="n"/>
    </row>
    <row r="362">
      <c r="A362" s="6" t="n"/>
      <c r="B362" s="112">
        <f>IF($C362="","","GG"&amp;TEXT(ROW()-6,"00000"))</f>
        <v/>
      </c>
      <c r="C362" s="114" t="n"/>
      <c r="D362" s="107" t="n"/>
      <c r="E362" s="108" t="n"/>
      <c r="F362" s="108" t="n"/>
      <c r="G362" s="115" t="n"/>
      <c r="H362" s="107" t="n"/>
      <c r="I362" s="107" t="n"/>
      <c r="J362" s="108" t="n"/>
      <c r="K362" s="108" t="n"/>
      <c r="L362" s="119">
        <f>IF($C362="","",DATE(YEAR($C362),MONTH($C362),1))</f>
        <v/>
      </c>
      <c r="M362" s="112">
        <f>IF($C362="","",IF(AND($D362&lt;&gt;"",$E362&lt;&gt;"",$G362&gt;0,$H362&lt;&gt;"",$I362&lt;&gt;""),IF($C362&gt;TODAY(),"İLERİ TARİH","UYGUN"),"EKSİK"))</f>
        <v/>
      </c>
      <c r="N362" s="6" t="n"/>
      <c r="O362" s="6" t="n"/>
    </row>
    <row r="363">
      <c r="A363" s="6" t="n"/>
      <c r="B363" s="112">
        <f>IF($C363="","","GG"&amp;TEXT(ROW()-6,"00000"))</f>
        <v/>
      </c>
      <c r="C363" s="114" t="n"/>
      <c r="D363" s="107" t="n"/>
      <c r="E363" s="108" t="n"/>
      <c r="F363" s="108" t="n"/>
      <c r="G363" s="115" t="n"/>
      <c r="H363" s="107" t="n"/>
      <c r="I363" s="107" t="n"/>
      <c r="J363" s="108" t="n"/>
      <c r="K363" s="108" t="n"/>
      <c r="L363" s="119">
        <f>IF($C363="","",DATE(YEAR($C363),MONTH($C363),1))</f>
        <v/>
      </c>
      <c r="M363" s="112">
        <f>IF($C363="","",IF(AND($D363&lt;&gt;"",$E363&lt;&gt;"",$G363&gt;0,$H363&lt;&gt;"",$I363&lt;&gt;""),IF($C363&gt;TODAY(),"İLERİ TARİH","UYGUN"),"EKSİK"))</f>
        <v/>
      </c>
      <c r="N363" s="6" t="n"/>
      <c r="O363" s="6" t="n"/>
    </row>
    <row r="364">
      <c r="A364" s="6" t="n"/>
      <c r="B364" s="112">
        <f>IF($C364="","","GG"&amp;TEXT(ROW()-6,"00000"))</f>
        <v/>
      </c>
      <c r="C364" s="114" t="n"/>
      <c r="D364" s="107" t="n"/>
      <c r="E364" s="108" t="n"/>
      <c r="F364" s="108" t="n"/>
      <c r="G364" s="115" t="n"/>
      <c r="H364" s="107" t="n"/>
      <c r="I364" s="107" t="n"/>
      <c r="J364" s="108" t="n"/>
      <c r="K364" s="108" t="n"/>
      <c r="L364" s="119">
        <f>IF($C364="","",DATE(YEAR($C364),MONTH($C364),1))</f>
        <v/>
      </c>
      <c r="M364" s="112">
        <f>IF($C364="","",IF(AND($D364&lt;&gt;"",$E364&lt;&gt;"",$G364&gt;0,$H364&lt;&gt;"",$I364&lt;&gt;""),IF($C364&gt;TODAY(),"İLERİ TARİH","UYGUN"),"EKSİK"))</f>
        <v/>
      </c>
      <c r="N364" s="6" t="n"/>
      <c r="O364" s="6" t="n"/>
    </row>
    <row r="365">
      <c r="A365" s="6" t="n"/>
      <c r="B365" s="112">
        <f>IF($C365="","","GG"&amp;TEXT(ROW()-6,"00000"))</f>
        <v/>
      </c>
      <c r="C365" s="114" t="n"/>
      <c r="D365" s="107" t="n"/>
      <c r="E365" s="108" t="n"/>
      <c r="F365" s="108" t="n"/>
      <c r="G365" s="115" t="n"/>
      <c r="H365" s="107" t="n"/>
      <c r="I365" s="107" t="n"/>
      <c r="J365" s="108" t="n"/>
      <c r="K365" s="108" t="n"/>
      <c r="L365" s="119">
        <f>IF($C365="","",DATE(YEAR($C365),MONTH($C365),1))</f>
        <v/>
      </c>
      <c r="M365" s="112">
        <f>IF($C365="","",IF(AND($D365&lt;&gt;"",$E365&lt;&gt;"",$G365&gt;0,$H365&lt;&gt;"",$I365&lt;&gt;""),IF($C365&gt;TODAY(),"İLERİ TARİH","UYGUN"),"EKSİK"))</f>
        <v/>
      </c>
      <c r="N365" s="6" t="n"/>
      <c r="O365" s="6" t="n"/>
    </row>
    <row r="366">
      <c r="A366" s="6" t="n"/>
      <c r="B366" s="112">
        <f>IF($C366="","","GG"&amp;TEXT(ROW()-6,"00000"))</f>
        <v/>
      </c>
      <c r="C366" s="114" t="n"/>
      <c r="D366" s="107" t="n"/>
      <c r="E366" s="108" t="n"/>
      <c r="F366" s="108" t="n"/>
      <c r="G366" s="115" t="n"/>
      <c r="H366" s="107" t="n"/>
      <c r="I366" s="107" t="n"/>
      <c r="J366" s="108" t="n"/>
      <c r="K366" s="108" t="n"/>
      <c r="L366" s="119">
        <f>IF($C366="","",DATE(YEAR($C366),MONTH($C366),1))</f>
        <v/>
      </c>
      <c r="M366" s="112">
        <f>IF($C366="","",IF(AND($D366&lt;&gt;"",$E366&lt;&gt;"",$G366&gt;0,$H366&lt;&gt;"",$I366&lt;&gt;""),IF($C366&gt;TODAY(),"İLERİ TARİH","UYGUN"),"EKSİK"))</f>
        <v/>
      </c>
      <c r="N366" s="6" t="n"/>
      <c r="O366" s="6" t="n"/>
    </row>
    <row r="367">
      <c r="A367" s="6" t="n"/>
      <c r="B367" s="112">
        <f>IF($C367="","","GG"&amp;TEXT(ROW()-6,"00000"))</f>
        <v/>
      </c>
      <c r="C367" s="114" t="n"/>
      <c r="D367" s="107" t="n"/>
      <c r="E367" s="108" t="n"/>
      <c r="F367" s="108" t="n"/>
      <c r="G367" s="115" t="n"/>
      <c r="H367" s="107" t="n"/>
      <c r="I367" s="107" t="n"/>
      <c r="J367" s="108" t="n"/>
      <c r="K367" s="108" t="n"/>
      <c r="L367" s="119">
        <f>IF($C367="","",DATE(YEAR($C367),MONTH($C367),1))</f>
        <v/>
      </c>
      <c r="M367" s="112">
        <f>IF($C367="","",IF(AND($D367&lt;&gt;"",$E367&lt;&gt;"",$G367&gt;0,$H367&lt;&gt;"",$I367&lt;&gt;""),IF($C367&gt;TODAY(),"İLERİ TARİH","UYGUN"),"EKSİK"))</f>
        <v/>
      </c>
      <c r="N367" s="6" t="n"/>
      <c r="O367" s="6" t="n"/>
    </row>
    <row r="368">
      <c r="A368" s="6" t="n"/>
      <c r="B368" s="112">
        <f>IF($C368="","","GG"&amp;TEXT(ROW()-6,"00000"))</f>
        <v/>
      </c>
      <c r="C368" s="114" t="n"/>
      <c r="D368" s="107" t="n"/>
      <c r="E368" s="108" t="n"/>
      <c r="F368" s="108" t="n"/>
      <c r="G368" s="115" t="n"/>
      <c r="H368" s="107" t="n"/>
      <c r="I368" s="107" t="n"/>
      <c r="J368" s="108" t="n"/>
      <c r="K368" s="108" t="n"/>
      <c r="L368" s="119">
        <f>IF($C368="","",DATE(YEAR($C368),MONTH($C368),1))</f>
        <v/>
      </c>
      <c r="M368" s="112">
        <f>IF($C368="","",IF(AND($D368&lt;&gt;"",$E368&lt;&gt;"",$G368&gt;0,$H368&lt;&gt;"",$I368&lt;&gt;""),IF($C368&gt;TODAY(),"İLERİ TARİH","UYGUN"),"EKSİK"))</f>
        <v/>
      </c>
      <c r="N368" s="6" t="n"/>
      <c r="O368" s="6" t="n"/>
    </row>
    <row r="369">
      <c r="A369" s="6" t="n"/>
      <c r="B369" s="112">
        <f>IF($C369="","","GG"&amp;TEXT(ROW()-6,"00000"))</f>
        <v/>
      </c>
      <c r="C369" s="114" t="n"/>
      <c r="D369" s="107" t="n"/>
      <c r="E369" s="108" t="n"/>
      <c r="F369" s="108" t="n"/>
      <c r="G369" s="115" t="n"/>
      <c r="H369" s="107" t="n"/>
      <c r="I369" s="107" t="n"/>
      <c r="J369" s="108" t="n"/>
      <c r="K369" s="108" t="n"/>
      <c r="L369" s="119">
        <f>IF($C369="","",DATE(YEAR($C369),MONTH($C369),1))</f>
        <v/>
      </c>
      <c r="M369" s="112">
        <f>IF($C369="","",IF(AND($D369&lt;&gt;"",$E369&lt;&gt;"",$G369&gt;0,$H369&lt;&gt;"",$I369&lt;&gt;""),IF($C369&gt;TODAY(),"İLERİ TARİH","UYGUN"),"EKSİK"))</f>
        <v/>
      </c>
      <c r="N369" s="6" t="n"/>
      <c r="O369" s="6" t="n"/>
    </row>
    <row r="370">
      <c r="A370" s="6" t="n"/>
      <c r="B370" s="112">
        <f>IF($C370="","","GG"&amp;TEXT(ROW()-6,"00000"))</f>
        <v/>
      </c>
      <c r="C370" s="114" t="n"/>
      <c r="D370" s="107" t="n"/>
      <c r="E370" s="108" t="n"/>
      <c r="F370" s="108" t="n"/>
      <c r="G370" s="115" t="n"/>
      <c r="H370" s="107" t="n"/>
      <c r="I370" s="107" t="n"/>
      <c r="J370" s="108" t="n"/>
      <c r="K370" s="108" t="n"/>
      <c r="L370" s="119">
        <f>IF($C370="","",DATE(YEAR($C370),MONTH($C370),1))</f>
        <v/>
      </c>
      <c r="M370" s="112">
        <f>IF($C370="","",IF(AND($D370&lt;&gt;"",$E370&lt;&gt;"",$G370&gt;0,$H370&lt;&gt;"",$I370&lt;&gt;""),IF($C370&gt;TODAY(),"İLERİ TARİH","UYGUN"),"EKSİK"))</f>
        <v/>
      </c>
      <c r="N370" s="6" t="n"/>
      <c r="O370" s="6" t="n"/>
    </row>
    <row r="371">
      <c r="A371" s="6" t="n"/>
      <c r="B371" s="112">
        <f>IF($C371="","","GG"&amp;TEXT(ROW()-6,"00000"))</f>
        <v/>
      </c>
      <c r="C371" s="114" t="n"/>
      <c r="D371" s="107" t="n"/>
      <c r="E371" s="108" t="n"/>
      <c r="F371" s="108" t="n"/>
      <c r="G371" s="115" t="n"/>
      <c r="H371" s="107" t="n"/>
      <c r="I371" s="107" t="n"/>
      <c r="J371" s="108" t="n"/>
      <c r="K371" s="108" t="n"/>
      <c r="L371" s="119">
        <f>IF($C371="","",DATE(YEAR($C371),MONTH($C371),1))</f>
        <v/>
      </c>
      <c r="M371" s="112">
        <f>IF($C371="","",IF(AND($D371&lt;&gt;"",$E371&lt;&gt;"",$G371&gt;0,$H371&lt;&gt;"",$I371&lt;&gt;""),IF($C371&gt;TODAY(),"İLERİ TARİH","UYGUN"),"EKSİK"))</f>
        <v/>
      </c>
      <c r="N371" s="6" t="n"/>
      <c r="O371" s="6" t="n"/>
    </row>
    <row r="372">
      <c r="A372" s="6" t="n"/>
      <c r="B372" s="112">
        <f>IF($C372="","","GG"&amp;TEXT(ROW()-6,"00000"))</f>
        <v/>
      </c>
      <c r="C372" s="114" t="n"/>
      <c r="D372" s="107" t="n"/>
      <c r="E372" s="108" t="n"/>
      <c r="F372" s="108" t="n"/>
      <c r="G372" s="115" t="n"/>
      <c r="H372" s="107" t="n"/>
      <c r="I372" s="107" t="n"/>
      <c r="J372" s="108" t="n"/>
      <c r="K372" s="108" t="n"/>
      <c r="L372" s="119">
        <f>IF($C372="","",DATE(YEAR($C372),MONTH($C372),1))</f>
        <v/>
      </c>
      <c r="M372" s="112">
        <f>IF($C372="","",IF(AND($D372&lt;&gt;"",$E372&lt;&gt;"",$G372&gt;0,$H372&lt;&gt;"",$I372&lt;&gt;""),IF($C372&gt;TODAY(),"İLERİ TARİH","UYGUN"),"EKSİK"))</f>
        <v/>
      </c>
      <c r="N372" s="6" t="n"/>
      <c r="O372" s="6" t="n"/>
    </row>
    <row r="373">
      <c r="A373" s="6" t="n"/>
      <c r="B373" s="112">
        <f>IF($C373="","","GG"&amp;TEXT(ROW()-6,"00000"))</f>
        <v/>
      </c>
      <c r="C373" s="114" t="n"/>
      <c r="D373" s="107" t="n"/>
      <c r="E373" s="108" t="n"/>
      <c r="F373" s="108" t="n"/>
      <c r="G373" s="115" t="n"/>
      <c r="H373" s="107" t="n"/>
      <c r="I373" s="107" t="n"/>
      <c r="J373" s="108" t="n"/>
      <c r="K373" s="108" t="n"/>
      <c r="L373" s="119">
        <f>IF($C373="","",DATE(YEAR($C373),MONTH($C373),1))</f>
        <v/>
      </c>
      <c r="M373" s="112">
        <f>IF($C373="","",IF(AND($D373&lt;&gt;"",$E373&lt;&gt;"",$G373&gt;0,$H373&lt;&gt;"",$I373&lt;&gt;""),IF($C373&gt;TODAY(),"İLERİ TARİH","UYGUN"),"EKSİK"))</f>
        <v/>
      </c>
      <c r="N373" s="6" t="n"/>
      <c r="O373" s="6" t="n"/>
    </row>
    <row r="374">
      <c r="A374" s="6" t="n"/>
      <c r="B374" s="112">
        <f>IF($C374="","","GG"&amp;TEXT(ROW()-6,"00000"))</f>
        <v/>
      </c>
      <c r="C374" s="114" t="n"/>
      <c r="D374" s="107" t="n"/>
      <c r="E374" s="108" t="n"/>
      <c r="F374" s="108" t="n"/>
      <c r="G374" s="115" t="n"/>
      <c r="H374" s="107" t="n"/>
      <c r="I374" s="107" t="n"/>
      <c r="J374" s="108" t="n"/>
      <c r="K374" s="108" t="n"/>
      <c r="L374" s="119">
        <f>IF($C374="","",DATE(YEAR($C374),MONTH($C374),1))</f>
        <v/>
      </c>
      <c r="M374" s="112">
        <f>IF($C374="","",IF(AND($D374&lt;&gt;"",$E374&lt;&gt;"",$G374&gt;0,$H374&lt;&gt;"",$I374&lt;&gt;""),IF($C374&gt;TODAY(),"İLERİ TARİH","UYGUN"),"EKSİK"))</f>
        <v/>
      </c>
      <c r="N374" s="6" t="n"/>
      <c r="O374" s="6" t="n"/>
    </row>
    <row r="375">
      <c r="A375" s="6" t="n"/>
      <c r="B375" s="112">
        <f>IF($C375="","","GG"&amp;TEXT(ROW()-6,"00000"))</f>
        <v/>
      </c>
      <c r="C375" s="114" t="n"/>
      <c r="D375" s="107" t="n"/>
      <c r="E375" s="108" t="n"/>
      <c r="F375" s="108" t="n"/>
      <c r="G375" s="115" t="n"/>
      <c r="H375" s="107" t="n"/>
      <c r="I375" s="107" t="n"/>
      <c r="J375" s="108" t="n"/>
      <c r="K375" s="108" t="n"/>
      <c r="L375" s="119">
        <f>IF($C375="","",DATE(YEAR($C375),MONTH($C375),1))</f>
        <v/>
      </c>
      <c r="M375" s="112">
        <f>IF($C375="","",IF(AND($D375&lt;&gt;"",$E375&lt;&gt;"",$G375&gt;0,$H375&lt;&gt;"",$I375&lt;&gt;""),IF($C375&gt;TODAY(),"İLERİ TARİH","UYGUN"),"EKSİK"))</f>
        <v/>
      </c>
      <c r="N375" s="6" t="n"/>
      <c r="O375" s="6" t="n"/>
    </row>
    <row r="376">
      <c r="A376" s="6" t="n"/>
      <c r="B376" s="112">
        <f>IF($C376="","","GG"&amp;TEXT(ROW()-6,"00000"))</f>
        <v/>
      </c>
      <c r="C376" s="114" t="n"/>
      <c r="D376" s="107" t="n"/>
      <c r="E376" s="108" t="n"/>
      <c r="F376" s="108" t="n"/>
      <c r="G376" s="115" t="n"/>
      <c r="H376" s="107" t="n"/>
      <c r="I376" s="107" t="n"/>
      <c r="J376" s="108" t="n"/>
      <c r="K376" s="108" t="n"/>
      <c r="L376" s="119">
        <f>IF($C376="","",DATE(YEAR($C376),MONTH($C376),1))</f>
        <v/>
      </c>
      <c r="M376" s="112">
        <f>IF($C376="","",IF(AND($D376&lt;&gt;"",$E376&lt;&gt;"",$G376&gt;0,$H376&lt;&gt;"",$I376&lt;&gt;""),IF($C376&gt;TODAY(),"İLERİ TARİH","UYGUN"),"EKSİK"))</f>
        <v/>
      </c>
      <c r="N376" s="6" t="n"/>
      <c r="O376" s="6" t="n"/>
    </row>
    <row r="377">
      <c r="A377" s="6" t="n"/>
      <c r="B377" s="112">
        <f>IF($C377="","","GG"&amp;TEXT(ROW()-6,"00000"))</f>
        <v/>
      </c>
      <c r="C377" s="114" t="n"/>
      <c r="D377" s="107" t="n"/>
      <c r="E377" s="108" t="n"/>
      <c r="F377" s="108" t="n"/>
      <c r="G377" s="115" t="n"/>
      <c r="H377" s="107" t="n"/>
      <c r="I377" s="107" t="n"/>
      <c r="J377" s="108" t="n"/>
      <c r="K377" s="108" t="n"/>
      <c r="L377" s="119">
        <f>IF($C377="","",DATE(YEAR($C377),MONTH($C377),1))</f>
        <v/>
      </c>
      <c r="M377" s="112">
        <f>IF($C377="","",IF(AND($D377&lt;&gt;"",$E377&lt;&gt;"",$G377&gt;0,$H377&lt;&gt;"",$I377&lt;&gt;""),IF($C377&gt;TODAY(),"İLERİ TARİH","UYGUN"),"EKSİK"))</f>
        <v/>
      </c>
      <c r="N377" s="6" t="n"/>
      <c r="O377" s="6" t="n"/>
    </row>
    <row r="378">
      <c r="A378" s="6" t="n"/>
      <c r="B378" s="112">
        <f>IF($C378="","","GG"&amp;TEXT(ROW()-6,"00000"))</f>
        <v/>
      </c>
      <c r="C378" s="114" t="n"/>
      <c r="D378" s="107" t="n"/>
      <c r="E378" s="108" t="n"/>
      <c r="F378" s="108" t="n"/>
      <c r="G378" s="115" t="n"/>
      <c r="H378" s="107" t="n"/>
      <c r="I378" s="107" t="n"/>
      <c r="J378" s="108" t="n"/>
      <c r="K378" s="108" t="n"/>
      <c r="L378" s="119">
        <f>IF($C378="","",DATE(YEAR($C378),MONTH($C378),1))</f>
        <v/>
      </c>
      <c r="M378" s="112">
        <f>IF($C378="","",IF(AND($D378&lt;&gt;"",$E378&lt;&gt;"",$G378&gt;0,$H378&lt;&gt;"",$I378&lt;&gt;""),IF($C378&gt;TODAY(),"İLERİ TARİH","UYGUN"),"EKSİK"))</f>
        <v/>
      </c>
      <c r="N378" s="6" t="n"/>
      <c r="O378" s="6" t="n"/>
    </row>
    <row r="379">
      <c r="A379" s="6" t="n"/>
      <c r="B379" s="112">
        <f>IF($C379="","","GG"&amp;TEXT(ROW()-6,"00000"))</f>
        <v/>
      </c>
      <c r="C379" s="114" t="n"/>
      <c r="D379" s="107" t="n"/>
      <c r="E379" s="108" t="n"/>
      <c r="F379" s="108" t="n"/>
      <c r="G379" s="115" t="n"/>
      <c r="H379" s="107" t="n"/>
      <c r="I379" s="107" t="n"/>
      <c r="J379" s="108" t="n"/>
      <c r="K379" s="108" t="n"/>
      <c r="L379" s="119">
        <f>IF($C379="","",DATE(YEAR($C379),MONTH($C379),1))</f>
        <v/>
      </c>
      <c r="M379" s="112">
        <f>IF($C379="","",IF(AND($D379&lt;&gt;"",$E379&lt;&gt;"",$G379&gt;0,$H379&lt;&gt;"",$I379&lt;&gt;""),IF($C379&gt;TODAY(),"İLERİ TARİH","UYGUN"),"EKSİK"))</f>
        <v/>
      </c>
      <c r="N379" s="6" t="n"/>
      <c r="O379" s="6" t="n"/>
    </row>
    <row r="380">
      <c r="A380" s="6" t="n"/>
      <c r="B380" s="112">
        <f>IF($C380="","","GG"&amp;TEXT(ROW()-6,"00000"))</f>
        <v/>
      </c>
      <c r="C380" s="114" t="n"/>
      <c r="D380" s="107" t="n"/>
      <c r="E380" s="108" t="n"/>
      <c r="F380" s="108" t="n"/>
      <c r="G380" s="115" t="n"/>
      <c r="H380" s="107" t="n"/>
      <c r="I380" s="107" t="n"/>
      <c r="J380" s="108" t="n"/>
      <c r="K380" s="108" t="n"/>
      <c r="L380" s="119">
        <f>IF($C380="","",DATE(YEAR($C380),MONTH($C380),1))</f>
        <v/>
      </c>
      <c r="M380" s="112">
        <f>IF($C380="","",IF(AND($D380&lt;&gt;"",$E380&lt;&gt;"",$G380&gt;0,$H380&lt;&gt;"",$I380&lt;&gt;""),IF($C380&gt;TODAY(),"İLERİ TARİH","UYGUN"),"EKSİK"))</f>
        <v/>
      </c>
      <c r="N380" s="6" t="n"/>
      <c r="O380" s="6" t="n"/>
    </row>
    <row r="381">
      <c r="A381" s="6" t="n"/>
      <c r="B381" s="112">
        <f>IF($C381="","","GG"&amp;TEXT(ROW()-6,"00000"))</f>
        <v/>
      </c>
      <c r="C381" s="114" t="n"/>
      <c r="D381" s="107" t="n"/>
      <c r="E381" s="108" t="n"/>
      <c r="F381" s="108" t="n"/>
      <c r="G381" s="115" t="n"/>
      <c r="H381" s="107" t="n"/>
      <c r="I381" s="107" t="n"/>
      <c r="J381" s="108" t="n"/>
      <c r="K381" s="108" t="n"/>
      <c r="L381" s="119">
        <f>IF($C381="","",DATE(YEAR($C381),MONTH($C381),1))</f>
        <v/>
      </c>
      <c r="M381" s="112">
        <f>IF($C381="","",IF(AND($D381&lt;&gt;"",$E381&lt;&gt;"",$G381&gt;0,$H381&lt;&gt;"",$I381&lt;&gt;""),IF($C381&gt;TODAY(),"İLERİ TARİH","UYGUN"),"EKSİK"))</f>
        <v/>
      </c>
      <c r="N381" s="6" t="n"/>
      <c r="O381" s="6" t="n"/>
    </row>
    <row r="382">
      <c r="A382" s="6" t="n"/>
      <c r="B382" s="112">
        <f>IF($C382="","","GG"&amp;TEXT(ROW()-6,"00000"))</f>
        <v/>
      </c>
      <c r="C382" s="114" t="n"/>
      <c r="D382" s="107" t="n"/>
      <c r="E382" s="108" t="n"/>
      <c r="F382" s="108" t="n"/>
      <c r="G382" s="115" t="n"/>
      <c r="H382" s="107" t="n"/>
      <c r="I382" s="107" t="n"/>
      <c r="J382" s="108" t="n"/>
      <c r="K382" s="108" t="n"/>
      <c r="L382" s="119">
        <f>IF($C382="","",DATE(YEAR($C382),MONTH($C382),1))</f>
        <v/>
      </c>
      <c r="M382" s="112">
        <f>IF($C382="","",IF(AND($D382&lt;&gt;"",$E382&lt;&gt;"",$G382&gt;0,$H382&lt;&gt;"",$I382&lt;&gt;""),IF($C382&gt;TODAY(),"İLERİ TARİH","UYGUN"),"EKSİK"))</f>
        <v/>
      </c>
      <c r="N382" s="6" t="n"/>
      <c r="O382" s="6" t="n"/>
    </row>
    <row r="383">
      <c r="A383" s="6" t="n"/>
      <c r="B383" s="112">
        <f>IF($C383="","","GG"&amp;TEXT(ROW()-6,"00000"))</f>
        <v/>
      </c>
      <c r="C383" s="114" t="n"/>
      <c r="D383" s="107" t="n"/>
      <c r="E383" s="108" t="n"/>
      <c r="F383" s="108" t="n"/>
      <c r="G383" s="115" t="n"/>
      <c r="H383" s="107" t="n"/>
      <c r="I383" s="107" t="n"/>
      <c r="J383" s="108" t="n"/>
      <c r="K383" s="108" t="n"/>
      <c r="L383" s="119">
        <f>IF($C383="","",DATE(YEAR($C383),MONTH($C383),1))</f>
        <v/>
      </c>
      <c r="M383" s="112">
        <f>IF($C383="","",IF(AND($D383&lt;&gt;"",$E383&lt;&gt;"",$G383&gt;0,$H383&lt;&gt;"",$I383&lt;&gt;""),IF($C383&gt;TODAY(),"İLERİ TARİH","UYGUN"),"EKSİK"))</f>
        <v/>
      </c>
      <c r="N383" s="6" t="n"/>
      <c r="O383" s="6" t="n"/>
    </row>
    <row r="384">
      <c r="A384" s="6" t="n"/>
      <c r="B384" s="112">
        <f>IF($C384="","","GG"&amp;TEXT(ROW()-6,"00000"))</f>
        <v/>
      </c>
      <c r="C384" s="114" t="n"/>
      <c r="D384" s="107" t="n"/>
      <c r="E384" s="108" t="n"/>
      <c r="F384" s="108" t="n"/>
      <c r="G384" s="115" t="n"/>
      <c r="H384" s="107" t="n"/>
      <c r="I384" s="107" t="n"/>
      <c r="J384" s="108" t="n"/>
      <c r="K384" s="108" t="n"/>
      <c r="L384" s="119">
        <f>IF($C384="","",DATE(YEAR($C384),MONTH($C384),1))</f>
        <v/>
      </c>
      <c r="M384" s="112">
        <f>IF($C384="","",IF(AND($D384&lt;&gt;"",$E384&lt;&gt;"",$G384&gt;0,$H384&lt;&gt;"",$I384&lt;&gt;""),IF($C384&gt;TODAY(),"İLERİ TARİH","UYGUN"),"EKSİK"))</f>
        <v/>
      </c>
      <c r="N384" s="6" t="n"/>
      <c r="O384" s="6" t="n"/>
    </row>
    <row r="385">
      <c r="A385" s="6" t="n"/>
      <c r="B385" s="112">
        <f>IF($C385="","","GG"&amp;TEXT(ROW()-6,"00000"))</f>
        <v/>
      </c>
      <c r="C385" s="114" t="n"/>
      <c r="D385" s="107" t="n"/>
      <c r="E385" s="108" t="n"/>
      <c r="F385" s="108" t="n"/>
      <c r="G385" s="115" t="n"/>
      <c r="H385" s="107" t="n"/>
      <c r="I385" s="107" t="n"/>
      <c r="J385" s="108" t="n"/>
      <c r="K385" s="108" t="n"/>
      <c r="L385" s="119">
        <f>IF($C385="","",DATE(YEAR($C385),MONTH($C385),1))</f>
        <v/>
      </c>
      <c r="M385" s="112">
        <f>IF($C385="","",IF(AND($D385&lt;&gt;"",$E385&lt;&gt;"",$G385&gt;0,$H385&lt;&gt;"",$I385&lt;&gt;""),IF($C385&gt;TODAY(),"İLERİ TARİH","UYGUN"),"EKSİK"))</f>
        <v/>
      </c>
      <c r="N385" s="6" t="n"/>
      <c r="O385" s="6" t="n"/>
    </row>
    <row r="386">
      <c r="A386" s="6" t="n"/>
      <c r="B386" s="112">
        <f>IF($C386="","","GG"&amp;TEXT(ROW()-6,"00000"))</f>
        <v/>
      </c>
      <c r="C386" s="114" t="n"/>
      <c r="D386" s="107" t="n"/>
      <c r="E386" s="108" t="n"/>
      <c r="F386" s="108" t="n"/>
      <c r="G386" s="115" t="n"/>
      <c r="H386" s="107" t="n"/>
      <c r="I386" s="107" t="n"/>
      <c r="J386" s="108" t="n"/>
      <c r="K386" s="108" t="n"/>
      <c r="L386" s="119">
        <f>IF($C386="","",DATE(YEAR($C386),MONTH($C386),1))</f>
        <v/>
      </c>
      <c r="M386" s="112">
        <f>IF($C386="","",IF(AND($D386&lt;&gt;"",$E386&lt;&gt;"",$G386&gt;0,$H386&lt;&gt;"",$I386&lt;&gt;""),IF($C386&gt;TODAY(),"İLERİ TARİH","UYGUN"),"EKSİK"))</f>
        <v/>
      </c>
      <c r="N386" s="6" t="n"/>
      <c r="O386" s="6" t="n"/>
    </row>
    <row r="387">
      <c r="A387" s="6" t="n"/>
      <c r="B387" s="112">
        <f>IF($C387="","","GG"&amp;TEXT(ROW()-6,"00000"))</f>
        <v/>
      </c>
      <c r="C387" s="114" t="n"/>
      <c r="D387" s="107" t="n"/>
      <c r="E387" s="108" t="n"/>
      <c r="F387" s="108" t="n"/>
      <c r="G387" s="115" t="n"/>
      <c r="H387" s="107" t="n"/>
      <c r="I387" s="107" t="n"/>
      <c r="J387" s="108" t="n"/>
      <c r="K387" s="108" t="n"/>
      <c r="L387" s="119">
        <f>IF($C387="","",DATE(YEAR($C387),MONTH($C387),1))</f>
        <v/>
      </c>
      <c r="M387" s="112">
        <f>IF($C387="","",IF(AND($D387&lt;&gt;"",$E387&lt;&gt;"",$G387&gt;0,$H387&lt;&gt;"",$I387&lt;&gt;""),IF($C387&gt;TODAY(),"İLERİ TARİH","UYGUN"),"EKSİK"))</f>
        <v/>
      </c>
      <c r="N387" s="6" t="n"/>
      <c r="O387" s="6" t="n"/>
    </row>
    <row r="388">
      <c r="A388" s="6" t="n"/>
      <c r="B388" s="112">
        <f>IF($C388="","","GG"&amp;TEXT(ROW()-6,"00000"))</f>
        <v/>
      </c>
      <c r="C388" s="114" t="n"/>
      <c r="D388" s="107" t="n"/>
      <c r="E388" s="108" t="n"/>
      <c r="F388" s="108" t="n"/>
      <c r="G388" s="115" t="n"/>
      <c r="H388" s="107" t="n"/>
      <c r="I388" s="107" t="n"/>
      <c r="J388" s="108" t="n"/>
      <c r="K388" s="108" t="n"/>
      <c r="L388" s="119">
        <f>IF($C388="","",DATE(YEAR($C388),MONTH($C388),1))</f>
        <v/>
      </c>
      <c r="M388" s="112">
        <f>IF($C388="","",IF(AND($D388&lt;&gt;"",$E388&lt;&gt;"",$G388&gt;0,$H388&lt;&gt;"",$I388&lt;&gt;""),IF($C388&gt;TODAY(),"İLERİ TARİH","UYGUN"),"EKSİK"))</f>
        <v/>
      </c>
      <c r="N388" s="6" t="n"/>
      <c r="O388" s="6" t="n"/>
    </row>
    <row r="389">
      <c r="A389" s="6" t="n"/>
      <c r="B389" s="112">
        <f>IF($C389="","","GG"&amp;TEXT(ROW()-6,"00000"))</f>
        <v/>
      </c>
      <c r="C389" s="114" t="n"/>
      <c r="D389" s="107" t="n"/>
      <c r="E389" s="108" t="n"/>
      <c r="F389" s="108" t="n"/>
      <c r="G389" s="115" t="n"/>
      <c r="H389" s="107" t="n"/>
      <c r="I389" s="107" t="n"/>
      <c r="J389" s="108" t="n"/>
      <c r="K389" s="108" t="n"/>
      <c r="L389" s="119">
        <f>IF($C389="","",DATE(YEAR($C389),MONTH($C389),1))</f>
        <v/>
      </c>
      <c r="M389" s="112">
        <f>IF($C389="","",IF(AND($D389&lt;&gt;"",$E389&lt;&gt;"",$G389&gt;0,$H389&lt;&gt;"",$I389&lt;&gt;""),IF($C389&gt;TODAY(),"İLERİ TARİH","UYGUN"),"EKSİK"))</f>
        <v/>
      </c>
      <c r="N389" s="6" t="n"/>
      <c r="O389" s="6" t="n"/>
    </row>
    <row r="390">
      <c r="A390" s="6" t="n"/>
      <c r="B390" s="112">
        <f>IF($C390="","","GG"&amp;TEXT(ROW()-6,"00000"))</f>
        <v/>
      </c>
      <c r="C390" s="114" t="n"/>
      <c r="D390" s="107" t="n"/>
      <c r="E390" s="108" t="n"/>
      <c r="F390" s="108" t="n"/>
      <c r="G390" s="115" t="n"/>
      <c r="H390" s="107" t="n"/>
      <c r="I390" s="107" t="n"/>
      <c r="J390" s="108" t="n"/>
      <c r="K390" s="108" t="n"/>
      <c r="L390" s="119">
        <f>IF($C390="","",DATE(YEAR($C390),MONTH($C390),1))</f>
        <v/>
      </c>
      <c r="M390" s="112">
        <f>IF($C390="","",IF(AND($D390&lt;&gt;"",$E390&lt;&gt;"",$G390&gt;0,$H390&lt;&gt;"",$I390&lt;&gt;""),IF($C390&gt;TODAY(),"İLERİ TARİH","UYGUN"),"EKSİK"))</f>
        <v/>
      </c>
      <c r="N390" s="6" t="n"/>
      <c r="O390" s="6" t="n"/>
    </row>
    <row r="391">
      <c r="A391" s="6" t="n"/>
      <c r="B391" s="112">
        <f>IF($C391="","","GG"&amp;TEXT(ROW()-6,"00000"))</f>
        <v/>
      </c>
      <c r="C391" s="114" t="n"/>
      <c r="D391" s="107" t="n"/>
      <c r="E391" s="108" t="n"/>
      <c r="F391" s="108" t="n"/>
      <c r="G391" s="115" t="n"/>
      <c r="H391" s="107" t="n"/>
      <c r="I391" s="107" t="n"/>
      <c r="J391" s="108" t="n"/>
      <c r="K391" s="108" t="n"/>
      <c r="L391" s="119">
        <f>IF($C391="","",DATE(YEAR($C391),MONTH($C391),1))</f>
        <v/>
      </c>
      <c r="M391" s="112">
        <f>IF($C391="","",IF(AND($D391&lt;&gt;"",$E391&lt;&gt;"",$G391&gt;0,$H391&lt;&gt;"",$I391&lt;&gt;""),IF($C391&gt;TODAY(),"İLERİ TARİH","UYGUN"),"EKSİK"))</f>
        <v/>
      </c>
      <c r="N391" s="6" t="n"/>
      <c r="O391" s="6" t="n"/>
    </row>
    <row r="392">
      <c r="A392" s="6" t="n"/>
      <c r="B392" s="112">
        <f>IF($C392="","","GG"&amp;TEXT(ROW()-6,"00000"))</f>
        <v/>
      </c>
      <c r="C392" s="114" t="n"/>
      <c r="D392" s="107" t="n"/>
      <c r="E392" s="108" t="n"/>
      <c r="F392" s="108" t="n"/>
      <c r="G392" s="115" t="n"/>
      <c r="H392" s="107" t="n"/>
      <c r="I392" s="107" t="n"/>
      <c r="J392" s="108" t="n"/>
      <c r="K392" s="108" t="n"/>
      <c r="L392" s="119">
        <f>IF($C392="","",DATE(YEAR($C392),MONTH($C392),1))</f>
        <v/>
      </c>
      <c r="M392" s="112">
        <f>IF($C392="","",IF(AND($D392&lt;&gt;"",$E392&lt;&gt;"",$G392&gt;0,$H392&lt;&gt;"",$I392&lt;&gt;""),IF($C392&gt;TODAY(),"İLERİ TARİH","UYGUN"),"EKSİK"))</f>
        <v/>
      </c>
      <c r="N392" s="6" t="n"/>
      <c r="O392" s="6" t="n"/>
    </row>
    <row r="393">
      <c r="A393" s="6" t="n"/>
      <c r="B393" s="112">
        <f>IF($C393="","","GG"&amp;TEXT(ROW()-6,"00000"))</f>
        <v/>
      </c>
      <c r="C393" s="114" t="n"/>
      <c r="D393" s="107" t="n"/>
      <c r="E393" s="108" t="n"/>
      <c r="F393" s="108" t="n"/>
      <c r="G393" s="115" t="n"/>
      <c r="H393" s="107" t="n"/>
      <c r="I393" s="107" t="n"/>
      <c r="J393" s="108" t="n"/>
      <c r="K393" s="108" t="n"/>
      <c r="L393" s="119">
        <f>IF($C393="","",DATE(YEAR($C393),MONTH($C393),1))</f>
        <v/>
      </c>
      <c r="M393" s="112">
        <f>IF($C393="","",IF(AND($D393&lt;&gt;"",$E393&lt;&gt;"",$G393&gt;0,$H393&lt;&gt;"",$I393&lt;&gt;""),IF($C393&gt;TODAY(),"İLERİ TARİH","UYGUN"),"EKSİK"))</f>
        <v/>
      </c>
      <c r="N393" s="6" t="n"/>
      <c r="O393" s="6" t="n"/>
    </row>
    <row r="394">
      <c r="A394" s="6" t="n"/>
      <c r="B394" s="112">
        <f>IF($C394="","","GG"&amp;TEXT(ROW()-6,"00000"))</f>
        <v/>
      </c>
      <c r="C394" s="114" t="n"/>
      <c r="D394" s="107" t="n"/>
      <c r="E394" s="108" t="n"/>
      <c r="F394" s="108" t="n"/>
      <c r="G394" s="115" t="n"/>
      <c r="H394" s="107" t="n"/>
      <c r="I394" s="107" t="n"/>
      <c r="J394" s="108" t="n"/>
      <c r="K394" s="108" t="n"/>
      <c r="L394" s="119">
        <f>IF($C394="","",DATE(YEAR($C394),MONTH($C394),1))</f>
        <v/>
      </c>
      <c r="M394" s="112">
        <f>IF($C394="","",IF(AND($D394&lt;&gt;"",$E394&lt;&gt;"",$G394&gt;0,$H394&lt;&gt;"",$I394&lt;&gt;""),IF($C394&gt;TODAY(),"İLERİ TARİH","UYGUN"),"EKSİK"))</f>
        <v/>
      </c>
      <c r="N394" s="6" t="n"/>
      <c r="O394" s="6" t="n"/>
    </row>
    <row r="395">
      <c r="A395" s="6" t="n"/>
      <c r="B395" s="112">
        <f>IF($C395="","","GG"&amp;TEXT(ROW()-6,"00000"))</f>
        <v/>
      </c>
      <c r="C395" s="114" t="n"/>
      <c r="D395" s="107" t="n"/>
      <c r="E395" s="108" t="n"/>
      <c r="F395" s="108" t="n"/>
      <c r="G395" s="115" t="n"/>
      <c r="H395" s="107" t="n"/>
      <c r="I395" s="107" t="n"/>
      <c r="J395" s="108" t="n"/>
      <c r="K395" s="108" t="n"/>
      <c r="L395" s="119">
        <f>IF($C395="","",DATE(YEAR($C395),MONTH($C395),1))</f>
        <v/>
      </c>
      <c r="M395" s="112">
        <f>IF($C395="","",IF(AND($D395&lt;&gt;"",$E395&lt;&gt;"",$G395&gt;0,$H395&lt;&gt;"",$I395&lt;&gt;""),IF($C395&gt;TODAY(),"İLERİ TARİH","UYGUN"),"EKSİK"))</f>
        <v/>
      </c>
      <c r="N395" s="6" t="n"/>
      <c r="O395" s="6" t="n"/>
    </row>
    <row r="396">
      <c r="A396" s="6" t="n"/>
      <c r="B396" s="112">
        <f>IF($C396="","","GG"&amp;TEXT(ROW()-6,"00000"))</f>
        <v/>
      </c>
      <c r="C396" s="114" t="n"/>
      <c r="D396" s="107" t="n"/>
      <c r="E396" s="108" t="n"/>
      <c r="F396" s="108" t="n"/>
      <c r="G396" s="115" t="n"/>
      <c r="H396" s="107" t="n"/>
      <c r="I396" s="107" t="n"/>
      <c r="J396" s="108" t="n"/>
      <c r="K396" s="108" t="n"/>
      <c r="L396" s="119">
        <f>IF($C396="","",DATE(YEAR($C396),MONTH($C396),1))</f>
        <v/>
      </c>
      <c r="M396" s="112">
        <f>IF($C396="","",IF(AND($D396&lt;&gt;"",$E396&lt;&gt;"",$G396&gt;0,$H396&lt;&gt;"",$I396&lt;&gt;""),IF($C396&gt;TODAY(),"İLERİ TARİH","UYGUN"),"EKSİK"))</f>
        <v/>
      </c>
      <c r="N396" s="6" t="n"/>
      <c r="O396" s="6" t="n"/>
    </row>
    <row r="397">
      <c r="A397" s="6" t="n"/>
      <c r="B397" s="112">
        <f>IF($C397="","","GG"&amp;TEXT(ROW()-6,"00000"))</f>
        <v/>
      </c>
      <c r="C397" s="114" t="n"/>
      <c r="D397" s="107" t="n"/>
      <c r="E397" s="108" t="n"/>
      <c r="F397" s="108" t="n"/>
      <c r="G397" s="115" t="n"/>
      <c r="H397" s="107" t="n"/>
      <c r="I397" s="107" t="n"/>
      <c r="J397" s="108" t="n"/>
      <c r="K397" s="108" t="n"/>
      <c r="L397" s="119">
        <f>IF($C397="","",DATE(YEAR($C397),MONTH($C397),1))</f>
        <v/>
      </c>
      <c r="M397" s="112">
        <f>IF($C397="","",IF(AND($D397&lt;&gt;"",$E397&lt;&gt;"",$G397&gt;0,$H397&lt;&gt;"",$I397&lt;&gt;""),IF($C397&gt;TODAY(),"İLERİ TARİH","UYGUN"),"EKSİK"))</f>
        <v/>
      </c>
      <c r="N397" s="6" t="n"/>
      <c r="O397" s="6" t="n"/>
    </row>
    <row r="398">
      <c r="A398" s="6" t="n"/>
      <c r="B398" s="112">
        <f>IF($C398="","","GG"&amp;TEXT(ROW()-6,"00000"))</f>
        <v/>
      </c>
      <c r="C398" s="114" t="n"/>
      <c r="D398" s="107" t="n"/>
      <c r="E398" s="108" t="n"/>
      <c r="F398" s="108" t="n"/>
      <c r="G398" s="115" t="n"/>
      <c r="H398" s="107" t="n"/>
      <c r="I398" s="107" t="n"/>
      <c r="J398" s="108" t="n"/>
      <c r="K398" s="108" t="n"/>
      <c r="L398" s="119">
        <f>IF($C398="","",DATE(YEAR($C398),MONTH($C398),1))</f>
        <v/>
      </c>
      <c r="M398" s="112">
        <f>IF($C398="","",IF(AND($D398&lt;&gt;"",$E398&lt;&gt;"",$G398&gt;0,$H398&lt;&gt;"",$I398&lt;&gt;""),IF($C398&gt;TODAY(),"İLERİ TARİH","UYGUN"),"EKSİK"))</f>
        <v/>
      </c>
      <c r="N398" s="6" t="n"/>
      <c r="O398" s="6" t="n"/>
    </row>
    <row r="399">
      <c r="A399" s="6" t="n"/>
      <c r="B399" s="112">
        <f>IF($C399="","","GG"&amp;TEXT(ROW()-6,"00000"))</f>
        <v/>
      </c>
      <c r="C399" s="114" t="n"/>
      <c r="D399" s="107" t="n"/>
      <c r="E399" s="108" t="n"/>
      <c r="F399" s="108" t="n"/>
      <c r="G399" s="115" t="n"/>
      <c r="H399" s="107" t="n"/>
      <c r="I399" s="107" t="n"/>
      <c r="J399" s="108" t="n"/>
      <c r="K399" s="108" t="n"/>
      <c r="L399" s="119">
        <f>IF($C399="","",DATE(YEAR($C399),MONTH($C399),1))</f>
        <v/>
      </c>
      <c r="M399" s="112">
        <f>IF($C399="","",IF(AND($D399&lt;&gt;"",$E399&lt;&gt;"",$G399&gt;0,$H399&lt;&gt;"",$I399&lt;&gt;""),IF($C399&gt;TODAY(),"İLERİ TARİH","UYGUN"),"EKSİK"))</f>
        <v/>
      </c>
      <c r="N399" s="6" t="n"/>
      <c r="O399" s="6" t="n"/>
    </row>
    <row r="400">
      <c r="A400" s="6" t="n"/>
      <c r="B400" s="112">
        <f>IF($C400="","","GG"&amp;TEXT(ROW()-6,"00000"))</f>
        <v/>
      </c>
      <c r="C400" s="114" t="n"/>
      <c r="D400" s="107" t="n"/>
      <c r="E400" s="108" t="n"/>
      <c r="F400" s="108" t="n"/>
      <c r="G400" s="115" t="n"/>
      <c r="H400" s="107" t="n"/>
      <c r="I400" s="107" t="n"/>
      <c r="J400" s="108" t="n"/>
      <c r="K400" s="108" t="n"/>
      <c r="L400" s="119">
        <f>IF($C400="","",DATE(YEAR($C400),MONTH($C400),1))</f>
        <v/>
      </c>
      <c r="M400" s="112">
        <f>IF($C400="","",IF(AND($D400&lt;&gt;"",$E400&lt;&gt;"",$G400&gt;0,$H400&lt;&gt;"",$I400&lt;&gt;""),IF($C400&gt;TODAY(),"İLERİ TARİH","UYGUN"),"EKSİK"))</f>
        <v/>
      </c>
      <c r="N400" s="6" t="n"/>
      <c r="O400" s="6" t="n"/>
    </row>
    <row r="401">
      <c r="A401" s="6" t="n"/>
      <c r="B401" s="112">
        <f>IF($C401="","","GG"&amp;TEXT(ROW()-6,"00000"))</f>
        <v/>
      </c>
      <c r="C401" s="114" t="n"/>
      <c r="D401" s="107" t="n"/>
      <c r="E401" s="108" t="n"/>
      <c r="F401" s="108" t="n"/>
      <c r="G401" s="115" t="n"/>
      <c r="H401" s="107" t="n"/>
      <c r="I401" s="107" t="n"/>
      <c r="J401" s="108" t="n"/>
      <c r="K401" s="108" t="n"/>
      <c r="L401" s="119">
        <f>IF($C401="","",DATE(YEAR($C401),MONTH($C401),1))</f>
        <v/>
      </c>
      <c r="M401" s="112">
        <f>IF($C401="","",IF(AND($D401&lt;&gt;"",$E401&lt;&gt;"",$G401&gt;0,$H401&lt;&gt;"",$I401&lt;&gt;""),IF($C401&gt;TODAY(),"İLERİ TARİH","UYGUN"),"EKSİK"))</f>
        <v/>
      </c>
      <c r="N401" s="6" t="n"/>
      <c r="O401" s="6" t="n"/>
    </row>
    <row r="402">
      <c r="A402" s="6" t="n"/>
      <c r="B402" s="112">
        <f>IF($C402="","","GG"&amp;TEXT(ROW()-6,"00000"))</f>
        <v/>
      </c>
      <c r="C402" s="114" t="n"/>
      <c r="D402" s="107" t="n"/>
      <c r="E402" s="108" t="n"/>
      <c r="F402" s="108" t="n"/>
      <c r="G402" s="115" t="n"/>
      <c r="H402" s="107" t="n"/>
      <c r="I402" s="107" t="n"/>
      <c r="J402" s="108" t="n"/>
      <c r="K402" s="108" t="n"/>
      <c r="L402" s="119">
        <f>IF($C402="","",DATE(YEAR($C402),MONTH($C402),1))</f>
        <v/>
      </c>
      <c r="M402" s="112">
        <f>IF($C402="","",IF(AND($D402&lt;&gt;"",$E402&lt;&gt;"",$G402&gt;0,$H402&lt;&gt;"",$I402&lt;&gt;""),IF($C402&gt;TODAY(),"İLERİ TARİH","UYGUN"),"EKSİK"))</f>
        <v/>
      </c>
      <c r="N402" s="6" t="n"/>
      <c r="O402" s="6" t="n"/>
    </row>
    <row r="403">
      <c r="A403" s="6" t="n"/>
      <c r="B403" s="112">
        <f>IF($C403="","","GG"&amp;TEXT(ROW()-6,"00000"))</f>
        <v/>
      </c>
      <c r="C403" s="114" t="n"/>
      <c r="D403" s="107" t="n"/>
      <c r="E403" s="108" t="n"/>
      <c r="F403" s="108" t="n"/>
      <c r="G403" s="115" t="n"/>
      <c r="H403" s="107" t="n"/>
      <c r="I403" s="107" t="n"/>
      <c r="J403" s="108" t="n"/>
      <c r="K403" s="108" t="n"/>
      <c r="L403" s="119">
        <f>IF($C403="","",DATE(YEAR($C403),MONTH($C403),1))</f>
        <v/>
      </c>
      <c r="M403" s="112">
        <f>IF($C403="","",IF(AND($D403&lt;&gt;"",$E403&lt;&gt;"",$G403&gt;0,$H403&lt;&gt;"",$I403&lt;&gt;""),IF($C403&gt;TODAY(),"İLERİ TARİH","UYGUN"),"EKSİK"))</f>
        <v/>
      </c>
      <c r="N403" s="6" t="n"/>
      <c r="O403" s="6" t="n"/>
    </row>
    <row r="404">
      <c r="A404" s="6" t="n"/>
      <c r="B404" s="112">
        <f>IF($C404="","","GG"&amp;TEXT(ROW()-6,"00000"))</f>
        <v/>
      </c>
      <c r="C404" s="114" t="n"/>
      <c r="D404" s="107" t="n"/>
      <c r="E404" s="108" t="n"/>
      <c r="F404" s="108" t="n"/>
      <c r="G404" s="115" t="n"/>
      <c r="H404" s="107" t="n"/>
      <c r="I404" s="107" t="n"/>
      <c r="J404" s="108" t="n"/>
      <c r="K404" s="108" t="n"/>
      <c r="L404" s="119">
        <f>IF($C404="","",DATE(YEAR($C404),MONTH($C404),1))</f>
        <v/>
      </c>
      <c r="M404" s="112">
        <f>IF($C404="","",IF(AND($D404&lt;&gt;"",$E404&lt;&gt;"",$G404&gt;0,$H404&lt;&gt;"",$I404&lt;&gt;""),IF($C404&gt;TODAY(),"İLERİ TARİH","UYGUN"),"EKSİK"))</f>
        <v/>
      </c>
      <c r="N404" s="6" t="n"/>
      <c r="O404" s="6" t="n"/>
    </row>
    <row r="405">
      <c r="A405" s="6" t="n"/>
      <c r="B405" s="112">
        <f>IF($C405="","","GG"&amp;TEXT(ROW()-6,"00000"))</f>
        <v/>
      </c>
      <c r="C405" s="114" t="n"/>
      <c r="D405" s="107" t="n"/>
      <c r="E405" s="108" t="n"/>
      <c r="F405" s="108" t="n"/>
      <c r="G405" s="115" t="n"/>
      <c r="H405" s="107" t="n"/>
      <c r="I405" s="107" t="n"/>
      <c r="J405" s="108" t="n"/>
      <c r="K405" s="108" t="n"/>
      <c r="L405" s="119">
        <f>IF($C405="","",DATE(YEAR($C405),MONTH($C405),1))</f>
        <v/>
      </c>
      <c r="M405" s="112">
        <f>IF($C405="","",IF(AND($D405&lt;&gt;"",$E405&lt;&gt;"",$G405&gt;0,$H405&lt;&gt;"",$I405&lt;&gt;""),IF($C405&gt;TODAY(),"İLERİ TARİH","UYGUN"),"EKSİK"))</f>
        <v/>
      </c>
      <c r="N405" s="6" t="n"/>
      <c r="O405" s="6" t="n"/>
    </row>
    <row r="406">
      <c r="A406" s="6" t="n"/>
      <c r="B406" s="112">
        <f>IF($C406="","","GG"&amp;TEXT(ROW()-6,"00000"))</f>
        <v/>
      </c>
      <c r="C406" s="114" t="n"/>
      <c r="D406" s="107" t="n"/>
      <c r="E406" s="108" t="n"/>
      <c r="F406" s="108" t="n"/>
      <c r="G406" s="115" t="n"/>
      <c r="H406" s="107" t="n"/>
      <c r="I406" s="107" t="n"/>
      <c r="J406" s="108" t="n"/>
      <c r="K406" s="108" t="n"/>
      <c r="L406" s="119">
        <f>IF($C406="","",DATE(YEAR($C406),MONTH($C406),1))</f>
        <v/>
      </c>
      <c r="M406" s="112">
        <f>IF($C406="","",IF(AND($D406&lt;&gt;"",$E406&lt;&gt;"",$G406&gt;0,$H406&lt;&gt;"",$I406&lt;&gt;""),IF($C406&gt;TODAY(),"İLERİ TARİH","UYGUN"),"EKSİK"))</f>
        <v/>
      </c>
      <c r="N406" s="6" t="n"/>
      <c r="O406" s="6" t="n"/>
    </row>
    <row r="407">
      <c r="A407" s="6" t="n"/>
      <c r="B407" s="112">
        <f>IF($C407="","","GG"&amp;TEXT(ROW()-6,"00000"))</f>
        <v/>
      </c>
      <c r="C407" s="114" t="n"/>
      <c r="D407" s="107" t="n"/>
      <c r="E407" s="108" t="n"/>
      <c r="F407" s="108" t="n"/>
      <c r="G407" s="115" t="n"/>
      <c r="H407" s="107" t="n"/>
      <c r="I407" s="107" t="n"/>
      <c r="J407" s="108" t="n"/>
      <c r="K407" s="108" t="n"/>
      <c r="L407" s="119">
        <f>IF($C407="","",DATE(YEAR($C407),MONTH($C407),1))</f>
        <v/>
      </c>
      <c r="M407" s="112">
        <f>IF($C407="","",IF(AND($D407&lt;&gt;"",$E407&lt;&gt;"",$G407&gt;0,$H407&lt;&gt;"",$I407&lt;&gt;""),IF($C407&gt;TODAY(),"İLERİ TARİH","UYGUN"),"EKSİK"))</f>
        <v/>
      </c>
      <c r="N407" s="6" t="n"/>
      <c r="O407" s="6" t="n"/>
    </row>
    <row r="408">
      <c r="A408" s="6" t="n"/>
      <c r="B408" s="112">
        <f>IF($C408="","","GG"&amp;TEXT(ROW()-6,"00000"))</f>
        <v/>
      </c>
      <c r="C408" s="114" t="n"/>
      <c r="D408" s="107" t="n"/>
      <c r="E408" s="108" t="n"/>
      <c r="F408" s="108" t="n"/>
      <c r="G408" s="115" t="n"/>
      <c r="H408" s="107" t="n"/>
      <c r="I408" s="107" t="n"/>
      <c r="J408" s="108" t="n"/>
      <c r="K408" s="108" t="n"/>
      <c r="L408" s="119">
        <f>IF($C408="","",DATE(YEAR($C408),MONTH($C408),1))</f>
        <v/>
      </c>
      <c r="M408" s="112">
        <f>IF($C408="","",IF(AND($D408&lt;&gt;"",$E408&lt;&gt;"",$G408&gt;0,$H408&lt;&gt;"",$I408&lt;&gt;""),IF($C408&gt;TODAY(),"İLERİ TARİH","UYGUN"),"EKSİK"))</f>
        <v/>
      </c>
      <c r="N408" s="6" t="n"/>
      <c r="O408" s="6" t="n"/>
    </row>
    <row r="409">
      <c r="A409" s="6" t="n"/>
      <c r="B409" s="112">
        <f>IF($C409="","","GG"&amp;TEXT(ROW()-6,"00000"))</f>
        <v/>
      </c>
      <c r="C409" s="114" t="n"/>
      <c r="D409" s="107" t="n"/>
      <c r="E409" s="108" t="n"/>
      <c r="F409" s="108" t="n"/>
      <c r="G409" s="115" t="n"/>
      <c r="H409" s="107" t="n"/>
      <c r="I409" s="107" t="n"/>
      <c r="J409" s="108" t="n"/>
      <c r="K409" s="108" t="n"/>
      <c r="L409" s="119">
        <f>IF($C409="","",DATE(YEAR($C409),MONTH($C409),1))</f>
        <v/>
      </c>
      <c r="M409" s="112">
        <f>IF($C409="","",IF(AND($D409&lt;&gt;"",$E409&lt;&gt;"",$G409&gt;0,$H409&lt;&gt;"",$I409&lt;&gt;""),IF($C409&gt;TODAY(),"İLERİ TARİH","UYGUN"),"EKSİK"))</f>
        <v/>
      </c>
      <c r="N409" s="6" t="n"/>
      <c r="O409" s="6" t="n"/>
    </row>
    <row r="410">
      <c r="A410" s="6" t="n"/>
      <c r="B410" s="112">
        <f>IF($C410="","","GG"&amp;TEXT(ROW()-6,"00000"))</f>
        <v/>
      </c>
      <c r="C410" s="114" t="n"/>
      <c r="D410" s="107" t="n"/>
      <c r="E410" s="108" t="n"/>
      <c r="F410" s="108" t="n"/>
      <c r="G410" s="115" t="n"/>
      <c r="H410" s="107" t="n"/>
      <c r="I410" s="107" t="n"/>
      <c r="J410" s="108" t="n"/>
      <c r="K410" s="108" t="n"/>
      <c r="L410" s="119">
        <f>IF($C410="","",DATE(YEAR($C410),MONTH($C410),1))</f>
        <v/>
      </c>
      <c r="M410" s="112">
        <f>IF($C410="","",IF(AND($D410&lt;&gt;"",$E410&lt;&gt;"",$G410&gt;0,$H410&lt;&gt;"",$I410&lt;&gt;""),IF($C410&gt;TODAY(),"İLERİ TARİH","UYGUN"),"EKSİK"))</f>
        <v/>
      </c>
      <c r="N410" s="6" t="n"/>
      <c r="O410" s="6" t="n"/>
    </row>
    <row r="411">
      <c r="A411" s="6" t="n"/>
      <c r="B411" s="112">
        <f>IF($C411="","","GG"&amp;TEXT(ROW()-6,"00000"))</f>
        <v/>
      </c>
      <c r="C411" s="114" t="n"/>
      <c r="D411" s="107" t="n"/>
      <c r="E411" s="108" t="n"/>
      <c r="F411" s="108" t="n"/>
      <c r="G411" s="115" t="n"/>
      <c r="H411" s="107" t="n"/>
      <c r="I411" s="107" t="n"/>
      <c r="J411" s="108" t="n"/>
      <c r="K411" s="108" t="n"/>
      <c r="L411" s="119">
        <f>IF($C411="","",DATE(YEAR($C411),MONTH($C411),1))</f>
        <v/>
      </c>
      <c r="M411" s="112">
        <f>IF($C411="","",IF(AND($D411&lt;&gt;"",$E411&lt;&gt;"",$G411&gt;0,$H411&lt;&gt;"",$I411&lt;&gt;""),IF($C411&gt;TODAY(),"İLERİ TARİH","UYGUN"),"EKSİK"))</f>
        <v/>
      </c>
      <c r="N411" s="6" t="n"/>
      <c r="O411" s="6" t="n"/>
    </row>
    <row r="412">
      <c r="A412" s="6" t="n"/>
      <c r="B412" s="112">
        <f>IF($C412="","","GG"&amp;TEXT(ROW()-6,"00000"))</f>
        <v/>
      </c>
      <c r="C412" s="114" t="n"/>
      <c r="D412" s="107" t="n"/>
      <c r="E412" s="108" t="n"/>
      <c r="F412" s="108" t="n"/>
      <c r="G412" s="115" t="n"/>
      <c r="H412" s="107" t="n"/>
      <c r="I412" s="107" t="n"/>
      <c r="J412" s="108" t="n"/>
      <c r="K412" s="108" t="n"/>
      <c r="L412" s="119">
        <f>IF($C412="","",DATE(YEAR($C412),MONTH($C412),1))</f>
        <v/>
      </c>
      <c r="M412" s="112">
        <f>IF($C412="","",IF(AND($D412&lt;&gt;"",$E412&lt;&gt;"",$G412&gt;0,$H412&lt;&gt;"",$I412&lt;&gt;""),IF($C412&gt;TODAY(),"İLERİ TARİH","UYGUN"),"EKSİK"))</f>
        <v/>
      </c>
      <c r="N412" s="6" t="n"/>
      <c r="O412" s="6" t="n"/>
    </row>
    <row r="413">
      <c r="A413" s="6" t="n"/>
      <c r="B413" s="112">
        <f>IF($C413="","","GG"&amp;TEXT(ROW()-6,"00000"))</f>
        <v/>
      </c>
      <c r="C413" s="114" t="n"/>
      <c r="D413" s="107" t="n"/>
      <c r="E413" s="108" t="n"/>
      <c r="F413" s="108" t="n"/>
      <c r="G413" s="115" t="n"/>
      <c r="H413" s="107" t="n"/>
      <c r="I413" s="107" t="n"/>
      <c r="J413" s="108" t="n"/>
      <c r="K413" s="108" t="n"/>
      <c r="L413" s="119">
        <f>IF($C413="","",DATE(YEAR($C413),MONTH($C413),1))</f>
        <v/>
      </c>
      <c r="M413" s="112">
        <f>IF($C413="","",IF(AND($D413&lt;&gt;"",$E413&lt;&gt;"",$G413&gt;0,$H413&lt;&gt;"",$I413&lt;&gt;""),IF($C413&gt;TODAY(),"İLERİ TARİH","UYGUN"),"EKSİK"))</f>
        <v/>
      </c>
      <c r="N413" s="6" t="n"/>
      <c r="O413" s="6" t="n"/>
    </row>
    <row r="414">
      <c r="A414" s="6" t="n"/>
      <c r="B414" s="112">
        <f>IF($C414="","","GG"&amp;TEXT(ROW()-6,"00000"))</f>
        <v/>
      </c>
      <c r="C414" s="114" t="n"/>
      <c r="D414" s="107" t="n"/>
      <c r="E414" s="108" t="n"/>
      <c r="F414" s="108" t="n"/>
      <c r="G414" s="115" t="n"/>
      <c r="H414" s="107" t="n"/>
      <c r="I414" s="107" t="n"/>
      <c r="J414" s="108" t="n"/>
      <c r="K414" s="108" t="n"/>
      <c r="L414" s="119">
        <f>IF($C414="","",DATE(YEAR($C414),MONTH($C414),1))</f>
        <v/>
      </c>
      <c r="M414" s="112">
        <f>IF($C414="","",IF(AND($D414&lt;&gt;"",$E414&lt;&gt;"",$G414&gt;0,$H414&lt;&gt;"",$I414&lt;&gt;""),IF($C414&gt;TODAY(),"İLERİ TARİH","UYGUN"),"EKSİK"))</f>
        <v/>
      </c>
      <c r="N414" s="6" t="n"/>
      <c r="O414" s="6" t="n"/>
    </row>
    <row r="415">
      <c r="A415" s="6" t="n"/>
      <c r="B415" s="112">
        <f>IF($C415="","","GG"&amp;TEXT(ROW()-6,"00000"))</f>
        <v/>
      </c>
      <c r="C415" s="114" t="n"/>
      <c r="D415" s="107" t="n"/>
      <c r="E415" s="108" t="n"/>
      <c r="F415" s="108" t="n"/>
      <c r="G415" s="115" t="n"/>
      <c r="H415" s="107" t="n"/>
      <c r="I415" s="107" t="n"/>
      <c r="J415" s="108" t="n"/>
      <c r="K415" s="108" t="n"/>
      <c r="L415" s="119">
        <f>IF($C415="","",DATE(YEAR($C415),MONTH($C415),1))</f>
        <v/>
      </c>
      <c r="M415" s="112">
        <f>IF($C415="","",IF(AND($D415&lt;&gt;"",$E415&lt;&gt;"",$G415&gt;0,$H415&lt;&gt;"",$I415&lt;&gt;""),IF($C415&gt;TODAY(),"İLERİ TARİH","UYGUN"),"EKSİK"))</f>
        <v/>
      </c>
      <c r="N415" s="6" t="n"/>
      <c r="O415" s="6" t="n"/>
    </row>
    <row r="416">
      <c r="A416" s="6" t="n"/>
      <c r="B416" s="112">
        <f>IF($C416="","","GG"&amp;TEXT(ROW()-6,"00000"))</f>
        <v/>
      </c>
      <c r="C416" s="114" t="n"/>
      <c r="D416" s="107" t="n"/>
      <c r="E416" s="108" t="n"/>
      <c r="F416" s="108" t="n"/>
      <c r="G416" s="115" t="n"/>
      <c r="H416" s="107" t="n"/>
      <c r="I416" s="107" t="n"/>
      <c r="J416" s="108" t="n"/>
      <c r="K416" s="108" t="n"/>
      <c r="L416" s="119">
        <f>IF($C416="","",DATE(YEAR($C416),MONTH($C416),1))</f>
        <v/>
      </c>
      <c r="M416" s="112">
        <f>IF($C416="","",IF(AND($D416&lt;&gt;"",$E416&lt;&gt;"",$G416&gt;0,$H416&lt;&gt;"",$I416&lt;&gt;""),IF($C416&gt;TODAY(),"İLERİ TARİH","UYGUN"),"EKSİK"))</f>
        <v/>
      </c>
      <c r="N416" s="6" t="n"/>
      <c r="O416" s="6" t="n"/>
    </row>
    <row r="417">
      <c r="A417" s="6" t="n"/>
      <c r="B417" s="112">
        <f>IF($C417="","","GG"&amp;TEXT(ROW()-6,"00000"))</f>
        <v/>
      </c>
      <c r="C417" s="114" t="n"/>
      <c r="D417" s="107" t="n"/>
      <c r="E417" s="108" t="n"/>
      <c r="F417" s="108" t="n"/>
      <c r="G417" s="115" t="n"/>
      <c r="H417" s="107" t="n"/>
      <c r="I417" s="107" t="n"/>
      <c r="J417" s="108" t="n"/>
      <c r="K417" s="108" t="n"/>
      <c r="L417" s="119">
        <f>IF($C417="","",DATE(YEAR($C417),MONTH($C417),1))</f>
        <v/>
      </c>
      <c r="M417" s="112">
        <f>IF($C417="","",IF(AND($D417&lt;&gt;"",$E417&lt;&gt;"",$G417&gt;0,$H417&lt;&gt;"",$I417&lt;&gt;""),IF($C417&gt;TODAY(),"İLERİ TARİH","UYGUN"),"EKSİK"))</f>
        <v/>
      </c>
      <c r="N417" s="6" t="n"/>
      <c r="O417" s="6" t="n"/>
    </row>
    <row r="418">
      <c r="A418" s="6" t="n"/>
      <c r="B418" s="112">
        <f>IF($C418="","","GG"&amp;TEXT(ROW()-6,"00000"))</f>
        <v/>
      </c>
      <c r="C418" s="114" t="n"/>
      <c r="D418" s="107" t="n"/>
      <c r="E418" s="108" t="n"/>
      <c r="F418" s="108" t="n"/>
      <c r="G418" s="115" t="n"/>
      <c r="H418" s="107" t="n"/>
      <c r="I418" s="107" t="n"/>
      <c r="J418" s="108" t="n"/>
      <c r="K418" s="108" t="n"/>
      <c r="L418" s="119">
        <f>IF($C418="","",DATE(YEAR($C418),MONTH($C418),1))</f>
        <v/>
      </c>
      <c r="M418" s="112">
        <f>IF($C418="","",IF(AND($D418&lt;&gt;"",$E418&lt;&gt;"",$G418&gt;0,$H418&lt;&gt;"",$I418&lt;&gt;""),IF($C418&gt;TODAY(),"İLERİ TARİH","UYGUN"),"EKSİK"))</f>
        <v/>
      </c>
      <c r="N418" s="6" t="n"/>
      <c r="O418" s="6" t="n"/>
    </row>
    <row r="419">
      <c r="A419" s="6" t="n"/>
      <c r="B419" s="112">
        <f>IF($C419="","","GG"&amp;TEXT(ROW()-6,"00000"))</f>
        <v/>
      </c>
      <c r="C419" s="114" t="n"/>
      <c r="D419" s="107" t="n"/>
      <c r="E419" s="108" t="n"/>
      <c r="F419" s="108" t="n"/>
      <c r="G419" s="115" t="n"/>
      <c r="H419" s="107" t="n"/>
      <c r="I419" s="107" t="n"/>
      <c r="J419" s="108" t="n"/>
      <c r="K419" s="108" t="n"/>
      <c r="L419" s="119">
        <f>IF($C419="","",DATE(YEAR($C419),MONTH($C419),1))</f>
        <v/>
      </c>
      <c r="M419" s="112">
        <f>IF($C419="","",IF(AND($D419&lt;&gt;"",$E419&lt;&gt;"",$G419&gt;0,$H419&lt;&gt;"",$I419&lt;&gt;""),IF($C419&gt;TODAY(),"İLERİ TARİH","UYGUN"),"EKSİK"))</f>
        <v/>
      </c>
      <c r="N419" s="6" t="n"/>
      <c r="O419" s="6" t="n"/>
    </row>
    <row r="420">
      <c r="A420" s="6" t="n"/>
      <c r="B420" s="112">
        <f>IF($C420="","","GG"&amp;TEXT(ROW()-6,"00000"))</f>
        <v/>
      </c>
      <c r="C420" s="114" t="n"/>
      <c r="D420" s="107" t="n"/>
      <c r="E420" s="108" t="n"/>
      <c r="F420" s="108" t="n"/>
      <c r="G420" s="115" t="n"/>
      <c r="H420" s="107" t="n"/>
      <c r="I420" s="107" t="n"/>
      <c r="J420" s="108" t="n"/>
      <c r="K420" s="108" t="n"/>
      <c r="L420" s="119">
        <f>IF($C420="","",DATE(YEAR($C420),MONTH($C420),1))</f>
        <v/>
      </c>
      <c r="M420" s="112">
        <f>IF($C420="","",IF(AND($D420&lt;&gt;"",$E420&lt;&gt;"",$G420&gt;0,$H420&lt;&gt;"",$I420&lt;&gt;""),IF($C420&gt;TODAY(),"İLERİ TARİH","UYGUN"),"EKSİK"))</f>
        <v/>
      </c>
      <c r="N420" s="6" t="n"/>
      <c r="O420" s="6" t="n"/>
    </row>
    <row r="421">
      <c r="A421" s="6" t="n"/>
      <c r="B421" s="112">
        <f>IF($C421="","","GG"&amp;TEXT(ROW()-6,"00000"))</f>
        <v/>
      </c>
      <c r="C421" s="114" t="n"/>
      <c r="D421" s="107" t="n"/>
      <c r="E421" s="108" t="n"/>
      <c r="F421" s="108" t="n"/>
      <c r="G421" s="115" t="n"/>
      <c r="H421" s="107" t="n"/>
      <c r="I421" s="107" t="n"/>
      <c r="J421" s="108" t="n"/>
      <c r="K421" s="108" t="n"/>
      <c r="L421" s="119">
        <f>IF($C421="","",DATE(YEAR($C421),MONTH($C421),1))</f>
        <v/>
      </c>
      <c r="M421" s="112">
        <f>IF($C421="","",IF(AND($D421&lt;&gt;"",$E421&lt;&gt;"",$G421&gt;0,$H421&lt;&gt;"",$I421&lt;&gt;""),IF($C421&gt;TODAY(),"İLERİ TARİH","UYGUN"),"EKSİK"))</f>
        <v/>
      </c>
      <c r="N421" s="6" t="n"/>
      <c r="O421" s="6" t="n"/>
    </row>
    <row r="422">
      <c r="A422" s="6" t="n"/>
      <c r="B422" s="112">
        <f>IF($C422="","","GG"&amp;TEXT(ROW()-6,"00000"))</f>
        <v/>
      </c>
      <c r="C422" s="114" t="n"/>
      <c r="D422" s="107" t="n"/>
      <c r="E422" s="108" t="n"/>
      <c r="F422" s="108" t="n"/>
      <c r="G422" s="115" t="n"/>
      <c r="H422" s="107" t="n"/>
      <c r="I422" s="107" t="n"/>
      <c r="J422" s="108" t="n"/>
      <c r="K422" s="108" t="n"/>
      <c r="L422" s="119">
        <f>IF($C422="","",DATE(YEAR($C422),MONTH($C422),1))</f>
        <v/>
      </c>
      <c r="M422" s="112">
        <f>IF($C422="","",IF(AND($D422&lt;&gt;"",$E422&lt;&gt;"",$G422&gt;0,$H422&lt;&gt;"",$I422&lt;&gt;""),IF($C422&gt;TODAY(),"İLERİ TARİH","UYGUN"),"EKSİK"))</f>
        <v/>
      </c>
      <c r="N422" s="6" t="n"/>
      <c r="O422" s="6" t="n"/>
    </row>
    <row r="423">
      <c r="A423" s="6" t="n"/>
      <c r="B423" s="112">
        <f>IF($C423="","","GG"&amp;TEXT(ROW()-6,"00000"))</f>
        <v/>
      </c>
      <c r="C423" s="114" t="n"/>
      <c r="D423" s="107" t="n"/>
      <c r="E423" s="108" t="n"/>
      <c r="F423" s="108" t="n"/>
      <c r="G423" s="115" t="n"/>
      <c r="H423" s="107" t="n"/>
      <c r="I423" s="107" t="n"/>
      <c r="J423" s="108" t="n"/>
      <c r="K423" s="108" t="n"/>
      <c r="L423" s="119">
        <f>IF($C423="","",DATE(YEAR($C423),MONTH($C423),1))</f>
        <v/>
      </c>
      <c r="M423" s="112">
        <f>IF($C423="","",IF(AND($D423&lt;&gt;"",$E423&lt;&gt;"",$G423&gt;0,$H423&lt;&gt;"",$I423&lt;&gt;""),IF($C423&gt;TODAY(),"İLERİ TARİH","UYGUN"),"EKSİK"))</f>
        <v/>
      </c>
      <c r="N423" s="6" t="n"/>
      <c r="O423" s="6" t="n"/>
    </row>
    <row r="424">
      <c r="A424" s="6" t="n"/>
      <c r="B424" s="112">
        <f>IF($C424="","","GG"&amp;TEXT(ROW()-6,"00000"))</f>
        <v/>
      </c>
      <c r="C424" s="114" t="n"/>
      <c r="D424" s="107" t="n"/>
      <c r="E424" s="108" t="n"/>
      <c r="F424" s="108" t="n"/>
      <c r="G424" s="115" t="n"/>
      <c r="H424" s="107" t="n"/>
      <c r="I424" s="107" t="n"/>
      <c r="J424" s="108" t="n"/>
      <c r="K424" s="108" t="n"/>
      <c r="L424" s="119">
        <f>IF($C424="","",DATE(YEAR($C424),MONTH($C424),1))</f>
        <v/>
      </c>
      <c r="M424" s="112">
        <f>IF($C424="","",IF(AND($D424&lt;&gt;"",$E424&lt;&gt;"",$G424&gt;0,$H424&lt;&gt;"",$I424&lt;&gt;""),IF($C424&gt;TODAY(),"İLERİ TARİH","UYGUN"),"EKSİK"))</f>
        <v/>
      </c>
      <c r="N424" s="6" t="n"/>
      <c r="O424" s="6" t="n"/>
    </row>
    <row r="425">
      <c r="A425" s="6" t="n"/>
      <c r="B425" s="112">
        <f>IF($C425="","","GG"&amp;TEXT(ROW()-6,"00000"))</f>
        <v/>
      </c>
      <c r="C425" s="114" t="n"/>
      <c r="D425" s="107" t="n"/>
      <c r="E425" s="108" t="n"/>
      <c r="F425" s="108" t="n"/>
      <c r="G425" s="115" t="n"/>
      <c r="H425" s="107" t="n"/>
      <c r="I425" s="107" t="n"/>
      <c r="J425" s="108" t="n"/>
      <c r="K425" s="108" t="n"/>
      <c r="L425" s="119">
        <f>IF($C425="","",DATE(YEAR($C425),MONTH($C425),1))</f>
        <v/>
      </c>
      <c r="M425" s="112">
        <f>IF($C425="","",IF(AND($D425&lt;&gt;"",$E425&lt;&gt;"",$G425&gt;0,$H425&lt;&gt;"",$I425&lt;&gt;""),IF($C425&gt;TODAY(),"İLERİ TARİH","UYGUN"),"EKSİK"))</f>
        <v/>
      </c>
      <c r="N425" s="6" t="n"/>
      <c r="O425" s="6" t="n"/>
    </row>
    <row r="426">
      <c r="A426" s="6" t="n"/>
      <c r="B426" s="112">
        <f>IF($C426="","","GG"&amp;TEXT(ROW()-6,"00000"))</f>
        <v/>
      </c>
      <c r="C426" s="114" t="n"/>
      <c r="D426" s="107" t="n"/>
      <c r="E426" s="108" t="n"/>
      <c r="F426" s="108" t="n"/>
      <c r="G426" s="115" t="n"/>
      <c r="H426" s="107" t="n"/>
      <c r="I426" s="107" t="n"/>
      <c r="J426" s="108" t="n"/>
      <c r="K426" s="108" t="n"/>
      <c r="L426" s="119">
        <f>IF($C426="","",DATE(YEAR($C426),MONTH($C426),1))</f>
        <v/>
      </c>
      <c r="M426" s="112">
        <f>IF($C426="","",IF(AND($D426&lt;&gt;"",$E426&lt;&gt;"",$G426&gt;0,$H426&lt;&gt;"",$I426&lt;&gt;""),IF($C426&gt;TODAY(),"İLERİ TARİH","UYGUN"),"EKSİK"))</f>
        <v/>
      </c>
      <c r="N426" s="6" t="n"/>
      <c r="O426" s="6" t="n"/>
    </row>
    <row r="427">
      <c r="A427" s="6" t="n"/>
      <c r="B427" s="112">
        <f>IF($C427="","","GG"&amp;TEXT(ROW()-6,"00000"))</f>
        <v/>
      </c>
      <c r="C427" s="114" t="n"/>
      <c r="D427" s="107" t="n"/>
      <c r="E427" s="108" t="n"/>
      <c r="F427" s="108" t="n"/>
      <c r="G427" s="115" t="n"/>
      <c r="H427" s="107" t="n"/>
      <c r="I427" s="107" t="n"/>
      <c r="J427" s="108" t="n"/>
      <c r="K427" s="108" t="n"/>
      <c r="L427" s="119">
        <f>IF($C427="","",DATE(YEAR($C427),MONTH($C427),1))</f>
        <v/>
      </c>
      <c r="M427" s="112">
        <f>IF($C427="","",IF(AND($D427&lt;&gt;"",$E427&lt;&gt;"",$G427&gt;0,$H427&lt;&gt;"",$I427&lt;&gt;""),IF($C427&gt;TODAY(),"İLERİ TARİH","UYGUN"),"EKSİK"))</f>
        <v/>
      </c>
      <c r="N427" s="6" t="n"/>
      <c r="O427" s="6" t="n"/>
    </row>
    <row r="428">
      <c r="A428" s="6" t="n"/>
      <c r="B428" s="112">
        <f>IF($C428="","","GG"&amp;TEXT(ROW()-6,"00000"))</f>
        <v/>
      </c>
      <c r="C428" s="114" t="n"/>
      <c r="D428" s="107" t="n"/>
      <c r="E428" s="108" t="n"/>
      <c r="F428" s="108" t="n"/>
      <c r="G428" s="115" t="n"/>
      <c r="H428" s="107" t="n"/>
      <c r="I428" s="107" t="n"/>
      <c r="J428" s="108" t="n"/>
      <c r="K428" s="108" t="n"/>
      <c r="L428" s="119">
        <f>IF($C428="","",DATE(YEAR($C428),MONTH($C428),1))</f>
        <v/>
      </c>
      <c r="M428" s="112">
        <f>IF($C428="","",IF(AND($D428&lt;&gt;"",$E428&lt;&gt;"",$G428&gt;0,$H428&lt;&gt;"",$I428&lt;&gt;""),IF($C428&gt;TODAY(),"İLERİ TARİH","UYGUN"),"EKSİK"))</f>
        <v/>
      </c>
      <c r="N428" s="6" t="n"/>
      <c r="O428" s="6" t="n"/>
    </row>
    <row r="429">
      <c r="A429" s="6" t="n"/>
      <c r="B429" s="112">
        <f>IF($C429="","","GG"&amp;TEXT(ROW()-6,"00000"))</f>
        <v/>
      </c>
      <c r="C429" s="114" t="n"/>
      <c r="D429" s="107" t="n"/>
      <c r="E429" s="108" t="n"/>
      <c r="F429" s="108" t="n"/>
      <c r="G429" s="115" t="n"/>
      <c r="H429" s="107" t="n"/>
      <c r="I429" s="107" t="n"/>
      <c r="J429" s="108" t="n"/>
      <c r="K429" s="108" t="n"/>
      <c r="L429" s="119">
        <f>IF($C429="","",DATE(YEAR($C429),MONTH($C429),1))</f>
        <v/>
      </c>
      <c r="M429" s="112">
        <f>IF($C429="","",IF(AND($D429&lt;&gt;"",$E429&lt;&gt;"",$G429&gt;0,$H429&lt;&gt;"",$I429&lt;&gt;""),IF($C429&gt;TODAY(),"İLERİ TARİH","UYGUN"),"EKSİK"))</f>
        <v/>
      </c>
      <c r="N429" s="6" t="n"/>
      <c r="O429" s="6" t="n"/>
    </row>
    <row r="430">
      <c r="A430" s="6" t="n"/>
      <c r="B430" s="112">
        <f>IF($C430="","","GG"&amp;TEXT(ROW()-6,"00000"))</f>
        <v/>
      </c>
      <c r="C430" s="114" t="n"/>
      <c r="D430" s="107" t="n"/>
      <c r="E430" s="108" t="n"/>
      <c r="F430" s="108" t="n"/>
      <c r="G430" s="115" t="n"/>
      <c r="H430" s="107" t="n"/>
      <c r="I430" s="107" t="n"/>
      <c r="J430" s="108" t="n"/>
      <c r="K430" s="108" t="n"/>
      <c r="L430" s="119">
        <f>IF($C430="","",DATE(YEAR($C430),MONTH($C430),1))</f>
        <v/>
      </c>
      <c r="M430" s="112">
        <f>IF($C430="","",IF(AND($D430&lt;&gt;"",$E430&lt;&gt;"",$G430&gt;0,$H430&lt;&gt;"",$I430&lt;&gt;""),IF($C430&gt;TODAY(),"İLERİ TARİH","UYGUN"),"EKSİK"))</f>
        <v/>
      </c>
      <c r="N430" s="6" t="n"/>
      <c r="O430" s="6" t="n"/>
    </row>
    <row r="431">
      <c r="A431" s="6" t="n"/>
      <c r="B431" s="112">
        <f>IF($C431="","","GG"&amp;TEXT(ROW()-6,"00000"))</f>
        <v/>
      </c>
      <c r="C431" s="114" t="n"/>
      <c r="D431" s="107" t="n"/>
      <c r="E431" s="108" t="n"/>
      <c r="F431" s="108" t="n"/>
      <c r="G431" s="115" t="n"/>
      <c r="H431" s="107" t="n"/>
      <c r="I431" s="107" t="n"/>
      <c r="J431" s="108" t="n"/>
      <c r="K431" s="108" t="n"/>
      <c r="L431" s="119">
        <f>IF($C431="","",DATE(YEAR($C431),MONTH($C431),1))</f>
        <v/>
      </c>
      <c r="M431" s="112">
        <f>IF($C431="","",IF(AND($D431&lt;&gt;"",$E431&lt;&gt;"",$G431&gt;0,$H431&lt;&gt;"",$I431&lt;&gt;""),IF($C431&gt;TODAY(),"İLERİ TARİH","UYGUN"),"EKSİK"))</f>
        <v/>
      </c>
      <c r="N431" s="6" t="n"/>
      <c r="O431" s="6" t="n"/>
    </row>
    <row r="432">
      <c r="A432" s="6" t="n"/>
      <c r="B432" s="112">
        <f>IF($C432="","","GG"&amp;TEXT(ROW()-6,"00000"))</f>
        <v/>
      </c>
      <c r="C432" s="114" t="n"/>
      <c r="D432" s="107" t="n"/>
      <c r="E432" s="108" t="n"/>
      <c r="F432" s="108" t="n"/>
      <c r="G432" s="115" t="n"/>
      <c r="H432" s="107" t="n"/>
      <c r="I432" s="107" t="n"/>
      <c r="J432" s="108" t="n"/>
      <c r="K432" s="108" t="n"/>
      <c r="L432" s="119">
        <f>IF($C432="","",DATE(YEAR($C432),MONTH($C432),1))</f>
        <v/>
      </c>
      <c r="M432" s="112">
        <f>IF($C432="","",IF(AND($D432&lt;&gt;"",$E432&lt;&gt;"",$G432&gt;0,$H432&lt;&gt;"",$I432&lt;&gt;""),IF($C432&gt;TODAY(),"İLERİ TARİH","UYGUN"),"EKSİK"))</f>
        <v/>
      </c>
      <c r="N432" s="6" t="n"/>
      <c r="O432" s="6" t="n"/>
    </row>
    <row r="433">
      <c r="A433" s="6" t="n"/>
      <c r="B433" s="112">
        <f>IF($C433="","","GG"&amp;TEXT(ROW()-6,"00000"))</f>
        <v/>
      </c>
      <c r="C433" s="114" t="n"/>
      <c r="D433" s="107" t="n"/>
      <c r="E433" s="108" t="n"/>
      <c r="F433" s="108" t="n"/>
      <c r="G433" s="115" t="n"/>
      <c r="H433" s="107" t="n"/>
      <c r="I433" s="107" t="n"/>
      <c r="J433" s="108" t="n"/>
      <c r="K433" s="108" t="n"/>
      <c r="L433" s="119">
        <f>IF($C433="","",DATE(YEAR($C433),MONTH($C433),1))</f>
        <v/>
      </c>
      <c r="M433" s="112">
        <f>IF($C433="","",IF(AND($D433&lt;&gt;"",$E433&lt;&gt;"",$G433&gt;0,$H433&lt;&gt;"",$I433&lt;&gt;""),IF($C433&gt;TODAY(),"İLERİ TARİH","UYGUN"),"EKSİK"))</f>
        <v/>
      </c>
      <c r="N433" s="6" t="n"/>
      <c r="O433" s="6" t="n"/>
    </row>
    <row r="434">
      <c r="A434" s="6" t="n"/>
      <c r="B434" s="112">
        <f>IF($C434="","","GG"&amp;TEXT(ROW()-6,"00000"))</f>
        <v/>
      </c>
      <c r="C434" s="114" t="n"/>
      <c r="D434" s="107" t="n"/>
      <c r="E434" s="108" t="n"/>
      <c r="F434" s="108" t="n"/>
      <c r="G434" s="115" t="n"/>
      <c r="H434" s="107" t="n"/>
      <c r="I434" s="107" t="n"/>
      <c r="J434" s="108" t="n"/>
      <c r="K434" s="108" t="n"/>
      <c r="L434" s="119">
        <f>IF($C434="","",DATE(YEAR($C434),MONTH($C434),1))</f>
        <v/>
      </c>
      <c r="M434" s="112">
        <f>IF($C434="","",IF(AND($D434&lt;&gt;"",$E434&lt;&gt;"",$G434&gt;0,$H434&lt;&gt;"",$I434&lt;&gt;""),IF($C434&gt;TODAY(),"İLERİ TARİH","UYGUN"),"EKSİK"))</f>
        <v/>
      </c>
      <c r="N434" s="6" t="n"/>
      <c r="O434" s="6" t="n"/>
    </row>
    <row r="435">
      <c r="A435" s="6" t="n"/>
      <c r="B435" s="112">
        <f>IF($C435="","","GG"&amp;TEXT(ROW()-6,"00000"))</f>
        <v/>
      </c>
      <c r="C435" s="114" t="n"/>
      <c r="D435" s="107" t="n"/>
      <c r="E435" s="108" t="n"/>
      <c r="F435" s="108" t="n"/>
      <c r="G435" s="115" t="n"/>
      <c r="H435" s="107" t="n"/>
      <c r="I435" s="107" t="n"/>
      <c r="J435" s="108" t="n"/>
      <c r="K435" s="108" t="n"/>
      <c r="L435" s="119">
        <f>IF($C435="","",DATE(YEAR($C435),MONTH($C435),1))</f>
        <v/>
      </c>
      <c r="M435" s="112">
        <f>IF($C435="","",IF(AND($D435&lt;&gt;"",$E435&lt;&gt;"",$G435&gt;0,$H435&lt;&gt;"",$I435&lt;&gt;""),IF($C435&gt;TODAY(),"İLERİ TARİH","UYGUN"),"EKSİK"))</f>
        <v/>
      </c>
      <c r="N435" s="6" t="n"/>
      <c r="O435" s="6" t="n"/>
    </row>
    <row r="436">
      <c r="A436" s="6" t="n"/>
      <c r="B436" s="112">
        <f>IF($C436="","","GG"&amp;TEXT(ROW()-6,"00000"))</f>
        <v/>
      </c>
      <c r="C436" s="114" t="n"/>
      <c r="D436" s="107" t="n"/>
      <c r="E436" s="108" t="n"/>
      <c r="F436" s="108" t="n"/>
      <c r="G436" s="115" t="n"/>
      <c r="H436" s="107" t="n"/>
      <c r="I436" s="107" t="n"/>
      <c r="J436" s="108" t="n"/>
      <c r="K436" s="108" t="n"/>
      <c r="L436" s="119">
        <f>IF($C436="","",DATE(YEAR($C436),MONTH($C436),1))</f>
        <v/>
      </c>
      <c r="M436" s="112">
        <f>IF($C436="","",IF(AND($D436&lt;&gt;"",$E436&lt;&gt;"",$G436&gt;0,$H436&lt;&gt;"",$I436&lt;&gt;""),IF($C436&gt;TODAY(),"İLERİ TARİH","UYGUN"),"EKSİK"))</f>
        <v/>
      </c>
      <c r="N436" s="6" t="n"/>
      <c r="O436" s="6" t="n"/>
    </row>
    <row r="437">
      <c r="A437" s="6" t="n"/>
      <c r="B437" s="112">
        <f>IF($C437="","","GG"&amp;TEXT(ROW()-6,"00000"))</f>
        <v/>
      </c>
      <c r="C437" s="114" t="n"/>
      <c r="D437" s="107" t="n"/>
      <c r="E437" s="108" t="n"/>
      <c r="F437" s="108" t="n"/>
      <c r="G437" s="115" t="n"/>
      <c r="H437" s="107" t="n"/>
      <c r="I437" s="107" t="n"/>
      <c r="J437" s="108" t="n"/>
      <c r="K437" s="108" t="n"/>
      <c r="L437" s="119">
        <f>IF($C437="","",DATE(YEAR($C437),MONTH($C437),1))</f>
        <v/>
      </c>
      <c r="M437" s="112">
        <f>IF($C437="","",IF(AND($D437&lt;&gt;"",$E437&lt;&gt;"",$G437&gt;0,$H437&lt;&gt;"",$I437&lt;&gt;""),IF($C437&gt;TODAY(),"İLERİ TARİH","UYGUN"),"EKSİK"))</f>
        <v/>
      </c>
      <c r="N437" s="6" t="n"/>
      <c r="O437" s="6" t="n"/>
    </row>
    <row r="438">
      <c r="A438" s="6" t="n"/>
      <c r="B438" s="112">
        <f>IF($C438="","","GG"&amp;TEXT(ROW()-6,"00000"))</f>
        <v/>
      </c>
      <c r="C438" s="114" t="n"/>
      <c r="D438" s="107" t="n"/>
      <c r="E438" s="108" t="n"/>
      <c r="F438" s="108" t="n"/>
      <c r="G438" s="115" t="n"/>
      <c r="H438" s="107" t="n"/>
      <c r="I438" s="107" t="n"/>
      <c r="J438" s="108" t="n"/>
      <c r="K438" s="108" t="n"/>
      <c r="L438" s="119">
        <f>IF($C438="","",DATE(YEAR($C438),MONTH($C438),1))</f>
        <v/>
      </c>
      <c r="M438" s="112">
        <f>IF($C438="","",IF(AND($D438&lt;&gt;"",$E438&lt;&gt;"",$G438&gt;0,$H438&lt;&gt;"",$I438&lt;&gt;""),IF($C438&gt;TODAY(),"İLERİ TARİH","UYGUN"),"EKSİK"))</f>
        <v/>
      </c>
      <c r="N438" s="6" t="n"/>
      <c r="O438" s="6" t="n"/>
    </row>
    <row r="439">
      <c r="A439" s="6" t="n"/>
      <c r="B439" s="112">
        <f>IF($C439="","","GG"&amp;TEXT(ROW()-6,"00000"))</f>
        <v/>
      </c>
      <c r="C439" s="114" t="n"/>
      <c r="D439" s="107" t="n"/>
      <c r="E439" s="108" t="n"/>
      <c r="F439" s="108" t="n"/>
      <c r="G439" s="115" t="n"/>
      <c r="H439" s="107" t="n"/>
      <c r="I439" s="107" t="n"/>
      <c r="J439" s="108" t="n"/>
      <c r="K439" s="108" t="n"/>
      <c r="L439" s="119">
        <f>IF($C439="","",DATE(YEAR($C439),MONTH($C439),1))</f>
        <v/>
      </c>
      <c r="M439" s="112">
        <f>IF($C439="","",IF(AND($D439&lt;&gt;"",$E439&lt;&gt;"",$G439&gt;0,$H439&lt;&gt;"",$I439&lt;&gt;""),IF($C439&gt;TODAY(),"İLERİ TARİH","UYGUN"),"EKSİK"))</f>
        <v/>
      </c>
      <c r="N439" s="6" t="n"/>
      <c r="O439" s="6" t="n"/>
    </row>
    <row r="440">
      <c r="A440" s="6" t="n"/>
      <c r="B440" s="112">
        <f>IF($C440="","","GG"&amp;TEXT(ROW()-6,"00000"))</f>
        <v/>
      </c>
      <c r="C440" s="114" t="n"/>
      <c r="D440" s="107" t="n"/>
      <c r="E440" s="108" t="n"/>
      <c r="F440" s="108" t="n"/>
      <c r="G440" s="115" t="n"/>
      <c r="H440" s="107" t="n"/>
      <c r="I440" s="107" t="n"/>
      <c r="J440" s="108" t="n"/>
      <c r="K440" s="108" t="n"/>
      <c r="L440" s="119">
        <f>IF($C440="","",DATE(YEAR($C440),MONTH($C440),1))</f>
        <v/>
      </c>
      <c r="M440" s="112">
        <f>IF($C440="","",IF(AND($D440&lt;&gt;"",$E440&lt;&gt;"",$G440&gt;0,$H440&lt;&gt;"",$I440&lt;&gt;""),IF($C440&gt;TODAY(),"İLERİ TARİH","UYGUN"),"EKSİK"))</f>
        <v/>
      </c>
      <c r="N440" s="6" t="n"/>
      <c r="O440" s="6" t="n"/>
    </row>
    <row r="441">
      <c r="A441" s="6" t="n"/>
      <c r="B441" s="112">
        <f>IF($C441="","","GG"&amp;TEXT(ROW()-6,"00000"))</f>
        <v/>
      </c>
      <c r="C441" s="114" t="n"/>
      <c r="D441" s="107" t="n"/>
      <c r="E441" s="108" t="n"/>
      <c r="F441" s="108" t="n"/>
      <c r="G441" s="115" t="n"/>
      <c r="H441" s="107" t="n"/>
      <c r="I441" s="107" t="n"/>
      <c r="J441" s="108" t="n"/>
      <c r="K441" s="108" t="n"/>
      <c r="L441" s="119">
        <f>IF($C441="","",DATE(YEAR($C441),MONTH($C441),1))</f>
        <v/>
      </c>
      <c r="M441" s="112">
        <f>IF($C441="","",IF(AND($D441&lt;&gt;"",$E441&lt;&gt;"",$G441&gt;0,$H441&lt;&gt;"",$I441&lt;&gt;""),IF($C441&gt;TODAY(),"İLERİ TARİH","UYGUN"),"EKSİK"))</f>
        <v/>
      </c>
      <c r="N441" s="6" t="n"/>
      <c r="O441" s="6" t="n"/>
    </row>
    <row r="442">
      <c r="A442" s="6" t="n"/>
      <c r="B442" s="112">
        <f>IF($C442="","","GG"&amp;TEXT(ROW()-6,"00000"))</f>
        <v/>
      </c>
      <c r="C442" s="114" t="n"/>
      <c r="D442" s="107" t="n"/>
      <c r="E442" s="108" t="n"/>
      <c r="F442" s="108" t="n"/>
      <c r="G442" s="115" t="n"/>
      <c r="H442" s="107" t="n"/>
      <c r="I442" s="107" t="n"/>
      <c r="J442" s="108" t="n"/>
      <c r="K442" s="108" t="n"/>
      <c r="L442" s="119">
        <f>IF($C442="","",DATE(YEAR($C442),MONTH($C442),1))</f>
        <v/>
      </c>
      <c r="M442" s="112">
        <f>IF($C442="","",IF(AND($D442&lt;&gt;"",$E442&lt;&gt;"",$G442&gt;0,$H442&lt;&gt;"",$I442&lt;&gt;""),IF($C442&gt;TODAY(),"İLERİ TARİH","UYGUN"),"EKSİK"))</f>
        <v/>
      </c>
      <c r="N442" s="6" t="n"/>
      <c r="O442" s="6" t="n"/>
    </row>
    <row r="443">
      <c r="A443" s="6" t="n"/>
      <c r="B443" s="112">
        <f>IF($C443="","","GG"&amp;TEXT(ROW()-6,"00000"))</f>
        <v/>
      </c>
      <c r="C443" s="114" t="n"/>
      <c r="D443" s="107" t="n"/>
      <c r="E443" s="108" t="n"/>
      <c r="F443" s="108" t="n"/>
      <c r="G443" s="115" t="n"/>
      <c r="H443" s="107" t="n"/>
      <c r="I443" s="107" t="n"/>
      <c r="J443" s="108" t="n"/>
      <c r="K443" s="108" t="n"/>
      <c r="L443" s="119">
        <f>IF($C443="","",DATE(YEAR($C443),MONTH($C443),1))</f>
        <v/>
      </c>
      <c r="M443" s="112">
        <f>IF($C443="","",IF(AND($D443&lt;&gt;"",$E443&lt;&gt;"",$G443&gt;0,$H443&lt;&gt;"",$I443&lt;&gt;""),IF($C443&gt;TODAY(),"İLERİ TARİH","UYGUN"),"EKSİK"))</f>
        <v/>
      </c>
      <c r="N443" s="6" t="n"/>
      <c r="O443" s="6" t="n"/>
    </row>
    <row r="444">
      <c r="A444" s="6" t="n"/>
      <c r="B444" s="112">
        <f>IF($C444="","","GG"&amp;TEXT(ROW()-6,"00000"))</f>
        <v/>
      </c>
      <c r="C444" s="114" t="n"/>
      <c r="D444" s="107" t="n"/>
      <c r="E444" s="108" t="n"/>
      <c r="F444" s="108" t="n"/>
      <c r="G444" s="115" t="n"/>
      <c r="H444" s="107" t="n"/>
      <c r="I444" s="107" t="n"/>
      <c r="J444" s="108" t="n"/>
      <c r="K444" s="108" t="n"/>
      <c r="L444" s="119">
        <f>IF($C444="","",DATE(YEAR($C444),MONTH($C444),1))</f>
        <v/>
      </c>
      <c r="M444" s="112">
        <f>IF($C444="","",IF(AND($D444&lt;&gt;"",$E444&lt;&gt;"",$G444&gt;0,$H444&lt;&gt;"",$I444&lt;&gt;""),IF($C444&gt;TODAY(),"İLERİ TARİH","UYGUN"),"EKSİK"))</f>
        <v/>
      </c>
      <c r="N444" s="6" t="n"/>
      <c r="O444" s="6" t="n"/>
    </row>
    <row r="445">
      <c r="A445" s="6" t="n"/>
      <c r="B445" s="112">
        <f>IF($C445="","","GG"&amp;TEXT(ROW()-6,"00000"))</f>
        <v/>
      </c>
      <c r="C445" s="114" t="n"/>
      <c r="D445" s="107" t="n"/>
      <c r="E445" s="108" t="n"/>
      <c r="F445" s="108" t="n"/>
      <c r="G445" s="115" t="n"/>
      <c r="H445" s="107" t="n"/>
      <c r="I445" s="107" t="n"/>
      <c r="J445" s="108" t="n"/>
      <c r="K445" s="108" t="n"/>
      <c r="L445" s="119">
        <f>IF($C445="","",DATE(YEAR($C445),MONTH($C445),1))</f>
        <v/>
      </c>
      <c r="M445" s="112">
        <f>IF($C445="","",IF(AND($D445&lt;&gt;"",$E445&lt;&gt;"",$G445&gt;0,$H445&lt;&gt;"",$I445&lt;&gt;""),IF($C445&gt;TODAY(),"İLERİ TARİH","UYGUN"),"EKSİK"))</f>
        <v/>
      </c>
      <c r="N445" s="6" t="n"/>
      <c r="O445" s="6" t="n"/>
    </row>
    <row r="446">
      <c r="A446" s="6" t="n"/>
      <c r="B446" s="112">
        <f>IF($C446="","","GG"&amp;TEXT(ROW()-6,"00000"))</f>
        <v/>
      </c>
      <c r="C446" s="114" t="n"/>
      <c r="D446" s="107" t="n"/>
      <c r="E446" s="108" t="n"/>
      <c r="F446" s="108" t="n"/>
      <c r="G446" s="115" t="n"/>
      <c r="H446" s="107" t="n"/>
      <c r="I446" s="107" t="n"/>
      <c r="J446" s="108" t="n"/>
      <c r="K446" s="108" t="n"/>
      <c r="L446" s="119">
        <f>IF($C446="","",DATE(YEAR($C446),MONTH($C446),1))</f>
        <v/>
      </c>
      <c r="M446" s="112">
        <f>IF($C446="","",IF(AND($D446&lt;&gt;"",$E446&lt;&gt;"",$G446&gt;0,$H446&lt;&gt;"",$I446&lt;&gt;""),IF($C446&gt;TODAY(),"İLERİ TARİH","UYGUN"),"EKSİK"))</f>
        <v/>
      </c>
      <c r="N446" s="6" t="n"/>
      <c r="O446" s="6" t="n"/>
    </row>
    <row r="447">
      <c r="A447" s="6" t="n"/>
      <c r="B447" s="112">
        <f>IF($C447="","","GG"&amp;TEXT(ROW()-6,"00000"))</f>
        <v/>
      </c>
      <c r="C447" s="114" t="n"/>
      <c r="D447" s="107" t="n"/>
      <c r="E447" s="108" t="n"/>
      <c r="F447" s="108" t="n"/>
      <c r="G447" s="115" t="n"/>
      <c r="H447" s="107" t="n"/>
      <c r="I447" s="107" t="n"/>
      <c r="J447" s="108" t="n"/>
      <c r="K447" s="108" t="n"/>
      <c r="L447" s="119">
        <f>IF($C447="","",DATE(YEAR($C447),MONTH($C447),1))</f>
        <v/>
      </c>
      <c r="M447" s="112">
        <f>IF($C447="","",IF(AND($D447&lt;&gt;"",$E447&lt;&gt;"",$G447&gt;0,$H447&lt;&gt;"",$I447&lt;&gt;""),IF($C447&gt;TODAY(),"İLERİ TARİH","UYGUN"),"EKSİK"))</f>
        <v/>
      </c>
      <c r="N447" s="6" t="n"/>
      <c r="O447" s="6" t="n"/>
    </row>
    <row r="448">
      <c r="A448" s="6" t="n"/>
      <c r="B448" s="112">
        <f>IF($C448="","","GG"&amp;TEXT(ROW()-6,"00000"))</f>
        <v/>
      </c>
      <c r="C448" s="114" t="n"/>
      <c r="D448" s="107" t="n"/>
      <c r="E448" s="108" t="n"/>
      <c r="F448" s="108" t="n"/>
      <c r="G448" s="115" t="n"/>
      <c r="H448" s="107" t="n"/>
      <c r="I448" s="107" t="n"/>
      <c r="J448" s="108" t="n"/>
      <c r="K448" s="108" t="n"/>
      <c r="L448" s="119">
        <f>IF($C448="","",DATE(YEAR($C448),MONTH($C448),1))</f>
        <v/>
      </c>
      <c r="M448" s="112">
        <f>IF($C448="","",IF(AND($D448&lt;&gt;"",$E448&lt;&gt;"",$G448&gt;0,$H448&lt;&gt;"",$I448&lt;&gt;""),IF($C448&gt;TODAY(),"İLERİ TARİH","UYGUN"),"EKSİK"))</f>
        <v/>
      </c>
      <c r="N448" s="6" t="n"/>
      <c r="O448" s="6" t="n"/>
    </row>
    <row r="449">
      <c r="A449" s="6" t="n"/>
      <c r="B449" s="112">
        <f>IF($C449="","","GG"&amp;TEXT(ROW()-6,"00000"))</f>
        <v/>
      </c>
      <c r="C449" s="114" t="n"/>
      <c r="D449" s="107" t="n"/>
      <c r="E449" s="108" t="n"/>
      <c r="F449" s="108" t="n"/>
      <c r="G449" s="115" t="n"/>
      <c r="H449" s="107" t="n"/>
      <c r="I449" s="107" t="n"/>
      <c r="J449" s="108" t="n"/>
      <c r="K449" s="108" t="n"/>
      <c r="L449" s="119">
        <f>IF($C449="","",DATE(YEAR($C449),MONTH($C449),1))</f>
        <v/>
      </c>
      <c r="M449" s="112">
        <f>IF($C449="","",IF(AND($D449&lt;&gt;"",$E449&lt;&gt;"",$G449&gt;0,$H449&lt;&gt;"",$I449&lt;&gt;""),IF($C449&gt;TODAY(),"İLERİ TARİH","UYGUN"),"EKSİK"))</f>
        <v/>
      </c>
      <c r="N449" s="6" t="n"/>
      <c r="O449" s="6" t="n"/>
    </row>
    <row r="450">
      <c r="A450" s="6" t="n"/>
      <c r="B450" s="112">
        <f>IF($C450="","","GG"&amp;TEXT(ROW()-6,"00000"))</f>
        <v/>
      </c>
      <c r="C450" s="114" t="n"/>
      <c r="D450" s="107" t="n"/>
      <c r="E450" s="108" t="n"/>
      <c r="F450" s="108" t="n"/>
      <c r="G450" s="115" t="n"/>
      <c r="H450" s="107" t="n"/>
      <c r="I450" s="107" t="n"/>
      <c r="J450" s="108" t="n"/>
      <c r="K450" s="108" t="n"/>
      <c r="L450" s="119">
        <f>IF($C450="","",DATE(YEAR($C450),MONTH($C450),1))</f>
        <v/>
      </c>
      <c r="M450" s="112">
        <f>IF($C450="","",IF(AND($D450&lt;&gt;"",$E450&lt;&gt;"",$G450&gt;0,$H450&lt;&gt;"",$I450&lt;&gt;""),IF($C450&gt;TODAY(),"İLERİ TARİH","UYGUN"),"EKSİK"))</f>
        <v/>
      </c>
      <c r="N450" s="6" t="n"/>
      <c r="O450" s="6" t="n"/>
    </row>
    <row r="451">
      <c r="A451" s="6" t="n"/>
      <c r="B451" s="112">
        <f>IF($C451="","","GG"&amp;TEXT(ROW()-6,"00000"))</f>
        <v/>
      </c>
      <c r="C451" s="114" t="n"/>
      <c r="D451" s="107" t="n"/>
      <c r="E451" s="108" t="n"/>
      <c r="F451" s="108" t="n"/>
      <c r="G451" s="115" t="n"/>
      <c r="H451" s="107" t="n"/>
      <c r="I451" s="107" t="n"/>
      <c r="J451" s="108" t="n"/>
      <c r="K451" s="108" t="n"/>
      <c r="L451" s="119">
        <f>IF($C451="","",DATE(YEAR($C451),MONTH($C451),1))</f>
        <v/>
      </c>
      <c r="M451" s="112">
        <f>IF($C451="","",IF(AND($D451&lt;&gt;"",$E451&lt;&gt;"",$G451&gt;0,$H451&lt;&gt;"",$I451&lt;&gt;""),IF($C451&gt;TODAY(),"İLERİ TARİH","UYGUN"),"EKSİK"))</f>
        <v/>
      </c>
      <c r="N451" s="6" t="n"/>
      <c r="O451" s="6" t="n"/>
    </row>
    <row r="452">
      <c r="A452" s="6" t="n"/>
      <c r="B452" s="112">
        <f>IF($C452="","","GG"&amp;TEXT(ROW()-6,"00000"))</f>
        <v/>
      </c>
      <c r="C452" s="114" t="n"/>
      <c r="D452" s="107" t="n"/>
      <c r="E452" s="108" t="n"/>
      <c r="F452" s="108" t="n"/>
      <c r="G452" s="115" t="n"/>
      <c r="H452" s="107" t="n"/>
      <c r="I452" s="107" t="n"/>
      <c r="J452" s="108" t="n"/>
      <c r="K452" s="108" t="n"/>
      <c r="L452" s="119">
        <f>IF($C452="","",DATE(YEAR($C452),MONTH($C452),1))</f>
        <v/>
      </c>
      <c r="M452" s="112">
        <f>IF($C452="","",IF(AND($D452&lt;&gt;"",$E452&lt;&gt;"",$G452&gt;0,$H452&lt;&gt;"",$I452&lt;&gt;""),IF($C452&gt;TODAY(),"İLERİ TARİH","UYGUN"),"EKSİK"))</f>
        <v/>
      </c>
      <c r="N452" s="6" t="n"/>
      <c r="O452" s="6" t="n"/>
    </row>
    <row r="453">
      <c r="A453" s="6" t="n"/>
      <c r="B453" s="112">
        <f>IF($C453="","","GG"&amp;TEXT(ROW()-6,"00000"))</f>
        <v/>
      </c>
      <c r="C453" s="114" t="n"/>
      <c r="D453" s="107" t="n"/>
      <c r="E453" s="108" t="n"/>
      <c r="F453" s="108" t="n"/>
      <c r="G453" s="115" t="n"/>
      <c r="H453" s="107" t="n"/>
      <c r="I453" s="107" t="n"/>
      <c r="J453" s="108" t="n"/>
      <c r="K453" s="108" t="n"/>
      <c r="L453" s="119">
        <f>IF($C453="","",DATE(YEAR($C453),MONTH($C453),1))</f>
        <v/>
      </c>
      <c r="M453" s="112">
        <f>IF($C453="","",IF(AND($D453&lt;&gt;"",$E453&lt;&gt;"",$G453&gt;0,$H453&lt;&gt;"",$I453&lt;&gt;""),IF($C453&gt;TODAY(),"İLERİ TARİH","UYGUN"),"EKSİK"))</f>
        <v/>
      </c>
      <c r="N453" s="6" t="n"/>
      <c r="O453" s="6" t="n"/>
    </row>
    <row r="454">
      <c r="A454" s="6" t="n"/>
      <c r="B454" s="112">
        <f>IF($C454="","","GG"&amp;TEXT(ROW()-6,"00000"))</f>
        <v/>
      </c>
      <c r="C454" s="114" t="n"/>
      <c r="D454" s="107" t="n"/>
      <c r="E454" s="108" t="n"/>
      <c r="F454" s="108" t="n"/>
      <c r="G454" s="115" t="n"/>
      <c r="H454" s="107" t="n"/>
      <c r="I454" s="107" t="n"/>
      <c r="J454" s="108" t="n"/>
      <c r="K454" s="108" t="n"/>
      <c r="L454" s="119">
        <f>IF($C454="","",DATE(YEAR($C454),MONTH($C454),1))</f>
        <v/>
      </c>
      <c r="M454" s="112">
        <f>IF($C454="","",IF(AND($D454&lt;&gt;"",$E454&lt;&gt;"",$G454&gt;0,$H454&lt;&gt;"",$I454&lt;&gt;""),IF($C454&gt;TODAY(),"İLERİ TARİH","UYGUN"),"EKSİK"))</f>
        <v/>
      </c>
      <c r="N454" s="6" t="n"/>
      <c r="O454" s="6" t="n"/>
    </row>
    <row r="455">
      <c r="A455" s="6" t="n"/>
      <c r="B455" s="112">
        <f>IF($C455="","","GG"&amp;TEXT(ROW()-6,"00000"))</f>
        <v/>
      </c>
      <c r="C455" s="114" t="n"/>
      <c r="D455" s="107" t="n"/>
      <c r="E455" s="108" t="n"/>
      <c r="F455" s="108" t="n"/>
      <c r="G455" s="115" t="n"/>
      <c r="H455" s="107" t="n"/>
      <c r="I455" s="107" t="n"/>
      <c r="J455" s="108" t="n"/>
      <c r="K455" s="108" t="n"/>
      <c r="L455" s="119">
        <f>IF($C455="","",DATE(YEAR($C455),MONTH($C455),1))</f>
        <v/>
      </c>
      <c r="M455" s="112">
        <f>IF($C455="","",IF(AND($D455&lt;&gt;"",$E455&lt;&gt;"",$G455&gt;0,$H455&lt;&gt;"",$I455&lt;&gt;""),IF($C455&gt;TODAY(),"İLERİ TARİH","UYGUN"),"EKSİK"))</f>
        <v/>
      </c>
      <c r="N455" s="6" t="n"/>
      <c r="O455" s="6" t="n"/>
    </row>
    <row r="456">
      <c r="A456" s="6" t="n"/>
      <c r="B456" s="112">
        <f>IF($C456="","","GG"&amp;TEXT(ROW()-6,"00000"))</f>
        <v/>
      </c>
      <c r="C456" s="114" t="n"/>
      <c r="D456" s="107" t="n"/>
      <c r="E456" s="108" t="n"/>
      <c r="F456" s="108" t="n"/>
      <c r="G456" s="115" t="n"/>
      <c r="H456" s="107" t="n"/>
      <c r="I456" s="107" t="n"/>
      <c r="J456" s="108" t="n"/>
      <c r="K456" s="108" t="n"/>
      <c r="L456" s="119">
        <f>IF($C456="","",DATE(YEAR($C456),MONTH($C456),1))</f>
        <v/>
      </c>
      <c r="M456" s="112">
        <f>IF($C456="","",IF(AND($D456&lt;&gt;"",$E456&lt;&gt;"",$G456&gt;0,$H456&lt;&gt;"",$I456&lt;&gt;""),IF($C456&gt;TODAY(),"İLERİ TARİH","UYGUN"),"EKSİK"))</f>
        <v/>
      </c>
      <c r="N456" s="6" t="n"/>
      <c r="O456" s="6" t="n"/>
    </row>
    <row r="457">
      <c r="A457" s="6" t="n"/>
      <c r="B457" s="112">
        <f>IF($C457="","","GG"&amp;TEXT(ROW()-6,"00000"))</f>
        <v/>
      </c>
      <c r="C457" s="114" t="n"/>
      <c r="D457" s="107" t="n"/>
      <c r="E457" s="108" t="n"/>
      <c r="F457" s="108" t="n"/>
      <c r="G457" s="115" t="n"/>
      <c r="H457" s="107" t="n"/>
      <c r="I457" s="107" t="n"/>
      <c r="J457" s="108" t="n"/>
      <c r="K457" s="108" t="n"/>
      <c r="L457" s="119">
        <f>IF($C457="","",DATE(YEAR($C457),MONTH($C457),1))</f>
        <v/>
      </c>
      <c r="M457" s="112">
        <f>IF($C457="","",IF(AND($D457&lt;&gt;"",$E457&lt;&gt;"",$G457&gt;0,$H457&lt;&gt;"",$I457&lt;&gt;""),IF($C457&gt;TODAY(),"İLERİ TARİH","UYGUN"),"EKSİK"))</f>
        <v/>
      </c>
      <c r="N457" s="6" t="n"/>
      <c r="O457" s="6" t="n"/>
    </row>
    <row r="458">
      <c r="A458" s="6" t="n"/>
      <c r="B458" s="112">
        <f>IF($C458="","","GG"&amp;TEXT(ROW()-6,"00000"))</f>
        <v/>
      </c>
      <c r="C458" s="114" t="n"/>
      <c r="D458" s="107" t="n"/>
      <c r="E458" s="108" t="n"/>
      <c r="F458" s="108" t="n"/>
      <c r="G458" s="115" t="n"/>
      <c r="H458" s="107" t="n"/>
      <c r="I458" s="107" t="n"/>
      <c r="J458" s="108" t="n"/>
      <c r="K458" s="108" t="n"/>
      <c r="L458" s="119">
        <f>IF($C458="","",DATE(YEAR($C458),MONTH($C458),1))</f>
        <v/>
      </c>
      <c r="M458" s="112">
        <f>IF($C458="","",IF(AND($D458&lt;&gt;"",$E458&lt;&gt;"",$G458&gt;0,$H458&lt;&gt;"",$I458&lt;&gt;""),IF($C458&gt;TODAY(),"İLERİ TARİH","UYGUN"),"EKSİK"))</f>
        <v/>
      </c>
      <c r="N458" s="6" t="n"/>
      <c r="O458" s="6" t="n"/>
    </row>
    <row r="459">
      <c r="A459" s="6" t="n"/>
      <c r="B459" s="112">
        <f>IF($C459="","","GG"&amp;TEXT(ROW()-6,"00000"))</f>
        <v/>
      </c>
      <c r="C459" s="114" t="n"/>
      <c r="D459" s="107" t="n"/>
      <c r="E459" s="108" t="n"/>
      <c r="F459" s="108" t="n"/>
      <c r="G459" s="115" t="n"/>
      <c r="H459" s="107" t="n"/>
      <c r="I459" s="107" t="n"/>
      <c r="J459" s="108" t="n"/>
      <c r="K459" s="108" t="n"/>
      <c r="L459" s="119">
        <f>IF($C459="","",DATE(YEAR($C459),MONTH($C459),1))</f>
        <v/>
      </c>
      <c r="M459" s="112">
        <f>IF($C459="","",IF(AND($D459&lt;&gt;"",$E459&lt;&gt;"",$G459&gt;0,$H459&lt;&gt;"",$I459&lt;&gt;""),IF($C459&gt;TODAY(),"İLERİ TARİH","UYGUN"),"EKSİK"))</f>
        <v/>
      </c>
      <c r="N459" s="6" t="n"/>
      <c r="O459" s="6" t="n"/>
    </row>
    <row r="460">
      <c r="A460" s="6" t="n"/>
      <c r="B460" s="112">
        <f>IF($C460="","","GG"&amp;TEXT(ROW()-6,"00000"))</f>
        <v/>
      </c>
      <c r="C460" s="114" t="n"/>
      <c r="D460" s="107" t="n"/>
      <c r="E460" s="108" t="n"/>
      <c r="F460" s="108" t="n"/>
      <c r="G460" s="115" t="n"/>
      <c r="H460" s="107" t="n"/>
      <c r="I460" s="107" t="n"/>
      <c r="J460" s="108" t="n"/>
      <c r="K460" s="108" t="n"/>
      <c r="L460" s="119">
        <f>IF($C460="","",DATE(YEAR($C460),MONTH($C460),1))</f>
        <v/>
      </c>
      <c r="M460" s="112">
        <f>IF($C460="","",IF(AND($D460&lt;&gt;"",$E460&lt;&gt;"",$G460&gt;0,$H460&lt;&gt;"",$I460&lt;&gt;""),IF($C460&gt;TODAY(),"İLERİ TARİH","UYGUN"),"EKSİK"))</f>
        <v/>
      </c>
      <c r="N460" s="6" t="n"/>
      <c r="O460" s="6" t="n"/>
    </row>
    <row r="461">
      <c r="A461" s="6" t="n"/>
      <c r="B461" s="112">
        <f>IF($C461="","","GG"&amp;TEXT(ROW()-6,"00000"))</f>
        <v/>
      </c>
      <c r="C461" s="114" t="n"/>
      <c r="D461" s="107" t="n"/>
      <c r="E461" s="108" t="n"/>
      <c r="F461" s="108" t="n"/>
      <c r="G461" s="115" t="n"/>
      <c r="H461" s="107" t="n"/>
      <c r="I461" s="107" t="n"/>
      <c r="J461" s="108" t="n"/>
      <c r="K461" s="108" t="n"/>
      <c r="L461" s="119">
        <f>IF($C461="","",DATE(YEAR($C461),MONTH($C461),1))</f>
        <v/>
      </c>
      <c r="M461" s="112">
        <f>IF($C461="","",IF(AND($D461&lt;&gt;"",$E461&lt;&gt;"",$G461&gt;0,$H461&lt;&gt;"",$I461&lt;&gt;""),IF($C461&gt;TODAY(),"İLERİ TARİH","UYGUN"),"EKSİK"))</f>
        <v/>
      </c>
      <c r="N461" s="6" t="n"/>
      <c r="O461" s="6" t="n"/>
    </row>
    <row r="462">
      <c r="A462" s="6" t="n"/>
      <c r="B462" s="112">
        <f>IF($C462="","","GG"&amp;TEXT(ROW()-6,"00000"))</f>
        <v/>
      </c>
      <c r="C462" s="114" t="n"/>
      <c r="D462" s="107" t="n"/>
      <c r="E462" s="108" t="n"/>
      <c r="F462" s="108" t="n"/>
      <c r="G462" s="115" t="n"/>
      <c r="H462" s="107" t="n"/>
      <c r="I462" s="107" t="n"/>
      <c r="J462" s="108" t="n"/>
      <c r="K462" s="108" t="n"/>
      <c r="L462" s="119">
        <f>IF($C462="","",DATE(YEAR($C462),MONTH($C462),1))</f>
        <v/>
      </c>
      <c r="M462" s="112">
        <f>IF($C462="","",IF(AND($D462&lt;&gt;"",$E462&lt;&gt;"",$G462&gt;0,$H462&lt;&gt;"",$I462&lt;&gt;""),IF($C462&gt;TODAY(),"İLERİ TARİH","UYGUN"),"EKSİK"))</f>
        <v/>
      </c>
      <c r="N462" s="6" t="n"/>
      <c r="O462" s="6" t="n"/>
    </row>
    <row r="463">
      <c r="A463" s="6" t="n"/>
      <c r="B463" s="112">
        <f>IF($C463="","","GG"&amp;TEXT(ROW()-6,"00000"))</f>
        <v/>
      </c>
      <c r="C463" s="114" t="n"/>
      <c r="D463" s="107" t="n"/>
      <c r="E463" s="108" t="n"/>
      <c r="F463" s="108" t="n"/>
      <c r="G463" s="115" t="n"/>
      <c r="H463" s="107" t="n"/>
      <c r="I463" s="107" t="n"/>
      <c r="J463" s="108" t="n"/>
      <c r="K463" s="108" t="n"/>
      <c r="L463" s="119">
        <f>IF($C463="","",DATE(YEAR($C463),MONTH($C463),1))</f>
        <v/>
      </c>
      <c r="M463" s="112">
        <f>IF($C463="","",IF(AND($D463&lt;&gt;"",$E463&lt;&gt;"",$G463&gt;0,$H463&lt;&gt;"",$I463&lt;&gt;""),IF($C463&gt;TODAY(),"İLERİ TARİH","UYGUN"),"EKSİK"))</f>
        <v/>
      </c>
      <c r="N463" s="6" t="n"/>
      <c r="O463" s="6" t="n"/>
    </row>
    <row r="464">
      <c r="A464" s="6" t="n"/>
      <c r="B464" s="112">
        <f>IF($C464="","","GG"&amp;TEXT(ROW()-6,"00000"))</f>
        <v/>
      </c>
      <c r="C464" s="114" t="n"/>
      <c r="D464" s="107" t="n"/>
      <c r="E464" s="108" t="n"/>
      <c r="F464" s="108" t="n"/>
      <c r="G464" s="115" t="n"/>
      <c r="H464" s="107" t="n"/>
      <c r="I464" s="107" t="n"/>
      <c r="J464" s="108" t="n"/>
      <c r="K464" s="108" t="n"/>
      <c r="L464" s="119">
        <f>IF($C464="","",DATE(YEAR($C464),MONTH($C464),1))</f>
        <v/>
      </c>
      <c r="M464" s="112">
        <f>IF($C464="","",IF(AND($D464&lt;&gt;"",$E464&lt;&gt;"",$G464&gt;0,$H464&lt;&gt;"",$I464&lt;&gt;""),IF($C464&gt;TODAY(),"İLERİ TARİH","UYGUN"),"EKSİK"))</f>
        <v/>
      </c>
      <c r="N464" s="6" t="n"/>
      <c r="O464" s="6" t="n"/>
    </row>
    <row r="465">
      <c r="A465" s="6" t="n"/>
      <c r="B465" s="112">
        <f>IF($C465="","","GG"&amp;TEXT(ROW()-6,"00000"))</f>
        <v/>
      </c>
      <c r="C465" s="114" t="n"/>
      <c r="D465" s="107" t="n"/>
      <c r="E465" s="108" t="n"/>
      <c r="F465" s="108" t="n"/>
      <c r="G465" s="115" t="n"/>
      <c r="H465" s="107" t="n"/>
      <c r="I465" s="107" t="n"/>
      <c r="J465" s="108" t="n"/>
      <c r="K465" s="108" t="n"/>
      <c r="L465" s="119">
        <f>IF($C465="","",DATE(YEAR($C465),MONTH($C465),1))</f>
        <v/>
      </c>
      <c r="M465" s="112">
        <f>IF($C465="","",IF(AND($D465&lt;&gt;"",$E465&lt;&gt;"",$G465&gt;0,$H465&lt;&gt;"",$I465&lt;&gt;""),IF($C465&gt;TODAY(),"İLERİ TARİH","UYGUN"),"EKSİK"))</f>
        <v/>
      </c>
      <c r="N465" s="6" t="n"/>
      <c r="O465" s="6" t="n"/>
    </row>
    <row r="466">
      <c r="A466" s="6" t="n"/>
      <c r="B466" s="112">
        <f>IF($C466="","","GG"&amp;TEXT(ROW()-6,"00000"))</f>
        <v/>
      </c>
      <c r="C466" s="114" t="n"/>
      <c r="D466" s="107" t="n"/>
      <c r="E466" s="108" t="n"/>
      <c r="F466" s="108" t="n"/>
      <c r="G466" s="115" t="n"/>
      <c r="H466" s="107" t="n"/>
      <c r="I466" s="107" t="n"/>
      <c r="J466" s="108" t="n"/>
      <c r="K466" s="108" t="n"/>
      <c r="L466" s="119">
        <f>IF($C466="","",DATE(YEAR($C466),MONTH($C466),1))</f>
        <v/>
      </c>
      <c r="M466" s="112">
        <f>IF($C466="","",IF(AND($D466&lt;&gt;"",$E466&lt;&gt;"",$G466&gt;0,$H466&lt;&gt;"",$I466&lt;&gt;""),IF($C466&gt;TODAY(),"İLERİ TARİH","UYGUN"),"EKSİK"))</f>
        <v/>
      </c>
      <c r="N466" s="6" t="n"/>
      <c r="O466" s="6" t="n"/>
    </row>
    <row r="467">
      <c r="A467" s="6" t="n"/>
      <c r="B467" s="112">
        <f>IF($C467="","","GG"&amp;TEXT(ROW()-6,"00000"))</f>
        <v/>
      </c>
      <c r="C467" s="114" t="n"/>
      <c r="D467" s="107" t="n"/>
      <c r="E467" s="108" t="n"/>
      <c r="F467" s="108" t="n"/>
      <c r="G467" s="115" t="n"/>
      <c r="H467" s="107" t="n"/>
      <c r="I467" s="107" t="n"/>
      <c r="J467" s="108" t="n"/>
      <c r="K467" s="108" t="n"/>
      <c r="L467" s="119">
        <f>IF($C467="","",DATE(YEAR($C467),MONTH($C467),1))</f>
        <v/>
      </c>
      <c r="M467" s="112">
        <f>IF($C467="","",IF(AND($D467&lt;&gt;"",$E467&lt;&gt;"",$G467&gt;0,$H467&lt;&gt;"",$I467&lt;&gt;""),IF($C467&gt;TODAY(),"İLERİ TARİH","UYGUN"),"EKSİK"))</f>
        <v/>
      </c>
      <c r="N467" s="6" t="n"/>
      <c r="O467" s="6" t="n"/>
    </row>
    <row r="468">
      <c r="A468" s="6" t="n"/>
      <c r="B468" s="112">
        <f>IF($C468="","","GG"&amp;TEXT(ROW()-6,"00000"))</f>
        <v/>
      </c>
      <c r="C468" s="114" t="n"/>
      <c r="D468" s="107" t="n"/>
      <c r="E468" s="108" t="n"/>
      <c r="F468" s="108" t="n"/>
      <c r="G468" s="115" t="n"/>
      <c r="H468" s="107" t="n"/>
      <c r="I468" s="107" t="n"/>
      <c r="J468" s="108" t="n"/>
      <c r="K468" s="108" t="n"/>
      <c r="L468" s="119">
        <f>IF($C468="","",DATE(YEAR($C468),MONTH($C468),1))</f>
        <v/>
      </c>
      <c r="M468" s="112">
        <f>IF($C468="","",IF(AND($D468&lt;&gt;"",$E468&lt;&gt;"",$G468&gt;0,$H468&lt;&gt;"",$I468&lt;&gt;""),IF($C468&gt;TODAY(),"İLERİ TARİH","UYGUN"),"EKSİK"))</f>
        <v/>
      </c>
      <c r="N468" s="6" t="n"/>
      <c r="O468" s="6" t="n"/>
    </row>
    <row r="469">
      <c r="A469" s="6" t="n"/>
      <c r="B469" s="112">
        <f>IF($C469="","","GG"&amp;TEXT(ROW()-6,"00000"))</f>
        <v/>
      </c>
      <c r="C469" s="114" t="n"/>
      <c r="D469" s="107" t="n"/>
      <c r="E469" s="108" t="n"/>
      <c r="F469" s="108" t="n"/>
      <c r="G469" s="115" t="n"/>
      <c r="H469" s="107" t="n"/>
      <c r="I469" s="107" t="n"/>
      <c r="J469" s="108" t="n"/>
      <c r="K469" s="108" t="n"/>
      <c r="L469" s="119">
        <f>IF($C469="","",DATE(YEAR($C469),MONTH($C469),1))</f>
        <v/>
      </c>
      <c r="M469" s="112">
        <f>IF($C469="","",IF(AND($D469&lt;&gt;"",$E469&lt;&gt;"",$G469&gt;0,$H469&lt;&gt;"",$I469&lt;&gt;""),IF($C469&gt;TODAY(),"İLERİ TARİH","UYGUN"),"EKSİK"))</f>
        <v/>
      </c>
      <c r="N469" s="6" t="n"/>
      <c r="O469" s="6" t="n"/>
    </row>
    <row r="470">
      <c r="A470" s="6" t="n"/>
      <c r="B470" s="112">
        <f>IF($C470="","","GG"&amp;TEXT(ROW()-6,"00000"))</f>
        <v/>
      </c>
      <c r="C470" s="114" t="n"/>
      <c r="D470" s="107" t="n"/>
      <c r="E470" s="108" t="n"/>
      <c r="F470" s="108" t="n"/>
      <c r="G470" s="115" t="n"/>
      <c r="H470" s="107" t="n"/>
      <c r="I470" s="107" t="n"/>
      <c r="J470" s="108" t="n"/>
      <c r="K470" s="108" t="n"/>
      <c r="L470" s="119">
        <f>IF($C470="","",DATE(YEAR($C470),MONTH($C470),1))</f>
        <v/>
      </c>
      <c r="M470" s="112">
        <f>IF($C470="","",IF(AND($D470&lt;&gt;"",$E470&lt;&gt;"",$G470&gt;0,$H470&lt;&gt;"",$I470&lt;&gt;""),IF($C470&gt;TODAY(),"İLERİ TARİH","UYGUN"),"EKSİK"))</f>
        <v/>
      </c>
      <c r="N470" s="6" t="n"/>
      <c r="O470" s="6" t="n"/>
    </row>
    <row r="471">
      <c r="A471" s="6" t="n"/>
      <c r="B471" s="112">
        <f>IF($C471="","","GG"&amp;TEXT(ROW()-6,"00000"))</f>
        <v/>
      </c>
      <c r="C471" s="114" t="n"/>
      <c r="D471" s="107" t="n"/>
      <c r="E471" s="108" t="n"/>
      <c r="F471" s="108" t="n"/>
      <c r="G471" s="115" t="n"/>
      <c r="H471" s="107" t="n"/>
      <c r="I471" s="107" t="n"/>
      <c r="J471" s="108" t="n"/>
      <c r="K471" s="108" t="n"/>
      <c r="L471" s="119">
        <f>IF($C471="","",DATE(YEAR($C471),MONTH($C471),1))</f>
        <v/>
      </c>
      <c r="M471" s="112">
        <f>IF($C471="","",IF(AND($D471&lt;&gt;"",$E471&lt;&gt;"",$G471&gt;0,$H471&lt;&gt;"",$I471&lt;&gt;""),IF($C471&gt;TODAY(),"İLERİ TARİH","UYGUN"),"EKSİK"))</f>
        <v/>
      </c>
      <c r="N471" s="6" t="n"/>
      <c r="O471" s="6" t="n"/>
    </row>
    <row r="472">
      <c r="A472" s="6" t="n"/>
      <c r="B472" s="112">
        <f>IF($C472="","","GG"&amp;TEXT(ROW()-6,"00000"))</f>
        <v/>
      </c>
      <c r="C472" s="114" t="n"/>
      <c r="D472" s="107" t="n"/>
      <c r="E472" s="108" t="n"/>
      <c r="F472" s="108" t="n"/>
      <c r="G472" s="115" t="n"/>
      <c r="H472" s="107" t="n"/>
      <c r="I472" s="107" t="n"/>
      <c r="J472" s="108" t="n"/>
      <c r="K472" s="108" t="n"/>
      <c r="L472" s="119">
        <f>IF($C472="","",DATE(YEAR($C472),MONTH($C472),1))</f>
        <v/>
      </c>
      <c r="M472" s="112">
        <f>IF($C472="","",IF(AND($D472&lt;&gt;"",$E472&lt;&gt;"",$G472&gt;0,$H472&lt;&gt;"",$I472&lt;&gt;""),IF($C472&gt;TODAY(),"İLERİ TARİH","UYGUN"),"EKSİK"))</f>
        <v/>
      </c>
      <c r="N472" s="6" t="n"/>
      <c r="O472" s="6" t="n"/>
    </row>
    <row r="473">
      <c r="A473" s="6" t="n"/>
      <c r="B473" s="112">
        <f>IF($C473="","","GG"&amp;TEXT(ROW()-6,"00000"))</f>
        <v/>
      </c>
      <c r="C473" s="114" t="n"/>
      <c r="D473" s="107" t="n"/>
      <c r="E473" s="108" t="n"/>
      <c r="F473" s="108" t="n"/>
      <c r="G473" s="115" t="n"/>
      <c r="H473" s="107" t="n"/>
      <c r="I473" s="107" t="n"/>
      <c r="J473" s="108" t="n"/>
      <c r="K473" s="108" t="n"/>
      <c r="L473" s="119">
        <f>IF($C473="","",DATE(YEAR($C473),MONTH($C473),1))</f>
        <v/>
      </c>
      <c r="M473" s="112">
        <f>IF($C473="","",IF(AND($D473&lt;&gt;"",$E473&lt;&gt;"",$G473&gt;0,$H473&lt;&gt;"",$I473&lt;&gt;""),IF($C473&gt;TODAY(),"İLERİ TARİH","UYGUN"),"EKSİK"))</f>
        <v/>
      </c>
      <c r="N473" s="6" t="n"/>
      <c r="O473" s="6" t="n"/>
    </row>
    <row r="474">
      <c r="A474" s="6" t="n"/>
      <c r="B474" s="112">
        <f>IF($C474="","","GG"&amp;TEXT(ROW()-6,"00000"))</f>
        <v/>
      </c>
      <c r="C474" s="114" t="n"/>
      <c r="D474" s="107" t="n"/>
      <c r="E474" s="108" t="n"/>
      <c r="F474" s="108" t="n"/>
      <c r="G474" s="115" t="n"/>
      <c r="H474" s="107" t="n"/>
      <c r="I474" s="107" t="n"/>
      <c r="J474" s="108" t="n"/>
      <c r="K474" s="108" t="n"/>
      <c r="L474" s="119">
        <f>IF($C474="","",DATE(YEAR($C474),MONTH($C474),1))</f>
        <v/>
      </c>
      <c r="M474" s="112">
        <f>IF($C474="","",IF(AND($D474&lt;&gt;"",$E474&lt;&gt;"",$G474&gt;0,$H474&lt;&gt;"",$I474&lt;&gt;""),IF($C474&gt;TODAY(),"İLERİ TARİH","UYGUN"),"EKSİK"))</f>
        <v/>
      </c>
      <c r="N474" s="6" t="n"/>
      <c r="O474" s="6" t="n"/>
    </row>
    <row r="475">
      <c r="A475" s="6" t="n"/>
      <c r="B475" s="112">
        <f>IF($C475="","","GG"&amp;TEXT(ROW()-6,"00000"))</f>
        <v/>
      </c>
      <c r="C475" s="114" t="n"/>
      <c r="D475" s="107" t="n"/>
      <c r="E475" s="108" t="n"/>
      <c r="F475" s="108" t="n"/>
      <c r="G475" s="115" t="n"/>
      <c r="H475" s="107" t="n"/>
      <c r="I475" s="107" t="n"/>
      <c r="J475" s="108" t="n"/>
      <c r="K475" s="108" t="n"/>
      <c r="L475" s="119">
        <f>IF($C475="","",DATE(YEAR($C475),MONTH($C475),1))</f>
        <v/>
      </c>
      <c r="M475" s="112">
        <f>IF($C475="","",IF(AND($D475&lt;&gt;"",$E475&lt;&gt;"",$G475&gt;0,$H475&lt;&gt;"",$I475&lt;&gt;""),IF($C475&gt;TODAY(),"İLERİ TARİH","UYGUN"),"EKSİK"))</f>
        <v/>
      </c>
      <c r="N475" s="6" t="n"/>
      <c r="O475" s="6" t="n"/>
    </row>
    <row r="476">
      <c r="A476" s="6" t="n"/>
      <c r="B476" s="112">
        <f>IF($C476="","","GG"&amp;TEXT(ROW()-6,"00000"))</f>
        <v/>
      </c>
      <c r="C476" s="114" t="n"/>
      <c r="D476" s="107" t="n"/>
      <c r="E476" s="108" t="n"/>
      <c r="F476" s="108" t="n"/>
      <c r="G476" s="115" t="n"/>
      <c r="H476" s="107" t="n"/>
      <c r="I476" s="107" t="n"/>
      <c r="J476" s="108" t="n"/>
      <c r="K476" s="108" t="n"/>
      <c r="L476" s="119">
        <f>IF($C476="","",DATE(YEAR($C476),MONTH($C476),1))</f>
        <v/>
      </c>
      <c r="M476" s="112">
        <f>IF($C476="","",IF(AND($D476&lt;&gt;"",$E476&lt;&gt;"",$G476&gt;0,$H476&lt;&gt;"",$I476&lt;&gt;""),IF($C476&gt;TODAY(),"İLERİ TARİH","UYGUN"),"EKSİK"))</f>
        <v/>
      </c>
      <c r="N476" s="6" t="n"/>
      <c r="O476" s="6" t="n"/>
    </row>
    <row r="477">
      <c r="A477" s="6" t="n"/>
      <c r="B477" s="112">
        <f>IF($C477="","","GG"&amp;TEXT(ROW()-6,"00000"))</f>
        <v/>
      </c>
      <c r="C477" s="114" t="n"/>
      <c r="D477" s="107" t="n"/>
      <c r="E477" s="108" t="n"/>
      <c r="F477" s="108" t="n"/>
      <c r="G477" s="115" t="n"/>
      <c r="H477" s="107" t="n"/>
      <c r="I477" s="107" t="n"/>
      <c r="J477" s="108" t="n"/>
      <c r="K477" s="108" t="n"/>
      <c r="L477" s="119">
        <f>IF($C477="","",DATE(YEAR($C477),MONTH($C477),1))</f>
        <v/>
      </c>
      <c r="M477" s="112">
        <f>IF($C477="","",IF(AND($D477&lt;&gt;"",$E477&lt;&gt;"",$G477&gt;0,$H477&lt;&gt;"",$I477&lt;&gt;""),IF($C477&gt;TODAY(),"İLERİ TARİH","UYGUN"),"EKSİK"))</f>
        <v/>
      </c>
      <c r="N477" s="6" t="n"/>
      <c r="O477" s="6" t="n"/>
    </row>
    <row r="478">
      <c r="A478" s="6" t="n"/>
      <c r="B478" s="112">
        <f>IF($C478="","","GG"&amp;TEXT(ROW()-6,"00000"))</f>
        <v/>
      </c>
      <c r="C478" s="114" t="n"/>
      <c r="D478" s="107" t="n"/>
      <c r="E478" s="108" t="n"/>
      <c r="F478" s="108" t="n"/>
      <c r="G478" s="115" t="n"/>
      <c r="H478" s="107" t="n"/>
      <c r="I478" s="107" t="n"/>
      <c r="J478" s="108" t="n"/>
      <c r="K478" s="108" t="n"/>
      <c r="L478" s="119">
        <f>IF($C478="","",DATE(YEAR($C478),MONTH($C478),1))</f>
        <v/>
      </c>
      <c r="M478" s="112">
        <f>IF($C478="","",IF(AND($D478&lt;&gt;"",$E478&lt;&gt;"",$G478&gt;0,$H478&lt;&gt;"",$I478&lt;&gt;""),IF($C478&gt;TODAY(),"İLERİ TARİH","UYGUN"),"EKSİK"))</f>
        <v/>
      </c>
      <c r="N478" s="6" t="n"/>
      <c r="O478" s="6" t="n"/>
    </row>
    <row r="479">
      <c r="A479" s="6" t="n"/>
      <c r="B479" s="112">
        <f>IF($C479="","","GG"&amp;TEXT(ROW()-6,"00000"))</f>
        <v/>
      </c>
      <c r="C479" s="114" t="n"/>
      <c r="D479" s="107" t="n"/>
      <c r="E479" s="108" t="n"/>
      <c r="F479" s="108" t="n"/>
      <c r="G479" s="115" t="n"/>
      <c r="H479" s="107" t="n"/>
      <c r="I479" s="107" t="n"/>
      <c r="J479" s="108" t="n"/>
      <c r="K479" s="108" t="n"/>
      <c r="L479" s="119">
        <f>IF($C479="","",DATE(YEAR($C479),MONTH($C479),1))</f>
        <v/>
      </c>
      <c r="M479" s="112">
        <f>IF($C479="","",IF(AND($D479&lt;&gt;"",$E479&lt;&gt;"",$G479&gt;0,$H479&lt;&gt;"",$I479&lt;&gt;""),IF($C479&gt;TODAY(),"İLERİ TARİH","UYGUN"),"EKSİK"))</f>
        <v/>
      </c>
      <c r="N479" s="6" t="n"/>
      <c r="O479" s="6" t="n"/>
    </row>
    <row r="480">
      <c r="A480" s="6" t="n"/>
      <c r="B480" s="112">
        <f>IF($C480="","","GG"&amp;TEXT(ROW()-6,"00000"))</f>
        <v/>
      </c>
      <c r="C480" s="114" t="n"/>
      <c r="D480" s="107" t="n"/>
      <c r="E480" s="108" t="n"/>
      <c r="F480" s="108" t="n"/>
      <c r="G480" s="115" t="n"/>
      <c r="H480" s="107" t="n"/>
      <c r="I480" s="107" t="n"/>
      <c r="J480" s="108" t="n"/>
      <c r="K480" s="108" t="n"/>
      <c r="L480" s="119">
        <f>IF($C480="","",DATE(YEAR($C480),MONTH($C480),1))</f>
        <v/>
      </c>
      <c r="M480" s="112">
        <f>IF($C480="","",IF(AND($D480&lt;&gt;"",$E480&lt;&gt;"",$G480&gt;0,$H480&lt;&gt;"",$I480&lt;&gt;""),IF($C480&gt;TODAY(),"İLERİ TARİH","UYGUN"),"EKSİK"))</f>
        <v/>
      </c>
      <c r="N480" s="6" t="n"/>
      <c r="O480" s="6" t="n"/>
    </row>
    <row r="481">
      <c r="A481" s="6" t="n"/>
      <c r="B481" s="112">
        <f>IF($C481="","","GG"&amp;TEXT(ROW()-6,"00000"))</f>
        <v/>
      </c>
      <c r="C481" s="114" t="n"/>
      <c r="D481" s="107" t="n"/>
      <c r="E481" s="108" t="n"/>
      <c r="F481" s="108" t="n"/>
      <c r="G481" s="115" t="n"/>
      <c r="H481" s="107" t="n"/>
      <c r="I481" s="107" t="n"/>
      <c r="J481" s="108" t="n"/>
      <c r="K481" s="108" t="n"/>
      <c r="L481" s="119">
        <f>IF($C481="","",DATE(YEAR($C481),MONTH($C481),1))</f>
        <v/>
      </c>
      <c r="M481" s="112">
        <f>IF($C481="","",IF(AND($D481&lt;&gt;"",$E481&lt;&gt;"",$G481&gt;0,$H481&lt;&gt;"",$I481&lt;&gt;""),IF($C481&gt;TODAY(),"İLERİ TARİH","UYGUN"),"EKSİK"))</f>
        <v/>
      </c>
      <c r="N481" s="6" t="n"/>
      <c r="O481" s="6" t="n"/>
    </row>
    <row r="482">
      <c r="A482" s="6" t="n"/>
      <c r="B482" s="112">
        <f>IF($C482="","","GG"&amp;TEXT(ROW()-6,"00000"))</f>
        <v/>
      </c>
      <c r="C482" s="114" t="n"/>
      <c r="D482" s="107" t="n"/>
      <c r="E482" s="108" t="n"/>
      <c r="F482" s="108" t="n"/>
      <c r="G482" s="115" t="n"/>
      <c r="H482" s="107" t="n"/>
      <c r="I482" s="107" t="n"/>
      <c r="J482" s="108" t="n"/>
      <c r="K482" s="108" t="n"/>
      <c r="L482" s="119">
        <f>IF($C482="","",DATE(YEAR($C482),MONTH($C482),1))</f>
        <v/>
      </c>
      <c r="M482" s="112">
        <f>IF($C482="","",IF(AND($D482&lt;&gt;"",$E482&lt;&gt;"",$G482&gt;0,$H482&lt;&gt;"",$I482&lt;&gt;""),IF($C482&gt;TODAY(),"İLERİ TARİH","UYGUN"),"EKSİK"))</f>
        <v/>
      </c>
      <c r="N482" s="6" t="n"/>
      <c r="O482" s="6" t="n"/>
    </row>
    <row r="483">
      <c r="A483" s="6" t="n"/>
      <c r="B483" s="112">
        <f>IF($C483="","","GG"&amp;TEXT(ROW()-6,"00000"))</f>
        <v/>
      </c>
      <c r="C483" s="114" t="n"/>
      <c r="D483" s="107" t="n"/>
      <c r="E483" s="108" t="n"/>
      <c r="F483" s="108" t="n"/>
      <c r="G483" s="115" t="n"/>
      <c r="H483" s="107" t="n"/>
      <c r="I483" s="107" t="n"/>
      <c r="J483" s="108" t="n"/>
      <c r="K483" s="108" t="n"/>
      <c r="L483" s="119">
        <f>IF($C483="","",DATE(YEAR($C483),MONTH($C483),1))</f>
        <v/>
      </c>
      <c r="M483" s="112">
        <f>IF($C483="","",IF(AND($D483&lt;&gt;"",$E483&lt;&gt;"",$G483&gt;0,$H483&lt;&gt;"",$I483&lt;&gt;""),IF($C483&gt;TODAY(),"İLERİ TARİH","UYGUN"),"EKSİK"))</f>
        <v/>
      </c>
      <c r="N483" s="6" t="n"/>
      <c r="O483" s="6" t="n"/>
    </row>
    <row r="484">
      <c r="A484" s="6" t="n"/>
      <c r="B484" s="112">
        <f>IF($C484="","","GG"&amp;TEXT(ROW()-6,"00000"))</f>
        <v/>
      </c>
      <c r="C484" s="114" t="n"/>
      <c r="D484" s="107" t="n"/>
      <c r="E484" s="108" t="n"/>
      <c r="F484" s="108" t="n"/>
      <c r="G484" s="115" t="n"/>
      <c r="H484" s="107" t="n"/>
      <c r="I484" s="107" t="n"/>
      <c r="J484" s="108" t="n"/>
      <c r="K484" s="108" t="n"/>
      <c r="L484" s="119">
        <f>IF($C484="","",DATE(YEAR($C484),MONTH($C484),1))</f>
        <v/>
      </c>
      <c r="M484" s="112">
        <f>IF($C484="","",IF(AND($D484&lt;&gt;"",$E484&lt;&gt;"",$G484&gt;0,$H484&lt;&gt;"",$I484&lt;&gt;""),IF($C484&gt;TODAY(),"İLERİ TARİH","UYGUN"),"EKSİK"))</f>
        <v/>
      </c>
      <c r="N484" s="6" t="n"/>
      <c r="O484" s="6" t="n"/>
    </row>
    <row r="485">
      <c r="A485" s="6" t="n"/>
      <c r="B485" s="112">
        <f>IF($C485="","","GG"&amp;TEXT(ROW()-6,"00000"))</f>
        <v/>
      </c>
      <c r="C485" s="114" t="n"/>
      <c r="D485" s="107" t="n"/>
      <c r="E485" s="108" t="n"/>
      <c r="F485" s="108" t="n"/>
      <c r="G485" s="115" t="n"/>
      <c r="H485" s="107" t="n"/>
      <c r="I485" s="107" t="n"/>
      <c r="J485" s="108" t="n"/>
      <c r="K485" s="108" t="n"/>
      <c r="L485" s="119">
        <f>IF($C485="","",DATE(YEAR($C485),MONTH($C485),1))</f>
        <v/>
      </c>
      <c r="M485" s="112">
        <f>IF($C485="","",IF(AND($D485&lt;&gt;"",$E485&lt;&gt;"",$G485&gt;0,$H485&lt;&gt;"",$I485&lt;&gt;""),IF($C485&gt;TODAY(),"İLERİ TARİH","UYGUN"),"EKSİK"))</f>
        <v/>
      </c>
      <c r="N485" s="6" t="n"/>
      <c r="O485" s="6" t="n"/>
    </row>
    <row r="486">
      <c r="A486" s="6" t="n"/>
      <c r="B486" s="112">
        <f>IF($C486="","","GG"&amp;TEXT(ROW()-6,"00000"))</f>
        <v/>
      </c>
      <c r="C486" s="114" t="n"/>
      <c r="D486" s="107" t="n"/>
      <c r="E486" s="108" t="n"/>
      <c r="F486" s="108" t="n"/>
      <c r="G486" s="115" t="n"/>
      <c r="H486" s="107" t="n"/>
      <c r="I486" s="107" t="n"/>
      <c r="J486" s="108" t="n"/>
      <c r="K486" s="108" t="n"/>
      <c r="L486" s="119">
        <f>IF($C486="","",DATE(YEAR($C486),MONTH($C486),1))</f>
        <v/>
      </c>
      <c r="M486" s="112">
        <f>IF($C486="","",IF(AND($D486&lt;&gt;"",$E486&lt;&gt;"",$G486&gt;0,$H486&lt;&gt;"",$I486&lt;&gt;""),IF($C486&gt;TODAY(),"İLERİ TARİH","UYGUN"),"EKSİK"))</f>
        <v/>
      </c>
      <c r="N486" s="6" t="n"/>
      <c r="O486" s="6" t="n"/>
    </row>
    <row r="487">
      <c r="A487" s="6" t="n"/>
      <c r="B487" s="112">
        <f>IF($C487="","","GG"&amp;TEXT(ROW()-6,"00000"))</f>
        <v/>
      </c>
      <c r="C487" s="114" t="n"/>
      <c r="D487" s="107" t="n"/>
      <c r="E487" s="108" t="n"/>
      <c r="F487" s="108" t="n"/>
      <c r="G487" s="115" t="n"/>
      <c r="H487" s="107" t="n"/>
      <c r="I487" s="107" t="n"/>
      <c r="J487" s="108" t="n"/>
      <c r="K487" s="108" t="n"/>
      <c r="L487" s="119">
        <f>IF($C487="","",DATE(YEAR($C487),MONTH($C487),1))</f>
        <v/>
      </c>
      <c r="M487" s="112">
        <f>IF($C487="","",IF(AND($D487&lt;&gt;"",$E487&lt;&gt;"",$G487&gt;0,$H487&lt;&gt;"",$I487&lt;&gt;""),IF($C487&gt;TODAY(),"İLERİ TARİH","UYGUN"),"EKSİK"))</f>
        <v/>
      </c>
      <c r="N487" s="6" t="n"/>
      <c r="O487" s="6" t="n"/>
    </row>
    <row r="488">
      <c r="A488" s="6" t="n"/>
      <c r="B488" s="112">
        <f>IF($C488="","","GG"&amp;TEXT(ROW()-6,"00000"))</f>
        <v/>
      </c>
      <c r="C488" s="114" t="n"/>
      <c r="D488" s="107" t="n"/>
      <c r="E488" s="108" t="n"/>
      <c r="F488" s="108" t="n"/>
      <c r="G488" s="115" t="n"/>
      <c r="H488" s="107" t="n"/>
      <c r="I488" s="107" t="n"/>
      <c r="J488" s="108" t="n"/>
      <c r="K488" s="108" t="n"/>
      <c r="L488" s="119">
        <f>IF($C488="","",DATE(YEAR($C488),MONTH($C488),1))</f>
        <v/>
      </c>
      <c r="M488" s="112">
        <f>IF($C488="","",IF(AND($D488&lt;&gt;"",$E488&lt;&gt;"",$G488&gt;0,$H488&lt;&gt;"",$I488&lt;&gt;""),IF($C488&gt;TODAY(),"İLERİ TARİH","UYGUN"),"EKSİK"))</f>
        <v/>
      </c>
      <c r="N488" s="6" t="n"/>
      <c r="O488" s="6" t="n"/>
    </row>
    <row r="489">
      <c r="A489" s="6" t="n"/>
      <c r="B489" s="112">
        <f>IF($C489="","","GG"&amp;TEXT(ROW()-6,"00000"))</f>
        <v/>
      </c>
      <c r="C489" s="114" t="n"/>
      <c r="D489" s="107" t="n"/>
      <c r="E489" s="108" t="n"/>
      <c r="F489" s="108" t="n"/>
      <c r="G489" s="115" t="n"/>
      <c r="H489" s="107" t="n"/>
      <c r="I489" s="107" t="n"/>
      <c r="J489" s="108" t="n"/>
      <c r="K489" s="108" t="n"/>
      <c r="L489" s="119">
        <f>IF($C489="","",DATE(YEAR($C489),MONTH($C489),1))</f>
        <v/>
      </c>
      <c r="M489" s="112">
        <f>IF($C489="","",IF(AND($D489&lt;&gt;"",$E489&lt;&gt;"",$G489&gt;0,$H489&lt;&gt;"",$I489&lt;&gt;""),IF($C489&gt;TODAY(),"İLERİ TARİH","UYGUN"),"EKSİK"))</f>
        <v/>
      </c>
      <c r="N489" s="6" t="n"/>
      <c r="O489" s="6" t="n"/>
    </row>
    <row r="490">
      <c r="A490" s="6" t="n"/>
      <c r="B490" s="112">
        <f>IF($C490="","","GG"&amp;TEXT(ROW()-6,"00000"))</f>
        <v/>
      </c>
      <c r="C490" s="114" t="n"/>
      <c r="D490" s="107" t="n"/>
      <c r="E490" s="108" t="n"/>
      <c r="F490" s="108" t="n"/>
      <c r="G490" s="115" t="n"/>
      <c r="H490" s="107" t="n"/>
      <c r="I490" s="107" t="n"/>
      <c r="J490" s="108" t="n"/>
      <c r="K490" s="108" t="n"/>
      <c r="L490" s="119">
        <f>IF($C490="","",DATE(YEAR($C490),MONTH($C490),1))</f>
        <v/>
      </c>
      <c r="M490" s="112">
        <f>IF($C490="","",IF(AND($D490&lt;&gt;"",$E490&lt;&gt;"",$G490&gt;0,$H490&lt;&gt;"",$I490&lt;&gt;""),IF($C490&gt;TODAY(),"İLERİ TARİH","UYGUN"),"EKSİK"))</f>
        <v/>
      </c>
      <c r="N490" s="6" t="n"/>
      <c r="O490" s="6" t="n"/>
    </row>
    <row r="491">
      <c r="A491" s="6" t="n"/>
      <c r="B491" s="112">
        <f>IF($C491="","","GG"&amp;TEXT(ROW()-6,"00000"))</f>
        <v/>
      </c>
      <c r="C491" s="114" t="n"/>
      <c r="D491" s="107" t="n"/>
      <c r="E491" s="108" t="n"/>
      <c r="F491" s="108" t="n"/>
      <c r="G491" s="115" t="n"/>
      <c r="H491" s="107" t="n"/>
      <c r="I491" s="107" t="n"/>
      <c r="J491" s="108" t="n"/>
      <c r="K491" s="108" t="n"/>
      <c r="L491" s="119">
        <f>IF($C491="","",DATE(YEAR($C491),MONTH($C491),1))</f>
        <v/>
      </c>
      <c r="M491" s="112">
        <f>IF($C491="","",IF(AND($D491&lt;&gt;"",$E491&lt;&gt;"",$G491&gt;0,$H491&lt;&gt;"",$I491&lt;&gt;""),IF($C491&gt;TODAY(),"İLERİ TARİH","UYGUN"),"EKSİK"))</f>
        <v/>
      </c>
      <c r="N491" s="6" t="n"/>
      <c r="O491" s="6" t="n"/>
    </row>
    <row r="492">
      <c r="A492" s="6" t="n"/>
      <c r="B492" s="112">
        <f>IF($C492="","","GG"&amp;TEXT(ROW()-6,"00000"))</f>
        <v/>
      </c>
      <c r="C492" s="114" t="n"/>
      <c r="D492" s="107" t="n"/>
      <c r="E492" s="108" t="n"/>
      <c r="F492" s="108" t="n"/>
      <c r="G492" s="115" t="n"/>
      <c r="H492" s="107" t="n"/>
      <c r="I492" s="107" t="n"/>
      <c r="J492" s="108" t="n"/>
      <c r="K492" s="108" t="n"/>
      <c r="L492" s="119">
        <f>IF($C492="","",DATE(YEAR($C492),MONTH($C492),1))</f>
        <v/>
      </c>
      <c r="M492" s="112">
        <f>IF($C492="","",IF(AND($D492&lt;&gt;"",$E492&lt;&gt;"",$G492&gt;0,$H492&lt;&gt;"",$I492&lt;&gt;""),IF($C492&gt;TODAY(),"İLERİ TARİH","UYGUN"),"EKSİK"))</f>
        <v/>
      </c>
      <c r="N492" s="6" t="n"/>
      <c r="O492" s="6" t="n"/>
    </row>
    <row r="493">
      <c r="A493" s="6" t="n"/>
      <c r="B493" s="112">
        <f>IF($C493="","","GG"&amp;TEXT(ROW()-6,"00000"))</f>
        <v/>
      </c>
      <c r="C493" s="114" t="n"/>
      <c r="D493" s="107" t="n"/>
      <c r="E493" s="108" t="n"/>
      <c r="F493" s="108" t="n"/>
      <c r="G493" s="115" t="n"/>
      <c r="H493" s="107" t="n"/>
      <c r="I493" s="107" t="n"/>
      <c r="J493" s="108" t="n"/>
      <c r="K493" s="108" t="n"/>
      <c r="L493" s="119">
        <f>IF($C493="","",DATE(YEAR($C493),MONTH($C493),1))</f>
        <v/>
      </c>
      <c r="M493" s="112">
        <f>IF($C493="","",IF(AND($D493&lt;&gt;"",$E493&lt;&gt;"",$G493&gt;0,$H493&lt;&gt;"",$I493&lt;&gt;""),IF($C493&gt;TODAY(),"İLERİ TARİH","UYGUN"),"EKSİK"))</f>
        <v/>
      </c>
      <c r="N493" s="6" t="n"/>
      <c r="O493" s="6" t="n"/>
    </row>
    <row r="494">
      <c r="A494" s="6" t="n"/>
      <c r="B494" s="112">
        <f>IF($C494="","","GG"&amp;TEXT(ROW()-6,"00000"))</f>
        <v/>
      </c>
      <c r="C494" s="114" t="n"/>
      <c r="D494" s="107" t="n"/>
      <c r="E494" s="108" t="n"/>
      <c r="F494" s="108" t="n"/>
      <c r="G494" s="115" t="n"/>
      <c r="H494" s="107" t="n"/>
      <c r="I494" s="107" t="n"/>
      <c r="J494" s="108" t="n"/>
      <c r="K494" s="108" t="n"/>
      <c r="L494" s="119">
        <f>IF($C494="","",DATE(YEAR($C494),MONTH($C494),1))</f>
        <v/>
      </c>
      <c r="M494" s="112">
        <f>IF($C494="","",IF(AND($D494&lt;&gt;"",$E494&lt;&gt;"",$G494&gt;0,$H494&lt;&gt;"",$I494&lt;&gt;""),IF($C494&gt;TODAY(),"İLERİ TARİH","UYGUN"),"EKSİK"))</f>
        <v/>
      </c>
      <c r="N494" s="6" t="n"/>
      <c r="O494" s="6" t="n"/>
    </row>
    <row r="495">
      <c r="A495" s="6" t="n"/>
      <c r="B495" s="112">
        <f>IF($C495="","","GG"&amp;TEXT(ROW()-6,"00000"))</f>
        <v/>
      </c>
      <c r="C495" s="114" t="n"/>
      <c r="D495" s="107" t="n"/>
      <c r="E495" s="108" t="n"/>
      <c r="F495" s="108" t="n"/>
      <c r="G495" s="115" t="n"/>
      <c r="H495" s="107" t="n"/>
      <c r="I495" s="107" t="n"/>
      <c r="J495" s="108" t="n"/>
      <c r="K495" s="108" t="n"/>
      <c r="L495" s="119">
        <f>IF($C495="","",DATE(YEAR($C495),MONTH($C495),1))</f>
        <v/>
      </c>
      <c r="M495" s="112">
        <f>IF($C495="","",IF(AND($D495&lt;&gt;"",$E495&lt;&gt;"",$G495&gt;0,$H495&lt;&gt;"",$I495&lt;&gt;""),IF($C495&gt;TODAY(),"İLERİ TARİH","UYGUN"),"EKSİK"))</f>
        <v/>
      </c>
      <c r="N495" s="6" t="n"/>
      <c r="O495" s="6" t="n"/>
    </row>
    <row r="496">
      <c r="A496" s="6" t="n"/>
      <c r="B496" s="112">
        <f>IF($C496="","","GG"&amp;TEXT(ROW()-6,"00000"))</f>
        <v/>
      </c>
      <c r="C496" s="114" t="n"/>
      <c r="D496" s="107" t="n"/>
      <c r="E496" s="108" t="n"/>
      <c r="F496" s="108" t="n"/>
      <c r="G496" s="115" t="n"/>
      <c r="H496" s="107" t="n"/>
      <c r="I496" s="107" t="n"/>
      <c r="J496" s="108" t="n"/>
      <c r="K496" s="108" t="n"/>
      <c r="L496" s="119">
        <f>IF($C496="","",DATE(YEAR($C496),MONTH($C496),1))</f>
        <v/>
      </c>
      <c r="M496" s="112">
        <f>IF($C496="","",IF(AND($D496&lt;&gt;"",$E496&lt;&gt;"",$G496&gt;0,$H496&lt;&gt;"",$I496&lt;&gt;""),IF($C496&gt;TODAY(),"İLERİ TARİH","UYGUN"),"EKSİK"))</f>
        <v/>
      </c>
      <c r="N496" s="6" t="n"/>
      <c r="O496" s="6" t="n"/>
    </row>
    <row r="497">
      <c r="A497" s="6" t="n"/>
      <c r="B497" s="112">
        <f>IF($C497="","","GG"&amp;TEXT(ROW()-6,"00000"))</f>
        <v/>
      </c>
      <c r="C497" s="114" t="n"/>
      <c r="D497" s="107" t="n"/>
      <c r="E497" s="108" t="n"/>
      <c r="F497" s="108" t="n"/>
      <c r="G497" s="115" t="n"/>
      <c r="H497" s="107" t="n"/>
      <c r="I497" s="107" t="n"/>
      <c r="J497" s="108" t="n"/>
      <c r="K497" s="108" t="n"/>
      <c r="L497" s="119">
        <f>IF($C497="","",DATE(YEAR($C497),MONTH($C497),1))</f>
        <v/>
      </c>
      <c r="M497" s="112">
        <f>IF($C497="","",IF(AND($D497&lt;&gt;"",$E497&lt;&gt;"",$G497&gt;0,$H497&lt;&gt;"",$I497&lt;&gt;""),IF($C497&gt;TODAY(),"İLERİ TARİH","UYGUN"),"EKSİK"))</f>
        <v/>
      </c>
      <c r="N497" s="6" t="n"/>
      <c r="O497" s="6" t="n"/>
    </row>
    <row r="498">
      <c r="A498" s="6" t="n"/>
      <c r="B498" s="112">
        <f>IF($C498="","","GG"&amp;TEXT(ROW()-6,"00000"))</f>
        <v/>
      </c>
      <c r="C498" s="114" t="n"/>
      <c r="D498" s="107" t="n"/>
      <c r="E498" s="108" t="n"/>
      <c r="F498" s="108" t="n"/>
      <c r="G498" s="115" t="n"/>
      <c r="H498" s="107" t="n"/>
      <c r="I498" s="107" t="n"/>
      <c r="J498" s="108" t="n"/>
      <c r="K498" s="108" t="n"/>
      <c r="L498" s="119">
        <f>IF($C498="","",DATE(YEAR($C498),MONTH($C498),1))</f>
        <v/>
      </c>
      <c r="M498" s="112">
        <f>IF($C498="","",IF(AND($D498&lt;&gt;"",$E498&lt;&gt;"",$G498&gt;0,$H498&lt;&gt;"",$I498&lt;&gt;""),IF($C498&gt;TODAY(),"İLERİ TARİH","UYGUN"),"EKSİK"))</f>
        <v/>
      </c>
      <c r="N498" s="6" t="n"/>
      <c r="O498" s="6" t="n"/>
    </row>
    <row r="499">
      <c r="A499" s="6" t="n"/>
      <c r="B499" s="112">
        <f>IF($C499="","","GG"&amp;TEXT(ROW()-6,"00000"))</f>
        <v/>
      </c>
      <c r="C499" s="114" t="n"/>
      <c r="D499" s="107" t="n"/>
      <c r="E499" s="108" t="n"/>
      <c r="F499" s="108" t="n"/>
      <c r="G499" s="115" t="n"/>
      <c r="H499" s="107" t="n"/>
      <c r="I499" s="107" t="n"/>
      <c r="J499" s="108" t="n"/>
      <c r="K499" s="108" t="n"/>
      <c r="L499" s="119">
        <f>IF($C499="","",DATE(YEAR($C499),MONTH($C499),1))</f>
        <v/>
      </c>
      <c r="M499" s="112">
        <f>IF($C499="","",IF(AND($D499&lt;&gt;"",$E499&lt;&gt;"",$G499&gt;0,$H499&lt;&gt;"",$I499&lt;&gt;""),IF($C499&gt;TODAY(),"İLERİ TARİH","UYGUN"),"EKSİK"))</f>
        <v/>
      </c>
      <c r="N499" s="6" t="n"/>
      <c r="O499" s="6" t="n"/>
    </row>
    <row r="500">
      <c r="A500" s="6" t="n"/>
      <c r="B500" s="112">
        <f>IF($C500="","","GG"&amp;TEXT(ROW()-6,"00000"))</f>
        <v/>
      </c>
      <c r="C500" s="114" t="n"/>
      <c r="D500" s="107" t="n"/>
      <c r="E500" s="108" t="n"/>
      <c r="F500" s="108" t="n"/>
      <c r="G500" s="115" t="n"/>
      <c r="H500" s="107" t="n"/>
      <c r="I500" s="107" t="n"/>
      <c r="J500" s="108" t="n"/>
      <c r="K500" s="108" t="n"/>
      <c r="L500" s="119">
        <f>IF($C500="","",DATE(YEAR($C500),MONTH($C500),1))</f>
        <v/>
      </c>
      <c r="M500" s="112">
        <f>IF($C500="","",IF(AND($D500&lt;&gt;"",$E500&lt;&gt;"",$G500&gt;0,$H500&lt;&gt;"",$I500&lt;&gt;""),IF($C500&gt;TODAY(),"İLERİ TARİH","UYGUN"),"EKSİK"))</f>
        <v/>
      </c>
      <c r="N500" s="6" t="n"/>
      <c r="O500" s="6" t="n"/>
    </row>
    <row r="501">
      <c r="A501" s="6" t="n"/>
      <c r="B501" s="112">
        <f>IF($C501="","","GG"&amp;TEXT(ROW()-6,"00000"))</f>
        <v/>
      </c>
      <c r="C501" s="114" t="n"/>
      <c r="D501" s="107" t="n"/>
      <c r="E501" s="108" t="n"/>
      <c r="F501" s="108" t="n"/>
      <c r="G501" s="115" t="n"/>
      <c r="H501" s="107" t="n"/>
      <c r="I501" s="107" t="n"/>
      <c r="J501" s="108" t="n"/>
      <c r="K501" s="108" t="n"/>
      <c r="L501" s="119">
        <f>IF($C501="","",DATE(YEAR($C501),MONTH($C501),1))</f>
        <v/>
      </c>
      <c r="M501" s="112">
        <f>IF($C501="","",IF(AND($D501&lt;&gt;"",$E501&lt;&gt;"",$G501&gt;0,$H501&lt;&gt;"",$I501&lt;&gt;""),IF($C501&gt;TODAY(),"İLERİ TARİH","UYGUN"),"EKSİK"))</f>
        <v/>
      </c>
      <c r="N501" s="6" t="n"/>
      <c r="O501" s="6" t="n"/>
    </row>
    <row r="502">
      <c r="A502" s="6" t="n"/>
      <c r="B502" s="112">
        <f>IF($C502="","","GG"&amp;TEXT(ROW()-6,"00000"))</f>
        <v/>
      </c>
      <c r="C502" s="114" t="n"/>
      <c r="D502" s="107" t="n"/>
      <c r="E502" s="108" t="n"/>
      <c r="F502" s="108" t="n"/>
      <c r="G502" s="115" t="n"/>
      <c r="H502" s="107" t="n"/>
      <c r="I502" s="107" t="n"/>
      <c r="J502" s="108" t="n"/>
      <c r="K502" s="108" t="n"/>
      <c r="L502" s="119">
        <f>IF($C502="","",DATE(YEAR($C502),MONTH($C502),1))</f>
        <v/>
      </c>
      <c r="M502" s="112">
        <f>IF($C502="","",IF(AND($D502&lt;&gt;"",$E502&lt;&gt;"",$G502&gt;0,$H502&lt;&gt;"",$I502&lt;&gt;""),IF($C502&gt;TODAY(),"İLERİ TARİH","UYGUN"),"EKSİK"))</f>
        <v/>
      </c>
      <c r="N502" s="6" t="n"/>
      <c r="O502" s="6" t="n"/>
    </row>
    <row r="503">
      <c r="A503" s="6" t="n"/>
      <c r="B503" s="112">
        <f>IF($C503="","","GG"&amp;TEXT(ROW()-6,"00000"))</f>
        <v/>
      </c>
      <c r="C503" s="114" t="n"/>
      <c r="D503" s="107" t="n"/>
      <c r="E503" s="108" t="n"/>
      <c r="F503" s="108" t="n"/>
      <c r="G503" s="115" t="n"/>
      <c r="H503" s="107" t="n"/>
      <c r="I503" s="107" t="n"/>
      <c r="J503" s="108" t="n"/>
      <c r="K503" s="108" t="n"/>
      <c r="L503" s="119">
        <f>IF($C503="","",DATE(YEAR($C503),MONTH($C503),1))</f>
        <v/>
      </c>
      <c r="M503" s="112">
        <f>IF($C503="","",IF(AND($D503&lt;&gt;"",$E503&lt;&gt;"",$G503&gt;0,$H503&lt;&gt;"",$I503&lt;&gt;""),IF($C503&gt;TODAY(),"İLERİ TARİH","UYGUN"),"EKSİK"))</f>
        <v/>
      </c>
      <c r="N503" s="6" t="n"/>
      <c r="O503" s="6" t="n"/>
    </row>
    <row r="504">
      <c r="A504" s="6" t="n"/>
      <c r="B504" s="112">
        <f>IF($C504="","","GG"&amp;TEXT(ROW()-6,"00000"))</f>
        <v/>
      </c>
      <c r="C504" s="114" t="n"/>
      <c r="D504" s="107" t="n"/>
      <c r="E504" s="108" t="n"/>
      <c r="F504" s="108" t="n"/>
      <c r="G504" s="115" t="n"/>
      <c r="H504" s="107" t="n"/>
      <c r="I504" s="107" t="n"/>
      <c r="J504" s="108" t="n"/>
      <c r="K504" s="108" t="n"/>
      <c r="L504" s="119">
        <f>IF($C504="","",DATE(YEAR($C504),MONTH($C504),1))</f>
        <v/>
      </c>
      <c r="M504" s="112">
        <f>IF($C504="","",IF(AND($D504&lt;&gt;"",$E504&lt;&gt;"",$G504&gt;0,$H504&lt;&gt;"",$I504&lt;&gt;""),IF($C504&gt;TODAY(),"İLERİ TARİH","UYGUN"),"EKSİK"))</f>
        <v/>
      </c>
      <c r="N504" s="6" t="n"/>
      <c r="O504" s="6" t="n"/>
    </row>
    <row r="505">
      <c r="A505" s="6" t="n"/>
      <c r="B505" s="112">
        <f>IF($C505="","","GG"&amp;TEXT(ROW()-6,"00000"))</f>
        <v/>
      </c>
      <c r="C505" s="114" t="n"/>
      <c r="D505" s="107" t="n"/>
      <c r="E505" s="108" t="n"/>
      <c r="F505" s="108" t="n"/>
      <c r="G505" s="115" t="n"/>
      <c r="H505" s="107" t="n"/>
      <c r="I505" s="107" t="n"/>
      <c r="J505" s="108" t="n"/>
      <c r="K505" s="108" t="n"/>
      <c r="L505" s="119">
        <f>IF($C505="","",DATE(YEAR($C505),MONTH($C505),1))</f>
        <v/>
      </c>
      <c r="M505" s="112">
        <f>IF($C505="","",IF(AND($D505&lt;&gt;"",$E505&lt;&gt;"",$G505&gt;0,$H505&lt;&gt;"",$I505&lt;&gt;""),IF($C505&gt;TODAY(),"İLERİ TARİH","UYGUN"),"EKSİK"))</f>
        <v/>
      </c>
      <c r="N505" s="6" t="n"/>
      <c r="O505" s="6" t="n"/>
    </row>
    <row r="506">
      <c r="A506" s="6" t="n"/>
      <c r="B506" s="112">
        <f>IF($C506="","","GG"&amp;TEXT(ROW()-6,"00000"))</f>
        <v/>
      </c>
      <c r="C506" s="114" t="n"/>
      <c r="D506" s="107" t="n"/>
      <c r="E506" s="108" t="n"/>
      <c r="F506" s="108" t="n"/>
      <c r="G506" s="115" t="n"/>
      <c r="H506" s="107" t="n"/>
      <c r="I506" s="107" t="n"/>
      <c r="J506" s="108" t="n"/>
      <c r="K506" s="108" t="n"/>
      <c r="L506" s="119">
        <f>IF($C506="","",DATE(YEAR($C506),MONTH($C506),1))</f>
        <v/>
      </c>
      <c r="M506" s="112">
        <f>IF($C506="","",IF(AND($D506&lt;&gt;"",$E506&lt;&gt;"",$G506&gt;0,$H506&lt;&gt;"",$I506&lt;&gt;""),IF($C506&gt;TODAY(),"İLERİ TARİH","UYGUN"),"EKSİK"))</f>
        <v/>
      </c>
      <c r="N506" s="6" t="n"/>
      <c r="O506" s="6" t="n"/>
    </row>
    <row r="507">
      <c r="A507" s="6" t="n"/>
      <c r="B507" s="112">
        <f>IF($C507="","","GG"&amp;TEXT(ROW()-6,"00000"))</f>
        <v/>
      </c>
      <c r="C507" s="114" t="n"/>
      <c r="D507" s="107" t="n"/>
      <c r="E507" s="108" t="n"/>
      <c r="F507" s="108" t="n"/>
      <c r="G507" s="115" t="n"/>
      <c r="H507" s="107" t="n"/>
      <c r="I507" s="107" t="n"/>
      <c r="J507" s="108" t="n"/>
      <c r="K507" s="108" t="n"/>
      <c r="L507" s="119">
        <f>IF($C507="","",DATE(YEAR($C507),MONTH($C507),1))</f>
        <v/>
      </c>
      <c r="M507" s="112">
        <f>IF($C507="","",IF(AND($D507&lt;&gt;"",$E507&lt;&gt;"",$G507&gt;0,$H507&lt;&gt;"",$I507&lt;&gt;""),IF($C507&gt;TODAY(),"İLERİ TARİH","UYGUN"),"EKSİK"))</f>
        <v/>
      </c>
      <c r="N507" s="6" t="n"/>
      <c r="O507" s="6" t="n"/>
    </row>
    <row r="508">
      <c r="A508" s="6" t="n"/>
      <c r="B508" s="112">
        <f>IF($C508="","","GG"&amp;TEXT(ROW()-6,"00000"))</f>
        <v/>
      </c>
      <c r="C508" s="114" t="n"/>
      <c r="D508" s="107" t="n"/>
      <c r="E508" s="108" t="n"/>
      <c r="F508" s="108" t="n"/>
      <c r="G508" s="115" t="n"/>
      <c r="H508" s="107" t="n"/>
      <c r="I508" s="107" t="n"/>
      <c r="J508" s="108" t="n"/>
      <c r="K508" s="108" t="n"/>
      <c r="L508" s="119">
        <f>IF($C508="","",DATE(YEAR($C508),MONTH($C508),1))</f>
        <v/>
      </c>
      <c r="M508" s="112">
        <f>IF($C508="","",IF(AND($D508&lt;&gt;"",$E508&lt;&gt;"",$G508&gt;0,$H508&lt;&gt;"",$I508&lt;&gt;""),IF($C508&gt;TODAY(),"İLERİ TARİH","UYGUN"),"EKSİK"))</f>
        <v/>
      </c>
      <c r="N508" s="6" t="n"/>
      <c r="O508" s="6" t="n"/>
    </row>
    <row r="509">
      <c r="A509" s="6" t="n"/>
      <c r="B509" s="112">
        <f>IF($C509="","","GG"&amp;TEXT(ROW()-6,"00000"))</f>
        <v/>
      </c>
      <c r="C509" s="114" t="n"/>
      <c r="D509" s="107" t="n"/>
      <c r="E509" s="108" t="n"/>
      <c r="F509" s="108" t="n"/>
      <c r="G509" s="115" t="n"/>
      <c r="H509" s="107" t="n"/>
      <c r="I509" s="107" t="n"/>
      <c r="J509" s="108" t="n"/>
      <c r="K509" s="108" t="n"/>
      <c r="L509" s="119">
        <f>IF($C509="","",DATE(YEAR($C509),MONTH($C509),1))</f>
        <v/>
      </c>
      <c r="M509" s="112">
        <f>IF($C509="","",IF(AND($D509&lt;&gt;"",$E509&lt;&gt;"",$G509&gt;0,$H509&lt;&gt;"",$I509&lt;&gt;""),IF($C509&gt;TODAY(),"İLERİ TARİH","UYGUN"),"EKSİK"))</f>
        <v/>
      </c>
      <c r="N509" s="6" t="n"/>
      <c r="O509" s="6" t="n"/>
    </row>
    <row r="510">
      <c r="A510" s="6" t="n"/>
      <c r="B510" s="112">
        <f>IF($C510="","","GG"&amp;TEXT(ROW()-6,"00000"))</f>
        <v/>
      </c>
      <c r="C510" s="114" t="n"/>
      <c r="D510" s="107" t="n"/>
      <c r="E510" s="108" t="n"/>
      <c r="F510" s="108" t="n"/>
      <c r="G510" s="115" t="n"/>
      <c r="H510" s="107" t="n"/>
      <c r="I510" s="107" t="n"/>
      <c r="J510" s="108" t="n"/>
      <c r="K510" s="108" t="n"/>
      <c r="L510" s="119">
        <f>IF($C510="","",DATE(YEAR($C510),MONTH($C510),1))</f>
        <v/>
      </c>
      <c r="M510" s="112">
        <f>IF($C510="","",IF(AND($D510&lt;&gt;"",$E510&lt;&gt;"",$G510&gt;0,$H510&lt;&gt;"",$I510&lt;&gt;""),IF($C510&gt;TODAY(),"İLERİ TARİH","UYGUN"),"EKSİK"))</f>
        <v/>
      </c>
      <c r="N510" s="6" t="n"/>
      <c r="O510" s="6" t="n"/>
    </row>
    <row r="511">
      <c r="A511" s="6" t="n"/>
      <c r="B511" s="112">
        <f>IF($C511="","","GG"&amp;TEXT(ROW()-6,"00000"))</f>
        <v/>
      </c>
      <c r="C511" s="114" t="n"/>
      <c r="D511" s="107" t="n"/>
      <c r="E511" s="108" t="n"/>
      <c r="F511" s="108" t="n"/>
      <c r="G511" s="115" t="n"/>
      <c r="H511" s="107" t="n"/>
      <c r="I511" s="107" t="n"/>
      <c r="J511" s="108" t="n"/>
      <c r="K511" s="108" t="n"/>
      <c r="L511" s="119">
        <f>IF($C511="","",DATE(YEAR($C511),MONTH($C511),1))</f>
        <v/>
      </c>
      <c r="M511" s="112">
        <f>IF($C511="","",IF(AND($D511&lt;&gt;"",$E511&lt;&gt;"",$G511&gt;0,$H511&lt;&gt;"",$I511&lt;&gt;""),IF($C511&gt;TODAY(),"İLERİ TARİH","UYGUN"),"EKSİK"))</f>
        <v/>
      </c>
      <c r="N511" s="6" t="n"/>
      <c r="O511" s="6" t="n"/>
    </row>
    <row r="512">
      <c r="A512" s="6" t="n"/>
      <c r="B512" s="112">
        <f>IF($C512="","","GG"&amp;TEXT(ROW()-6,"00000"))</f>
        <v/>
      </c>
      <c r="C512" s="114" t="n"/>
      <c r="D512" s="107" t="n"/>
      <c r="E512" s="108" t="n"/>
      <c r="F512" s="108" t="n"/>
      <c r="G512" s="115" t="n"/>
      <c r="H512" s="107" t="n"/>
      <c r="I512" s="107" t="n"/>
      <c r="J512" s="108" t="n"/>
      <c r="K512" s="108" t="n"/>
      <c r="L512" s="119">
        <f>IF($C512="","",DATE(YEAR($C512),MONTH($C512),1))</f>
        <v/>
      </c>
      <c r="M512" s="112">
        <f>IF($C512="","",IF(AND($D512&lt;&gt;"",$E512&lt;&gt;"",$G512&gt;0,$H512&lt;&gt;"",$I512&lt;&gt;""),IF($C512&gt;TODAY(),"İLERİ TARİH","UYGUN"),"EKSİK"))</f>
        <v/>
      </c>
      <c r="N512" s="6" t="n"/>
      <c r="O512" s="6" t="n"/>
    </row>
    <row r="513">
      <c r="A513" s="6" t="n"/>
      <c r="B513" s="112">
        <f>IF($C513="","","GG"&amp;TEXT(ROW()-6,"00000"))</f>
        <v/>
      </c>
      <c r="C513" s="114" t="n"/>
      <c r="D513" s="107" t="n"/>
      <c r="E513" s="108" t="n"/>
      <c r="F513" s="108" t="n"/>
      <c r="G513" s="115" t="n"/>
      <c r="H513" s="107" t="n"/>
      <c r="I513" s="107" t="n"/>
      <c r="J513" s="108" t="n"/>
      <c r="K513" s="108" t="n"/>
      <c r="L513" s="119">
        <f>IF($C513="","",DATE(YEAR($C513),MONTH($C513),1))</f>
        <v/>
      </c>
      <c r="M513" s="112">
        <f>IF($C513="","",IF(AND($D513&lt;&gt;"",$E513&lt;&gt;"",$G513&gt;0,$H513&lt;&gt;"",$I513&lt;&gt;""),IF($C513&gt;TODAY(),"İLERİ TARİH","UYGUN"),"EKSİK"))</f>
        <v/>
      </c>
      <c r="N513" s="6" t="n"/>
      <c r="O513" s="6" t="n"/>
    </row>
    <row r="514">
      <c r="A514" s="6" t="n"/>
      <c r="B514" s="112">
        <f>IF($C514="","","GG"&amp;TEXT(ROW()-6,"00000"))</f>
        <v/>
      </c>
      <c r="C514" s="114" t="n"/>
      <c r="D514" s="107" t="n"/>
      <c r="E514" s="108" t="n"/>
      <c r="F514" s="108" t="n"/>
      <c r="G514" s="115" t="n"/>
      <c r="H514" s="107" t="n"/>
      <c r="I514" s="107" t="n"/>
      <c r="J514" s="108" t="n"/>
      <c r="K514" s="108" t="n"/>
      <c r="L514" s="119">
        <f>IF($C514="","",DATE(YEAR($C514),MONTH($C514),1))</f>
        <v/>
      </c>
      <c r="M514" s="112">
        <f>IF($C514="","",IF(AND($D514&lt;&gt;"",$E514&lt;&gt;"",$G514&gt;0,$H514&lt;&gt;"",$I514&lt;&gt;""),IF($C514&gt;TODAY(),"İLERİ TARİH","UYGUN"),"EKSİK"))</f>
        <v/>
      </c>
      <c r="N514" s="6" t="n"/>
      <c r="O514" s="6" t="n"/>
    </row>
    <row r="515">
      <c r="A515" s="6" t="n"/>
      <c r="B515" s="112">
        <f>IF($C515="","","GG"&amp;TEXT(ROW()-6,"00000"))</f>
        <v/>
      </c>
      <c r="C515" s="114" t="n"/>
      <c r="D515" s="107" t="n"/>
      <c r="E515" s="108" t="n"/>
      <c r="F515" s="108" t="n"/>
      <c r="G515" s="115" t="n"/>
      <c r="H515" s="107" t="n"/>
      <c r="I515" s="107" t="n"/>
      <c r="J515" s="108" t="n"/>
      <c r="K515" s="108" t="n"/>
      <c r="L515" s="119">
        <f>IF($C515="","",DATE(YEAR($C515),MONTH($C515),1))</f>
        <v/>
      </c>
      <c r="M515" s="112">
        <f>IF($C515="","",IF(AND($D515&lt;&gt;"",$E515&lt;&gt;"",$G515&gt;0,$H515&lt;&gt;"",$I515&lt;&gt;""),IF($C515&gt;TODAY(),"İLERİ TARİH","UYGUN"),"EKSİK"))</f>
        <v/>
      </c>
      <c r="N515" s="6" t="n"/>
      <c r="O515" s="6" t="n"/>
    </row>
    <row r="516">
      <c r="A516" s="6" t="n"/>
      <c r="B516" s="112">
        <f>IF($C516="","","GG"&amp;TEXT(ROW()-6,"00000"))</f>
        <v/>
      </c>
      <c r="C516" s="114" t="n"/>
      <c r="D516" s="107" t="n"/>
      <c r="E516" s="108" t="n"/>
      <c r="F516" s="108" t="n"/>
      <c r="G516" s="115" t="n"/>
      <c r="H516" s="107" t="n"/>
      <c r="I516" s="107" t="n"/>
      <c r="J516" s="108" t="n"/>
      <c r="K516" s="108" t="n"/>
      <c r="L516" s="119">
        <f>IF($C516="","",DATE(YEAR($C516),MONTH($C516),1))</f>
        <v/>
      </c>
      <c r="M516" s="112">
        <f>IF($C516="","",IF(AND($D516&lt;&gt;"",$E516&lt;&gt;"",$G516&gt;0,$H516&lt;&gt;"",$I516&lt;&gt;""),IF($C516&gt;TODAY(),"İLERİ TARİH","UYGUN"),"EKSİK"))</f>
        <v/>
      </c>
      <c r="N516" s="6" t="n"/>
      <c r="O516" s="6" t="n"/>
    </row>
    <row r="517">
      <c r="A517" s="6" t="n"/>
      <c r="B517" s="112">
        <f>IF($C517="","","GG"&amp;TEXT(ROW()-6,"00000"))</f>
        <v/>
      </c>
      <c r="C517" s="114" t="n"/>
      <c r="D517" s="107" t="n"/>
      <c r="E517" s="108" t="n"/>
      <c r="F517" s="108" t="n"/>
      <c r="G517" s="115" t="n"/>
      <c r="H517" s="107" t="n"/>
      <c r="I517" s="107" t="n"/>
      <c r="J517" s="108" t="n"/>
      <c r="K517" s="108" t="n"/>
      <c r="L517" s="119">
        <f>IF($C517="","",DATE(YEAR($C517),MONTH($C517),1))</f>
        <v/>
      </c>
      <c r="M517" s="112">
        <f>IF($C517="","",IF(AND($D517&lt;&gt;"",$E517&lt;&gt;"",$G517&gt;0,$H517&lt;&gt;"",$I517&lt;&gt;""),IF($C517&gt;TODAY(),"İLERİ TARİH","UYGUN"),"EKSİK"))</f>
        <v/>
      </c>
      <c r="N517" s="6" t="n"/>
      <c r="O517" s="6" t="n"/>
    </row>
    <row r="518">
      <c r="A518" s="6" t="n"/>
      <c r="B518" s="112">
        <f>IF($C518="","","GG"&amp;TEXT(ROW()-6,"00000"))</f>
        <v/>
      </c>
      <c r="C518" s="114" t="n"/>
      <c r="D518" s="107" t="n"/>
      <c r="E518" s="108" t="n"/>
      <c r="F518" s="108" t="n"/>
      <c r="G518" s="115" t="n"/>
      <c r="H518" s="107" t="n"/>
      <c r="I518" s="107" t="n"/>
      <c r="J518" s="108" t="n"/>
      <c r="K518" s="108" t="n"/>
      <c r="L518" s="119">
        <f>IF($C518="","",DATE(YEAR($C518),MONTH($C518),1))</f>
        <v/>
      </c>
      <c r="M518" s="112">
        <f>IF($C518="","",IF(AND($D518&lt;&gt;"",$E518&lt;&gt;"",$G518&gt;0,$H518&lt;&gt;"",$I518&lt;&gt;""),IF($C518&gt;TODAY(),"İLERİ TARİH","UYGUN"),"EKSİK"))</f>
        <v/>
      </c>
      <c r="N518" s="6" t="n"/>
      <c r="O518" s="6" t="n"/>
    </row>
    <row r="519">
      <c r="A519" s="6" t="n"/>
      <c r="B519" s="112">
        <f>IF($C519="","","GG"&amp;TEXT(ROW()-6,"00000"))</f>
        <v/>
      </c>
      <c r="C519" s="114" t="n"/>
      <c r="D519" s="107" t="n"/>
      <c r="E519" s="108" t="n"/>
      <c r="F519" s="108" t="n"/>
      <c r="G519" s="115" t="n"/>
      <c r="H519" s="107" t="n"/>
      <c r="I519" s="107" t="n"/>
      <c r="J519" s="108" t="n"/>
      <c r="K519" s="108" t="n"/>
      <c r="L519" s="119">
        <f>IF($C519="","",DATE(YEAR($C519),MONTH($C519),1))</f>
        <v/>
      </c>
      <c r="M519" s="112">
        <f>IF($C519="","",IF(AND($D519&lt;&gt;"",$E519&lt;&gt;"",$G519&gt;0,$H519&lt;&gt;"",$I519&lt;&gt;""),IF($C519&gt;TODAY(),"İLERİ TARİH","UYGUN"),"EKSİK"))</f>
        <v/>
      </c>
      <c r="N519" s="6" t="n"/>
      <c r="O519" s="6" t="n"/>
    </row>
    <row r="520">
      <c r="A520" s="6" t="n"/>
      <c r="B520" s="112">
        <f>IF($C520="","","GG"&amp;TEXT(ROW()-6,"00000"))</f>
        <v/>
      </c>
      <c r="C520" s="114" t="n"/>
      <c r="D520" s="107" t="n"/>
      <c r="E520" s="108" t="n"/>
      <c r="F520" s="108" t="n"/>
      <c r="G520" s="115" t="n"/>
      <c r="H520" s="107" t="n"/>
      <c r="I520" s="107" t="n"/>
      <c r="J520" s="108" t="n"/>
      <c r="K520" s="108" t="n"/>
      <c r="L520" s="119">
        <f>IF($C520="","",DATE(YEAR($C520),MONTH($C520),1))</f>
        <v/>
      </c>
      <c r="M520" s="112">
        <f>IF($C520="","",IF(AND($D520&lt;&gt;"",$E520&lt;&gt;"",$G520&gt;0,$H520&lt;&gt;"",$I520&lt;&gt;""),IF($C520&gt;TODAY(),"İLERİ TARİH","UYGUN"),"EKSİK"))</f>
        <v/>
      </c>
      <c r="N520" s="6" t="n"/>
      <c r="O520" s="6" t="n"/>
    </row>
    <row r="521">
      <c r="A521" s="6" t="n"/>
      <c r="B521" s="112">
        <f>IF($C521="","","GG"&amp;TEXT(ROW()-6,"00000"))</f>
        <v/>
      </c>
      <c r="C521" s="114" t="n"/>
      <c r="D521" s="107" t="n"/>
      <c r="E521" s="108" t="n"/>
      <c r="F521" s="108" t="n"/>
      <c r="G521" s="115" t="n"/>
      <c r="H521" s="107" t="n"/>
      <c r="I521" s="107" t="n"/>
      <c r="J521" s="108" t="n"/>
      <c r="K521" s="108" t="n"/>
      <c r="L521" s="119">
        <f>IF($C521="","",DATE(YEAR($C521),MONTH($C521),1))</f>
        <v/>
      </c>
      <c r="M521" s="112">
        <f>IF($C521="","",IF(AND($D521&lt;&gt;"",$E521&lt;&gt;"",$G521&gt;0,$H521&lt;&gt;"",$I521&lt;&gt;""),IF($C521&gt;TODAY(),"İLERİ TARİH","UYGUN"),"EKSİK"))</f>
        <v/>
      </c>
      <c r="N521" s="6" t="n"/>
      <c r="O521" s="6" t="n"/>
    </row>
    <row r="522">
      <c r="A522" s="6" t="n"/>
      <c r="B522" s="112">
        <f>IF($C522="","","GG"&amp;TEXT(ROW()-6,"00000"))</f>
        <v/>
      </c>
      <c r="C522" s="114" t="n"/>
      <c r="D522" s="107" t="n"/>
      <c r="E522" s="108" t="n"/>
      <c r="F522" s="108" t="n"/>
      <c r="G522" s="115" t="n"/>
      <c r="H522" s="107" t="n"/>
      <c r="I522" s="107" t="n"/>
      <c r="J522" s="108" t="n"/>
      <c r="K522" s="108" t="n"/>
      <c r="L522" s="119">
        <f>IF($C522="","",DATE(YEAR($C522),MONTH($C522),1))</f>
        <v/>
      </c>
      <c r="M522" s="112">
        <f>IF($C522="","",IF(AND($D522&lt;&gt;"",$E522&lt;&gt;"",$G522&gt;0,$H522&lt;&gt;"",$I522&lt;&gt;""),IF($C522&gt;TODAY(),"İLERİ TARİH","UYGUN"),"EKSİK"))</f>
        <v/>
      </c>
      <c r="N522" s="6" t="n"/>
      <c r="O522" s="6" t="n"/>
    </row>
    <row r="523">
      <c r="A523" s="6" t="n"/>
      <c r="B523" s="112">
        <f>IF($C523="","","GG"&amp;TEXT(ROW()-6,"00000"))</f>
        <v/>
      </c>
      <c r="C523" s="114" t="n"/>
      <c r="D523" s="107" t="n"/>
      <c r="E523" s="108" t="n"/>
      <c r="F523" s="108" t="n"/>
      <c r="G523" s="115" t="n"/>
      <c r="H523" s="107" t="n"/>
      <c r="I523" s="107" t="n"/>
      <c r="J523" s="108" t="n"/>
      <c r="K523" s="108" t="n"/>
      <c r="L523" s="119">
        <f>IF($C523="","",DATE(YEAR($C523),MONTH($C523),1))</f>
        <v/>
      </c>
      <c r="M523" s="112">
        <f>IF($C523="","",IF(AND($D523&lt;&gt;"",$E523&lt;&gt;"",$G523&gt;0,$H523&lt;&gt;"",$I523&lt;&gt;""),IF($C523&gt;TODAY(),"İLERİ TARİH","UYGUN"),"EKSİK"))</f>
        <v/>
      </c>
      <c r="N523" s="6" t="n"/>
      <c r="O523" s="6" t="n"/>
    </row>
    <row r="524">
      <c r="A524" s="6" t="n"/>
      <c r="B524" s="112">
        <f>IF($C524="","","GG"&amp;TEXT(ROW()-6,"00000"))</f>
        <v/>
      </c>
      <c r="C524" s="114" t="n"/>
      <c r="D524" s="107" t="n"/>
      <c r="E524" s="108" t="n"/>
      <c r="F524" s="108" t="n"/>
      <c r="G524" s="115" t="n"/>
      <c r="H524" s="107" t="n"/>
      <c r="I524" s="107" t="n"/>
      <c r="J524" s="108" t="n"/>
      <c r="K524" s="108" t="n"/>
      <c r="L524" s="119">
        <f>IF($C524="","",DATE(YEAR($C524),MONTH($C524),1))</f>
        <v/>
      </c>
      <c r="M524" s="112">
        <f>IF($C524="","",IF(AND($D524&lt;&gt;"",$E524&lt;&gt;"",$G524&gt;0,$H524&lt;&gt;"",$I524&lt;&gt;""),IF($C524&gt;TODAY(),"İLERİ TARİH","UYGUN"),"EKSİK"))</f>
        <v/>
      </c>
      <c r="N524" s="6" t="n"/>
      <c r="O524" s="6" t="n"/>
    </row>
    <row r="525">
      <c r="A525" s="6" t="n"/>
      <c r="B525" s="112">
        <f>IF($C525="","","GG"&amp;TEXT(ROW()-6,"00000"))</f>
        <v/>
      </c>
      <c r="C525" s="114" t="n"/>
      <c r="D525" s="107" t="n"/>
      <c r="E525" s="108" t="n"/>
      <c r="F525" s="108" t="n"/>
      <c r="G525" s="115" t="n"/>
      <c r="H525" s="107" t="n"/>
      <c r="I525" s="107" t="n"/>
      <c r="J525" s="108" t="n"/>
      <c r="K525" s="108" t="n"/>
      <c r="L525" s="119">
        <f>IF($C525="","",DATE(YEAR($C525),MONTH($C525),1))</f>
        <v/>
      </c>
      <c r="M525" s="112">
        <f>IF($C525="","",IF(AND($D525&lt;&gt;"",$E525&lt;&gt;"",$G525&gt;0,$H525&lt;&gt;"",$I525&lt;&gt;""),IF($C525&gt;TODAY(),"İLERİ TARİH","UYGUN"),"EKSİK"))</f>
        <v/>
      </c>
      <c r="N525" s="6" t="n"/>
      <c r="O525" s="6" t="n"/>
    </row>
    <row r="526">
      <c r="A526" s="6" t="n"/>
      <c r="B526" s="112">
        <f>IF($C526="","","GG"&amp;TEXT(ROW()-6,"00000"))</f>
        <v/>
      </c>
      <c r="C526" s="114" t="n"/>
      <c r="D526" s="107" t="n"/>
      <c r="E526" s="108" t="n"/>
      <c r="F526" s="108" t="n"/>
      <c r="G526" s="115" t="n"/>
      <c r="H526" s="107" t="n"/>
      <c r="I526" s="107" t="n"/>
      <c r="J526" s="108" t="n"/>
      <c r="K526" s="108" t="n"/>
      <c r="L526" s="119">
        <f>IF($C526="","",DATE(YEAR($C526),MONTH($C526),1))</f>
        <v/>
      </c>
      <c r="M526" s="112">
        <f>IF($C526="","",IF(AND($D526&lt;&gt;"",$E526&lt;&gt;"",$G526&gt;0,$H526&lt;&gt;"",$I526&lt;&gt;""),IF($C526&gt;TODAY(),"İLERİ TARİH","UYGUN"),"EKSİK"))</f>
        <v/>
      </c>
      <c r="N526" s="6" t="n"/>
      <c r="O526" s="6" t="n"/>
    </row>
    <row r="527">
      <c r="A527" s="6" t="n"/>
      <c r="B527" s="112">
        <f>IF($C527="","","GG"&amp;TEXT(ROW()-6,"00000"))</f>
        <v/>
      </c>
      <c r="C527" s="114" t="n"/>
      <c r="D527" s="107" t="n"/>
      <c r="E527" s="108" t="n"/>
      <c r="F527" s="108" t="n"/>
      <c r="G527" s="115" t="n"/>
      <c r="H527" s="107" t="n"/>
      <c r="I527" s="107" t="n"/>
      <c r="J527" s="108" t="n"/>
      <c r="K527" s="108" t="n"/>
      <c r="L527" s="119">
        <f>IF($C527="","",DATE(YEAR($C527),MONTH($C527),1))</f>
        <v/>
      </c>
      <c r="M527" s="112">
        <f>IF($C527="","",IF(AND($D527&lt;&gt;"",$E527&lt;&gt;"",$G527&gt;0,$H527&lt;&gt;"",$I527&lt;&gt;""),IF($C527&gt;TODAY(),"İLERİ TARİH","UYGUN"),"EKSİK"))</f>
        <v/>
      </c>
      <c r="N527" s="6" t="n"/>
      <c r="O527" s="6" t="n"/>
    </row>
    <row r="528">
      <c r="A528" s="6" t="n"/>
      <c r="B528" s="112">
        <f>IF($C528="","","GG"&amp;TEXT(ROW()-6,"00000"))</f>
        <v/>
      </c>
      <c r="C528" s="114" t="n"/>
      <c r="D528" s="107" t="n"/>
      <c r="E528" s="108" t="n"/>
      <c r="F528" s="108" t="n"/>
      <c r="G528" s="115" t="n"/>
      <c r="H528" s="107" t="n"/>
      <c r="I528" s="107" t="n"/>
      <c r="J528" s="108" t="n"/>
      <c r="K528" s="108" t="n"/>
      <c r="L528" s="119">
        <f>IF($C528="","",DATE(YEAR($C528),MONTH($C528),1))</f>
        <v/>
      </c>
      <c r="M528" s="112">
        <f>IF($C528="","",IF(AND($D528&lt;&gt;"",$E528&lt;&gt;"",$G528&gt;0,$H528&lt;&gt;"",$I528&lt;&gt;""),IF($C528&gt;TODAY(),"İLERİ TARİH","UYGUN"),"EKSİK"))</f>
        <v/>
      </c>
      <c r="N528" s="6" t="n"/>
      <c r="O528" s="6" t="n"/>
    </row>
    <row r="529">
      <c r="A529" s="6" t="n"/>
      <c r="B529" s="112">
        <f>IF($C529="","","GG"&amp;TEXT(ROW()-6,"00000"))</f>
        <v/>
      </c>
      <c r="C529" s="114" t="n"/>
      <c r="D529" s="107" t="n"/>
      <c r="E529" s="108" t="n"/>
      <c r="F529" s="108" t="n"/>
      <c r="G529" s="115" t="n"/>
      <c r="H529" s="107" t="n"/>
      <c r="I529" s="107" t="n"/>
      <c r="J529" s="108" t="n"/>
      <c r="K529" s="108" t="n"/>
      <c r="L529" s="119">
        <f>IF($C529="","",DATE(YEAR($C529),MONTH($C529),1))</f>
        <v/>
      </c>
      <c r="M529" s="112">
        <f>IF($C529="","",IF(AND($D529&lt;&gt;"",$E529&lt;&gt;"",$G529&gt;0,$H529&lt;&gt;"",$I529&lt;&gt;""),IF($C529&gt;TODAY(),"İLERİ TARİH","UYGUN"),"EKSİK"))</f>
        <v/>
      </c>
      <c r="N529" s="6" t="n"/>
      <c r="O529" s="6" t="n"/>
    </row>
    <row r="530">
      <c r="A530" s="6" t="n"/>
      <c r="B530" s="112">
        <f>IF($C530="","","GG"&amp;TEXT(ROW()-6,"00000"))</f>
        <v/>
      </c>
      <c r="C530" s="114" t="n"/>
      <c r="D530" s="107" t="n"/>
      <c r="E530" s="108" t="n"/>
      <c r="F530" s="108" t="n"/>
      <c r="G530" s="115" t="n"/>
      <c r="H530" s="107" t="n"/>
      <c r="I530" s="107" t="n"/>
      <c r="J530" s="108" t="n"/>
      <c r="K530" s="108" t="n"/>
      <c r="L530" s="119">
        <f>IF($C530="","",DATE(YEAR($C530),MONTH($C530),1))</f>
        <v/>
      </c>
      <c r="M530" s="112">
        <f>IF($C530="","",IF(AND($D530&lt;&gt;"",$E530&lt;&gt;"",$G530&gt;0,$H530&lt;&gt;"",$I530&lt;&gt;""),IF($C530&gt;TODAY(),"İLERİ TARİH","UYGUN"),"EKSİK"))</f>
        <v/>
      </c>
      <c r="N530" s="6" t="n"/>
      <c r="O530" s="6" t="n"/>
    </row>
    <row r="531">
      <c r="A531" s="6" t="n"/>
      <c r="B531" s="112">
        <f>IF($C531="","","GG"&amp;TEXT(ROW()-6,"00000"))</f>
        <v/>
      </c>
      <c r="C531" s="114" t="n"/>
      <c r="D531" s="107" t="n"/>
      <c r="E531" s="108" t="n"/>
      <c r="F531" s="108" t="n"/>
      <c r="G531" s="115" t="n"/>
      <c r="H531" s="107" t="n"/>
      <c r="I531" s="107" t="n"/>
      <c r="J531" s="108" t="n"/>
      <c r="K531" s="108" t="n"/>
      <c r="L531" s="119">
        <f>IF($C531="","",DATE(YEAR($C531),MONTH($C531),1))</f>
        <v/>
      </c>
      <c r="M531" s="112">
        <f>IF($C531="","",IF(AND($D531&lt;&gt;"",$E531&lt;&gt;"",$G531&gt;0,$H531&lt;&gt;"",$I531&lt;&gt;""),IF($C531&gt;TODAY(),"İLERİ TARİH","UYGUN"),"EKSİK"))</f>
        <v/>
      </c>
      <c r="N531" s="6" t="n"/>
      <c r="O531" s="6" t="n"/>
    </row>
    <row r="532">
      <c r="A532" s="6" t="n"/>
      <c r="B532" s="112">
        <f>IF($C532="","","GG"&amp;TEXT(ROW()-6,"00000"))</f>
        <v/>
      </c>
      <c r="C532" s="114" t="n"/>
      <c r="D532" s="107" t="n"/>
      <c r="E532" s="108" t="n"/>
      <c r="F532" s="108" t="n"/>
      <c r="G532" s="115" t="n"/>
      <c r="H532" s="107" t="n"/>
      <c r="I532" s="107" t="n"/>
      <c r="J532" s="108" t="n"/>
      <c r="K532" s="108" t="n"/>
      <c r="L532" s="119">
        <f>IF($C532="","",DATE(YEAR($C532),MONTH($C532),1))</f>
        <v/>
      </c>
      <c r="M532" s="112">
        <f>IF($C532="","",IF(AND($D532&lt;&gt;"",$E532&lt;&gt;"",$G532&gt;0,$H532&lt;&gt;"",$I532&lt;&gt;""),IF($C532&gt;TODAY(),"İLERİ TARİH","UYGUN"),"EKSİK"))</f>
        <v/>
      </c>
      <c r="N532" s="6" t="n"/>
      <c r="O532" s="6" t="n"/>
    </row>
    <row r="533">
      <c r="A533" s="6" t="n"/>
      <c r="B533" s="112">
        <f>IF($C533="","","GG"&amp;TEXT(ROW()-6,"00000"))</f>
        <v/>
      </c>
      <c r="C533" s="114" t="n"/>
      <c r="D533" s="107" t="n"/>
      <c r="E533" s="108" t="n"/>
      <c r="F533" s="108" t="n"/>
      <c r="G533" s="115" t="n"/>
      <c r="H533" s="107" t="n"/>
      <c r="I533" s="107" t="n"/>
      <c r="J533" s="108" t="n"/>
      <c r="K533" s="108" t="n"/>
      <c r="L533" s="119">
        <f>IF($C533="","",DATE(YEAR($C533),MONTH($C533),1))</f>
        <v/>
      </c>
      <c r="M533" s="112">
        <f>IF($C533="","",IF(AND($D533&lt;&gt;"",$E533&lt;&gt;"",$G533&gt;0,$H533&lt;&gt;"",$I533&lt;&gt;""),IF($C533&gt;TODAY(),"İLERİ TARİH","UYGUN"),"EKSİK"))</f>
        <v/>
      </c>
      <c r="N533" s="6" t="n"/>
      <c r="O533" s="6" t="n"/>
    </row>
    <row r="534">
      <c r="A534" s="6" t="n"/>
      <c r="B534" s="112">
        <f>IF($C534="","","GG"&amp;TEXT(ROW()-6,"00000"))</f>
        <v/>
      </c>
      <c r="C534" s="114" t="n"/>
      <c r="D534" s="107" t="n"/>
      <c r="E534" s="108" t="n"/>
      <c r="F534" s="108" t="n"/>
      <c r="G534" s="115" t="n"/>
      <c r="H534" s="107" t="n"/>
      <c r="I534" s="107" t="n"/>
      <c r="J534" s="108" t="n"/>
      <c r="K534" s="108" t="n"/>
      <c r="L534" s="119">
        <f>IF($C534="","",DATE(YEAR($C534),MONTH($C534),1))</f>
        <v/>
      </c>
      <c r="M534" s="112">
        <f>IF($C534="","",IF(AND($D534&lt;&gt;"",$E534&lt;&gt;"",$G534&gt;0,$H534&lt;&gt;"",$I534&lt;&gt;""),IF($C534&gt;TODAY(),"İLERİ TARİH","UYGUN"),"EKSİK"))</f>
        <v/>
      </c>
      <c r="N534" s="6" t="n"/>
      <c r="O534" s="6" t="n"/>
    </row>
    <row r="535">
      <c r="A535" s="6" t="n"/>
      <c r="B535" s="112">
        <f>IF($C535="","","GG"&amp;TEXT(ROW()-6,"00000"))</f>
        <v/>
      </c>
      <c r="C535" s="114" t="n"/>
      <c r="D535" s="107" t="n"/>
      <c r="E535" s="108" t="n"/>
      <c r="F535" s="108" t="n"/>
      <c r="G535" s="115" t="n"/>
      <c r="H535" s="107" t="n"/>
      <c r="I535" s="107" t="n"/>
      <c r="J535" s="108" t="n"/>
      <c r="K535" s="108" t="n"/>
      <c r="L535" s="119">
        <f>IF($C535="","",DATE(YEAR($C535),MONTH($C535),1))</f>
        <v/>
      </c>
      <c r="M535" s="112">
        <f>IF($C535="","",IF(AND($D535&lt;&gt;"",$E535&lt;&gt;"",$G535&gt;0,$H535&lt;&gt;"",$I535&lt;&gt;""),IF($C535&gt;TODAY(),"İLERİ TARİH","UYGUN"),"EKSİK"))</f>
        <v/>
      </c>
      <c r="N535" s="6" t="n"/>
      <c r="O535" s="6" t="n"/>
    </row>
    <row r="536">
      <c r="A536" s="6" t="n"/>
      <c r="B536" s="112">
        <f>IF($C536="","","GG"&amp;TEXT(ROW()-6,"00000"))</f>
        <v/>
      </c>
      <c r="C536" s="114" t="n"/>
      <c r="D536" s="107" t="n"/>
      <c r="E536" s="108" t="n"/>
      <c r="F536" s="108" t="n"/>
      <c r="G536" s="115" t="n"/>
      <c r="H536" s="107" t="n"/>
      <c r="I536" s="107" t="n"/>
      <c r="J536" s="108" t="n"/>
      <c r="K536" s="108" t="n"/>
      <c r="L536" s="119">
        <f>IF($C536="","",DATE(YEAR($C536),MONTH($C536),1))</f>
        <v/>
      </c>
      <c r="M536" s="112">
        <f>IF($C536="","",IF(AND($D536&lt;&gt;"",$E536&lt;&gt;"",$G536&gt;0,$H536&lt;&gt;"",$I536&lt;&gt;""),IF($C536&gt;TODAY(),"İLERİ TARİH","UYGUN"),"EKSİK"))</f>
        <v/>
      </c>
      <c r="N536" s="6" t="n"/>
      <c r="O536" s="6" t="n"/>
    </row>
    <row r="537">
      <c r="A537" s="6" t="n"/>
      <c r="B537" s="112">
        <f>IF($C537="","","GG"&amp;TEXT(ROW()-6,"00000"))</f>
        <v/>
      </c>
      <c r="C537" s="114" t="n"/>
      <c r="D537" s="107" t="n"/>
      <c r="E537" s="108" t="n"/>
      <c r="F537" s="108" t="n"/>
      <c r="G537" s="115" t="n"/>
      <c r="H537" s="107" t="n"/>
      <c r="I537" s="107" t="n"/>
      <c r="J537" s="108" t="n"/>
      <c r="K537" s="108" t="n"/>
      <c r="L537" s="119">
        <f>IF($C537="","",DATE(YEAR($C537),MONTH($C537),1))</f>
        <v/>
      </c>
      <c r="M537" s="112">
        <f>IF($C537="","",IF(AND($D537&lt;&gt;"",$E537&lt;&gt;"",$G537&gt;0,$H537&lt;&gt;"",$I537&lt;&gt;""),IF($C537&gt;TODAY(),"İLERİ TARİH","UYGUN"),"EKSİK"))</f>
        <v/>
      </c>
      <c r="N537" s="6" t="n"/>
      <c r="O537" s="6" t="n"/>
    </row>
    <row r="538">
      <c r="A538" s="6" t="n"/>
      <c r="B538" s="112">
        <f>IF($C538="","","GG"&amp;TEXT(ROW()-6,"00000"))</f>
        <v/>
      </c>
      <c r="C538" s="114" t="n"/>
      <c r="D538" s="107" t="n"/>
      <c r="E538" s="108" t="n"/>
      <c r="F538" s="108" t="n"/>
      <c r="G538" s="115" t="n"/>
      <c r="H538" s="107" t="n"/>
      <c r="I538" s="107" t="n"/>
      <c r="J538" s="108" t="n"/>
      <c r="K538" s="108" t="n"/>
      <c r="L538" s="119">
        <f>IF($C538="","",DATE(YEAR($C538),MONTH($C538),1))</f>
        <v/>
      </c>
      <c r="M538" s="112">
        <f>IF($C538="","",IF(AND($D538&lt;&gt;"",$E538&lt;&gt;"",$G538&gt;0,$H538&lt;&gt;"",$I538&lt;&gt;""),IF($C538&gt;TODAY(),"İLERİ TARİH","UYGUN"),"EKSİK"))</f>
        <v/>
      </c>
      <c r="N538" s="6" t="n"/>
      <c r="O538" s="6" t="n"/>
    </row>
    <row r="539">
      <c r="A539" s="6" t="n"/>
      <c r="B539" s="112">
        <f>IF($C539="","","GG"&amp;TEXT(ROW()-6,"00000"))</f>
        <v/>
      </c>
      <c r="C539" s="114" t="n"/>
      <c r="D539" s="107" t="n"/>
      <c r="E539" s="108" t="n"/>
      <c r="F539" s="108" t="n"/>
      <c r="G539" s="115" t="n"/>
      <c r="H539" s="107" t="n"/>
      <c r="I539" s="107" t="n"/>
      <c r="J539" s="108" t="n"/>
      <c r="K539" s="108" t="n"/>
      <c r="L539" s="119">
        <f>IF($C539="","",DATE(YEAR($C539),MONTH($C539),1))</f>
        <v/>
      </c>
      <c r="M539" s="112">
        <f>IF($C539="","",IF(AND($D539&lt;&gt;"",$E539&lt;&gt;"",$G539&gt;0,$H539&lt;&gt;"",$I539&lt;&gt;""),IF($C539&gt;TODAY(),"İLERİ TARİH","UYGUN"),"EKSİK"))</f>
        <v/>
      </c>
      <c r="N539" s="6" t="n"/>
      <c r="O539" s="6" t="n"/>
    </row>
    <row r="540">
      <c r="A540" s="6" t="n"/>
      <c r="B540" s="112">
        <f>IF($C540="","","GG"&amp;TEXT(ROW()-6,"00000"))</f>
        <v/>
      </c>
      <c r="C540" s="114" t="n"/>
      <c r="D540" s="107" t="n"/>
      <c r="E540" s="108" t="n"/>
      <c r="F540" s="108" t="n"/>
      <c r="G540" s="115" t="n"/>
      <c r="H540" s="107" t="n"/>
      <c r="I540" s="107" t="n"/>
      <c r="J540" s="108" t="n"/>
      <c r="K540" s="108" t="n"/>
      <c r="L540" s="119">
        <f>IF($C540="","",DATE(YEAR($C540),MONTH($C540),1))</f>
        <v/>
      </c>
      <c r="M540" s="112">
        <f>IF($C540="","",IF(AND($D540&lt;&gt;"",$E540&lt;&gt;"",$G540&gt;0,$H540&lt;&gt;"",$I540&lt;&gt;""),IF($C540&gt;TODAY(),"İLERİ TARİH","UYGUN"),"EKSİK"))</f>
        <v/>
      </c>
      <c r="N540" s="6" t="n"/>
      <c r="O540" s="6" t="n"/>
    </row>
    <row r="541">
      <c r="A541" s="6" t="n"/>
      <c r="B541" s="112">
        <f>IF($C541="","","GG"&amp;TEXT(ROW()-6,"00000"))</f>
        <v/>
      </c>
      <c r="C541" s="114" t="n"/>
      <c r="D541" s="107" t="n"/>
      <c r="E541" s="108" t="n"/>
      <c r="F541" s="108" t="n"/>
      <c r="G541" s="115" t="n"/>
      <c r="H541" s="107" t="n"/>
      <c r="I541" s="107" t="n"/>
      <c r="J541" s="108" t="n"/>
      <c r="K541" s="108" t="n"/>
      <c r="L541" s="119">
        <f>IF($C541="","",DATE(YEAR($C541),MONTH($C541),1))</f>
        <v/>
      </c>
      <c r="M541" s="112">
        <f>IF($C541="","",IF(AND($D541&lt;&gt;"",$E541&lt;&gt;"",$G541&gt;0,$H541&lt;&gt;"",$I541&lt;&gt;""),IF($C541&gt;TODAY(),"İLERİ TARİH","UYGUN"),"EKSİK"))</f>
        <v/>
      </c>
      <c r="N541" s="6" t="n"/>
      <c r="O541" s="6" t="n"/>
    </row>
    <row r="542">
      <c r="A542" s="6" t="n"/>
      <c r="B542" s="112">
        <f>IF($C542="","","GG"&amp;TEXT(ROW()-6,"00000"))</f>
        <v/>
      </c>
      <c r="C542" s="114" t="n"/>
      <c r="D542" s="107" t="n"/>
      <c r="E542" s="108" t="n"/>
      <c r="F542" s="108" t="n"/>
      <c r="G542" s="115" t="n"/>
      <c r="H542" s="107" t="n"/>
      <c r="I542" s="107" t="n"/>
      <c r="J542" s="108" t="n"/>
      <c r="K542" s="108" t="n"/>
      <c r="L542" s="119">
        <f>IF($C542="","",DATE(YEAR($C542),MONTH($C542),1))</f>
        <v/>
      </c>
      <c r="M542" s="112">
        <f>IF($C542="","",IF(AND($D542&lt;&gt;"",$E542&lt;&gt;"",$G542&gt;0,$H542&lt;&gt;"",$I542&lt;&gt;""),IF($C542&gt;TODAY(),"İLERİ TARİH","UYGUN"),"EKSİK"))</f>
        <v/>
      </c>
      <c r="N542" s="6" t="n"/>
      <c r="O542" s="6" t="n"/>
    </row>
    <row r="543">
      <c r="A543" s="6" t="n"/>
      <c r="B543" s="112">
        <f>IF($C543="","","GG"&amp;TEXT(ROW()-6,"00000"))</f>
        <v/>
      </c>
      <c r="C543" s="114" t="n"/>
      <c r="D543" s="107" t="n"/>
      <c r="E543" s="108" t="n"/>
      <c r="F543" s="108" t="n"/>
      <c r="G543" s="115" t="n"/>
      <c r="H543" s="107" t="n"/>
      <c r="I543" s="107" t="n"/>
      <c r="J543" s="108" t="n"/>
      <c r="K543" s="108" t="n"/>
      <c r="L543" s="119">
        <f>IF($C543="","",DATE(YEAR($C543),MONTH($C543),1))</f>
        <v/>
      </c>
      <c r="M543" s="112">
        <f>IF($C543="","",IF(AND($D543&lt;&gt;"",$E543&lt;&gt;"",$G543&gt;0,$H543&lt;&gt;"",$I543&lt;&gt;""),IF($C543&gt;TODAY(),"İLERİ TARİH","UYGUN"),"EKSİK"))</f>
        <v/>
      </c>
      <c r="N543" s="6" t="n"/>
      <c r="O543" s="6" t="n"/>
    </row>
    <row r="544">
      <c r="A544" s="6" t="n"/>
      <c r="B544" s="112">
        <f>IF($C544="","","GG"&amp;TEXT(ROW()-6,"00000"))</f>
        <v/>
      </c>
      <c r="C544" s="114" t="n"/>
      <c r="D544" s="107" t="n"/>
      <c r="E544" s="108" t="n"/>
      <c r="F544" s="108" t="n"/>
      <c r="G544" s="115" t="n"/>
      <c r="H544" s="107" t="n"/>
      <c r="I544" s="107" t="n"/>
      <c r="J544" s="108" t="n"/>
      <c r="K544" s="108" t="n"/>
      <c r="L544" s="119">
        <f>IF($C544="","",DATE(YEAR($C544),MONTH($C544),1))</f>
        <v/>
      </c>
      <c r="M544" s="112">
        <f>IF($C544="","",IF(AND($D544&lt;&gt;"",$E544&lt;&gt;"",$G544&gt;0,$H544&lt;&gt;"",$I544&lt;&gt;""),IF($C544&gt;TODAY(),"İLERİ TARİH","UYGUN"),"EKSİK"))</f>
        <v/>
      </c>
      <c r="N544" s="6" t="n"/>
      <c r="O544" s="6" t="n"/>
    </row>
    <row r="545">
      <c r="A545" s="6" t="n"/>
      <c r="B545" s="112">
        <f>IF($C545="","","GG"&amp;TEXT(ROW()-6,"00000"))</f>
        <v/>
      </c>
      <c r="C545" s="114" t="n"/>
      <c r="D545" s="107" t="n"/>
      <c r="E545" s="108" t="n"/>
      <c r="F545" s="108" t="n"/>
      <c r="G545" s="115" t="n"/>
      <c r="H545" s="107" t="n"/>
      <c r="I545" s="107" t="n"/>
      <c r="J545" s="108" t="n"/>
      <c r="K545" s="108" t="n"/>
      <c r="L545" s="119">
        <f>IF($C545="","",DATE(YEAR($C545),MONTH($C545),1))</f>
        <v/>
      </c>
      <c r="M545" s="112">
        <f>IF($C545="","",IF(AND($D545&lt;&gt;"",$E545&lt;&gt;"",$G545&gt;0,$H545&lt;&gt;"",$I545&lt;&gt;""),IF($C545&gt;TODAY(),"İLERİ TARİH","UYGUN"),"EKSİK"))</f>
        <v/>
      </c>
      <c r="N545" s="6" t="n"/>
      <c r="O545" s="6" t="n"/>
    </row>
    <row r="546">
      <c r="A546" s="6" t="n"/>
      <c r="B546" s="112">
        <f>IF($C546="","","GG"&amp;TEXT(ROW()-6,"00000"))</f>
        <v/>
      </c>
      <c r="C546" s="114" t="n"/>
      <c r="D546" s="107" t="n"/>
      <c r="E546" s="108" t="n"/>
      <c r="F546" s="108" t="n"/>
      <c r="G546" s="115" t="n"/>
      <c r="H546" s="107" t="n"/>
      <c r="I546" s="107" t="n"/>
      <c r="J546" s="108" t="n"/>
      <c r="K546" s="108" t="n"/>
      <c r="L546" s="119">
        <f>IF($C546="","",DATE(YEAR($C546),MONTH($C546),1))</f>
        <v/>
      </c>
      <c r="M546" s="112">
        <f>IF($C546="","",IF(AND($D546&lt;&gt;"",$E546&lt;&gt;"",$G546&gt;0,$H546&lt;&gt;"",$I546&lt;&gt;""),IF($C546&gt;TODAY(),"İLERİ TARİH","UYGUN"),"EKSİK"))</f>
        <v/>
      </c>
      <c r="N546" s="6" t="n"/>
      <c r="O546" s="6" t="n"/>
    </row>
    <row r="547">
      <c r="A547" s="6" t="n"/>
      <c r="B547" s="112">
        <f>IF($C547="","","GG"&amp;TEXT(ROW()-6,"00000"))</f>
        <v/>
      </c>
      <c r="C547" s="114" t="n"/>
      <c r="D547" s="107" t="n"/>
      <c r="E547" s="108" t="n"/>
      <c r="F547" s="108" t="n"/>
      <c r="G547" s="115" t="n"/>
      <c r="H547" s="107" t="n"/>
      <c r="I547" s="107" t="n"/>
      <c r="J547" s="108" t="n"/>
      <c r="K547" s="108" t="n"/>
      <c r="L547" s="119">
        <f>IF($C547="","",DATE(YEAR($C547),MONTH($C547),1))</f>
        <v/>
      </c>
      <c r="M547" s="112">
        <f>IF($C547="","",IF(AND($D547&lt;&gt;"",$E547&lt;&gt;"",$G547&gt;0,$H547&lt;&gt;"",$I547&lt;&gt;""),IF($C547&gt;TODAY(),"İLERİ TARİH","UYGUN"),"EKSİK"))</f>
        <v/>
      </c>
      <c r="N547" s="6" t="n"/>
      <c r="O547" s="6" t="n"/>
    </row>
    <row r="548">
      <c r="A548" s="6" t="n"/>
      <c r="B548" s="112">
        <f>IF($C548="","","GG"&amp;TEXT(ROW()-6,"00000"))</f>
        <v/>
      </c>
      <c r="C548" s="114" t="n"/>
      <c r="D548" s="107" t="n"/>
      <c r="E548" s="108" t="n"/>
      <c r="F548" s="108" t="n"/>
      <c r="G548" s="115" t="n"/>
      <c r="H548" s="107" t="n"/>
      <c r="I548" s="107" t="n"/>
      <c r="J548" s="108" t="n"/>
      <c r="K548" s="108" t="n"/>
      <c r="L548" s="119">
        <f>IF($C548="","",DATE(YEAR($C548),MONTH($C548),1))</f>
        <v/>
      </c>
      <c r="M548" s="112">
        <f>IF($C548="","",IF(AND($D548&lt;&gt;"",$E548&lt;&gt;"",$G548&gt;0,$H548&lt;&gt;"",$I548&lt;&gt;""),IF($C548&gt;TODAY(),"İLERİ TARİH","UYGUN"),"EKSİK"))</f>
        <v/>
      </c>
      <c r="N548" s="6" t="n"/>
      <c r="O548" s="6" t="n"/>
    </row>
    <row r="549">
      <c r="A549" s="6" t="n"/>
      <c r="B549" s="112">
        <f>IF($C549="","","GG"&amp;TEXT(ROW()-6,"00000"))</f>
        <v/>
      </c>
      <c r="C549" s="114" t="n"/>
      <c r="D549" s="107" t="n"/>
      <c r="E549" s="108" t="n"/>
      <c r="F549" s="108" t="n"/>
      <c r="G549" s="115" t="n"/>
      <c r="H549" s="107" t="n"/>
      <c r="I549" s="107" t="n"/>
      <c r="J549" s="108" t="n"/>
      <c r="K549" s="108" t="n"/>
      <c r="L549" s="119">
        <f>IF($C549="","",DATE(YEAR($C549),MONTH($C549),1))</f>
        <v/>
      </c>
      <c r="M549" s="112">
        <f>IF($C549="","",IF(AND($D549&lt;&gt;"",$E549&lt;&gt;"",$G549&gt;0,$H549&lt;&gt;"",$I549&lt;&gt;""),IF($C549&gt;TODAY(),"İLERİ TARİH","UYGUN"),"EKSİK"))</f>
        <v/>
      </c>
      <c r="N549" s="6" t="n"/>
      <c r="O549" s="6" t="n"/>
    </row>
    <row r="550">
      <c r="A550" s="6" t="n"/>
      <c r="B550" s="112">
        <f>IF($C550="","","GG"&amp;TEXT(ROW()-6,"00000"))</f>
        <v/>
      </c>
      <c r="C550" s="114" t="n"/>
      <c r="D550" s="107" t="n"/>
      <c r="E550" s="108" t="n"/>
      <c r="F550" s="108" t="n"/>
      <c r="G550" s="115" t="n"/>
      <c r="H550" s="107" t="n"/>
      <c r="I550" s="107" t="n"/>
      <c r="J550" s="108" t="n"/>
      <c r="K550" s="108" t="n"/>
      <c r="L550" s="119">
        <f>IF($C550="","",DATE(YEAR($C550),MONTH($C550),1))</f>
        <v/>
      </c>
      <c r="M550" s="112">
        <f>IF($C550="","",IF(AND($D550&lt;&gt;"",$E550&lt;&gt;"",$G550&gt;0,$H550&lt;&gt;"",$I550&lt;&gt;""),IF($C550&gt;TODAY(),"İLERİ TARİH","UYGUN"),"EKSİK"))</f>
        <v/>
      </c>
      <c r="N550" s="6" t="n"/>
      <c r="O550" s="6" t="n"/>
    </row>
    <row r="551">
      <c r="A551" s="6" t="n"/>
      <c r="B551" s="112">
        <f>IF($C551="","","GG"&amp;TEXT(ROW()-6,"00000"))</f>
        <v/>
      </c>
      <c r="C551" s="114" t="n"/>
      <c r="D551" s="107" t="n"/>
      <c r="E551" s="108" t="n"/>
      <c r="F551" s="108" t="n"/>
      <c r="G551" s="115" t="n"/>
      <c r="H551" s="107" t="n"/>
      <c r="I551" s="107" t="n"/>
      <c r="J551" s="108" t="n"/>
      <c r="K551" s="108" t="n"/>
      <c r="L551" s="119">
        <f>IF($C551="","",DATE(YEAR($C551),MONTH($C551),1))</f>
        <v/>
      </c>
      <c r="M551" s="112">
        <f>IF($C551="","",IF(AND($D551&lt;&gt;"",$E551&lt;&gt;"",$G551&gt;0,$H551&lt;&gt;"",$I551&lt;&gt;""),IF($C551&gt;TODAY(),"İLERİ TARİH","UYGUN"),"EKSİK"))</f>
        <v/>
      </c>
      <c r="N551" s="6" t="n"/>
      <c r="O551" s="6" t="n"/>
    </row>
    <row r="552">
      <c r="A552" s="6" t="n"/>
      <c r="B552" s="112">
        <f>IF($C552="","","GG"&amp;TEXT(ROW()-6,"00000"))</f>
        <v/>
      </c>
      <c r="C552" s="114" t="n"/>
      <c r="D552" s="107" t="n"/>
      <c r="E552" s="108" t="n"/>
      <c r="F552" s="108" t="n"/>
      <c r="G552" s="115" t="n"/>
      <c r="H552" s="107" t="n"/>
      <c r="I552" s="107" t="n"/>
      <c r="J552" s="108" t="n"/>
      <c r="K552" s="108" t="n"/>
      <c r="L552" s="119">
        <f>IF($C552="","",DATE(YEAR($C552),MONTH($C552),1))</f>
        <v/>
      </c>
      <c r="M552" s="112">
        <f>IF($C552="","",IF(AND($D552&lt;&gt;"",$E552&lt;&gt;"",$G552&gt;0,$H552&lt;&gt;"",$I552&lt;&gt;""),IF($C552&gt;TODAY(),"İLERİ TARİH","UYGUN"),"EKSİK"))</f>
        <v/>
      </c>
      <c r="N552" s="6" t="n"/>
      <c r="O552" s="6" t="n"/>
    </row>
    <row r="553">
      <c r="A553" s="6" t="n"/>
      <c r="B553" s="112">
        <f>IF($C553="","","GG"&amp;TEXT(ROW()-6,"00000"))</f>
        <v/>
      </c>
      <c r="C553" s="114" t="n"/>
      <c r="D553" s="107" t="n"/>
      <c r="E553" s="108" t="n"/>
      <c r="F553" s="108" t="n"/>
      <c r="G553" s="115" t="n"/>
      <c r="H553" s="107" t="n"/>
      <c r="I553" s="107" t="n"/>
      <c r="J553" s="108" t="n"/>
      <c r="K553" s="108" t="n"/>
      <c r="L553" s="119">
        <f>IF($C553="","",DATE(YEAR($C553),MONTH($C553),1))</f>
        <v/>
      </c>
      <c r="M553" s="112">
        <f>IF($C553="","",IF(AND($D553&lt;&gt;"",$E553&lt;&gt;"",$G553&gt;0,$H553&lt;&gt;"",$I553&lt;&gt;""),IF($C553&gt;TODAY(),"İLERİ TARİH","UYGUN"),"EKSİK"))</f>
        <v/>
      </c>
      <c r="N553" s="6" t="n"/>
      <c r="O553" s="6" t="n"/>
    </row>
    <row r="554">
      <c r="A554" s="6" t="n"/>
      <c r="B554" s="112">
        <f>IF($C554="","","GG"&amp;TEXT(ROW()-6,"00000"))</f>
        <v/>
      </c>
      <c r="C554" s="114" t="n"/>
      <c r="D554" s="107" t="n"/>
      <c r="E554" s="108" t="n"/>
      <c r="F554" s="108" t="n"/>
      <c r="G554" s="115" t="n"/>
      <c r="H554" s="107" t="n"/>
      <c r="I554" s="107" t="n"/>
      <c r="J554" s="108" t="n"/>
      <c r="K554" s="108" t="n"/>
      <c r="L554" s="119">
        <f>IF($C554="","",DATE(YEAR($C554),MONTH($C554),1))</f>
        <v/>
      </c>
      <c r="M554" s="112">
        <f>IF($C554="","",IF(AND($D554&lt;&gt;"",$E554&lt;&gt;"",$G554&gt;0,$H554&lt;&gt;"",$I554&lt;&gt;""),IF($C554&gt;TODAY(),"İLERİ TARİH","UYGUN"),"EKSİK"))</f>
        <v/>
      </c>
      <c r="N554" s="6" t="n"/>
      <c r="O554" s="6" t="n"/>
    </row>
    <row r="555">
      <c r="A555" s="6" t="n"/>
      <c r="B555" s="112">
        <f>IF($C555="","","GG"&amp;TEXT(ROW()-6,"00000"))</f>
        <v/>
      </c>
      <c r="C555" s="114" t="n"/>
      <c r="D555" s="107" t="n"/>
      <c r="E555" s="108" t="n"/>
      <c r="F555" s="108" t="n"/>
      <c r="G555" s="115" t="n"/>
      <c r="H555" s="107" t="n"/>
      <c r="I555" s="107" t="n"/>
      <c r="J555" s="108" t="n"/>
      <c r="K555" s="108" t="n"/>
      <c r="L555" s="119">
        <f>IF($C555="","",DATE(YEAR($C555),MONTH($C555),1))</f>
        <v/>
      </c>
      <c r="M555" s="112">
        <f>IF($C555="","",IF(AND($D555&lt;&gt;"",$E555&lt;&gt;"",$G555&gt;0,$H555&lt;&gt;"",$I555&lt;&gt;""),IF($C555&gt;TODAY(),"İLERİ TARİH","UYGUN"),"EKSİK"))</f>
        <v/>
      </c>
      <c r="N555" s="6" t="n"/>
      <c r="O555" s="6" t="n"/>
    </row>
    <row r="556">
      <c r="A556" s="6" t="n"/>
      <c r="B556" s="112">
        <f>IF($C556="","","GG"&amp;TEXT(ROW()-6,"00000"))</f>
        <v/>
      </c>
      <c r="C556" s="114" t="n"/>
      <c r="D556" s="107" t="n"/>
      <c r="E556" s="108" t="n"/>
      <c r="F556" s="108" t="n"/>
      <c r="G556" s="115" t="n"/>
      <c r="H556" s="107" t="n"/>
      <c r="I556" s="107" t="n"/>
      <c r="J556" s="108" t="n"/>
      <c r="K556" s="108" t="n"/>
      <c r="L556" s="119">
        <f>IF($C556="","",DATE(YEAR($C556),MONTH($C556),1))</f>
        <v/>
      </c>
      <c r="M556" s="112">
        <f>IF($C556="","",IF(AND($D556&lt;&gt;"",$E556&lt;&gt;"",$G556&gt;0,$H556&lt;&gt;"",$I556&lt;&gt;""),IF($C556&gt;TODAY(),"İLERİ TARİH","UYGUN"),"EKSİK"))</f>
        <v/>
      </c>
      <c r="N556" s="6" t="n"/>
      <c r="O556" s="6" t="n"/>
    </row>
    <row r="557">
      <c r="A557" s="6" t="n"/>
      <c r="B557" s="112">
        <f>IF($C557="","","GG"&amp;TEXT(ROW()-6,"00000"))</f>
        <v/>
      </c>
      <c r="C557" s="114" t="n"/>
      <c r="D557" s="107" t="n"/>
      <c r="E557" s="108" t="n"/>
      <c r="F557" s="108" t="n"/>
      <c r="G557" s="115" t="n"/>
      <c r="H557" s="107" t="n"/>
      <c r="I557" s="107" t="n"/>
      <c r="J557" s="108" t="n"/>
      <c r="K557" s="108" t="n"/>
      <c r="L557" s="119">
        <f>IF($C557="","",DATE(YEAR($C557),MONTH($C557),1))</f>
        <v/>
      </c>
      <c r="M557" s="112">
        <f>IF($C557="","",IF(AND($D557&lt;&gt;"",$E557&lt;&gt;"",$G557&gt;0,$H557&lt;&gt;"",$I557&lt;&gt;""),IF($C557&gt;TODAY(),"İLERİ TARİH","UYGUN"),"EKSİK"))</f>
        <v/>
      </c>
      <c r="N557" s="6" t="n"/>
      <c r="O557" s="6" t="n"/>
    </row>
    <row r="558">
      <c r="A558" s="6" t="n"/>
      <c r="B558" s="112">
        <f>IF($C558="","","GG"&amp;TEXT(ROW()-6,"00000"))</f>
        <v/>
      </c>
      <c r="C558" s="114" t="n"/>
      <c r="D558" s="107" t="n"/>
      <c r="E558" s="108" t="n"/>
      <c r="F558" s="108" t="n"/>
      <c r="G558" s="115" t="n"/>
      <c r="H558" s="107" t="n"/>
      <c r="I558" s="107" t="n"/>
      <c r="J558" s="108" t="n"/>
      <c r="K558" s="108" t="n"/>
      <c r="L558" s="119">
        <f>IF($C558="","",DATE(YEAR($C558),MONTH($C558),1))</f>
        <v/>
      </c>
      <c r="M558" s="112">
        <f>IF($C558="","",IF(AND($D558&lt;&gt;"",$E558&lt;&gt;"",$G558&gt;0,$H558&lt;&gt;"",$I558&lt;&gt;""),IF($C558&gt;TODAY(),"İLERİ TARİH","UYGUN"),"EKSİK"))</f>
        <v/>
      </c>
      <c r="N558" s="6" t="n"/>
      <c r="O558" s="6" t="n"/>
    </row>
    <row r="559">
      <c r="A559" s="6" t="n"/>
      <c r="B559" s="112">
        <f>IF($C559="","","GG"&amp;TEXT(ROW()-6,"00000"))</f>
        <v/>
      </c>
      <c r="C559" s="114" t="n"/>
      <c r="D559" s="107" t="n"/>
      <c r="E559" s="108" t="n"/>
      <c r="F559" s="108" t="n"/>
      <c r="G559" s="115" t="n"/>
      <c r="H559" s="107" t="n"/>
      <c r="I559" s="107" t="n"/>
      <c r="J559" s="108" t="n"/>
      <c r="K559" s="108" t="n"/>
      <c r="L559" s="119">
        <f>IF($C559="","",DATE(YEAR($C559),MONTH($C559),1))</f>
        <v/>
      </c>
      <c r="M559" s="112">
        <f>IF($C559="","",IF(AND($D559&lt;&gt;"",$E559&lt;&gt;"",$G559&gt;0,$H559&lt;&gt;"",$I559&lt;&gt;""),IF($C559&gt;TODAY(),"İLERİ TARİH","UYGUN"),"EKSİK"))</f>
        <v/>
      </c>
      <c r="N559" s="6" t="n"/>
      <c r="O559" s="6" t="n"/>
    </row>
    <row r="560">
      <c r="A560" s="6" t="n"/>
      <c r="B560" s="112">
        <f>IF($C560="","","GG"&amp;TEXT(ROW()-6,"00000"))</f>
        <v/>
      </c>
      <c r="C560" s="114" t="n"/>
      <c r="D560" s="107" t="n"/>
      <c r="E560" s="108" t="n"/>
      <c r="F560" s="108" t="n"/>
      <c r="G560" s="115" t="n"/>
      <c r="H560" s="107" t="n"/>
      <c r="I560" s="107" t="n"/>
      <c r="J560" s="108" t="n"/>
      <c r="K560" s="108" t="n"/>
      <c r="L560" s="119">
        <f>IF($C560="","",DATE(YEAR($C560),MONTH($C560),1))</f>
        <v/>
      </c>
      <c r="M560" s="112">
        <f>IF($C560="","",IF(AND($D560&lt;&gt;"",$E560&lt;&gt;"",$G560&gt;0,$H560&lt;&gt;"",$I560&lt;&gt;""),IF($C560&gt;TODAY(),"İLERİ TARİH","UYGUN"),"EKSİK"))</f>
        <v/>
      </c>
      <c r="N560" s="6" t="n"/>
      <c r="O560" s="6" t="n"/>
    </row>
    <row r="561">
      <c r="A561" s="6" t="n"/>
      <c r="B561" s="112">
        <f>IF($C561="","","GG"&amp;TEXT(ROW()-6,"00000"))</f>
        <v/>
      </c>
      <c r="C561" s="114" t="n"/>
      <c r="D561" s="107" t="n"/>
      <c r="E561" s="108" t="n"/>
      <c r="F561" s="108" t="n"/>
      <c r="G561" s="115" t="n"/>
      <c r="H561" s="107" t="n"/>
      <c r="I561" s="107" t="n"/>
      <c r="J561" s="108" t="n"/>
      <c r="K561" s="108" t="n"/>
      <c r="L561" s="119">
        <f>IF($C561="","",DATE(YEAR($C561),MONTH($C561),1))</f>
        <v/>
      </c>
      <c r="M561" s="112">
        <f>IF($C561="","",IF(AND($D561&lt;&gt;"",$E561&lt;&gt;"",$G561&gt;0,$H561&lt;&gt;"",$I561&lt;&gt;""),IF($C561&gt;TODAY(),"İLERİ TARİH","UYGUN"),"EKSİK"))</f>
        <v/>
      </c>
      <c r="N561" s="6" t="n"/>
      <c r="O561" s="6" t="n"/>
    </row>
    <row r="562">
      <c r="A562" s="6" t="n"/>
      <c r="B562" s="112">
        <f>IF($C562="","","GG"&amp;TEXT(ROW()-6,"00000"))</f>
        <v/>
      </c>
      <c r="C562" s="114" t="n"/>
      <c r="D562" s="107" t="n"/>
      <c r="E562" s="108" t="n"/>
      <c r="F562" s="108" t="n"/>
      <c r="G562" s="115" t="n"/>
      <c r="H562" s="107" t="n"/>
      <c r="I562" s="107" t="n"/>
      <c r="J562" s="108" t="n"/>
      <c r="K562" s="108" t="n"/>
      <c r="L562" s="119">
        <f>IF($C562="","",DATE(YEAR($C562),MONTH($C562),1))</f>
        <v/>
      </c>
      <c r="M562" s="112">
        <f>IF($C562="","",IF(AND($D562&lt;&gt;"",$E562&lt;&gt;"",$G562&gt;0,$H562&lt;&gt;"",$I562&lt;&gt;""),IF($C562&gt;TODAY(),"İLERİ TARİH","UYGUN"),"EKSİK"))</f>
        <v/>
      </c>
      <c r="N562" s="6" t="n"/>
      <c r="O562" s="6" t="n"/>
    </row>
    <row r="563">
      <c r="A563" s="6" t="n"/>
      <c r="B563" s="112">
        <f>IF($C563="","","GG"&amp;TEXT(ROW()-6,"00000"))</f>
        <v/>
      </c>
      <c r="C563" s="114" t="n"/>
      <c r="D563" s="107" t="n"/>
      <c r="E563" s="108" t="n"/>
      <c r="F563" s="108" t="n"/>
      <c r="G563" s="115" t="n"/>
      <c r="H563" s="107" t="n"/>
      <c r="I563" s="107" t="n"/>
      <c r="J563" s="108" t="n"/>
      <c r="K563" s="108" t="n"/>
      <c r="L563" s="119">
        <f>IF($C563="","",DATE(YEAR($C563),MONTH($C563),1))</f>
        <v/>
      </c>
      <c r="M563" s="112">
        <f>IF($C563="","",IF(AND($D563&lt;&gt;"",$E563&lt;&gt;"",$G563&gt;0,$H563&lt;&gt;"",$I563&lt;&gt;""),IF($C563&gt;TODAY(),"İLERİ TARİH","UYGUN"),"EKSİK"))</f>
        <v/>
      </c>
      <c r="N563" s="6" t="n"/>
      <c r="O563" s="6" t="n"/>
    </row>
    <row r="564">
      <c r="A564" s="6" t="n"/>
      <c r="B564" s="112">
        <f>IF($C564="","","GG"&amp;TEXT(ROW()-6,"00000"))</f>
        <v/>
      </c>
      <c r="C564" s="114" t="n"/>
      <c r="D564" s="107" t="n"/>
      <c r="E564" s="108" t="n"/>
      <c r="F564" s="108" t="n"/>
      <c r="G564" s="115" t="n"/>
      <c r="H564" s="107" t="n"/>
      <c r="I564" s="107" t="n"/>
      <c r="J564" s="108" t="n"/>
      <c r="K564" s="108" t="n"/>
      <c r="L564" s="119">
        <f>IF($C564="","",DATE(YEAR($C564),MONTH($C564),1))</f>
        <v/>
      </c>
      <c r="M564" s="112">
        <f>IF($C564="","",IF(AND($D564&lt;&gt;"",$E564&lt;&gt;"",$G564&gt;0,$H564&lt;&gt;"",$I564&lt;&gt;""),IF($C564&gt;TODAY(),"İLERİ TARİH","UYGUN"),"EKSİK"))</f>
        <v/>
      </c>
      <c r="N564" s="6" t="n"/>
      <c r="O564" s="6" t="n"/>
    </row>
    <row r="565">
      <c r="A565" s="6" t="n"/>
      <c r="B565" s="112">
        <f>IF($C565="","","GG"&amp;TEXT(ROW()-6,"00000"))</f>
        <v/>
      </c>
      <c r="C565" s="114" t="n"/>
      <c r="D565" s="107" t="n"/>
      <c r="E565" s="108" t="n"/>
      <c r="F565" s="108" t="n"/>
      <c r="G565" s="115" t="n"/>
      <c r="H565" s="107" t="n"/>
      <c r="I565" s="107" t="n"/>
      <c r="J565" s="108" t="n"/>
      <c r="K565" s="108" t="n"/>
      <c r="L565" s="119">
        <f>IF($C565="","",DATE(YEAR($C565),MONTH($C565),1))</f>
        <v/>
      </c>
      <c r="M565" s="112">
        <f>IF($C565="","",IF(AND($D565&lt;&gt;"",$E565&lt;&gt;"",$G565&gt;0,$H565&lt;&gt;"",$I565&lt;&gt;""),IF($C565&gt;TODAY(),"İLERİ TARİH","UYGUN"),"EKSİK"))</f>
        <v/>
      </c>
      <c r="N565" s="6" t="n"/>
      <c r="O565" s="6" t="n"/>
    </row>
    <row r="566">
      <c r="A566" s="6" t="n"/>
      <c r="B566" s="112">
        <f>IF($C566="","","GG"&amp;TEXT(ROW()-6,"00000"))</f>
        <v/>
      </c>
      <c r="C566" s="114" t="n"/>
      <c r="D566" s="107" t="n"/>
      <c r="E566" s="108" t="n"/>
      <c r="F566" s="108" t="n"/>
      <c r="G566" s="115" t="n"/>
      <c r="H566" s="107" t="n"/>
      <c r="I566" s="107" t="n"/>
      <c r="J566" s="108" t="n"/>
      <c r="K566" s="108" t="n"/>
      <c r="L566" s="119">
        <f>IF($C566="","",DATE(YEAR($C566),MONTH($C566),1))</f>
        <v/>
      </c>
      <c r="M566" s="112">
        <f>IF($C566="","",IF(AND($D566&lt;&gt;"",$E566&lt;&gt;"",$G566&gt;0,$H566&lt;&gt;"",$I566&lt;&gt;""),IF($C566&gt;TODAY(),"İLERİ TARİH","UYGUN"),"EKSİK"))</f>
        <v/>
      </c>
      <c r="N566" s="6" t="n"/>
      <c r="O566" s="6" t="n"/>
    </row>
    <row r="567">
      <c r="A567" s="6" t="n"/>
      <c r="B567" s="112">
        <f>IF($C567="","","GG"&amp;TEXT(ROW()-6,"00000"))</f>
        <v/>
      </c>
      <c r="C567" s="114" t="n"/>
      <c r="D567" s="107" t="n"/>
      <c r="E567" s="108" t="n"/>
      <c r="F567" s="108" t="n"/>
      <c r="G567" s="115" t="n"/>
      <c r="H567" s="107" t="n"/>
      <c r="I567" s="107" t="n"/>
      <c r="J567" s="108" t="n"/>
      <c r="K567" s="108" t="n"/>
      <c r="L567" s="119">
        <f>IF($C567="","",DATE(YEAR($C567),MONTH($C567),1))</f>
        <v/>
      </c>
      <c r="M567" s="112">
        <f>IF($C567="","",IF(AND($D567&lt;&gt;"",$E567&lt;&gt;"",$G567&gt;0,$H567&lt;&gt;"",$I567&lt;&gt;""),IF($C567&gt;TODAY(),"İLERİ TARİH","UYGUN"),"EKSİK"))</f>
        <v/>
      </c>
      <c r="N567" s="6" t="n"/>
      <c r="O567" s="6" t="n"/>
    </row>
    <row r="568">
      <c r="A568" s="6" t="n"/>
      <c r="B568" s="112">
        <f>IF($C568="","","GG"&amp;TEXT(ROW()-6,"00000"))</f>
        <v/>
      </c>
      <c r="C568" s="114" t="n"/>
      <c r="D568" s="107" t="n"/>
      <c r="E568" s="108" t="n"/>
      <c r="F568" s="108" t="n"/>
      <c r="G568" s="115" t="n"/>
      <c r="H568" s="107" t="n"/>
      <c r="I568" s="107" t="n"/>
      <c r="J568" s="108" t="n"/>
      <c r="K568" s="108" t="n"/>
      <c r="L568" s="119">
        <f>IF($C568="","",DATE(YEAR($C568),MONTH($C568),1))</f>
        <v/>
      </c>
      <c r="M568" s="112">
        <f>IF($C568="","",IF(AND($D568&lt;&gt;"",$E568&lt;&gt;"",$G568&gt;0,$H568&lt;&gt;"",$I568&lt;&gt;""),IF($C568&gt;TODAY(),"İLERİ TARİH","UYGUN"),"EKSİK"))</f>
        <v/>
      </c>
      <c r="N568" s="6" t="n"/>
      <c r="O568" s="6" t="n"/>
    </row>
    <row r="569">
      <c r="A569" s="6" t="n"/>
      <c r="B569" s="112">
        <f>IF($C569="","","GG"&amp;TEXT(ROW()-6,"00000"))</f>
        <v/>
      </c>
      <c r="C569" s="114" t="n"/>
      <c r="D569" s="107" t="n"/>
      <c r="E569" s="108" t="n"/>
      <c r="F569" s="108" t="n"/>
      <c r="G569" s="115" t="n"/>
      <c r="H569" s="107" t="n"/>
      <c r="I569" s="107" t="n"/>
      <c r="J569" s="108" t="n"/>
      <c r="K569" s="108" t="n"/>
      <c r="L569" s="119">
        <f>IF($C569="","",DATE(YEAR($C569),MONTH($C569),1))</f>
        <v/>
      </c>
      <c r="M569" s="112">
        <f>IF($C569="","",IF(AND($D569&lt;&gt;"",$E569&lt;&gt;"",$G569&gt;0,$H569&lt;&gt;"",$I569&lt;&gt;""),IF($C569&gt;TODAY(),"İLERİ TARİH","UYGUN"),"EKSİK"))</f>
        <v/>
      </c>
      <c r="N569" s="6" t="n"/>
      <c r="O569" s="6" t="n"/>
    </row>
    <row r="570">
      <c r="A570" s="6" t="n"/>
      <c r="B570" s="112">
        <f>IF($C570="","","GG"&amp;TEXT(ROW()-6,"00000"))</f>
        <v/>
      </c>
      <c r="C570" s="114" t="n"/>
      <c r="D570" s="107" t="n"/>
      <c r="E570" s="108" t="n"/>
      <c r="F570" s="108" t="n"/>
      <c r="G570" s="115" t="n"/>
      <c r="H570" s="107" t="n"/>
      <c r="I570" s="107" t="n"/>
      <c r="J570" s="108" t="n"/>
      <c r="K570" s="108" t="n"/>
      <c r="L570" s="119">
        <f>IF($C570="","",DATE(YEAR($C570),MONTH($C570),1))</f>
        <v/>
      </c>
      <c r="M570" s="112">
        <f>IF($C570="","",IF(AND($D570&lt;&gt;"",$E570&lt;&gt;"",$G570&gt;0,$H570&lt;&gt;"",$I570&lt;&gt;""),IF($C570&gt;TODAY(),"İLERİ TARİH","UYGUN"),"EKSİK"))</f>
        <v/>
      </c>
      <c r="N570" s="6" t="n"/>
      <c r="O570" s="6" t="n"/>
    </row>
    <row r="571">
      <c r="A571" s="6" t="n"/>
      <c r="B571" s="112">
        <f>IF($C571="","","GG"&amp;TEXT(ROW()-6,"00000"))</f>
        <v/>
      </c>
      <c r="C571" s="114" t="n"/>
      <c r="D571" s="107" t="n"/>
      <c r="E571" s="108" t="n"/>
      <c r="F571" s="108" t="n"/>
      <c r="G571" s="115" t="n"/>
      <c r="H571" s="107" t="n"/>
      <c r="I571" s="107" t="n"/>
      <c r="J571" s="108" t="n"/>
      <c r="K571" s="108" t="n"/>
      <c r="L571" s="119">
        <f>IF($C571="","",DATE(YEAR($C571),MONTH($C571),1))</f>
        <v/>
      </c>
      <c r="M571" s="112">
        <f>IF($C571="","",IF(AND($D571&lt;&gt;"",$E571&lt;&gt;"",$G571&gt;0,$H571&lt;&gt;"",$I571&lt;&gt;""),IF($C571&gt;TODAY(),"İLERİ TARİH","UYGUN"),"EKSİK"))</f>
        <v/>
      </c>
      <c r="N571" s="6" t="n"/>
      <c r="O571" s="6" t="n"/>
    </row>
    <row r="572">
      <c r="A572" s="6" t="n"/>
      <c r="B572" s="112">
        <f>IF($C572="","","GG"&amp;TEXT(ROW()-6,"00000"))</f>
        <v/>
      </c>
      <c r="C572" s="114" t="n"/>
      <c r="D572" s="107" t="n"/>
      <c r="E572" s="108" t="n"/>
      <c r="F572" s="108" t="n"/>
      <c r="G572" s="115" t="n"/>
      <c r="H572" s="107" t="n"/>
      <c r="I572" s="107" t="n"/>
      <c r="J572" s="108" t="n"/>
      <c r="K572" s="108" t="n"/>
      <c r="L572" s="119">
        <f>IF($C572="","",DATE(YEAR($C572),MONTH($C572),1))</f>
        <v/>
      </c>
      <c r="M572" s="112">
        <f>IF($C572="","",IF(AND($D572&lt;&gt;"",$E572&lt;&gt;"",$G572&gt;0,$H572&lt;&gt;"",$I572&lt;&gt;""),IF($C572&gt;TODAY(),"İLERİ TARİH","UYGUN"),"EKSİK"))</f>
        <v/>
      </c>
      <c r="N572" s="6" t="n"/>
      <c r="O572" s="6" t="n"/>
    </row>
    <row r="573">
      <c r="A573" s="6" t="n"/>
      <c r="B573" s="112">
        <f>IF($C573="","","GG"&amp;TEXT(ROW()-6,"00000"))</f>
        <v/>
      </c>
      <c r="C573" s="114" t="n"/>
      <c r="D573" s="107" t="n"/>
      <c r="E573" s="108" t="n"/>
      <c r="F573" s="108" t="n"/>
      <c r="G573" s="115" t="n"/>
      <c r="H573" s="107" t="n"/>
      <c r="I573" s="107" t="n"/>
      <c r="J573" s="108" t="n"/>
      <c r="K573" s="108" t="n"/>
      <c r="L573" s="119">
        <f>IF($C573="","",DATE(YEAR($C573),MONTH($C573),1))</f>
        <v/>
      </c>
      <c r="M573" s="112">
        <f>IF($C573="","",IF(AND($D573&lt;&gt;"",$E573&lt;&gt;"",$G573&gt;0,$H573&lt;&gt;"",$I573&lt;&gt;""),IF($C573&gt;TODAY(),"İLERİ TARİH","UYGUN"),"EKSİK"))</f>
        <v/>
      </c>
      <c r="N573" s="6" t="n"/>
      <c r="O573" s="6" t="n"/>
    </row>
    <row r="574">
      <c r="A574" s="6" t="n"/>
      <c r="B574" s="112">
        <f>IF($C574="","","GG"&amp;TEXT(ROW()-6,"00000"))</f>
        <v/>
      </c>
      <c r="C574" s="114" t="n"/>
      <c r="D574" s="107" t="n"/>
      <c r="E574" s="108" t="n"/>
      <c r="F574" s="108" t="n"/>
      <c r="G574" s="115" t="n"/>
      <c r="H574" s="107" t="n"/>
      <c r="I574" s="107" t="n"/>
      <c r="J574" s="108" t="n"/>
      <c r="K574" s="108" t="n"/>
      <c r="L574" s="119">
        <f>IF($C574="","",DATE(YEAR($C574),MONTH($C574),1))</f>
        <v/>
      </c>
      <c r="M574" s="112">
        <f>IF($C574="","",IF(AND($D574&lt;&gt;"",$E574&lt;&gt;"",$G574&gt;0,$H574&lt;&gt;"",$I574&lt;&gt;""),IF($C574&gt;TODAY(),"İLERİ TARİH","UYGUN"),"EKSİK"))</f>
        <v/>
      </c>
      <c r="N574" s="6" t="n"/>
      <c r="O574" s="6" t="n"/>
    </row>
    <row r="575">
      <c r="A575" s="6" t="n"/>
      <c r="B575" s="112">
        <f>IF($C575="","","GG"&amp;TEXT(ROW()-6,"00000"))</f>
        <v/>
      </c>
      <c r="C575" s="114" t="n"/>
      <c r="D575" s="107" t="n"/>
      <c r="E575" s="108" t="n"/>
      <c r="F575" s="108" t="n"/>
      <c r="G575" s="115" t="n"/>
      <c r="H575" s="107" t="n"/>
      <c r="I575" s="107" t="n"/>
      <c r="J575" s="108" t="n"/>
      <c r="K575" s="108" t="n"/>
      <c r="L575" s="119">
        <f>IF($C575="","",DATE(YEAR($C575),MONTH($C575),1))</f>
        <v/>
      </c>
      <c r="M575" s="112">
        <f>IF($C575="","",IF(AND($D575&lt;&gt;"",$E575&lt;&gt;"",$G575&gt;0,$H575&lt;&gt;"",$I575&lt;&gt;""),IF($C575&gt;TODAY(),"İLERİ TARİH","UYGUN"),"EKSİK"))</f>
        <v/>
      </c>
      <c r="N575" s="6" t="n"/>
      <c r="O575" s="6" t="n"/>
    </row>
    <row r="576">
      <c r="A576" s="6" t="n"/>
      <c r="B576" s="112">
        <f>IF($C576="","","GG"&amp;TEXT(ROW()-6,"00000"))</f>
        <v/>
      </c>
      <c r="C576" s="114" t="n"/>
      <c r="D576" s="107" t="n"/>
      <c r="E576" s="108" t="n"/>
      <c r="F576" s="108" t="n"/>
      <c r="G576" s="115" t="n"/>
      <c r="H576" s="107" t="n"/>
      <c r="I576" s="107" t="n"/>
      <c r="J576" s="108" t="n"/>
      <c r="K576" s="108" t="n"/>
      <c r="L576" s="119">
        <f>IF($C576="","",DATE(YEAR($C576),MONTH($C576),1))</f>
        <v/>
      </c>
      <c r="M576" s="112">
        <f>IF($C576="","",IF(AND($D576&lt;&gt;"",$E576&lt;&gt;"",$G576&gt;0,$H576&lt;&gt;"",$I576&lt;&gt;""),IF($C576&gt;TODAY(),"İLERİ TARİH","UYGUN"),"EKSİK"))</f>
        <v/>
      </c>
      <c r="N576" s="6" t="n"/>
      <c r="O576" s="6" t="n"/>
    </row>
    <row r="577">
      <c r="A577" s="6" t="n"/>
      <c r="B577" s="112">
        <f>IF($C577="","","GG"&amp;TEXT(ROW()-6,"00000"))</f>
        <v/>
      </c>
      <c r="C577" s="114" t="n"/>
      <c r="D577" s="107" t="n"/>
      <c r="E577" s="108" t="n"/>
      <c r="F577" s="108" t="n"/>
      <c r="G577" s="115" t="n"/>
      <c r="H577" s="107" t="n"/>
      <c r="I577" s="107" t="n"/>
      <c r="J577" s="108" t="n"/>
      <c r="K577" s="108" t="n"/>
      <c r="L577" s="119">
        <f>IF($C577="","",DATE(YEAR($C577),MONTH($C577),1))</f>
        <v/>
      </c>
      <c r="M577" s="112">
        <f>IF($C577="","",IF(AND($D577&lt;&gt;"",$E577&lt;&gt;"",$G577&gt;0,$H577&lt;&gt;"",$I577&lt;&gt;""),IF($C577&gt;TODAY(),"İLERİ TARİH","UYGUN"),"EKSİK"))</f>
        <v/>
      </c>
      <c r="N577" s="6" t="n"/>
      <c r="O577" s="6" t="n"/>
    </row>
    <row r="578">
      <c r="A578" s="6" t="n"/>
      <c r="B578" s="112">
        <f>IF($C578="","","GG"&amp;TEXT(ROW()-6,"00000"))</f>
        <v/>
      </c>
      <c r="C578" s="114" t="n"/>
      <c r="D578" s="107" t="n"/>
      <c r="E578" s="108" t="n"/>
      <c r="F578" s="108" t="n"/>
      <c r="G578" s="115" t="n"/>
      <c r="H578" s="107" t="n"/>
      <c r="I578" s="107" t="n"/>
      <c r="J578" s="108" t="n"/>
      <c r="K578" s="108" t="n"/>
      <c r="L578" s="119">
        <f>IF($C578="","",DATE(YEAR($C578),MONTH($C578),1))</f>
        <v/>
      </c>
      <c r="M578" s="112">
        <f>IF($C578="","",IF(AND($D578&lt;&gt;"",$E578&lt;&gt;"",$G578&gt;0,$H578&lt;&gt;"",$I578&lt;&gt;""),IF($C578&gt;TODAY(),"İLERİ TARİH","UYGUN"),"EKSİK"))</f>
        <v/>
      </c>
      <c r="N578" s="6" t="n"/>
      <c r="O578" s="6" t="n"/>
    </row>
    <row r="579">
      <c r="A579" s="6" t="n"/>
      <c r="B579" s="112">
        <f>IF($C579="","","GG"&amp;TEXT(ROW()-6,"00000"))</f>
        <v/>
      </c>
      <c r="C579" s="114" t="n"/>
      <c r="D579" s="107" t="n"/>
      <c r="E579" s="108" t="n"/>
      <c r="F579" s="108" t="n"/>
      <c r="G579" s="115" t="n"/>
      <c r="H579" s="107" t="n"/>
      <c r="I579" s="107" t="n"/>
      <c r="J579" s="108" t="n"/>
      <c r="K579" s="108" t="n"/>
      <c r="L579" s="119">
        <f>IF($C579="","",DATE(YEAR($C579),MONTH($C579),1))</f>
        <v/>
      </c>
      <c r="M579" s="112">
        <f>IF($C579="","",IF(AND($D579&lt;&gt;"",$E579&lt;&gt;"",$G579&gt;0,$H579&lt;&gt;"",$I579&lt;&gt;""),IF($C579&gt;TODAY(),"İLERİ TARİH","UYGUN"),"EKSİK"))</f>
        <v/>
      </c>
      <c r="N579" s="6" t="n"/>
      <c r="O579" s="6" t="n"/>
    </row>
    <row r="580">
      <c r="A580" s="6" t="n"/>
      <c r="B580" s="112">
        <f>IF($C580="","","GG"&amp;TEXT(ROW()-6,"00000"))</f>
        <v/>
      </c>
      <c r="C580" s="114" t="n"/>
      <c r="D580" s="107" t="n"/>
      <c r="E580" s="108" t="n"/>
      <c r="F580" s="108" t="n"/>
      <c r="G580" s="115" t="n"/>
      <c r="H580" s="107" t="n"/>
      <c r="I580" s="107" t="n"/>
      <c r="J580" s="108" t="n"/>
      <c r="K580" s="108" t="n"/>
      <c r="L580" s="119">
        <f>IF($C580="","",DATE(YEAR($C580),MONTH($C580),1))</f>
        <v/>
      </c>
      <c r="M580" s="112">
        <f>IF($C580="","",IF(AND($D580&lt;&gt;"",$E580&lt;&gt;"",$G580&gt;0,$H580&lt;&gt;"",$I580&lt;&gt;""),IF($C580&gt;TODAY(),"İLERİ TARİH","UYGUN"),"EKSİK"))</f>
        <v/>
      </c>
      <c r="N580" s="6" t="n"/>
      <c r="O580" s="6" t="n"/>
    </row>
    <row r="581">
      <c r="A581" s="6" t="n"/>
      <c r="B581" s="112">
        <f>IF($C581="","","GG"&amp;TEXT(ROW()-6,"00000"))</f>
        <v/>
      </c>
      <c r="C581" s="114" t="n"/>
      <c r="D581" s="107" t="n"/>
      <c r="E581" s="108" t="n"/>
      <c r="F581" s="108" t="n"/>
      <c r="G581" s="115" t="n"/>
      <c r="H581" s="107" t="n"/>
      <c r="I581" s="107" t="n"/>
      <c r="J581" s="108" t="n"/>
      <c r="K581" s="108" t="n"/>
      <c r="L581" s="119">
        <f>IF($C581="","",DATE(YEAR($C581),MONTH($C581),1))</f>
        <v/>
      </c>
      <c r="M581" s="112">
        <f>IF($C581="","",IF(AND($D581&lt;&gt;"",$E581&lt;&gt;"",$G581&gt;0,$H581&lt;&gt;"",$I581&lt;&gt;""),IF($C581&gt;TODAY(),"İLERİ TARİH","UYGUN"),"EKSİK"))</f>
        <v/>
      </c>
      <c r="N581" s="6" t="n"/>
      <c r="O581" s="6" t="n"/>
    </row>
    <row r="582">
      <c r="A582" s="6" t="n"/>
      <c r="B582" s="112">
        <f>IF($C582="","","GG"&amp;TEXT(ROW()-6,"00000"))</f>
        <v/>
      </c>
      <c r="C582" s="114" t="n"/>
      <c r="D582" s="107" t="n"/>
      <c r="E582" s="108" t="n"/>
      <c r="F582" s="108" t="n"/>
      <c r="G582" s="115" t="n"/>
      <c r="H582" s="107" t="n"/>
      <c r="I582" s="107" t="n"/>
      <c r="J582" s="108" t="n"/>
      <c r="K582" s="108" t="n"/>
      <c r="L582" s="119">
        <f>IF($C582="","",DATE(YEAR($C582),MONTH($C582),1))</f>
        <v/>
      </c>
      <c r="M582" s="112">
        <f>IF($C582="","",IF(AND($D582&lt;&gt;"",$E582&lt;&gt;"",$G582&gt;0,$H582&lt;&gt;"",$I582&lt;&gt;""),IF($C582&gt;TODAY(),"İLERİ TARİH","UYGUN"),"EKSİK"))</f>
        <v/>
      </c>
      <c r="N582" s="6" t="n"/>
      <c r="O582" s="6" t="n"/>
    </row>
    <row r="583">
      <c r="A583" s="6" t="n"/>
      <c r="B583" s="112">
        <f>IF($C583="","","GG"&amp;TEXT(ROW()-6,"00000"))</f>
        <v/>
      </c>
      <c r="C583" s="114" t="n"/>
      <c r="D583" s="107" t="n"/>
      <c r="E583" s="108" t="n"/>
      <c r="F583" s="108" t="n"/>
      <c r="G583" s="115" t="n"/>
      <c r="H583" s="107" t="n"/>
      <c r="I583" s="107" t="n"/>
      <c r="J583" s="108" t="n"/>
      <c r="K583" s="108" t="n"/>
      <c r="L583" s="119">
        <f>IF($C583="","",DATE(YEAR($C583),MONTH($C583),1))</f>
        <v/>
      </c>
      <c r="M583" s="112">
        <f>IF($C583="","",IF(AND($D583&lt;&gt;"",$E583&lt;&gt;"",$G583&gt;0,$H583&lt;&gt;"",$I583&lt;&gt;""),IF($C583&gt;TODAY(),"İLERİ TARİH","UYGUN"),"EKSİK"))</f>
        <v/>
      </c>
      <c r="N583" s="6" t="n"/>
      <c r="O583" s="6" t="n"/>
    </row>
    <row r="584">
      <c r="A584" s="6" t="n"/>
      <c r="B584" s="112">
        <f>IF($C584="","","GG"&amp;TEXT(ROW()-6,"00000"))</f>
        <v/>
      </c>
      <c r="C584" s="114" t="n"/>
      <c r="D584" s="107" t="n"/>
      <c r="E584" s="108" t="n"/>
      <c r="F584" s="108" t="n"/>
      <c r="G584" s="115" t="n"/>
      <c r="H584" s="107" t="n"/>
      <c r="I584" s="107" t="n"/>
      <c r="J584" s="108" t="n"/>
      <c r="K584" s="108" t="n"/>
      <c r="L584" s="119">
        <f>IF($C584="","",DATE(YEAR($C584),MONTH($C584),1))</f>
        <v/>
      </c>
      <c r="M584" s="112">
        <f>IF($C584="","",IF(AND($D584&lt;&gt;"",$E584&lt;&gt;"",$G584&gt;0,$H584&lt;&gt;"",$I584&lt;&gt;""),IF($C584&gt;TODAY(),"İLERİ TARİH","UYGUN"),"EKSİK"))</f>
        <v/>
      </c>
      <c r="N584" s="6" t="n"/>
      <c r="O584" s="6" t="n"/>
    </row>
    <row r="585">
      <c r="A585" s="6" t="n"/>
      <c r="B585" s="112">
        <f>IF($C585="","","GG"&amp;TEXT(ROW()-6,"00000"))</f>
        <v/>
      </c>
      <c r="C585" s="114" t="n"/>
      <c r="D585" s="107" t="n"/>
      <c r="E585" s="108" t="n"/>
      <c r="F585" s="108" t="n"/>
      <c r="G585" s="115" t="n"/>
      <c r="H585" s="107" t="n"/>
      <c r="I585" s="107" t="n"/>
      <c r="J585" s="108" t="n"/>
      <c r="K585" s="108" t="n"/>
      <c r="L585" s="119">
        <f>IF($C585="","",DATE(YEAR($C585),MONTH($C585),1))</f>
        <v/>
      </c>
      <c r="M585" s="112">
        <f>IF($C585="","",IF(AND($D585&lt;&gt;"",$E585&lt;&gt;"",$G585&gt;0,$H585&lt;&gt;"",$I585&lt;&gt;""),IF($C585&gt;TODAY(),"İLERİ TARİH","UYGUN"),"EKSİK"))</f>
        <v/>
      </c>
      <c r="N585" s="6" t="n"/>
      <c r="O585" s="6" t="n"/>
    </row>
    <row r="586">
      <c r="A586" s="6" t="n"/>
      <c r="B586" s="112">
        <f>IF($C586="","","GG"&amp;TEXT(ROW()-6,"00000"))</f>
        <v/>
      </c>
      <c r="C586" s="114" t="n"/>
      <c r="D586" s="107" t="n"/>
      <c r="E586" s="108" t="n"/>
      <c r="F586" s="108" t="n"/>
      <c r="G586" s="115" t="n"/>
      <c r="H586" s="107" t="n"/>
      <c r="I586" s="107" t="n"/>
      <c r="J586" s="108" t="n"/>
      <c r="K586" s="108" t="n"/>
      <c r="L586" s="119">
        <f>IF($C586="","",DATE(YEAR($C586),MONTH($C586),1))</f>
        <v/>
      </c>
      <c r="M586" s="112">
        <f>IF($C586="","",IF(AND($D586&lt;&gt;"",$E586&lt;&gt;"",$G586&gt;0,$H586&lt;&gt;"",$I586&lt;&gt;""),IF($C586&gt;TODAY(),"İLERİ TARİH","UYGUN"),"EKSİK"))</f>
        <v/>
      </c>
      <c r="N586" s="6" t="n"/>
      <c r="O586" s="6" t="n"/>
    </row>
    <row r="587">
      <c r="A587" s="6" t="n"/>
      <c r="B587" s="112">
        <f>IF($C587="","","GG"&amp;TEXT(ROW()-6,"00000"))</f>
        <v/>
      </c>
      <c r="C587" s="114" t="n"/>
      <c r="D587" s="107" t="n"/>
      <c r="E587" s="108" t="n"/>
      <c r="F587" s="108" t="n"/>
      <c r="G587" s="115" t="n"/>
      <c r="H587" s="107" t="n"/>
      <c r="I587" s="107" t="n"/>
      <c r="J587" s="108" t="n"/>
      <c r="K587" s="108" t="n"/>
      <c r="L587" s="119">
        <f>IF($C587="","",DATE(YEAR($C587),MONTH($C587),1))</f>
        <v/>
      </c>
      <c r="M587" s="112">
        <f>IF($C587="","",IF(AND($D587&lt;&gt;"",$E587&lt;&gt;"",$G587&gt;0,$H587&lt;&gt;"",$I587&lt;&gt;""),IF($C587&gt;TODAY(),"İLERİ TARİH","UYGUN"),"EKSİK"))</f>
        <v/>
      </c>
      <c r="N587" s="6" t="n"/>
      <c r="O587" s="6" t="n"/>
    </row>
    <row r="588">
      <c r="A588" s="6" t="n"/>
      <c r="B588" s="112">
        <f>IF($C588="","","GG"&amp;TEXT(ROW()-6,"00000"))</f>
        <v/>
      </c>
      <c r="C588" s="114" t="n"/>
      <c r="D588" s="107" t="n"/>
      <c r="E588" s="108" t="n"/>
      <c r="F588" s="108" t="n"/>
      <c r="G588" s="115" t="n"/>
      <c r="H588" s="107" t="n"/>
      <c r="I588" s="107" t="n"/>
      <c r="J588" s="108" t="n"/>
      <c r="K588" s="108" t="n"/>
      <c r="L588" s="119">
        <f>IF($C588="","",DATE(YEAR($C588),MONTH($C588),1))</f>
        <v/>
      </c>
      <c r="M588" s="112">
        <f>IF($C588="","",IF(AND($D588&lt;&gt;"",$E588&lt;&gt;"",$G588&gt;0,$H588&lt;&gt;"",$I588&lt;&gt;""),IF($C588&gt;TODAY(),"İLERİ TARİH","UYGUN"),"EKSİK"))</f>
        <v/>
      </c>
      <c r="N588" s="6" t="n"/>
      <c r="O588" s="6" t="n"/>
    </row>
    <row r="589">
      <c r="A589" s="6" t="n"/>
      <c r="B589" s="112">
        <f>IF($C589="","","GG"&amp;TEXT(ROW()-6,"00000"))</f>
        <v/>
      </c>
      <c r="C589" s="114" t="n"/>
      <c r="D589" s="107" t="n"/>
      <c r="E589" s="108" t="n"/>
      <c r="F589" s="108" t="n"/>
      <c r="G589" s="115" t="n"/>
      <c r="H589" s="107" t="n"/>
      <c r="I589" s="107" t="n"/>
      <c r="J589" s="108" t="n"/>
      <c r="K589" s="108" t="n"/>
      <c r="L589" s="119">
        <f>IF($C589="","",DATE(YEAR($C589),MONTH($C589),1))</f>
        <v/>
      </c>
      <c r="M589" s="112">
        <f>IF($C589="","",IF(AND($D589&lt;&gt;"",$E589&lt;&gt;"",$G589&gt;0,$H589&lt;&gt;"",$I589&lt;&gt;""),IF($C589&gt;TODAY(),"İLERİ TARİH","UYGUN"),"EKSİK"))</f>
        <v/>
      </c>
      <c r="N589" s="6" t="n"/>
      <c r="O589" s="6" t="n"/>
    </row>
    <row r="590">
      <c r="A590" s="6" t="n"/>
      <c r="B590" s="112">
        <f>IF($C590="","","GG"&amp;TEXT(ROW()-6,"00000"))</f>
        <v/>
      </c>
      <c r="C590" s="114" t="n"/>
      <c r="D590" s="107" t="n"/>
      <c r="E590" s="108" t="n"/>
      <c r="F590" s="108" t="n"/>
      <c r="G590" s="115" t="n"/>
      <c r="H590" s="107" t="n"/>
      <c r="I590" s="107" t="n"/>
      <c r="J590" s="108" t="n"/>
      <c r="K590" s="108" t="n"/>
      <c r="L590" s="119">
        <f>IF($C590="","",DATE(YEAR($C590),MONTH($C590),1))</f>
        <v/>
      </c>
      <c r="M590" s="112">
        <f>IF($C590="","",IF(AND($D590&lt;&gt;"",$E590&lt;&gt;"",$G590&gt;0,$H590&lt;&gt;"",$I590&lt;&gt;""),IF($C590&gt;TODAY(),"İLERİ TARİH","UYGUN"),"EKSİK"))</f>
        <v/>
      </c>
      <c r="N590" s="6" t="n"/>
      <c r="O590" s="6" t="n"/>
    </row>
    <row r="591">
      <c r="A591" s="6" t="n"/>
      <c r="B591" s="112">
        <f>IF($C591="","","GG"&amp;TEXT(ROW()-6,"00000"))</f>
        <v/>
      </c>
      <c r="C591" s="114" t="n"/>
      <c r="D591" s="107" t="n"/>
      <c r="E591" s="108" t="n"/>
      <c r="F591" s="108" t="n"/>
      <c r="G591" s="115" t="n"/>
      <c r="H591" s="107" t="n"/>
      <c r="I591" s="107" t="n"/>
      <c r="J591" s="108" t="n"/>
      <c r="K591" s="108" t="n"/>
      <c r="L591" s="119">
        <f>IF($C591="","",DATE(YEAR($C591),MONTH($C591),1))</f>
        <v/>
      </c>
      <c r="M591" s="112">
        <f>IF($C591="","",IF(AND($D591&lt;&gt;"",$E591&lt;&gt;"",$G591&gt;0,$H591&lt;&gt;"",$I591&lt;&gt;""),IF($C591&gt;TODAY(),"İLERİ TARİH","UYGUN"),"EKSİK"))</f>
        <v/>
      </c>
      <c r="N591" s="6" t="n"/>
      <c r="O591" s="6" t="n"/>
    </row>
    <row r="592">
      <c r="A592" s="6" t="n"/>
      <c r="B592" s="112">
        <f>IF($C592="","","GG"&amp;TEXT(ROW()-6,"00000"))</f>
        <v/>
      </c>
      <c r="C592" s="114" t="n"/>
      <c r="D592" s="107" t="n"/>
      <c r="E592" s="108" t="n"/>
      <c r="F592" s="108" t="n"/>
      <c r="G592" s="115" t="n"/>
      <c r="H592" s="107" t="n"/>
      <c r="I592" s="107" t="n"/>
      <c r="J592" s="108" t="n"/>
      <c r="K592" s="108" t="n"/>
      <c r="L592" s="119">
        <f>IF($C592="","",DATE(YEAR($C592),MONTH($C592),1))</f>
        <v/>
      </c>
      <c r="M592" s="112">
        <f>IF($C592="","",IF(AND($D592&lt;&gt;"",$E592&lt;&gt;"",$G592&gt;0,$H592&lt;&gt;"",$I592&lt;&gt;""),IF($C592&gt;TODAY(),"İLERİ TARİH","UYGUN"),"EKSİK"))</f>
        <v/>
      </c>
      <c r="N592" s="6" t="n"/>
      <c r="O592" s="6" t="n"/>
    </row>
    <row r="593">
      <c r="A593" s="6" t="n"/>
      <c r="B593" s="112">
        <f>IF($C593="","","GG"&amp;TEXT(ROW()-6,"00000"))</f>
        <v/>
      </c>
      <c r="C593" s="114" t="n"/>
      <c r="D593" s="107" t="n"/>
      <c r="E593" s="108" t="n"/>
      <c r="F593" s="108" t="n"/>
      <c r="G593" s="115" t="n"/>
      <c r="H593" s="107" t="n"/>
      <c r="I593" s="107" t="n"/>
      <c r="J593" s="108" t="n"/>
      <c r="K593" s="108" t="n"/>
      <c r="L593" s="119">
        <f>IF($C593="","",DATE(YEAR($C593),MONTH($C593),1))</f>
        <v/>
      </c>
      <c r="M593" s="112">
        <f>IF($C593="","",IF(AND($D593&lt;&gt;"",$E593&lt;&gt;"",$G593&gt;0,$H593&lt;&gt;"",$I593&lt;&gt;""),IF($C593&gt;TODAY(),"İLERİ TARİH","UYGUN"),"EKSİK"))</f>
        <v/>
      </c>
      <c r="N593" s="6" t="n"/>
      <c r="O593" s="6" t="n"/>
    </row>
    <row r="594">
      <c r="A594" s="6" t="n"/>
      <c r="B594" s="112">
        <f>IF($C594="","","GG"&amp;TEXT(ROW()-6,"00000"))</f>
        <v/>
      </c>
      <c r="C594" s="114" t="n"/>
      <c r="D594" s="107" t="n"/>
      <c r="E594" s="108" t="n"/>
      <c r="F594" s="108" t="n"/>
      <c r="G594" s="115" t="n"/>
      <c r="H594" s="107" t="n"/>
      <c r="I594" s="107" t="n"/>
      <c r="J594" s="108" t="n"/>
      <c r="K594" s="108" t="n"/>
      <c r="L594" s="119">
        <f>IF($C594="","",DATE(YEAR($C594),MONTH($C594),1))</f>
        <v/>
      </c>
      <c r="M594" s="112">
        <f>IF($C594="","",IF(AND($D594&lt;&gt;"",$E594&lt;&gt;"",$G594&gt;0,$H594&lt;&gt;"",$I594&lt;&gt;""),IF($C594&gt;TODAY(),"İLERİ TARİH","UYGUN"),"EKSİK"))</f>
        <v/>
      </c>
      <c r="N594" s="6" t="n"/>
      <c r="O594" s="6" t="n"/>
    </row>
    <row r="595">
      <c r="A595" s="6" t="n"/>
      <c r="B595" s="112">
        <f>IF($C595="","","GG"&amp;TEXT(ROW()-6,"00000"))</f>
        <v/>
      </c>
      <c r="C595" s="114" t="n"/>
      <c r="D595" s="107" t="n"/>
      <c r="E595" s="108" t="n"/>
      <c r="F595" s="108" t="n"/>
      <c r="G595" s="115" t="n"/>
      <c r="H595" s="107" t="n"/>
      <c r="I595" s="107" t="n"/>
      <c r="J595" s="108" t="n"/>
      <c r="K595" s="108" t="n"/>
      <c r="L595" s="119">
        <f>IF($C595="","",DATE(YEAR($C595),MONTH($C595),1))</f>
        <v/>
      </c>
      <c r="M595" s="112">
        <f>IF($C595="","",IF(AND($D595&lt;&gt;"",$E595&lt;&gt;"",$G595&gt;0,$H595&lt;&gt;"",$I595&lt;&gt;""),IF($C595&gt;TODAY(),"İLERİ TARİH","UYGUN"),"EKSİK"))</f>
        <v/>
      </c>
      <c r="N595" s="6" t="n"/>
      <c r="O595" s="6" t="n"/>
    </row>
    <row r="596">
      <c r="A596" s="6" t="n"/>
      <c r="B596" s="112">
        <f>IF($C596="","","GG"&amp;TEXT(ROW()-6,"00000"))</f>
        <v/>
      </c>
      <c r="C596" s="114" t="n"/>
      <c r="D596" s="107" t="n"/>
      <c r="E596" s="108" t="n"/>
      <c r="F596" s="108" t="n"/>
      <c r="G596" s="115" t="n"/>
      <c r="H596" s="107" t="n"/>
      <c r="I596" s="107" t="n"/>
      <c r="J596" s="108" t="n"/>
      <c r="K596" s="108" t="n"/>
      <c r="L596" s="119">
        <f>IF($C596="","",DATE(YEAR($C596),MONTH($C596),1))</f>
        <v/>
      </c>
      <c r="M596" s="112">
        <f>IF($C596="","",IF(AND($D596&lt;&gt;"",$E596&lt;&gt;"",$G596&gt;0,$H596&lt;&gt;"",$I596&lt;&gt;""),IF($C596&gt;TODAY(),"İLERİ TARİH","UYGUN"),"EKSİK"))</f>
        <v/>
      </c>
      <c r="N596" s="6" t="n"/>
      <c r="O596" s="6" t="n"/>
    </row>
    <row r="597">
      <c r="A597" s="6" t="n"/>
      <c r="B597" s="112">
        <f>IF($C597="","","GG"&amp;TEXT(ROW()-6,"00000"))</f>
        <v/>
      </c>
      <c r="C597" s="114" t="n"/>
      <c r="D597" s="107" t="n"/>
      <c r="E597" s="108" t="n"/>
      <c r="F597" s="108" t="n"/>
      <c r="G597" s="115" t="n"/>
      <c r="H597" s="107" t="n"/>
      <c r="I597" s="107" t="n"/>
      <c r="J597" s="108" t="n"/>
      <c r="K597" s="108" t="n"/>
      <c r="L597" s="119">
        <f>IF($C597="","",DATE(YEAR($C597),MONTH($C597),1))</f>
        <v/>
      </c>
      <c r="M597" s="112">
        <f>IF($C597="","",IF(AND($D597&lt;&gt;"",$E597&lt;&gt;"",$G597&gt;0,$H597&lt;&gt;"",$I597&lt;&gt;""),IF($C597&gt;TODAY(),"İLERİ TARİH","UYGUN"),"EKSİK"))</f>
        <v/>
      </c>
      <c r="N597" s="6" t="n"/>
      <c r="O597" s="6" t="n"/>
    </row>
    <row r="598">
      <c r="A598" s="6" t="n"/>
      <c r="B598" s="112">
        <f>IF($C598="","","GG"&amp;TEXT(ROW()-6,"00000"))</f>
        <v/>
      </c>
      <c r="C598" s="114" t="n"/>
      <c r="D598" s="107" t="n"/>
      <c r="E598" s="108" t="n"/>
      <c r="F598" s="108" t="n"/>
      <c r="G598" s="115" t="n"/>
      <c r="H598" s="107" t="n"/>
      <c r="I598" s="107" t="n"/>
      <c r="J598" s="108" t="n"/>
      <c r="K598" s="108" t="n"/>
      <c r="L598" s="119">
        <f>IF($C598="","",DATE(YEAR($C598),MONTH($C598),1))</f>
        <v/>
      </c>
      <c r="M598" s="112">
        <f>IF($C598="","",IF(AND($D598&lt;&gt;"",$E598&lt;&gt;"",$G598&gt;0,$H598&lt;&gt;"",$I598&lt;&gt;""),IF($C598&gt;TODAY(),"İLERİ TARİH","UYGUN"),"EKSİK"))</f>
        <v/>
      </c>
      <c r="N598" s="6" t="n"/>
      <c r="O598" s="6" t="n"/>
    </row>
    <row r="599">
      <c r="A599" s="6" t="n"/>
      <c r="B599" s="112">
        <f>IF($C599="","","GG"&amp;TEXT(ROW()-6,"00000"))</f>
        <v/>
      </c>
      <c r="C599" s="114" t="n"/>
      <c r="D599" s="107" t="n"/>
      <c r="E599" s="108" t="n"/>
      <c r="F599" s="108" t="n"/>
      <c r="G599" s="115" t="n"/>
      <c r="H599" s="107" t="n"/>
      <c r="I599" s="107" t="n"/>
      <c r="J599" s="108" t="n"/>
      <c r="K599" s="108" t="n"/>
      <c r="L599" s="119">
        <f>IF($C599="","",DATE(YEAR($C599),MONTH($C599),1))</f>
        <v/>
      </c>
      <c r="M599" s="112">
        <f>IF($C599="","",IF(AND($D599&lt;&gt;"",$E599&lt;&gt;"",$G599&gt;0,$H599&lt;&gt;"",$I599&lt;&gt;""),IF($C599&gt;TODAY(),"İLERİ TARİH","UYGUN"),"EKSİK"))</f>
        <v/>
      </c>
      <c r="N599" s="6" t="n"/>
      <c r="O599" s="6" t="n"/>
    </row>
    <row r="600">
      <c r="A600" s="6" t="n"/>
      <c r="B600" s="112">
        <f>IF($C600="","","GG"&amp;TEXT(ROW()-6,"00000"))</f>
        <v/>
      </c>
      <c r="C600" s="114" t="n"/>
      <c r="D600" s="107" t="n"/>
      <c r="E600" s="108" t="n"/>
      <c r="F600" s="108" t="n"/>
      <c r="G600" s="115" t="n"/>
      <c r="H600" s="107" t="n"/>
      <c r="I600" s="107" t="n"/>
      <c r="J600" s="108" t="n"/>
      <c r="K600" s="108" t="n"/>
      <c r="L600" s="119">
        <f>IF($C600="","",DATE(YEAR($C600),MONTH($C600),1))</f>
        <v/>
      </c>
      <c r="M600" s="112">
        <f>IF($C600="","",IF(AND($D600&lt;&gt;"",$E600&lt;&gt;"",$G600&gt;0,$H600&lt;&gt;"",$I600&lt;&gt;""),IF($C600&gt;TODAY(),"İLERİ TARİH","UYGUN"),"EKSİK"))</f>
        <v/>
      </c>
      <c r="N600" s="6" t="n"/>
      <c r="O600" s="6" t="n"/>
    </row>
    <row r="601">
      <c r="A601" s="6" t="n"/>
      <c r="B601" s="112">
        <f>IF($C601="","","GG"&amp;TEXT(ROW()-6,"00000"))</f>
        <v/>
      </c>
      <c r="C601" s="114" t="n"/>
      <c r="D601" s="107" t="n"/>
      <c r="E601" s="108" t="n"/>
      <c r="F601" s="108" t="n"/>
      <c r="G601" s="115" t="n"/>
      <c r="H601" s="107" t="n"/>
      <c r="I601" s="107" t="n"/>
      <c r="J601" s="108" t="n"/>
      <c r="K601" s="108" t="n"/>
      <c r="L601" s="119">
        <f>IF($C601="","",DATE(YEAR($C601),MONTH($C601),1))</f>
        <v/>
      </c>
      <c r="M601" s="112">
        <f>IF($C601="","",IF(AND($D601&lt;&gt;"",$E601&lt;&gt;"",$G601&gt;0,$H601&lt;&gt;"",$I601&lt;&gt;""),IF($C601&gt;TODAY(),"İLERİ TARİH","UYGUN"),"EKSİK"))</f>
        <v/>
      </c>
      <c r="N601" s="6" t="n"/>
      <c r="O601" s="6" t="n"/>
    </row>
    <row r="602">
      <c r="A602" s="6" t="n"/>
      <c r="B602" s="112">
        <f>IF($C602="","","GG"&amp;TEXT(ROW()-6,"00000"))</f>
        <v/>
      </c>
      <c r="C602" s="114" t="n"/>
      <c r="D602" s="107" t="n"/>
      <c r="E602" s="108" t="n"/>
      <c r="F602" s="108" t="n"/>
      <c r="G602" s="115" t="n"/>
      <c r="H602" s="107" t="n"/>
      <c r="I602" s="107" t="n"/>
      <c r="J602" s="108" t="n"/>
      <c r="K602" s="108" t="n"/>
      <c r="L602" s="119">
        <f>IF($C602="","",DATE(YEAR($C602),MONTH($C602),1))</f>
        <v/>
      </c>
      <c r="M602" s="112">
        <f>IF($C602="","",IF(AND($D602&lt;&gt;"",$E602&lt;&gt;"",$G602&gt;0,$H602&lt;&gt;"",$I602&lt;&gt;""),IF($C602&gt;TODAY(),"İLERİ TARİH","UYGUN"),"EKSİK"))</f>
        <v/>
      </c>
      <c r="N602" s="6" t="n"/>
      <c r="O602" s="6" t="n"/>
    </row>
    <row r="603">
      <c r="A603" s="6" t="n"/>
      <c r="B603" s="112">
        <f>IF($C603="","","GG"&amp;TEXT(ROW()-6,"00000"))</f>
        <v/>
      </c>
      <c r="C603" s="114" t="n"/>
      <c r="D603" s="107" t="n"/>
      <c r="E603" s="108" t="n"/>
      <c r="F603" s="108" t="n"/>
      <c r="G603" s="115" t="n"/>
      <c r="H603" s="107" t="n"/>
      <c r="I603" s="107" t="n"/>
      <c r="J603" s="108" t="n"/>
      <c r="K603" s="108" t="n"/>
      <c r="L603" s="119">
        <f>IF($C603="","",DATE(YEAR($C603),MONTH($C603),1))</f>
        <v/>
      </c>
      <c r="M603" s="112">
        <f>IF($C603="","",IF(AND($D603&lt;&gt;"",$E603&lt;&gt;"",$G603&gt;0,$H603&lt;&gt;"",$I603&lt;&gt;""),IF($C603&gt;TODAY(),"İLERİ TARİH","UYGUN"),"EKSİK"))</f>
        <v/>
      </c>
      <c r="N603" s="6" t="n"/>
      <c r="O603" s="6" t="n"/>
    </row>
    <row r="604">
      <c r="A604" s="6" t="n"/>
      <c r="B604" s="112">
        <f>IF($C604="","","GG"&amp;TEXT(ROW()-6,"00000"))</f>
        <v/>
      </c>
      <c r="C604" s="114" t="n"/>
      <c r="D604" s="107" t="n"/>
      <c r="E604" s="108" t="n"/>
      <c r="F604" s="108" t="n"/>
      <c r="G604" s="115" t="n"/>
      <c r="H604" s="107" t="n"/>
      <c r="I604" s="107" t="n"/>
      <c r="J604" s="108" t="n"/>
      <c r="K604" s="108" t="n"/>
      <c r="L604" s="119">
        <f>IF($C604="","",DATE(YEAR($C604),MONTH($C604),1))</f>
        <v/>
      </c>
      <c r="M604" s="112">
        <f>IF($C604="","",IF(AND($D604&lt;&gt;"",$E604&lt;&gt;"",$G604&gt;0,$H604&lt;&gt;"",$I604&lt;&gt;""),IF($C604&gt;TODAY(),"İLERİ TARİH","UYGUN"),"EKSİK"))</f>
        <v/>
      </c>
      <c r="N604" s="6" t="n"/>
      <c r="O604" s="6" t="n"/>
    </row>
    <row r="605">
      <c r="A605" s="6" t="n"/>
      <c r="B605" s="112">
        <f>IF($C605="","","GG"&amp;TEXT(ROW()-6,"00000"))</f>
        <v/>
      </c>
      <c r="C605" s="114" t="n"/>
      <c r="D605" s="107" t="n"/>
      <c r="E605" s="108" t="n"/>
      <c r="F605" s="108" t="n"/>
      <c r="G605" s="115" t="n"/>
      <c r="H605" s="107" t="n"/>
      <c r="I605" s="107" t="n"/>
      <c r="J605" s="108" t="n"/>
      <c r="K605" s="108" t="n"/>
      <c r="L605" s="119">
        <f>IF($C605="","",DATE(YEAR($C605),MONTH($C605),1))</f>
        <v/>
      </c>
      <c r="M605" s="112">
        <f>IF($C605="","",IF(AND($D605&lt;&gt;"",$E605&lt;&gt;"",$G605&gt;0,$H605&lt;&gt;"",$I605&lt;&gt;""),IF($C605&gt;TODAY(),"İLERİ TARİH","UYGUN"),"EKSİK"))</f>
        <v/>
      </c>
      <c r="N605" s="6" t="n"/>
      <c r="O605" s="6" t="n"/>
    </row>
    <row r="606">
      <c r="A606" s="6" t="n"/>
      <c r="B606" s="112">
        <f>IF($C606="","","GG"&amp;TEXT(ROW()-6,"00000"))</f>
        <v/>
      </c>
      <c r="C606" s="114" t="n"/>
      <c r="D606" s="107" t="n"/>
      <c r="E606" s="108" t="n"/>
      <c r="F606" s="108" t="n"/>
      <c r="G606" s="115" t="n"/>
      <c r="H606" s="107" t="n"/>
      <c r="I606" s="107" t="n"/>
      <c r="J606" s="108" t="n"/>
      <c r="K606" s="108" t="n"/>
      <c r="L606" s="119">
        <f>IF($C606="","",DATE(YEAR($C606),MONTH($C606),1))</f>
        <v/>
      </c>
      <c r="M606" s="112">
        <f>IF($C606="","",IF(AND($D606&lt;&gt;"",$E606&lt;&gt;"",$G606&gt;0,$H606&lt;&gt;"",$I606&lt;&gt;""),IF($C606&gt;TODAY(),"İLERİ TARİH","UYGUN"),"EKSİK"))</f>
        <v/>
      </c>
      <c r="N606" s="6" t="n"/>
      <c r="O606" s="6" t="n"/>
    </row>
    <row r="607">
      <c r="A607" s="6" t="n"/>
      <c r="B607" s="112">
        <f>IF($C607="","","GG"&amp;TEXT(ROW()-6,"00000"))</f>
        <v/>
      </c>
      <c r="C607" s="114" t="n"/>
      <c r="D607" s="107" t="n"/>
      <c r="E607" s="108" t="n"/>
      <c r="F607" s="108" t="n"/>
      <c r="G607" s="115" t="n"/>
      <c r="H607" s="107" t="n"/>
      <c r="I607" s="107" t="n"/>
      <c r="J607" s="108" t="n"/>
      <c r="K607" s="108" t="n"/>
      <c r="L607" s="119">
        <f>IF($C607="","",DATE(YEAR($C607),MONTH($C607),1))</f>
        <v/>
      </c>
      <c r="M607" s="112">
        <f>IF($C607="","",IF(AND($D607&lt;&gt;"",$E607&lt;&gt;"",$G607&gt;0,$H607&lt;&gt;"",$I607&lt;&gt;""),IF($C607&gt;TODAY(),"İLERİ TARİH","UYGUN"),"EKSİK"))</f>
        <v/>
      </c>
      <c r="N607" s="6" t="n"/>
      <c r="O607" s="6" t="n"/>
    </row>
    <row r="608">
      <c r="A608" s="6" t="n"/>
      <c r="B608" s="112">
        <f>IF($C608="","","GG"&amp;TEXT(ROW()-6,"00000"))</f>
        <v/>
      </c>
      <c r="C608" s="114" t="n"/>
      <c r="D608" s="107" t="n"/>
      <c r="E608" s="108" t="n"/>
      <c r="F608" s="108" t="n"/>
      <c r="G608" s="115" t="n"/>
      <c r="H608" s="107" t="n"/>
      <c r="I608" s="107" t="n"/>
      <c r="J608" s="108" t="n"/>
      <c r="K608" s="108" t="n"/>
      <c r="L608" s="119">
        <f>IF($C608="","",DATE(YEAR($C608),MONTH($C608),1))</f>
        <v/>
      </c>
      <c r="M608" s="112">
        <f>IF($C608="","",IF(AND($D608&lt;&gt;"",$E608&lt;&gt;"",$G608&gt;0,$H608&lt;&gt;"",$I608&lt;&gt;""),IF($C608&gt;TODAY(),"İLERİ TARİH","UYGUN"),"EKSİK"))</f>
        <v/>
      </c>
      <c r="N608" s="6" t="n"/>
      <c r="O608" s="6" t="n"/>
    </row>
    <row r="609">
      <c r="A609" s="6" t="n"/>
      <c r="B609" s="112">
        <f>IF($C609="","","GG"&amp;TEXT(ROW()-6,"00000"))</f>
        <v/>
      </c>
      <c r="C609" s="114" t="n"/>
      <c r="D609" s="107" t="n"/>
      <c r="E609" s="108" t="n"/>
      <c r="F609" s="108" t="n"/>
      <c r="G609" s="115" t="n"/>
      <c r="H609" s="107" t="n"/>
      <c r="I609" s="107" t="n"/>
      <c r="J609" s="108" t="n"/>
      <c r="K609" s="108" t="n"/>
      <c r="L609" s="119">
        <f>IF($C609="","",DATE(YEAR($C609),MONTH($C609),1))</f>
        <v/>
      </c>
      <c r="M609" s="112">
        <f>IF($C609="","",IF(AND($D609&lt;&gt;"",$E609&lt;&gt;"",$G609&gt;0,$H609&lt;&gt;"",$I609&lt;&gt;""),IF($C609&gt;TODAY(),"İLERİ TARİH","UYGUN"),"EKSİK"))</f>
        <v/>
      </c>
      <c r="N609" s="6" t="n"/>
      <c r="O609" s="6" t="n"/>
    </row>
    <row r="610">
      <c r="A610" s="6" t="n"/>
      <c r="B610" s="112">
        <f>IF($C610="","","GG"&amp;TEXT(ROW()-6,"00000"))</f>
        <v/>
      </c>
      <c r="C610" s="114" t="n"/>
      <c r="D610" s="107" t="n"/>
      <c r="E610" s="108" t="n"/>
      <c r="F610" s="108" t="n"/>
      <c r="G610" s="115" t="n"/>
      <c r="H610" s="107" t="n"/>
      <c r="I610" s="107" t="n"/>
      <c r="J610" s="108" t="n"/>
      <c r="K610" s="108" t="n"/>
      <c r="L610" s="119">
        <f>IF($C610="","",DATE(YEAR($C610),MONTH($C610),1))</f>
        <v/>
      </c>
      <c r="M610" s="112">
        <f>IF($C610="","",IF(AND($D610&lt;&gt;"",$E610&lt;&gt;"",$G610&gt;0,$H610&lt;&gt;"",$I610&lt;&gt;""),IF($C610&gt;TODAY(),"İLERİ TARİH","UYGUN"),"EKSİK"))</f>
        <v/>
      </c>
      <c r="N610" s="6" t="n"/>
      <c r="O610" s="6" t="n"/>
    </row>
    <row r="611">
      <c r="A611" s="6" t="n"/>
      <c r="B611" s="112">
        <f>IF($C611="","","GG"&amp;TEXT(ROW()-6,"00000"))</f>
        <v/>
      </c>
      <c r="C611" s="114" t="n"/>
      <c r="D611" s="107" t="n"/>
      <c r="E611" s="108" t="n"/>
      <c r="F611" s="108" t="n"/>
      <c r="G611" s="115" t="n"/>
      <c r="H611" s="107" t="n"/>
      <c r="I611" s="107" t="n"/>
      <c r="J611" s="108" t="n"/>
      <c r="K611" s="108" t="n"/>
      <c r="L611" s="119">
        <f>IF($C611="","",DATE(YEAR($C611),MONTH($C611),1))</f>
        <v/>
      </c>
      <c r="M611" s="112">
        <f>IF($C611="","",IF(AND($D611&lt;&gt;"",$E611&lt;&gt;"",$G611&gt;0,$H611&lt;&gt;"",$I611&lt;&gt;""),IF($C611&gt;TODAY(),"İLERİ TARİH","UYGUN"),"EKSİK"))</f>
        <v/>
      </c>
      <c r="N611" s="6" t="n"/>
      <c r="O611" s="6" t="n"/>
    </row>
    <row r="612">
      <c r="A612" s="6" t="n"/>
      <c r="B612" s="112">
        <f>IF($C612="","","GG"&amp;TEXT(ROW()-6,"00000"))</f>
        <v/>
      </c>
      <c r="C612" s="114" t="n"/>
      <c r="D612" s="107" t="n"/>
      <c r="E612" s="108" t="n"/>
      <c r="F612" s="108" t="n"/>
      <c r="G612" s="115" t="n"/>
      <c r="H612" s="107" t="n"/>
      <c r="I612" s="107" t="n"/>
      <c r="J612" s="108" t="n"/>
      <c r="K612" s="108" t="n"/>
      <c r="L612" s="119">
        <f>IF($C612="","",DATE(YEAR($C612),MONTH($C612),1))</f>
        <v/>
      </c>
      <c r="M612" s="112">
        <f>IF($C612="","",IF(AND($D612&lt;&gt;"",$E612&lt;&gt;"",$G612&gt;0,$H612&lt;&gt;"",$I612&lt;&gt;""),IF($C612&gt;TODAY(),"İLERİ TARİH","UYGUN"),"EKSİK"))</f>
        <v/>
      </c>
      <c r="N612" s="6" t="n"/>
      <c r="O612" s="6" t="n"/>
    </row>
    <row r="613">
      <c r="A613" s="6" t="n"/>
      <c r="B613" s="112">
        <f>IF($C613="","","GG"&amp;TEXT(ROW()-6,"00000"))</f>
        <v/>
      </c>
      <c r="C613" s="114" t="n"/>
      <c r="D613" s="107" t="n"/>
      <c r="E613" s="108" t="n"/>
      <c r="F613" s="108" t="n"/>
      <c r="G613" s="115" t="n"/>
      <c r="H613" s="107" t="n"/>
      <c r="I613" s="107" t="n"/>
      <c r="J613" s="108" t="n"/>
      <c r="K613" s="108" t="n"/>
      <c r="L613" s="119">
        <f>IF($C613="","",DATE(YEAR($C613),MONTH($C613),1))</f>
        <v/>
      </c>
      <c r="M613" s="112">
        <f>IF($C613="","",IF(AND($D613&lt;&gt;"",$E613&lt;&gt;"",$G613&gt;0,$H613&lt;&gt;"",$I613&lt;&gt;""),IF($C613&gt;TODAY(),"İLERİ TARİH","UYGUN"),"EKSİK"))</f>
        <v/>
      </c>
      <c r="N613" s="6" t="n"/>
      <c r="O613" s="6" t="n"/>
    </row>
    <row r="614">
      <c r="A614" s="6" t="n"/>
      <c r="B614" s="112">
        <f>IF($C614="","","GG"&amp;TEXT(ROW()-6,"00000"))</f>
        <v/>
      </c>
      <c r="C614" s="114" t="n"/>
      <c r="D614" s="107" t="n"/>
      <c r="E614" s="108" t="n"/>
      <c r="F614" s="108" t="n"/>
      <c r="G614" s="115" t="n"/>
      <c r="H614" s="107" t="n"/>
      <c r="I614" s="107" t="n"/>
      <c r="J614" s="108" t="n"/>
      <c r="K614" s="108" t="n"/>
      <c r="L614" s="119">
        <f>IF($C614="","",DATE(YEAR($C614),MONTH($C614),1))</f>
        <v/>
      </c>
      <c r="M614" s="112">
        <f>IF($C614="","",IF(AND($D614&lt;&gt;"",$E614&lt;&gt;"",$G614&gt;0,$H614&lt;&gt;"",$I614&lt;&gt;""),IF($C614&gt;TODAY(),"İLERİ TARİH","UYGUN"),"EKSİK"))</f>
        <v/>
      </c>
      <c r="N614" s="6" t="n"/>
      <c r="O614" s="6" t="n"/>
    </row>
    <row r="615">
      <c r="A615" s="6" t="n"/>
      <c r="B615" s="112">
        <f>IF($C615="","","GG"&amp;TEXT(ROW()-6,"00000"))</f>
        <v/>
      </c>
      <c r="C615" s="114" t="n"/>
      <c r="D615" s="107" t="n"/>
      <c r="E615" s="108" t="n"/>
      <c r="F615" s="108" t="n"/>
      <c r="G615" s="115" t="n"/>
      <c r="H615" s="107" t="n"/>
      <c r="I615" s="107" t="n"/>
      <c r="J615" s="108" t="n"/>
      <c r="K615" s="108" t="n"/>
      <c r="L615" s="119">
        <f>IF($C615="","",DATE(YEAR($C615),MONTH($C615),1))</f>
        <v/>
      </c>
      <c r="M615" s="112">
        <f>IF($C615="","",IF(AND($D615&lt;&gt;"",$E615&lt;&gt;"",$G615&gt;0,$H615&lt;&gt;"",$I615&lt;&gt;""),IF($C615&gt;TODAY(),"İLERİ TARİH","UYGUN"),"EKSİK"))</f>
        <v/>
      </c>
      <c r="N615" s="6" t="n"/>
      <c r="O615" s="6" t="n"/>
    </row>
    <row r="616">
      <c r="A616" s="6" t="n"/>
      <c r="B616" s="112">
        <f>IF($C616="","","GG"&amp;TEXT(ROW()-6,"00000"))</f>
        <v/>
      </c>
      <c r="C616" s="114" t="n"/>
      <c r="D616" s="107" t="n"/>
      <c r="E616" s="108" t="n"/>
      <c r="F616" s="108" t="n"/>
      <c r="G616" s="115" t="n"/>
      <c r="H616" s="107" t="n"/>
      <c r="I616" s="107" t="n"/>
      <c r="J616" s="108" t="n"/>
      <c r="K616" s="108" t="n"/>
      <c r="L616" s="119">
        <f>IF($C616="","",DATE(YEAR($C616),MONTH($C616),1))</f>
        <v/>
      </c>
      <c r="M616" s="112">
        <f>IF($C616="","",IF(AND($D616&lt;&gt;"",$E616&lt;&gt;"",$G616&gt;0,$H616&lt;&gt;"",$I616&lt;&gt;""),IF($C616&gt;TODAY(),"İLERİ TARİH","UYGUN"),"EKSİK"))</f>
        <v/>
      </c>
      <c r="N616" s="6" t="n"/>
      <c r="O616" s="6" t="n"/>
    </row>
    <row r="617">
      <c r="A617" s="6" t="n"/>
      <c r="B617" s="112">
        <f>IF($C617="","","GG"&amp;TEXT(ROW()-6,"00000"))</f>
        <v/>
      </c>
      <c r="C617" s="114" t="n"/>
      <c r="D617" s="107" t="n"/>
      <c r="E617" s="108" t="n"/>
      <c r="F617" s="108" t="n"/>
      <c r="G617" s="115" t="n"/>
      <c r="H617" s="107" t="n"/>
      <c r="I617" s="107" t="n"/>
      <c r="J617" s="108" t="n"/>
      <c r="K617" s="108" t="n"/>
      <c r="L617" s="119">
        <f>IF($C617="","",DATE(YEAR($C617),MONTH($C617),1))</f>
        <v/>
      </c>
      <c r="M617" s="112">
        <f>IF($C617="","",IF(AND($D617&lt;&gt;"",$E617&lt;&gt;"",$G617&gt;0,$H617&lt;&gt;"",$I617&lt;&gt;""),IF($C617&gt;TODAY(),"İLERİ TARİH","UYGUN"),"EKSİK"))</f>
        <v/>
      </c>
      <c r="N617" s="6" t="n"/>
      <c r="O617" s="6" t="n"/>
    </row>
    <row r="618">
      <c r="A618" s="6" t="n"/>
      <c r="B618" s="112">
        <f>IF($C618="","","GG"&amp;TEXT(ROW()-6,"00000"))</f>
        <v/>
      </c>
      <c r="C618" s="114" t="n"/>
      <c r="D618" s="107" t="n"/>
      <c r="E618" s="108" t="n"/>
      <c r="F618" s="108" t="n"/>
      <c r="G618" s="115" t="n"/>
      <c r="H618" s="107" t="n"/>
      <c r="I618" s="107" t="n"/>
      <c r="J618" s="108" t="n"/>
      <c r="K618" s="108" t="n"/>
      <c r="L618" s="119">
        <f>IF($C618="","",DATE(YEAR($C618),MONTH($C618),1))</f>
        <v/>
      </c>
      <c r="M618" s="112">
        <f>IF($C618="","",IF(AND($D618&lt;&gt;"",$E618&lt;&gt;"",$G618&gt;0,$H618&lt;&gt;"",$I618&lt;&gt;""),IF($C618&gt;TODAY(),"İLERİ TARİH","UYGUN"),"EKSİK"))</f>
        <v/>
      </c>
      <c r="N618" s="6" t="n"/>
      <c r="O618" s="6" t="n"/>
    </row>
    <row r="619">
      <c r="A619" s="6" t="n"/>
      <c r="B619" s="112">
        <f>IF($C619="","","GG"&amp;TEXT(ROW()-6,"00000"))</f>
        <v/>
      </c>
      <c r="C619" s="114" t="n"/>
      <c r="D619" s="107" t="n"/>
      <c r="E619" s="108" t="n"/>
      <c r="F619" s="108" t="n"/>
      <c r="G619" s="115" t="n"/>
      <c r="H619" s="107" t="n"/>
      <c r="I619" s="107" t="n"/>
      <c r="J619" s="108" t="n"/>
      <c r="K619" s="108" t="n"/>
      <c r="L619" s="119">
        <f>IF($C619="","",DATE(YEAR($C619),MONTH($C619),1))</f>
        <v/>
      </c>
      <c r="M619" s="112">
        <f>IF($C619="","",IF(AND($D619&lt;&gt;"",$E619&lt;&gt;"",$G619&gt;0,$H619&lt;&gt;"",$I619&lt;&gt;""),IF($C619&gt;TODAY(),"İLERİ TARİH","UYGUN"),"EKSİK"))</f>
        <v/>
      </c>
      <c r="N619" s="6" t="n"/>
      <c r="O619" s="6" t="n"/>
    </row>
    <row r="620">
      <c r="A620" s="6" t="n"/>
      <c r="B620" s="112">
        <f>IF($C620="","","GG"&amp;TEXT(ROW()-6,"00000"))</f>
        <v/>
      </c>
      <c r="C620" s="114" t="n"/>
      <c r="D620" s="107" t="n"/>
      <c r="E620" s="108" t="n"/>
      <c r="F620" s="108" t="n"/>
      <c r="G620" s="115" t="n"/>
      <c r="H620" s="107" t="n"/>
      <c r="I620" s="107" t="n"/>
      <c r="J620" s="108" t="n"/>
      <c r="K620" s="108" t="n"/>
      <c r="L620" s="119">
        <f>IF($C620="","",DATE(YEAR($C620),MONTH($C620),1))</f>
        <v/>
      </c>
      <c r="M620" s="112">
        <f>IF($C620="","",IF(AND($D620&lt;&gt;"",$E620&lt;&gt;"",$G620&gt;0,$H620&lt;&gt;"",$I620&lt;&gt;""),IF($C620&gt;TODAY(),"İLERİ TARİH","UYGUN"),"EKSİK"))</f>
        <v/>
      </c>
      <c r="N620" s="6" t="n"/>
      <c r="O620" s="6" t="n"/>
    </row>
    <row r="621">
      <c r="A621" s="6" t="n"/>
      <c r="B621" s="112">
        <f>IF($C621="","","GG"&amp;TEXT(ROW()-6,"00000"))</f>
        <v/>
      </c>
      <c r="C621" s="114" t="n"/>
      <c r="D621" s="107" t="n"/>
      <c r="E621" s="108" t="n"/>
      <c r="F621" s="108" t="n"/>
      <c r="G621" s="115" t="n"/>
      <c r="H621" s="107" t="n"/>
      <c r="I621" s="107" t="n"/>
      <c r="J621" s="108" t="n"/>
      <c r="K621" s="108" t="n"/>
      <c r="L621" s="119">
        <f>IF($C621="","",DATE(YEAR($C621),MONTH($C621),1))</f>
        <v/>
      </c>
      <c r="M621" s="112">
        <f>IF($C621="","",IF(AND($D621&lt;&gt;"",$E621&lt;&gt;"",$G621&gt;0,$H621&lt;&gt;"",$I621&lt;&gt;""),IF($C621&gt;TODAY(),"İLERİ TARİH","UYGUN"),"EKSİK"))</f>
        <v/>
      </c>
      <c r="N621" s="6" t="n"/>
      <c r="O621" s="6" t="n"/>
    </row>
    <row r="622">
      <c r="A622" s="6" t="n"/>
      <c r="B622" s="112">
        <f>IF($C622="","","GG"&amp;TEXT(ROW()-6,"00000"))</f>
        <v/>
      </c>
      <c r="C622" s="114" t="n"/>
      <c r="D622" s="107" t="n"/>
      <c r="E622" s="108" t="n"/>
      <c r="F622" s="108" t="n"/>
      <c r="G622" s="115" t="n"/>
      <c r="H622" s="107" t="n"/>
      <c r="I622" s="107" t="n"/>
      <c r="J622" s="108" t="n"/>
      <c r="K622" s="108" t="n"/>
      <c r="L622" s="119">
        <f>IF($C622="","",DATE(YEAR($C622),MONTH($C622),1))</f>
        <v/>
      </c>
      <c r="M622" s="112">
        <f>IF($C622="","",IF(AND($D622&lt;&gt;"",$E622&lt;&gt;"",$G622&gt;0,$H622&lt;&gt;"",$I622&lt;&gt;""),IF($C622&gt;TODAY(),"İLERİ TARİH","UYGUN"),"EKSİK"))</f>
        <v/>
      </c>
      <c r="N622" s="6" t="n"/>
      <c r="O622" s="6" t="n"/>
    </row>
    <row r="623">
      <c r="A623" s="6" t="n"/>
      <c r="B623" s="112">
        <f>IF($C623="","","GG"&amp;TEXT(ROW()-6,"00000"))</f>
        <v/>
      </c>
      <c r="C623" s="114" t="n"/>
      <c r="D623" s="107" t="n"/>
      <c r="E623" s="108" t="n"/>
      <c r="F623" s="108" t="n"/>
      <c r="G623" s="115" t="n"/>
      <c r="H623" s="107" t="n"/>
      <c r="I623" s="107" t="n"/>
      <c r="J623" s="108" t="n"/>
      <c r="K623" s="108" t="n"/>
      <c r="L623" s="119">
        <f>IF($C623="","",DATE(YEAR($C623),MONTH($C623),1))</f>
        <v/>
      </c>
      <c r="M623" s="112">
        <f>IF($C623="","",IF(AND($D623&lt;&gt;"",$E623&lt;&gt;"",$G623&gt;0,$H623&lt;&gt;"",$I623&lt;&gt;""),IF($C623&gt;TODAY(),"İLERİ TARİH","UYGUN"),"EKSİK"))</f>
        <v/>
      </c>
      <c r="N623" s="6" t="n"/>
      <c r="O623" s="6" t="n"/>
    </row>
    <row r="624">
      <c r="A624" s="6" t="n"/>
      <c r="B624" s="112">
        <f>IF($C624="","","GG"&amp;TEXT(ROW()-6,"00000"))</f>
        <v/>
      </c>
      <c r="C624" s="114" t="n"/>
      <c r="D624" s="107" t="n"/>
      <c r="E624" s="108" t="n"/>
      <c r="F624" s="108" t="n"/>
      <c r="G624" s="115" t="n"/>
      <c r="H624" s="107" t="n"/>
      <c r="I624" s="107" t="n"/>
      <c r="J624" s="108" t="n"/>
      <c r="K624" s="108" t="n"/>
      <c r="L624" s="119">
        <f>IF($C624="","",DATE(YEAR($C624),MONTH($C624),1))</f>
        <v/>
      </c>
      <c r="M624" s="112">
        <f>IF($C624="","",IF(AND($D624&lt;&gt;"",$E624&lt;&gt;"",$G624&gt;0,$H624&lt;&gt;"",$I624&lt;&gt;""),IF($C624&gt;TODAY(),"İLERİ TARİH","UYGUN"),"EKSİK"))</f>
        <v/>
      </c>
      <c r="N624" s="6" t="n"/>
      <c r="O624" s="6" t="n"/>
    </row>
    <row r="625">
      <c r="A625" s="6" t="n"/>
      <c r="B625" s="112">
        <f>IF($C625="","","GG"&amp;TEXT(ROW()-6,"00000"))</f>
        <v/>
      </c>
      <c r="C625" s="114" t="n"/>
      <c r="D625" s="107" t="n"/>
      <c r="E625" s="108" t="n"/>
      <c r="F625" s="108" t="n"/>
      <c r="G625" s="115" t="n"/>
      <c r="H625" s="107" t="n"/>
      <c r="I625" s="107" t="n"/>
      <c r="J625" s="108" t="n"/>
      <c r="K625" s="108" t="n"/>
      <c r="L625" s="119">
        <f>IF($C625="","",DATE(YEAR($C625),MONTH($C625),1))</f>
        <v/>
      </c>
      <c r="M625" s="112">
        <f>IF($C625="","",IF(AND($D625&lt;&gt;"",$E625&lt;&gt;"",$G625&gt;0,$H625&lt;&gt;"",$I625&lt;&gt;""),IF($C625&gt;TODAY(),"İLERİ TARİH","UYGUN"),"EKSİK"))</f>
        <v/>
      </c>
      <c r="N625" s="6" t="n"/>
      <c r="O625" s="6" t="n"/>
    </row>
    <row r="626">
      <c r="A626" s="6" t="n"/>
      <c r="B626" s="112">
        <f>IF($C626="","","GG"&amp;TEXT(ROW()-6,"00000"))</f>
        <v/>
      </c>
      <c r="C626" s="114" t="n"/>
      <c r="D626" s="107" t="n"/>
      <c r="E626" s="108" t="n"/>
      <c r="F626" s="108" t="n"/>
      <c r="G626" s="115" t="n"/>
      <c r="H626" s="107" t="n"/>
      <c r="I626" s="107" t="n"/>
      <c r="J626" s="108" t="n"/>
      <c r="K626" s="108" t="n"/>
      <c r="L626" s="119">
        <f>IF($C626="","",DATE(YEAR($C626),MONTH($C626),1))</f>
        <v/>
      </c>
      <c r="M626" s="112">
        <f>IF($C626="","",IF(AND($D626&lt;&gt;"",$E626&lt;&gt;"",$G626&gt;0,$H626&lt;&gt;"",$I626&lt;&gt;""),IF($C626&gt;TODAY(),"İLERİ TARİH","UYGUN"),"EKSİK"))</f>
        <v/>
      </c>
      <c r="N626" s="6" t="n"/>
      <c r="O626" s="6" t="n"/>
    </row>
    <row r="627">
      <c r="A627" s="6" t="n"/>
      <c r="B627" s="112">
        <f>IF($C627="","","GG"&amp;TEXT(ROW()-6,"00000"))</f>
        <v/>
      </c>
      <c r="C627" s="114" t="n"/>
      <c r="D627" s="107" t="n"/>
      <c r="E627" s="108" t="n"/>
      <c r="F627" s="108" t="n"/>
      <c r="G627" s="115" t="n"/>
      <c r="H627" s="107" t="n"/>
      <c r="I627" s="107" t="n"/>
      <c r="J627" s="108" t="n"/>
      <c r="K627" s="108" t="n"/>
      <c r="L627" s="119">
        <f>IF($C627="","",DATE(YEAR($C627),MONTH($C627),1))</f>
        <v/>
      </c>
      <c r="M627" s="112">
        <f>IF($C627="","",IF(AND($D627&lt;&gt;"",$E627&lt;&gt;"",$G627&gt;0,$H627&lt;&gt;"",$I627&lt;&gt;""),IF($C627&gt;TODAY(),"İLERİ TARİH","UYGUN"),"EKSİK"))</f>
        <v/>
      </c>
      <c r="N627" s="6" t="n"/>
      <c r="O627" s="6" t="n"/>
    </row>
    <row r="628">
      <c r="A628" s="6" t="n"/>
      <c r="B628" s="112">
        <f>IF($C628="","","GG"&amp;TEXT(ROW()-6,"00000"))</f>
        <v/>
      </c>
      <c r="C628" s="114" t="n"/>
      <c r="D628" s="107" t="n"/>
      <c r="E628" s="108" t="n"/>
      <c r="F628" s="108" t="n"/>
      <c r="G628" s="115" t="n"/>
      <c r="H628" s="107" t="n"/>
      <c r="I628" s="107" t="n"/>
      <c r="J628" s="108" t="n"/>
      <c r="K628" s="108" t="n"/>
      <c r="L628" s="119">
        <f>IF($C628="","",DATE(YEAR($C628),MONTH($C628),1))</f>
        <v/>
      </c>
      <c r="M628" s="112">
        <f>IF($C628="","",IF(AND($D628&lt;&gt;"",$E628&lt;&gt;"",$G628&gt;0,$H628&lt;&gt;"",$I628&lt;&gt;""),IF($C628&gt;TODAY(),"İLERİ TARİH","UYGUN"),"EKSİK"))</f>
        <v/>
      </c>
      <c r="N628" s="6" t="n"/>
      <c r="O628" s="6" t="n"/>
    </row>
    <row r="629">
      <c r="A629" s="6" t="n"/>
      <c r="B629" s="112">
        <f>IF($C629="","","GG"&amp;TEXT(ROW()-6,"00000"))</f>
        <v/>
      </c>
      <c r="C629" s="114" t="n"/>
      <c r="D629" s="107" t="n"/>
      <c r="E629" s="108" t="n"/>
      <c r="F629" s="108" t="n"/>
      <c r="G629" s="115" t="n"/>
      <c r="H629" s="107" t="n"/>
      <c r="I629" s="107" t="n"/>
      <c r="J629" s="108" t="n"/>
      <c r="K629" s="108" t="n"/>
      <c r="L629" s="119">
        <f>IF($C629="","",DATE(YEAR($C629),MONTH($C629),1))</f>
        <v/>
      </c>
      <c r="M629" s="112">
        <f>IF($C629="","",IF(AND($D629&lt;&gt;"",$E629&lt;&gt;"",$G629&gt;0,$H629&lt;&gt;"",$I629&lt;&gt;""),IF($C629&gt;TODAY(),"İLERİ TARİH","UYGUN"),"EKSİK"))</f>
        <v/>
      </c>
      <c r="N629" s="6" t="n"/>
      <c r="O629" s="6" t="n"/>
    </row>
    <row r="630">
      <c r="A630" s="6" t="n"/>
      <c r="B630" s="112">
        <f>IF($C630="","","GG"&amp;TEXT(ROW()-6,"00000"))</f>
        <v/>
      </c>
      <c r="C630" s="114" t="n"/>
      <c r="D630" s="107" t="n"/>
      <c r="E630" s="108" t="n"/>
      <c r="F630" s="108" t="n"/>
      <c r="G630" s="115" t="n"/>
      <c r="H630" s="107" t="n"/>
      <c r="I630" s="107" t="n"/>
      <c r="J630" s="108" t="n"/>
      <c r="K630" s="108" t="n"/>
      <c r="L630" s="119">
        <f>IF($C630="","",DATE(YEAR($C630),MONTH($C630),1))</f>
        <v/>
      </c>
      <c r="M630" s="112">
        <f>IF($C630="","",IF(AND($D630&lt;&gt;"",$E630&lt;&gt;"",$G630&gt;0,$H630&lt;&gt;"",$I630&lt;&gt;""),IF($C630&gt;TODAY(),"İLERİ TARİH","UYGUN"),"EKSİK"))</f>
        <v/>
      </c>
      <c r="N630" s="6" t="n"/>
      <c r="O630" s="6" t="n"/>
    </row>
    <row r="631">
      <c r="A631" s="6" t="n"/>
      <c r="B631" s="112">
        <f>IF($C631="","","GG"&amp;TEXT(ROW()-6,"00000"))</f>
        <v/>
      </c>
      <c r="C631" s="114" t="n"/>
      <c r="D631" s="107" t="n"/>
      <c r="E631" s="108" t="n"/>
      <c r="F631" s="108" t="n"/>
      <c r="G631" s="115" t="n"/>
      <c r="H631" s="107" t="n"/>
      <c r="I631" s="107" t="n"/>
      <c r="J631" s="108" t="n"/>
      <c r="K631" s="108" t="n"/>
      <c r="L631" s="119">
        <f>IF($C631="","",DATE(YEAR($C631),MONTH($C631),1))</f>
        <v/>
      </c>
      <c r="M631" s="112">
        <f>IF($C631="","",IF(AND($D631&lt;&gt;"",$E631&lt;&gt;"",$G631&gt;0,$H631&lt;&gt;"",$I631&lt;&gt;""),IF($C631&gt;TODAY(),"İLERİ TARİH","UYGUN"),"EKSİK"))</f>
        <v/>
      </c>
      <c r="N631" s="6" t="n"/>
      <c r="O631" s="6" t="n"/>
    </row>
    <row r="632">
      <c r="A632" s="6" t="n"/>
      <c r="B632" s="112">
        <f>IF($C632="","","GG"&amp;TEXT(ROW()-6,"00000"))</f>
        <v/>
      </c>
      <c r="C632" s="114" t="n"/>
      <c r="D632" s="107" t="n"/>
      <c r="E632" s="108" t="n"/>
      <c r="F632" s="108" t="n"/>
      <c r="G632" s="115" t="n"/>
      <c r="H632" s="107" t="n"/>
      <c r="I632" s="107" t="n"/>
      <c r="J632" s="108" t="n"/>
      <c r="K632" s="108" t="n"/>
      <c r="L632" s="119">
        <f>IF($C632="","",DATE(YEAR($C632),MONTH($C632),1))</f>
        <v/>
      </c>
      <c r="M632" s="112">
        <f>IF($C632="","",IF(AND($D632&lt;&gt;"",$E632&lt;&gt;"",$G632&gt;0,$H632&lt;&gt;"",$I632&lt;&gt;""),IF($C632&gt;TODAY(),"İLERİ TARİH","UYGUN"),"EKSİK"))</f>
        <v/>
      </c>
      <c r="N632" s="6" t="n"/>
      <c r="O632" s="6" t="n"/>
    </row>
    <row r="633">
      <c r="A633" s="6" t="n"/>
      <c r="B633" s="112">
        <f>IF($C633="","","GG"&amp;TEXT(ROW()-6,"00000"))</f>
        <v/>
      </c>
      <c r="C633" s="114" t="n"/>
      <c r="D633" s="107" t="n"/>
      <c r="E633" s="108" t="n"/>
      <c r="F633" s="108" t="n"/>
      <c r="G633" s="115" t="n"/>
      <c r="H633" s="107" t="n"/>
      <c r="I633" s="107" t="n"/>
      <c r="J633" s="108" t="n"/>
      <c r="K633" s="108" t="n"/>
      <c r="L633" s="119">
        <f>IF($C633="","",DATE(YEAR($C633),MONTH($C633),1))</f>
        <v/>
      </c>
      <c r="M633" s="112">
        <f>IF($C633="","",IF(AND($D633&lt;&gt;"",$E633&lt;&gt;"",$G633&gt;0,$H633&lt;&gt;"",$I633&lt;&gt;""),IF($C633&gt;TODAY(),"İLERİ TARİH","UYGUN"),"EKSİK"))</f>
        <v/>
      </c>
      <c r="N633" s="6" t="n"/>
      <c r="O633" s="6" t="n"/>
    </row>
    <row r="634">
      <c r="A634" s="6" t="n"/>
      <c r="B634" s="112">
        <f>IF($C634="","","GG"&amp;TEXT(ROW()-6,"00000"))</f>
        <v/>
      </c>
      <c r="C634" s="114" t="n"/>
      <c r="D634" s="107" t="n"/>
      <c r="E634" s="108" t="n"/>
      <c r="F634" s="108" t="n"/>
      <c r="G634" s="115" t="n"/>
      <c r="H634" s="107" t="n"/>
      <c r="I634" s="107" t="n"/>
      <c r="J634" s="108" t="n"/>
      <c r="K634" s="108" t="n"/>
      <c r="L634" s="119">
        <f>IF($C634="","",DATE(YEAR($C634),MONTH($C634),1))</f>
        <v/>
      </c>
      <c r="M634" s="112">
        <f>IF($C634="","",IF(AND($D634&lt;&gt;"",$E634&lt;&gt;"",$G634&gt;0,$H634&lt;&gt;"",$I634&lt;&gt;""),IF($C634&gt;TODAY(),"İLERİ TARİH","UYGUN"),"EKSİK"))</f>
        <v/>
      </c>
      <c r="N634" s="6" t="n"/>
      <c r="O634" s="6" t="n"/>
    </row>
    <row r="635">
      <c r="A635" s="6" t="n"/>
      <c r="B635" s="112">
        <f>IF($C635="","","GG"&amp;TEXT(ROW()-6,"00000"))</f>
        <v/>
      </c>
      <c r="C635" s="114" t="n"/>
      <c r="D635" s="107" t="n"/>
      <c r="E635" s="108" t="n"/>
      <c r="F635" s="108" t="n"/>
      <c r="G635" s="115" t="n"/>
      <c r="H635" s="107" t="n"/>
      <c r="I635" s="107" t="n"/>
      <c r="J635" s="108" t="n"/>
      <c r="K635" s="108" t="n"/>
      <c r="L635" s="119">
        <f>IF($C635="","",DATE(YEAR($C635),MONTH($C635),1))</f>
        <v/>
      </c>
      <c r="M635" s="112">
        <f>IF($C635="","",IF(AND($D635&lt;&gt;"",$E635&lt;&gt;"",$G635&gt;0,$H635&lt;&gt;"",$I635&lt;&gt;""),IF($C635&gt;TODAY(),"İLERİ TARİH","UYGUN"),"EKSİK"))</f>
        <v/>
      </c>
      <c r="N635" s="6" t="n"/>
      <c r="O635" s="6" t="n"/>
    </row>
    <row r="636">
      <c r="A636" s="6" t="n"/>
      <c r="B636" s="112">
        <f>IF($C636="","","GG"&amp;TEXT(ROW()-6,"00000"))</f>
        <v/>
      </c>
      <c r="C636" s="114" t="n"/>
      <c r="D636" s="107" t="n"/>
      <c r="E636" s="108" t="n"/>
      <c r="F636" s="108" t="n"/>
      <c r="G636" s="115" t="n"/>
      <c r="H636" s="107" t="n"/>
      <c r="I636" s="107" t="n"/>
      <c r="J636" s="108" t="n"/>
      <c r="K636" s="108" t="n"/>
      <c r="L636" s="119">
        <f>IF($C636="","",DATE(YEAR($C636),MONTH($C636),1))</f>
        <v/>
      </c>
      <c r="M636" s="112">
        <f>IF($C636="","",IF(AND($D636&lt;&gt;"",$E636&lt;&gt;"",$G636&gt;0,$H636&lt;&gt;"",$I636&lt;&gt;""),IF($C636&gt;TODAY(),"İLERİ TARİH","UYGUN"),"EKSİK"))</f>
        <v/>
      </c>
      <c r="N636" s="6" t="n"/>
      <c r="O636" s="6" t="n"/>
    </row>
    <row r="637">
      <c r="A637" s="6" t="n"/>
      <c r="B637" s="112">
        <f>IF($C637="","","GG"&amp;TEXT(ROW()-6,"00000"))</f>
        <v/>
      </c>
      <c r="C637" s="114" t="n"/>
      <c r="D637" s="107" t="n"/>
      <c r="E637" s="108" t="n"/>
      <c r="F637" s="108" t="n"/>
      <c r="G637" s="115" t="n"/>
      <c r="H637" s="107" t="n"/>
      <c r="I637" s="107" t="n"/>
      <c r="J637" s="108" t="n"/>
      <c r="K637" s="108" t="n"/>
      <c r="L637" s="119">
        <f>IF($C637="","",DATE(YEAR($C637),MONTH($C637),1))</f>
        <v/>
      </c>
      <c r="M637" s="112">
        <f>IF($C637="","",IF(AND($D637&lt;&gt;"",$E637&lt;&gt;"",$G637&gt;0,$H637&lt;&gt;"",$I637&lt;&gt;""),IF($C637&gt;TODAY(),"İLERİ TARİH","UYGUN"),"EKSİK"))</f>
        <v/>
      </c>
      <c r="N637" s="6" t="n"/>
      <c r="O637" s="6" t="n"/>
    </row>
    <row r="638">
      <c r="A638" s="6" t="n"/>
      <c r="B638" s="112">
        <f>IF($C638="","","GG"&amp;TEXT(ROW()-6,"00000"))</f>
        <v/>
      </c>
      <c r="C638" s="114" t="n"/>
      <c r="D638" s="107" t="n"/>
      <c r="E638" s="108" t="n"/>
      <c r="F638" s="108" t="n"/>
      <c r="G638" s="115" t="n"/>
      <c r="H638" s="107" t="n"/>
      <c r="I638" s="107" t="n"/>
      <c r="J638" s="108" t="n"/>
      <c r="K638" s="108" t="n"/>
      <c r="L638" s="119">
        <f>IF($C638="","",DATE(YEAR($C638),MONTH($C638),1))</f>
        <v/>
      </c>
      <c r="M638" s="112">
        <f>IF($C638="","",IF(AND($D638&lt;&gt;"",$E638&lt;&gt;"",$G638&gt;0,$H638&lt;&gt;"",$I638&lt;&gt;""),IF($C638&gt;TODAY(),"İLERİ TARİH","UYGUN"),"EKSİK"))</f>
        <v/>
      </c>
      <c r="N638" s="6" t="n"/>
      <c r="O638" s="6" t="n"/>
    </row>
    <row r="639">
      <c r="A639" s="6" t="n"/>
      <c r="B639" s="112">
        <f>IF($C639="","","GG"&amp;TEXT(ROW()-6,"00000"))</f>
        <v/>
      </c>
      <c r="C639" s="114" t="n"/>
      <c r="D639" s="107" t="n"/>
      <c r="E639" s="108" t="n"/>
      <c r="F639" s="108" t="n"/>
      <c r="G639" s="115" t="n"/>
      <c r="H639" s="107" t="n"/>
      <c r="I639" s="107" t="n"/>
      <c r="J639" s="108" t="n"/>
      <c r="K639" s="108" t="n"/>
      <c r="L639" s="119">
        <f>IF($C639="","",DATE(YEAR($C639),MONTH($C639),1))</f>
        <v/>
      </c>
      <c r="M639" s="112">
        <f>IF($C639="","",IF(AND($D639&lt;&gt;"",$E639&lt;&gt;"",$G639&gt;0,$H639&lt;&gt;"",$I639&lt;&gt;""),IF($C639&gt;TODAY(),"İLERİ TARİH","UYGUN"),"EKSİK"))</f>
        <v/>
      </c>
      <c r="N639" s="6" t="n"/>
      <c r="O639" s="6" t="n"/>
    </row>
    <row r="640">
      <c r="A640" s="6" t="n"/>
      <c r="B640" s="112">
        <f>IF($C640="","","GG"&amp;TEXT(ROW()-6,"00000"))</f>
        <v/>
      </c>
      <c r="C640" s="114" t="n"/>
      <c r="D640" s="107" t="n"/>
      <c r="E640" s="108" t="n"/>
      <c r="F640" s="108" t="n"/>
      <c r="G640" s="115" t="n"/>
      <c r="H640" s="107" t="n"/>
      <c r="I640" s="107" t="n"/>
      <c r="J640" s="108" t="n"/>
      <c r="K640" s="108" t="n"/>
      <c r="L640" s="119">
        <f>IF($C640="","",DATE(YEAR($C640),MONTH($C640),1))</f>
        <v/>
      </c>
      <c r="M640" s="112">
        <f>IF($C640="","",IF(AND($D640&lt;&gt;"",$E640&lt;&gt;"",$G640&gt;0,$H640&lt;&gt;"",$I640&lt;&gt;""),IF($C640&gt;TODAY(),"İLERİ TARİH","UYGUN"),"EKSİK"))</f>
        <v/>
      </c>
      <c r="N640" s="6" t="n"/>
      <c r="O640" s="6" t="n"/>
    </row>
    <row r="641">
      <c r="A641" s="6" t="n"/>
      <c r="B641" s="112">
        <f>IF($C641="","","GG"&amp;TEXT(ROW()-6,"00000"))</f>
        <v/>
      </c>
      <c r="C641" s="114" t="n"/>
      <c r="D641" s="107" t="n"/>
      <c r="E641" s="108" t="n"/>
      <c r="F641" s="108" t="n"/>
      <c r="G641" s="115" t="n"/>
      <c r="H641" s="107" t="n"/>
      <c r="I641" s="107" t="n"/>
      <c r="J641" s="108" t="n"/>
      <c r="K641" s="108" t="n"/>
      <c r="L641" s="119">
        <f>IF($C641="","",DATE(YEAR($C641),MONTH($C641),1))</f>
        <v/>
      </c>
      <c r="M641" s="112">
        <f>IF($C641="","",IF(AND($D641&lt;&gt;"",$E641&lt;&gt;"",$G641&gt;0,$H641&lt;&gt;"",$I641&lt;&gt;""),IF($C641&gt;TODAY(),"İLERİ TARİH","UYGUN"),"EKSİK"))</f>
        <v/>
      </c>
      <c r="N641" s="6" t="n"/>
      <c r="O641" s="6" t="n"/>
    </row>
    <row r="642">
      <c r="A642" s="6" t="n"/>
      <c r="B642" s="112">
        <f>IF($C642="","","GG"&amp;TEXT(ROW()-6,"00000"))</f>
        <v/>
      </c>
      <c r="C642" s="114" t="n"/>
      <c r="D642" s="107" t="n"/>
      <c r="E642" s="108" t="n"/>
      <c r="F642" s="108" t="n"/>
      <c r="G642" s="115" t="n"/>
      <c r="H642" s="107" t="n"/>
      <c r="I642" s="107" t="n"/>
      <c r="J642" s="108" t="n"/>
      <c r="K642" s="108" t="n"/>
      <c r="L642" s="119">
        <f>IF($C642="","",DATE(YEAR($C642),MONTH($C642),1))</f>
        <v/>
      </c>
      <c r="M642" s="112">
        <f>IF($C642="","",IF(AND($D642&lt;&gt;"",$E642&lt;&gt;"",$G642&gt;0,$H642&lt;&gt;"",$I642&lt;&gt;""),IF($C642&gt;TODAY(),"İLERİ TARİH","UYGUN"),"EKSİK"))</f>
        <v/>
      </c>
      <c r="N642" s="6" t="n"/>
      <c r="O642" s="6" t="n"/>
    </row>
    <row r="643">
      <c r="A643" s="6" t="n"/>
      <c r="B643" s="112">
        <f>IF($C643="","","GG"&amp;TEXT(ROW()-6,"00000"))</f>
        <v/>
      </c>
      <c r="C643" s="114" t="n"/>
      <c r="D643" s="107" t="n"/>
      <c r="E643" s="108" t="n"/>
      <c r="F643" s="108" t="n"/>
      <c r="G643" s="115" t="n"/>
      <c r="H643" s="107" t="n"/>
      <c r="I643" s="107" t="n"/>
      <c r="J643" s="108" t="n"/>
      <c r="K643" s="108" t="n"/>
      <c r="L643" s="119">
        <f>IF($C643="","",DATE(YEAR($C643),MONTH($C643),1))</f>
        <v/>
      </c>
      <c r="M643" s="112">
        <f>IF($C643="","",IF(AND($D643&lt;&gt;"",$E643&lt;&gt;"",$G643&gt;0,$H643&lt;&gt;"",$I643&lt;&gt;""),IF($C643&gt;TODAY(),"İLERİ TARİH","UYGUN"),"EKSİK"))</f>
        <v/>
      </c>
      <c r="N643" s="6" t="n"/>
      <c r="O643" s="6" t="n"/>
    </row>
    <row r="644">
      <c r="A644" s="6" t="n"/>
      <c r="B644" s="112">
        <f>IF($C644="","","GG"&amp;TEXT(ROW()-6,"00000"))</f>
        <v/>
      </c>
      <c r="C644" s="114" t="n"/>
      <c r="D644" s="107" t="n"/>
      <c r="E644" s="108" t="n"/>
      <c r="F644" s="108" t="n"/>
      <c r="G644" s="115" t="n"/>
      <c r="H644" s="107" t="n"/>
      <c r="I644" s="107" t="n"/>
      <c r="J644" s="108" t="n"/>
      <c r="K644" s="108" t="n"/>
      <c r="L644" s="119">
        <f>IF($C644="","",DATE(YEAR($C644),MONTH($C644),1))</f>
        <v/>
      </c>
      <c r="M644" s="112">
        <f>IF($C644="","",IF(AND($D644&lt;&gt;"",$E644&lt;&gt;"",$G644&gt;0,$H644&lt;&gt;"",$I644&lt;&gt;""),IF($C644&gt;TODAY(),"İLERİ TARİH","UYGUN"),"EKSİK"))</f>
        <v/>
      </c>
      <c r="N644" s="6" t="n"/>
      <c r="O644" s="6" t="n"/>
    </row>
    <row r="645">
      <c r="A645" s="6" t="n"/>
      <c r="B645" s="112">
        <f>IF($C645="","","GG"&amp;TEXT(ROW()-6,"00000"))</f>
        <v/>
      </c>
      <c r="C645" s="114" t="n"/>
      <c r="D645" s="107" t="n"/>
      <c r="E645" s="108" t="n"/>
      <c r="F645" s="108" t="n"/>
      <c r="G645" s="115" t="n"/>
      <c r="H645" s="107" t="n"/>
      <c r="I645" s="107" t="n"/>
      <c r="J645" s="108" t="n"/>
      <c r="K645" s="108" t="n"/>
      <c r="L645" s="119">
        <f>IF($C645="","",DATE(YEAR($C645),MONTH($C645),1))</f>
        <v/>
      </c>
      <c r="M645" s="112">
        <f>IF($C645="","",IF(AND($D645&lt;&gt;"",$E645&lt;&gt;"",$G645&gt;0,$H645&lt;&gt;"",$I645&lt;&gt;""),IF($C645&gt;TODAY(),"İLERİ TARİH","UYGUN"),"EKSİK"))</f>
        <v/>
      </c>
      <c r="N645" s="6" t="n"/>
      <c r="O645" s="6" t="n"/>
    </row>
    <row r="646">
      <c r="A646" s="6" t="n"/>
      <c r="B646" s="112">
        <f>IF($C646="","","GG"&amp;TEXT(ROW()-6,"00000"))</f>
        <v/>
      </c>
      <c r="C646" s="114" t="n"/>
      <c r="D646" s="107" t="n"/>
      <c r="E646" s="108" t="n"/>
      <c r="F646" s="108" t="n"/>
      <c r="G646" s="115" t="n"/>
      <c r="H646" s="107" t="n"/>
      <c r="I646" s="107" t="n"/>
      <c r="J646" s="108" t="n"/>
      <c r="K646" s="108" t="n"/>
      <c r="L646" s="119">
        <f>IF($C646="","",DATE(YEAR($C646),MONTH($C646),1))</f>
        <v/>
      </c>
      <c r="M646" s="112">
        <f>IF($C646="","",IF(AND($D646&lt;&gt;"",$E646&lt;&gt;"",$G646&gt;0,$H646&lt;&gt;"",$I646&lt;&gt;""),IF($C646&gt;TODAY(),"İLERİ TARİH","UYGUN"),"EKSİK"))</f>
        <v/>
      </c>
      <c r="N646" s="6" t="n"/>
      <c r="O646" s="6" t="n"/>
    </row>
    <row r="647">
      <c r="A647" s="6" t="n"/>
      <c r="B647" s="112">
        <f>IF($C647="","","GG"&amp;TEXT(ROW()-6,"00000"))</f>
        <v/>
      </c>
      <c r="C647" s="114" t="n"/>
      <c r="D647" s="107" t="n"/>
      <c r="E647" s="108" t="n"/>
      <c r="F647" s="108" t="n"/>
      <c r="G647" s="115" t="n"/>
      <c r="H647" s="107" t="n"/>
      <c r="I647" s="107" t="n"/>
      <c r="J647" s="108" t="n"/>
      <c r="K647" s="108" t="n"/>
      <c r="L647" s="119">
        <f>IF($C647="","",DATE(YEAR($C647),MONTH($C647),1))</f>
        <v/>
      </c>
      <c r="M647" s="112">
        <f>IF($C647="","",IF(AND($D647&lt;&gt;"",$E647&lt;&gt;"",$G647&gt;0,$H647&lt;&gt;"",$I647&lt;&gt;""),IF($C647&gt;TODAY(),"İLERİ TARİH","UYGUN"),"EKSİK"))</f>
        <v/>
      </c>
      <c r="N647" s="6" t="n"/>
      <c r="O647" s="6" t="n"/>
    </row>
    <row r="648">
      <c r="A648" s="6" t="n"/>
      <c r="B648" s="112">
        <f>IF($C648="","","GG"&amp;TEXT(ROW()-6,"00000"))</f>
        <v/>
      </c>
      <c r="C648" s="114" t="n"/>
      <c r="D648" s="107" t="n"/>
      <c r="E648" s="108" t="n"/>
      <c r="F648" s="108" t="n"/>
      <c r="G648" s="115" t="n"/>
      <c r="H648" s="107" t="n"/>
      <c r="I648" s="107" t="n"/>
      <c r="J648" s="108" t="n"/>
      <c r="K648" s="108" t="n"/>
      <c r="L648" s="119">
        <f>IF($C648="","",DATE(YEAR($C648),MONTH($C648),1))</f>
        <v/>
      </c>
      <c r="M648" s="112">
        <f>IF($C648="","",IF(AND($D648&lt;&gt;"",$E648&lt;&gt;"",$G648&gt;0,$H648&lt;&gt;"",$I648&lt;&gt;""),IF($C648&gt;TODAY(),"İLERİ TARİH","UYGUN"),"EKSİK"))</f>
        <v/>
      </c>
      <c r="N648" s="6" t="n"/>
      <c r="O648" s="6" t="n"/>
    </row>
    <row r="649">
      <c r="A649" s="6" t="n"/>
      <c r="B649" s="112">
        <f>IF($C649="","","GG"&amp;TEXT(ROW()-6,"00000"))</f>
        <v/>
      </c>
      <c r="C649" s="114" t="n"/>
      <c r="D649" s="107" t="n"/>
      <c r="E649" s="108" t="n"/>
      <c r="F649" s="108" t="n"/>
      <c r="G649" s="115" t="n"/>
      <c r="H649" s="107" t="n"/>
      <c r="I649" s="107" t="n"/>
      <c r="J649" s="108" t="n"/>
      <c r="K649" s="108" t="n"/>
      <c r="L649" s="119">
        <f>IF($C649="","",DATE(YEAR($C649),MONTH($C649),1))</f>
        <v/>
      </c>
      <c r="M649" s="112">
        <f>IF($C649="","",IF(AND($D649&lt;&gt;"",$E649&lt;&gt;"",$G649&gt;0,$H649&lt;&gt;"",$I649&lt;&gt;""),IF($C649&gt;TODAY(),"İLERİ TARİH","UYGUN"),"EKSİK"))</f>
        <v/>
      </c>
      <c r="N649" s="6" t="n"/>
      <c r="O649" s="6" t="n"/>
    </row>
    <row r="650">
      <c r="A650" s="6" t="n"/>
      <c r="B650" s="112">
        <f>IF($C650="","","GG"&amp;TEXT(ROW()-6,"00000"))</f>
        <v/>
      </c>
      <c r="C650" s="114" t="n"/>
      <c r="D650" s="107" t="n"/>
      <c r="E650" s="108" t="n"/>
      <c r="F650" s="108" t="n"/>
      <c r="G650" s="115" t="n"/>
      <c r="H650" s="107" t="n"/>
      <c r="I650" s="107" t="n"/>
      <c r="J650" s="108" t="n"/>
      <c r="K650" s="108" t="n"/>
      <c r="L650" s="119">
        <f>IF($C650="","",DATE(YEAR($C650),MONTH($C650),1))</f>
        <v/>
      </c>
      <c r="M650" s="112">
        <f>IF($C650="","",IF(AND($D650&lt;&gt;"",$E650&lt;&gt;"",$G650&gt;0,$H650&lt;&gt;"",$I650&lt;&gt;""),IF($C650&gt;TODAY(),"İLERİ TARİH","UYGUN"),"EKSİK"))</f>
        <v/>
      </c>
      <c r="N650" s="6" t="n"/>
      <c r="O650" s="6" t="n"/>
    </row>
    <row r="651">
      <c r="A651" s="6" t="n"/>
      <c r="B651" s="112">
        <f>IF($C651="","","GG"&amp;TEXT(ROW()-6,"00000"))</f>
        <v/>
      </c>
      <c r="C651" s="114" t="n"/>
      <c r="D651" s="107" t="n"/>
      <c r="E651" s="108" t="n"/>
      <c r="F651" s="108" t="n"/>
      <c r="G651" s="115" t="n"/>
      <c r="H651" s="107" t="n"/>
      <c r="I651" s="107" t="n"/>
      <c r="J651" s="108" t="n"/>
      <c r="K651" s="108" t="n"/>
      <c r="L651" s="119">
        <f>IF($C651="","",DATE(YEAR($C651),MONTH($C651),1))</f>
        <v/>
      </c>
      <c r="M651" s="112">
        <f>IF($C651="","",IF(AND($D651&lt;&gt;"",$E651&lt;&gt;"",$G651&gt;0,$H651&lt;&gt;"",$I651&lt;&gt;""),IF($C651&gt;TODAY(),"İLERİ TARİH","UYGUN"),"EKSİK"))</f>
        <v/>
      </c>
      <c r="N651" s="6" t="n"/>
      <c r="O651" s="6" t="n"/>
    </row>
    <row r="652">
      <c r="A652" s="6" t="n"/>
      <c r="B652" s="112">
        <f>IF($C652="","","GG"&amp;TEXT(ROW()-6,"00000"))</f>
        <v/>
      </c>
      <c r="C652" s="114" t="n"/>
      <c r="D652" s="107" t="n"/>
      <c r="E652" s="108" t="n"/>
      <c r="F652" s="108" t="n"/>
      <c r="G652" s="115" t="n"/>
      <c r="H652" s="107" t="n"/>
      <c r="I652" s="107" t="n"/>
      <c r="J652" s="108" t="n"/>
      <c r="K652" s="108" t="n"/>
      <c r="L652" s="119">
        <f>IF($C652="","",DATE(YEAR($C652),MONTH($C652),1))</f>
        <v/>
      </c>
      <c r="M652" s="112">
        <f>IF($C652="","",IF(AND($D652&lt;&gt;"",$E652&lt;&gt;"",$G652&gt;0,$H652&lt;&gt;"",$I652&lt;&gt;""),IF($C652&gt;TODAY(),"İLERİ TARİH","UYGUN"),"EKSİK"))</f>
        <v/>
      </c>
      <c r="N652" s="6" t="n"/>
      <c r="O652" s="6" t="n"/>
    </row>
    <row r="653">
      <c r="A653" s="6" t="n"/>
      <c r="B653" s="112">
        <f>IF($C653="","","GG"&amp;TEXT(ROW()-6,"00000"))</f>
        <v/>
      </c>
      <c r="C653" s="114" t="n"/>
      <c r="D653" s="107" t="n"/>
      <c r="E653" s="108" t="n"/>
      <c r="F653" s="108" t="n"/>
      <c r="G653" s="115" t="n"/>
      <c r="H653" s="107" t="n"/>
      <c r="I653" s="107" t="n"/>
      <c r="J653" s="108" t="n"/>
      <c r="K653" s="108" t="n"/>
      <c r="L653" s="119">
        <f>IF($C653="","",DATE(YEAR($C653),MONTH($C653),1))</f>
        <v/>
      </c>
      <c r="M653" s="112">
        <f>IF($C653="","",IF(AND($D653&lt;&gt;"",$E653&lt;&gt;"",$G653&gt;0,$H653&lt;&gt;"",$I653&lt;&gt;""),IF($C653&gt;TODAY(),"İLERİ TARİH","UYGUN"),"EKSİK"))</f>
        <v/>
      </c>
      <c r="N653" s="6" t="n"/>
      <c r="O653" s="6" t="n"/>
    </row>
    <row r="654">
      <c r="A654" s="6" t="n"/>
      <c r="B654" s="112">
        <f>IF($C654="","","GG"&amp;TEXT(ROW()-6,"00000"))</f>
        <v/>
      </c>
      <c r="C654" s="114" t="n"/>
      <c r="D654" s="107" t="n"/>
      <c r="E654" s="108" t="n"/>
      <c r="F654" s="108" t="n"/>
      <c r="G654" s="115" t="n"/>
      <c r="H654" s="107" t="n"/>
      <c r="I654" s="107" t="n"/>
      <c r="J654" s="108" t="n"/>
      <c r="K654" s="108" t="n"/>
      <c r="L654" s="119">
        <f>IF($C654="","",DATE(YEAR($C654),MONTH($C654),1))</f>
        <v/>
      </c>
      <c r="M654" s="112">
        <f>IF($C654="","",IF(AND($D654&lt;&gt;"",$E654&lt;&gt;"",$G654&gt;0,$H654&lt;&gt;"",$I654&lt;&gt;""),IF($C654&gt;TODAY(),"İLERİ TARİH","UYGUN"),"EKSİK"))</f>
        <v/>
      </c>
      <c r="N654" s="6" t="n"/>
      <c r="O654" s="6" t="n"/>
    </row>
    <row r="655">
      <c r="A655" s="6" t="n"/>
      <c r="B655" s="112">
        <f>IF($C655="","","GG"&amp;TEXT(ROW()-6,"00000"))</f>
        <v/>
      </c>
      <c r="C655" s="114" t="n"/>
      <c r="D655" s="107" t="n"/>
      <c r="E655" s="108" t="n"/>
      <c r="F655" s="108" t="n"/>
      <c r="G655" s="115" t="n"/>
      <c r="H655" s="107" t="n"/>
      <c r="I655" s="107" t="n"/>
      <c r="J655" s="108" t="n"/>
      <c r="K655" s="108" t="n"/>
      <c r="L655" s="119">
        <f>IF($C655="","",DATE(YEAR($C655),MONTH($C655),1))</f>
        <v/>
      </c>
      <c r="M655" s="112">
        <f>IF($C655="","",IF(AND($D655&lt;&gt;"",$E655&lt;&gt;"",$G655&gt;0,$H655&lt;&gt;"",$I655&lt;&gt;""),IF($C655&gt;TODAY(),"İLERİ TARİH","UYGUN"),"EKSİK"))</f>
        <v/>
      </c>
      <c r="N655" s="6" t="n"/>
      <c r="O655" s="6" t="n"/>
    </row>
    <row r="656">
      <c r="A656" s="6" t="n"/>
      <c r="B656" s="112">
        <f>IF($C656="","","GG"&amp;TEXT(ROW()-6,"00000"))</f>
        <v/>
      </c>
      <c r="C656" s="114" t="n"/>
      <c r="D656" s="107" t="n"/>
      <c r="E656" s="108" t="n"/>
      <c r="F656" s="108" t="n"/>
      <c r="G656" s="115" t="n"/>
      <c r="H656" s="107" t="n"/>
      <c r="I656" s="107" t="n"/>
      <c r="J656" s="108" t="n"/>
      <c r="K656" s="108" t="n"/>
      <c r="L656" s="119">
        <f>IF($C656="","",DATE(YEAR($C656),MONTH($C656),1))</f>
        <v/>
      </c>
      <c r="M656" s="112">
        <f>IF($C656="","",IF(AND($D656&lt;&gt;"",$E656&lt;&gt;"",$G656&gt;0,$H656&lt;&gt;"",$I656&lt;&gt;""),IF($C656&gt;TODAY(),"İLERİ TARİH","UYGUN"),"EKSİK"))</f>
        <v/>
      </c>
      <c r="N656" s="6" t="n"/>
      <c r="O656" s="6" t="n"/>
    </row>
    <row r="657">
      <c r="A657" s="6" t="n"/>
      <c r="B657" s="112">
        <f>IF($C657="","","GG"&amp;TEXT(ROW()-6,"00000"))</f>
        <v/>
      </c>
      <c r="C657" s="114" t="n"/>
      <c r="D657" s="107" t="n"/>
      <c r="E657" s="108" t="n"/>
      <c r="F657" s="108" t="n"/>
      <c r="G657" s="115" t="n"/>
      <c r="H657" s="107" t="n"/>
      <c r="I657" s="107" t="n"/>
      <c r="J657" s="108" t="n"/>
      <c r="K657" s="108" t="n"/>
      <c r="L657" s="119">
        <f>IF($C657="","",DATE(YEAR($C657),MONTH($C657),1))</f>
        <v/>
      </c>
      <c r="M657" s="112">
        <f>IF($C657="","",IF(AND($D657&lt;&gt;"",$E657&lt;&gt;"",$G657&gt;0,$H657&lt;&gt;"",$I657&lt;&gt;""),IF($C657&gt;TODAY(),"İLERİ TARİH","UYGUN"),"EKSİK"))</f>
        <v/>
      </c>
      <c r="N657" s="6" t="n"/>
      <c r="O657" s="6" t="n"/>
    </row>
    <row r="658">
      <c r="A658" s="6" t="n"/>
      <c r="B658" s="112">
        <f>IF($C658="","","GG"&amp;TEXT(ROW()-6,"00000"))</f>
        <v/>
      </c>
      <c r="C658" s="114" t="n"/>
      <c r="D658" s="107" t="n"/>
      <c r="E658" s="108" t="n"/>
      <c r="F658" s="108" t="n"/>
      <c r="G658" s="115" t="n"/>
      <c r="H658" s="107" t="n"/>
      <c r="I658" s="107" t="n"/>
      <c r="J658" s="108" t="n"/>
      <c r="K658" s="108" t="n"/>
      <c r="L658" s="119">
        <f>IF($C658="","",DATE(YEAR($C658),MONTH($C658),1))</f>
        <v/>
      </c>
      <c r="M658" s="112">
        <f>IF($C658="","",IF(AND($D658&lt;&gt;"",$E658&lt;&gt;"",$G658&gt;0,$H658&lt;&gt;"",$I658&lt;&gt;""),IF($C658&gt;TODAY(),"İLERİ TARİH","UYGUN"),"EKSİK"))</f>
        <v/>
      </c>
      <c r="N658" s="6" t="n"/>
      <c r="O658" s="6" t="n"/>
    </row>
    <row r="659">
      <c r="A659" s="6" t="n"/>
      <c r="B659" s="112">
        <f>IF($C659="","","GG"&amp;TEXT(ROW()-6,"00000"))</f>
        <v/>
      </c>
      <c r="C659" s="114" t="n"/>
      <c r="D659" s="107" t="n"/>
      <c r="E659" s="108" t="n"/>
      <c r="F659" s="108" t="n"/>
      <c r="G659" s="115" t="n"/>
      <c r="H659" s="107" t="n"/>
      <c r="I659" s="107" t="n"/>
      <c r="J659" s="108" t="n"/>
      <c r="K659" s="108" t="n"/>
      <c r="L659" s="119">
        <f>IF($C659="","",DATE(YEAR($C659),MONTH($C659),1))</f>
        <v/>
      </c>
      <c r="M659" s="112">
        <f>IF($C659="","",IF(AND($D659&lt;&gt;"",$E659&lt;&gt;"",$G659&gt;0,$H659&lt;&gt;"",$I659&lt;&gt;""),IF($C659&gt;TODAY(),"İLERİ TARİH","UYGUN"),"EKSİK"))</f>
        <v/>
      </c>
      <c r="N659" s="6" t="n"/>
      <c r="O659" s="6" t="n"/>
    </row>
    <row r="660">
      <c r="A660" s="6" t="n"/>
      <c r="B660" s="112">
        <f>IF($C660="","","GG"&amp;TEXT(ROW()-6,"00000"))</f>
        <v/>
      </c>
      <c r="C660" s="114" t="n"/>
      <c r="D660" s="107" t="n"/>
      <c r="E660" s="108" t="n"/>
      <c r="F660" s="108" t="n"/>
      <c r="G660" s="115" t="n"/>
      <c r="H660" s="107" t="n"/>
      <c r="I660" s="107" t="n"/>
      <c r="J660" s="108" t="n"/>
      <c r="K660" s="108" t="n"/>
      <c r="L660" s="119">
        <f>IF($C660="","",DATE(YEAR($C660),MONTH($C660),1))</f>
        <v/>
      </c>
      <c r="M660" s="112">
        <f>IF($C660="","",IF(AND($D660&lt;&gt;"",$E660&lt;&gt;"",$G660&gt;0,$H660&lt;&gt;"",$I660&lt;&gt;""),IF($C660&gt;TODAY(),"İLERİ TARİH","UYGUN"),"EKSİK"))</f>
        <v/>
      </c>
      <c r="N660" s="6" t="n"/>
      <c r="O660" s="6" t="n"/>
    </row>
    <row r="661">
      <c r="A661" s="6" t="n"/>
      <c r="B661" s="112">
        <f>IF($C661="","","GG"&amp;TEXT(ROW()-6,"00000"))</f>
        <v/>
      </c>
      <c r="C661" s="114" t="n"/>
      <c r="D661" s="107" t="n"/>
      <c r="E661" s="108" t="n"/>
      <c r="F661" s="108" t="n"/>
      <c r="G661" s="115" t="n"/>
      <c r="H661" s="107" t="n"/>
      <c r="I661" s="107" t="n"/>
      <c r="J661" s="108" t="n"/>
      <c r="K661" s="108" t="n"/>
      <c r="L661" s="119">
        <f>IF($C661="","",DATE(YEAR($C661),MONTH($C661),1))</f>
        <v/>
      </c>
      <c r="M661" s="112">
        <f>IF($C661="","",IF(AND($D661&lt;&gt;"",$E661&lt;&gt;"",$G661&gt;0,$H661&lt;&gt;"",$I661&lt;&gt;""),IF($C661&gt;TODAY(),"İLERİ TARİH","UYGUN"),"EKSİK"))</f>
        <v/>
      </c>
      <c r="N661" s="6" t="n"/>
      <c r="O661" s="6" t="n"/>
    </row>
    <row r="662">
      <c r="A662" s="6" t="n"/>
      <c r="B662" s="112">
        <f>IF($C662="","","GG"&amp;TEXT(ROW()-6,"00000"))</f>
        <v/>
      </c>
      <c r="C662" s="114" t="n"/>
      <c r="D662" s="107" t="n"/>
      <c r="E662" s="108" t="n"/>
      <c r="F662" s="108" t="n"/>
      <c r="G662" s="115" t="n"/>
      <c r="H662" s="107" t="n"/>
      <c r="I662" s="107" t="n"/>
      <c r="J662" s="108" t="n"/>
      <c r="K662" s="108" t="n"/>
      <c r="L662" s="119">
        <f>IF($C662="","",DATE(YEAR($C662),MONTH($C662),1))</f>
        <v/>
      </c>
      <c r="M662" s="112">
        <f>IF($C662="","",IF(AND($D662&lt;&gt;"",$E662&lt;&gt;"",$G662&gt;0,$H662&lt;&gt;"",$I662&lt;&gt;""),IF($C662&gt;TODAY(),"İLERİ TARİH","UYGUN"),"EKSİK"))</f>
        <v/>
      </c>
      <c r="N662" s="6" t="n"/>
      <c r="O662" s="6" t="n"/>
    </row>
    <row r="663">
      <c r="A663" s="6" t="n"/>
      <c r="B663" s="112">
        <f>IF($C663="","","GG"&amp;TEXT(ROW()-6,"00000"))</f>
        <v/>
      </c>
      <c r="C663" s="114" t="n"/>
      <c r="D663" s="107" t="n"/>
      <c r="E663" s="108" t="n"/>
      <c r="F663" s="108" t="n"/>
      <c r="G663" s="115" t="n"/>
      <c r="H663" s="107" t="n"/>
      <c r="I663" s="107" t="n"/>
      <c r="J663" s="108" t="n"/>
      <c r="K663" s="108" t="n"/>
      <c r="L663" s="119">
        <f>IF($C663="","",DATE(YEAR($C663),MONTH($C663),1))</f>
        <v/>
      </c>
      <c r="M663" s="112">
        <f>IF($C663="","",IF(AND($D663&lt;&gt;"",$E663&lt;&gt;"",$G663&gt;0,$H663&lt;&gt;"",$I663&lt;&gt;""),IF($C663&gt;TODAY(),"İLERİ TARİH","UYGUN"),"EKSİK"))</f>
        <v/>
      </c>
      <c r="N663" s="6" t="n"/>
      <c r="O663" s="6" t="n"/>
    </row>
    <row r="664">
      <c r="A664" s="6" t="n"/>
      <c r="B664" s="112">
        <f>IF($C664="","","GG"&amp;TEXT(ROW()-6,"00000"))</f>
        <v/>
      </c>
      <c r="C664" s="114" t="n"/>
      <c r="D664" s="107" t="n"/>
      <c r="E664" s="108" t="n"/>
      <c r="F664" s="108" t="n"/>
      <c r="G664" s="115" t="n"/>
      <c r="H664" s="107" t="n"/>
      <c r="I664" s="107" t="n"/>
      <c r="J664" s="108" t="n"/>
      <c r="K664" s="108" t="n"/>
      <c r="L664" s="119">
        <f>IF($C664="","",DATE(YEAR($C664),MONTH($C664),1))</f>
        <v/>
      </c>
      <c r="M664" s="112">
        <f>IF($C664="","",IF(AND($D664&lt;&gt;"",$E664&lt;&gt;"",$G664&gt;0,$H664&lt;&gt;"",$I664&lt;&gt;""),IF($C664&gt;TODAY(),"İLERİ TARİH","UYGUN"),"EKSİK"))</f>
        <v/>
      </c>
      <c r="N664" s="6" t="n"/>
      <c r="O664" s="6" t="n"/>
    </row>
    <row r="665">
      <c r="A665" s="6" t="n"/>
      <c r="B665" s="112">
        <f>IF($C665="","","GG"&amp;TEXT(ROW()-6,"00000"))</f>
        <v/>
      </c>
      <c r="C665" s="114" t="n"/>
      <c r="D665" s="107" t="n"/>
      <c r="E665" s="108" t="n"/>
      <c r="F665" s="108" t="n"/>
      <c r="G665" s="115" t="n"/>
      <c r="H665" s="107" t="n"/>
      <c r="I665" s="107" t="n"/>
      <c r="J665" s="108" t="n"/>
      <c r="K665" s="108" t="n"/>
      <c r="L665" s="119">
        <f>IF($C665="","",DATE(YEAR($C665),MONTH($C665),1))</f>
        <v/>
      </c>
      <c r="M665" s="112">
        <f>IF($C665="","",IF(AND($D665&lt;&gt;"",$E665&lt;&gt;"",$G665&gt;0,$H665&lt;&gt;"",$I665&lt;&gt;""),IF($C665&gt;TODAY(),"İLERİ TARİH","UYGUN"),"EKSİK"))</f>
        <v/>
      </c>
      <c r="N665" s="6" t="n"/>
      <c r="O665" s="6" t="n"/>
    </row>
    <row r="666">
      <c r="A666" s="6" t="n"/>
      <c r="B666" s="112">
        <f>IF($C666="","","GG"&amp;TEXT(ROW()-6,"00000"))</f>
        <v/>
      </c>
      <c r="C666" s="114" t="n"/>
      <c r="D666" s="107" t="n"/>
      <c r="E666" s="108" t="n"/>
      <c r="F666" s="108" t="n"/>
      <c r="G666" s="115" t="n"/>
      <c r="H666" s="107" t="n"/>
      <c r="I666" s="107" t="n"/>
      <c r="J666" s="108" t="n"/>
      <c r="K666" s="108" t="n"/>
      <c r="L666" s="119">
        <f>IF($C666="","",DATE(YEAR($C666),MONTH($C666),1))</f>
        <v/>
      </c>
      <c r="M666" s="112">
        <f>IF($C666="","",IF(AND($D666&lt;&gt;"",$E666&lt;&gt;"",$G666&gt;0,$H666&lt;&gt;"",$I666&lt;&gt;""),IF($C666&gt;TODAY(),"İLERİ TARİH","UYGUN"),"EKSİK"))</f>
        <v/>
      </c>
      <c r="N666" s="6" t="n"/>
      <c r="O666" s="6" t="n"/>
    </row>
    <row r="667">
      <c r="A667" s="6" t="n"/>
      <c r="B667" s="112">
        <f>IF($C667="","","GG"&amp;TEXT(ROW()-6,"00000"))</f>
        <v/>
      </c>
      <c r="C667" s="114" t="n"/>
      <c r="D667" s="107" t="n"/>
      <c r="E667" s="108" t="n"/>
      <c r="F667" s="108" t="n"/>
      <c r="G667" s="115" t="n"/>
      <c r="H667" s="107" t="n"/>
      <c r="I667" s="107" t="n"/>
      <c r="J667" s="108" t="n"/>
      <c r="K667" s="108" t="n"/>
      <c r="L667" s="119">
        <f>IF($C667="","",DATE(YEAR($C667),MONTH($C667),1))</f>
        <v/>
      </c>
      <c r="M667" s="112">
        <f>IF($C667="","",IF(AND($D667&lt;&gt;"",$E667&lt;&gt;"",$G667&gt;0,$H667&lt;&gt;"",$I667&lt;&gt;""),IF($C667&gt;TODAY(),"İLERİ TARİH","UYGUN"),"EKSİK"))</f>
        <v/>
      </c>
      <c r="N667" s="6" t="n"/>
      <c r="O667" s="6" t="n"/>
    </row>
    <row r="668">
      <c r="A668" s="6" t="n"/>
      <c r="B668" s="112">
        <f>IF($C668="","","GG"&amp;TEXT(ROW()-6,"00000"))</f>
        <v/>
      </c>
      <c r="C668" s="114" t="n"/>
      <c r="D668" s="107" t="n"/>
      <c r="E668" s="108" t="n"/>
      <c r="F668" s="108" t="n"/>
      <c r="G668" s="115" t="n"/>
      <c r="H668" s="107" t="n"/>
      <c r="I668" s="107" t="n"/>
      <c r="J668" s="108" t="n"/>
      <c r="K668" s="108" t="n"/>
      <c r="L668" s="119">
        <f>IF($C668="","",DATE(YEAR($C668),MONTH($C668),1))</f>
        <v/>
      </c>
      <c r="M668" s="112">
        <f>IF($C668="","",IF(AND($D668&lt;&gt;"",$E668&lt;&gt;"",$G668&gt;0,$H668&lt;&gt;"",$I668&lt;&gt;""),IF($C668&gt;TODAY(),"İLERİ TARİH","UYGUN"),"EKSİK"))</f>
        <v/>
      </c>
      <c r="N668" s="6" t="n"/>
      <c r="O668" s="6" t="n"/>
    </row>
    <row r="669">
      <c r="A669" s="6" t="n"/>
      <c r="B669" s="112">
        <f>IF($C669="","","GG"&amp;TEXT(ROW()-6,"00000"))</f>
        <v/>
      </c>
      <c r="C669" s="114" t="n"/>
      <c r="D669" s="107" t="n"/>
      <c r="E669" s="108" t="n"/>
      <c r="F669" s="108" t="n"/>
      <c r="G669" s="115" t="n"/>
      <c r="H669" s="107" t="n"/>
      <c r="I669" s="107" t="n"/>
      <c r="J669" s="108" t="n"/>
      <c r="K669" s="108" t="n"/>
      <c r="L669" s="119">
        <f>IF($C669="","",DATE(YEAR($C669),MONTH($C669),1))</f>
        <v/>
      </c>
      <c r="M669" s="112">
        <f>IF($C669="","",IF(AND($D669&lt;&gt;"",$E669&lt;&gt;"",$G669&gt;0,$H669&lt;&gt;"",$I669&lt;&gt;""),IF($C669&gt;TODAY(),"İLERİ TARİH","UYGUN"),"EKSİK"))</f>
        <v/>
      </c>
      <c r="N669" s="6" t="n"/>
      <c r="O669" s="6" t="n"/>
    </row>
    <row r="670">
      <c r="A670" s="6" t="n"/>
      <c r="B670" s="112">
        <f>IF($C670="","","GG"&amp;TEXT(ROW()-6,"00000"))</f>
        <v/>
      </c>
      <c r="C670" s="114" t="n"/>
      <c r="D670" s="107" t="n"/>
      <c r="E670" s="108" t="n"/>
      <c r="F670" s="108" t="n"/>
      <c r="G670" s="115" t="n"/>
      <c r="H670" s="107" t="n"/>
      <c r="I670" s="107" t="n"/>
      <c r="J670" s="108" t="n"/>
      <c r="K670" s="108" t="n"/>
      <c r="L670" s="119">
        <f>IF($C670="","",DATE(YEAR($C670),MONTH($C670),1))</f>
        <v/>
      </c>
      <c r="M670" s="112">
        <f>IF($C670="","",IF(AND($D670&lt;&gt;"",$E670&lt;&gt;"",$G670&gt;0,$H670&lt;&gt;"",$I670&lt;&gt;""),IF($C670&gt;TODAY(),"İLERİ TARİH","UYGUN"),"EKSİK"))</f>
        <v/>
      </c>
      <c r="N670" s="6" t="n"/>
      <c r="O670" s="6" t="n"/>
    </row>
    <row r="671">
      <c r="A671" s="6" t="n"/>
      <c r="B671" s="112">
        <f>IF($C671="","","GG"&amp;TEXT(ROW()-6,"00000"))</f>
        <v/>
      </c>
      <c r="C671" s="114" t="n"/>
      <c r="D671" s="107" t="n"/>
      <c r="E671" s="108" t="n"/>
      <c r="F671" s="108" t="n"/>
      <c r="G671" s="115" t="n"/>
      <c r="H671" s="107" t="n"/>
      <c r="I671" s="107" t="n"/>
      <c r="J671" s="108" t="n"/>
      <c r="K671" s="108" t="n"/>
      <c r="L671" s="119">
        <f>IF($C671="","",DATE(YEAR($C671),MONTH($C671),1))</f>
        <v/>
      </c>
      <c r="M671" s="112">
        <f>IF($C671="","",IF(AND($D671&lt;&gt;"",$E671&lt;&gt;"",$G671&gt;0,$H671&lt;&gt;"",$I671&lt;&gt;""),IF($C671&gt;TODAY(),"İLERİ TARİH","UYGUN"),"EKSİK"))</f>
        <v/>
      </c>
      <c r="N671" s="6" t="n"/>
      <c r="O671" s="6" t="n"/>
    </row>
    <row r="672">
      <c r="A672" s="6" t="n"/>
      <c r="B672" s="112">
        <f>IF($C672="","","GG"&amp;TEXT(ROW()-6,"00000"))</f>
        <v/>
      </c>
      <c r="C672" s="114" t="n"/>
      <c r="D672" s="107" t="n"/>
      <c r="E672" s="108" t="n"/>
      <c r="F672" s="108" t="n"/>
      <c r="G672" s="115" t="n"/>
      <c r="H672" s="107" t="n"/>
      <c r="I672" s="107" t="n"/>
      <c r="J672" s="108" t="n"/>
      <c r="K672" s="108" t="n"/>
      <c r="L672" s="119">
        <f>IF($C672="","",DATE(YEAR($C672),MONTH($C672),1))</f>
        <v/>
      </c>
      <c r="M672" s="112">
        <f>IF($C672="","",IF(AND($D672&lt;&gt;"",$E672&lt;&gt;"",$G672&gt;0,$H672&lt;&gt;"",$I672&lt;&gt;""),IF($C672&gt;TODAY(),"İLERİ TARİH","UYGUN"),"EKSİK"))</f>
        <v/>
      </c>
      <c r="N672" s="6" t="n"/>
      <c r="O672" s="6" t="n"/>
    </row>
    <row r="673">
      <c r="A673" s="6" t="n"/>
      <c r="B673" s="112">
        <f>IF($C673="","","GG"&amp;TEXT(ROW()-6,"00000"))</f>
        <v/>
      </c>
      <c r="C673" s="114" t="n"/>
      <c r="D673" s="107" t="n"/>
      <c r="E673" s="108" t="n"/>
      <c r="F673" s="108" t="n"/>
      <c r="G673" s="115" t="n"/>
      <c r="H673" s="107" t="n"/>
      <c r="I673" s="107" t="n"/>
      <c r="J673" s="108" t="n"/>
      <c r="K673" s="108" t="n"/>
      <c r="L673" s="119">
        <f>IF($C673="","",DATE(YEAR($C673),MONTH($C673),1))</f>
        <v/>
      </c>
      <c r="M673" s="112">
        <f>IF($C673="","",IF(AND($D673&lt;&gt;"",$E673&lt;&gt;"",$G673&gt;0,$H673&lt;&gt;"",$I673&lt;&gt;""),IF($C673&gt;TODAY(),"İLERİ TARİH","UYGUN"),"EKSİK"))</f>
        <v/>
      </c>
      <c r="N673" s="6" t="n"/>
      <c r="O673" s="6" t="n"/>
    </row>
    <row r="674">
      <c r="A674" s="6" t="n"/>
      <c r="B674" s="112">
        <f>IF($C674="","","GG"&amp;TEXT(ROW()-6,"00000"))</f>
        <v/>
      </c>
      <c r="C674" s="114" t="n"/>
      <c r="D674" s="107" t="n"/>
      <c r="E674" s="108" t="n"/>
      <c r="F674" s="108" t="n"/>
      <c r="G674" s="115" t="n"/>
      <c r="H674" s="107" t="n"/>
      <c r="I674" s="107" t="n"/>
      <c r="J674" s="108" t="n"/>
      <c r="K674" s="108" t="n"/>
      <c r="L674" s="119">
        <f>IF($C674="","",DATE(YEAR($C674),MONTH($C674),1))</f>
        <v/>
      </c>
      <c r="M674" s="112">
        <f>IF($C674="","",IF(AND($D674&lt;&gt;"",$E674&lt;&gt;"",$G674&gt;0,$H674&lt;&gt;"",$I674&lt;&gt;""),IF($C674&gt;TODAY(),"İLERİ TARİH","UYGUN"),"EKSİK"))</f>
        <v/>
      </c>
      <c r="N674" s="6" t="n"/>
      <c r="O674" s="6" t="n"/>
    </row>
    <row r="675">
      <c r="A675" s="6" t="n"/>
      <c r="B675" s="112">
        <f>IF($C675="","","GG"&amp;TEXT(ROW()-6,"00000"))</f>
        <v/>
      </c>
      <c r="C675" s="114" t="n"/>
      <c r="D675" s="107" t="n"/>
      <c r="E675" s="108" t="n"/>
      <c r="F675" s="108" t="n"/>
      <c r="G675" s="115" t="n"/>
      <c r="H675" s="107" t="n"/>
      <c r="I675" s="107" t="n"/>
      <c r="J675" s="108" t="n"/>
      <c r="K675" s="108" t="n"/>
      <c r="L675" s="119">
        <f>IF($C675="","",DATE(YEAR($C675),MONTH($C675),1))</f>
        <v/>
      </c>
      <c r="M675" s="112">
        <f>IF($C675="","",IF(AND($D675&lt;&gt;"",$E675&lt;&gt;"",$G675&gt;0,$H675&lt;&gt;"",$I675&lt;&gt;""),IF($C675&gt;TODAY(),"İLERİ TARİH","UYGUN"),"EKSİK"))</f>
        <v/>
      </c>
      <c r="N675" s="6" t="n"/>
      <c r="O675" s="6" t="n"/>
    </row>
    <row r="676">
      <c r="A676" s="6" t="n"/>
      <c r="B676" s="112">
        <f>IF($C676="","","GG"&amp;TEXT(ROW()-6,"00000"))</f>
        <v/>
      </c>
      <c r="C676" s="114" t="n"/>
      <c r="D676" s="107" t="n"/>
      <c r="E676" s="108" t="n"/>
      <c r="F676" s="108" t="n"/>
      <c r="G676" s="115" t="n"/>
      <c r="H676" s="107" t="n"/>
      <c r="I676" s="107" t="n"/>
      <c r="J676" s="108" t="n"/>
      <c r="K676" s="108" t="n"/>
      <c r="L676" s="119">
        <f>IF($C676="","",DATE(YEAR($C676),MONTH($C676),1))</f>
        <v/>
      </c>
      <c r="M676" s="112">
        <f>IF($C676="","",IF(AND($D676&lt;&gt;"",$E676&lt;&gt;"",$G676&gt;0,$H676&lt;&gt;"",$I676&lt;&gt;""),IF($C676&gt;TODAY(),"İLERİ TARİH","UYGUN"),"EKSİK"))</f>
        <v/>
      </c>
      <c r="N676" s="6" t="n"/>
      <c r="O676" s="6" t="n"/>
    </row>
    <row r="677">
      <c r="A677" s="6" t="n"/>
      <c r="B677" s="112">
        <f>IF($C677="","","GG"&amp;TEXT(ROW()-6,"00000"))</f>
        <v/>
      </c>
      <c r="C677" s="114" t="n"/>
      <c r="D677" s="107" t="n"/>
      <c r="E677" s="108" t="n"/>
      <c r="F677" s="108" t="n"/>
      <c r="G677" s="115" t="n"/>
      <c r="H677" s="107" t="n"/>
      <c r="I677" s="107" t="n"/>
      <c r="J677" s="108" t="n"/>
      <c r="K677" s="108" t="n"/>
      <c r="L677" s="119">
        <f>IF($C677="","",DATE(YEAR($C677),MONTH($C677),1))</f>
        <v/>
      </c>
      <c r="M677" s="112">
        <f>IF($C677="","",IF(AND($D677&lt;&gt;"",$E677&lt;&gt;"",$G677&gt;0,$H677&lt;&gt;"",$I677&lt;&gt;""),IF($C677&gt;TODAY(),"İLERİ TARİH","UYGUN"),"EKSİK"))</f>
        <v/>
      </c>
      <c r="N677" s="6" t="n"/>
      <c r="O677" s="6" t="n"/>
    </row>
    <row r="678">
      <c r="A678" s="6" t="n"/>
      <c r="B678" s="112">
        <f>IF($C678="","","GG"&amp;TEXT(ROW()-6,"00000"))</f>
        <v/>
      </c>
      <c r="C678" s="114" t="n"/>
      <c r="D678" s="107" t="n"/>
      <c r="E678" s="108" t="n"/>
      <c r="F678" s="108" t="n"/>
      <c r="G678" s="115" t="n"/>
      <c r="H678" s="107" t="n"/>
      <c r="I678" s="107" t="n"/>
      <c r="J678" s="108" t="n"/>
      <c r="K678" s="108" t="n"/>
      <c r="L678" s="119">
        <f>IF($C678="","",DATE(YEAR($C678),MONTH($C678),1))</f>
        <v/>
      </c>
      <c r="M678" s="112">
        <f>IF($C678="","",IF(AND($D678&lt;&gt;"",$E678&lt;&gt;"",$G678&gt;0,$H678&lt;&gt;"",$I678&lt;&gt;""),IF($C678&gt;TODAY(),"İLERİ TARİH","UYGUN"),"EKSİK"))</f>
        <v/>
      </c>
      <c r="N678" s="6" t="n"/>
      <c r="O678" s="6" t="n"/>
    </row>
    <row r="679">
      <c r="A679" s="6" t="n"/>
      <c r="B679" s="112">
        <f>IF($C679="","","GG"&amp;TEXT(ROW()-6,"00000"))</f>
        <v/>
      </c>
      <c r="C679" s="114" t="n"/>
      <c r="D679" s="107" t="n"/>
      <c r="E679" s="108" t="n"/>
      <c r="F679" s="108" t="n"/>
      <c r="G679" s="115" t="n"/>
      <c r="H679" s="107" t="n"/>
      <c r="I679" s="107" t="n"/>
      <c r="J679" s="108" t="n"/>
      <c r="K679" s="108" t="n"/>
      <c r="L679" s="119">
        <f>IF($C679="","",DATE(YEAR($C679),MONTH($C679),1))</f>
        <v/>
      </c>
      <c r="M679" s="112">
        <f>IF($C679="","",IF(AND($D679&lt;&gt;"",$E679&lt;&gt;"",$G679&gt;0,$H679&lt;&gt;"",$I679&lt;&gt;""),IF($C679&gt;TODAY(),"İLERİ TARİH","UYGUN"),"EKSİK"))</f>
        <v/>
      </c>
      <c r="N679" s="6" t="n"/>
      <c r="O679" s="6" t="n"/>
    </row>
    <row r="680">
      <c r="A680" s="6" t="n"/>
      <c r="B680" s="112">
        <f>IF($C680="","","GG"&amp;TEXT(ROW()-6,"00000"))</f>
        <v/>
      </c>
      <c r="C680" s="114" t="n"/>
      <c r="D680" s="107" t="n"/>
      <c r="E680" s="108" t="n"/>
      <c r="F680" s="108" t="n"/>
      <c r="G680" s="115" t="n"/>
      <c r="H680" s="107" t="n"/>
      <c r="I680" s="107" t="n"/>
      <c r="J680" s="108" t="n"/>
      <c r="K680" s="108" t="n"/>
      <c r="L680" s="119">
        <f>IF($C680="","",DATE(YEAR($C680),MONTH($C680),1))</f>
        <v/>
      </c>
      <c r="M680" s="112">
        <f>IF($C680="","",IF(AND($D680&lt;&gt;"",$E680&lt;&gt;"",$G680&gt;0,$H680&lt;&gt;"",$I680&lt;&gt;""),IF($C680&gt;TODAY(),"İLERİ TARİH","UYGUN"),"EKSİK"))</f>
        <v/>
      </c>
      <c r="N680" s="6" t="n"/>
      <c r="O680" s="6" t="n"/>
    </row>
    <row r="681">
      <c r="A681" s="6" t="n"/>
      <c r="B681" s="112">
        <f>IF($C681="","","GG"&amp;TEXT(ROW()-6,"00000"))</f>
        <v/>
      </c>
      <c r="C681" s="114" t="n"/>
      <c r="D681" s="107" t="n"/>
      <c r="E681" s="108" t="n"/>
      <c r="F681" s="108" t="n"/>
      <c r="G681" s="115" t="n"/>
      <c r="H681" s="107" t="n"/>
      <c r="I681" s="107" t="n"/>
      <c r="J681" s="108" t="n"/>
      <c r="K681" s="108" t="n"/>
      <c r="L681" s="119">
        <f>IF($C681="","",DATE(YEAR($C681),MONTH($C681),1))</f>
        <v/>
      </c>
      <c r="M681" s="112">
        <f>IF($C681="","",IF(AND($D681&lt;&gt;"",$E681&lt;&gt;"",$G681&gt;0,$H681&lt;&gt;"",$I681&lt;&gt;""),IF($C681&gt;TODAY(),"İLERİ TARİH","UYGUN"),"EKSİK"))</f>
        <v/>
      </c>
      <c r="N681" s="6" t="n"/>
      <c r="O681" s="6" t="n"/>
    </row>
    <row r="682">
      <c r="A682" s="6" t="n"/>
      <c r="B682" s="112">
        <f>IF($C682="","","GG"&amp;TEXT(ROW()-6,"00000"))</f>
        <v/>
      </c>
      <c r="C682" s="114" t="n"/>
      <c r="D682" s="107" t="n"/>
      <c r="E682" s="108" t="n"/>
      <c r="F682" s="108" t="n"/>
      <c r="G682" s="115" t="n"/>
      <c r="H682" s="107" t="n"/>
      <c r="I682" s="107" t="n"/>
      <c r="J682" s="108" t="n"/>
      <c r="K682" s="108" t="n"/>
      <c r="L682" s="119">
        <f>IF($C682="","",DATE(YEAR($C682),MONTH($C682),1))</f>
        <v/>
      </c>
      <c r="M682" s="112">
        <f>IF($C682="","",IF(AND($D682&lt;&gt;"",$E682&lt;&gt;"",$G682&gt;0,$H682&lt;&gt;"",$I682&lt;&gt;""),IF($C682&gt;TODAY(),"İLERİ TARİH","UYGUN"),"EKSİK"))</f>
        <v/>
      </c>
      <c r="N682" s="6" t="n"/>
      <c r="O682" s="6" t="n"/>
    </row>
    <row r="683">
      <c r="A683" s="6" t="n"/>
      <c r="B683" s="112">
        <f>IF($C683="","","GG"&amp;TEXT(ROW()-6,"00000"))</f>
        <v/>
      </c>
      <c r="C683" s="114" t="n"/>
      <c r="D683" s="107" t="n"/>
      <c r="E683" s="108" t="n"/>
      <c r="F683" s="108" t="n"/>
      <c r="G683" s="115" t="n"/>
      <c r="H683" s="107" t="n"/>
      <c r="I683" s="107" t="n"/>
      <c r="J683" s="108" t="n"/>
      <c r="K683" s="108" t="n"/>
      <c r="L683" s="119">
        <f>IF($C683="","",DATE(YEAR($C683),MONTH($C683),1))</f>
        <v/>
      </c>
      <c r="M683" s="112">
        <f>IF($C683="","",IF(AND($D683&lt;&gt;"",$E683&lt;&gt;"",$G683&gt;0,$H683&lt;&gt;"",$I683&lt;&gt;""),IF($C683&gt;TODAY(),"İLERİ TARİH","UYGUN"),"EKSİK"))</f>
        <v/>
      </c>
      <c r="N683" s="6" t="n"/>
      <c r="O683" s="6" t="n"/>
    </row>
    <row r="684">
      <c r="A684" s="6" t="n"/>
      <c r="B684" s="112">
        <f>IF($C684="","","GG"&amp;TEXT(ROW()-6,"00000"))</f>
        <v/>
      </c>
      <c r="C684" s="114" t="n"/>
      <c r="D684" s="107" t="n"/>
      <c r="E684" s="108" t="n"/>
      <c r="F684" s="108" t="n"/>
      <c r="G684" s="115" t="n"/>
      <c r="H684" s="107" t="n"/>
      <c r="I684" s="107" t="n"/>
      <c r="J684" s="108" t="n"/>
      <c r="K684" s="108" t="n"/>
      <c r="L684" s="119">
        <f>IF($C684="","",DATE(YEAR($C684),MONTH($C684),1))</f>
        <v/>
      </c>
      <c r="M684" s="112">
        <f>IF($C684="","",IF(AND($D684&lt;&gt;"",$E684&lt;&gt;"",$G684&gt;0,$H684&lt;&gt;"",$I684&lt;&gt;""),IF($C684&gt;TODAY(),"İLERİ TARİH","UYGUN"),"EKSİK"))</f>
        <v/>
      </c>
      <c r="N684" s="6" t="n"/>
      <c r="O684" s="6" t="n"/>
    </row>
    <row r="685">
      <c r="A685" s="6" t="n"/>
      <c r="B685" s="112">
        <f>IF($C685="","","GG"&amp;TEXT(ROW()-6,"00000"))</f>
        <v/>
      </c>
      <c r="C685" s="114" t="n"/>
      <c r="D685" s="107" t="n"/>
      <c r="E685" s="108" t="n"/>
      <c r="F685" s="108" t="n"/>
      <c r="G685" s="115" t="n"/>
      <c r="H685" s="107" t="n"/>
      <c r="I685" s="107" t="n"/>
      <c r="J685" s="108" t="n"/>
      <c r="K685" s="108" t="n"/>
      <c r="L685" s="119">
        <f>IF($C685="","",DATE(YEAR($C685),MONTH($C685),1))</f>
        <v/>
      </c>
      <c r="M685" s="112">
        <f>IF($C685="","",IF(AND($D685&lt;&gt;"",$E685&lt;&gt;"",$G685&gt;0,$H685&lt;&gt;"",$I685&lt;&gt;""),IF($C685&gt;TODAY(),"İLERİ TARİH","UYGUN"),"EKSİK"))</f>
        <v/>
      </c>
      <c r="N685" s="6" t="n"/>
      <c r="O685" s="6" t="n"/>
    </row>
    <row r="686">
      <c r="A686" s="6" t="n"/>
      <c r="B686" s="112">
        <f>IF($C686="","","GG"&amp;TEXT(ROW()-6,"00000"))</f>
        <v/>
      </c>
      <c r="C686" s="114" t="n"/>
      <c r="D686" s="107" t="n"/>
      <c r="E686" s="108" t="n"/>
      <c r="F686" s="108" t="n"/>
      <c r="G686" s="115" t="n"/>
      <c r="H686" s="107" t="n"/>
      <c r="I686" s="107" t="n"/>
      <c r="J686" s="108" t="n"/>
      <c r="K686" s="108" t="n"/>
      <c r="L686" s="119">
        <f>IF($C686="","",DATE(YEAR($C686),MONTH($C686),1))</f>
        <v/>
      </c>
      <c r="M686" s="112">
        <f>IF($C686="","",IF(AND($D686&lt;&gt;"",$E686&lt;&gt;"",$G686&gt;0,$H686&lt;&gt;"",$I686&lt;&gt;""),IF($C686&gt;TODAY(),"İLERİ TARİH","UYGUN"),"EKSİK"))</f>
        <v/>
      </c>
      <c r="N686" s="6" t="n"/>
      <c r="O686" s="6" t="n"/>
    </row>
    <row r="687">
      <c r="A687" s="6" t="n"/>
      <c r="B687" s="112">
        <f>IF($C687="","","GG"&amp;TEXT(ROW()-6,"00000"))</f>
        <v/>
      </c>
      <c r="C687" s="114" t="n"/>
      <c r="D687" s="107" t="n"/>
      <c r="E687" s="108" t="n"/>
      <c r="F687" s="108" t="n"/>
      <c r="G687" s="115" t="n"/>
      <c r="H687" s="107" t="n"/>
      <c r="I687" s="107" t="n"/>
      <c r="J687" s="108" t="n"/>
      <c r="K687" s="108" t="n"/>
      <c r="L687" s="119">
        <f>IF($C687="","",DATE(YEAR($C687),MONTH($C687),1))</f>
        <v/>
      </c>
      <c r="M687" s="112">
        <f>IF($C687="","",IF(AND($D687&lt;&gt;"",$E687&lt;&gt;"",$G687&gt;0,$H687&lt;&gt;"",$I687&lt;&gt;""),IF($C687&gt;TODAY(),"İLERİ TARİH","UYGUN"),"EKSİK"))</f>
        <v/>
      </c>
      <c r="N687" s="6" t="n"/>
      <c r="O687" s="6" t="n"/>
    </row>
    <row r="688">
      <c r="A688" s="6" t="n"/>
      <c r="B688" s="112">
        <f>IF($C688="","","GG"&amp;TEXT(ROW()-6,"00000"))</f>
        <v/>
      </c>
      <c r="C688" s="114" t="n"/>
      <c r="D688" s="107" t="n"/>
      <c r="E688" s="108" t="n"/>
      <c r="F688" s="108" t="n"/>
      <c r="G688" s="115" t="n"/>
      <c r="H688" s="107" t="n"/>
      <c r="I688" s="107" t="n"/>
      <c r="J688" s="108" t="n"/>
      <c r="K688" s="108" t="n"/>
      <c r="L688" s="119">
        <f>IF($C688="","",DATE(YEAR($C688),MONTH($C688),1))</f>
        <v/>
      </c>
      <c r="M688" s="112">
        <f>IF($C688="","",IF(AND($D688&lt;&gt;"",$E688&lt;&gt;"",$G688&gt;0,$H688&lt;&gt;"",$I688&lt;&gt;""),IF($C688&gt;TODAY(),"İLERİ TARİH","UYGUN"),"EKSİK"))</f>
        <v/>
      </c>
      <c r="N688" s="6" t="n"/>
      <c r="O688" s="6" t="n"/>
    </row>
    <row r="689">
      <c r="A689" s="6" t="n"/>
      <c r="B689" s="112">
        <f>IF($C689="","","GG"&amp;TEXT(ROW()-6,"00000"))</f>
        <v/>
      </c>
      <c r="C689" s="114" t="n"/>
      <c r="D689" s="107" t="n"/>
      <c r="E689" s="108" t="n"/>
      <c r="F689" s="108" t="n"/>
      <c r="G689" s="115" t="n"/>
      <c r="H689" s="107" t="n"/>
      <c r="I689" s="107" t="n"/>
      <c r="J689" s="108" t="n"/>
      <c r="K689" s="108" t="n"/>
      <c r="L689" s="119">
        <f>IF($C689="","",DATE(YEAR($C689),MONTH($C689),1))</f>
        <v/>
      </c>
      <c r="M689" s="112">
        <f>IF($C689="","",IF(AND($D689&lt;&gt;"",$E689&lt;&gt;"",$G689&gt;0,$H689&lt;&gt;"",$I689&lt;&gt;""),IF($C689&gt;TODAY(),"İLERİ TARİH","UYGUN"),"EKSİK"))</f>
        <v/>
      </c>
      <c r="N689" s="6" t="n"/>
      <c r="O689" s="6" t="n"/>
    </row>
    <row r="690">
      <c r="A690" s="6" t="n"/>
      <c r="B690" s="112">
        <f>IF($C690="","","GG"&amp;TEXT(ROW()-6,"00000"))</f>
        <v/>
      </c>
      <c r="C690" s="114" t="n"/>
      <c r="D690" s="107" t="n"/>
      <c r="E690" s="108" t="n"/>
      <c r="F690" s="108" t="n"/>
      <c r="G690" s="115" t="n"/>
      <c r="H690" s="107" t="n"/>
      <c r="I690" s="107" t="n"/>
      <c r="J690" s="108" t="n"/>
      <c r="K690" s="108" t="n"/>
      <c r="L690" s="119">
        <f>IF($C690="","",DATE(YEAR($C690),MONTH($C690),1))</f>
        <v/>
      </c>
      <c r="M690" s="112">
        <f>IF($C690="","",IF(AND($D690&lt;&gt;"",$E690&lt;&gt;"",$G690&gt;0,$H690&lt;&gt;"",$I690&lt;&gt;""),IF($C690&gt;TODAY(),"İLERİ TARİH","UYGUN"),"EKSİK"))</f>
        <v/>
      </c>
      <c r="N690" s="6" t="n"/>
      <c r="O690" s="6" t="n"/>
    </row>
    <row r="691">
      <c r="A691" s="6" t="n"/>
      <c r="B691" s="112">
        <f>IF($C691="","","GG"&amp;TEXT(ROW()-6,"00000"))</f>
        <v/>
      </c>
      <c r="C691" s="114" t="n"/>
      <c r="D691" s="107" t="n"/>
      <c r="E691" s="108" t="n"/>
      <c r="F691" s="108" t="n"/>
      <c r="G691" s="115" t="n"/>
      <c r="H691" s="107" t="n"/>
      <c r="I691" s="107" t="n"/>
      <c r="J691" s="108" t="n"/>
      <c r="K691" s="108" t="n"/>
      <c r="L691" s="119">
        <f>IF($C691="","",DATE(YEAR($C691),MONTH($C691),1))</f>
        <v/>
      </c>
      <c r="M691" s="112">
        <f>IF($C691="","",IF(AND($D691&lt;&gt;"",$E691&lt;&gt;"",$G691&gt;0,$H691&lt;&gt;"",$I691&lt;&gt;""),IF($C691&gt;TODAY(),"İLERİ TARİH","UYGUN"),"EKSİK"))</f>
        <v/>
      </c>
      <c r="N691" s="6" t="n"/>
      <c r="O691" s="6" t="n"/>
    </row>
    <row r="692">
      <c r="A692" s="6" t="n"/>
      <c r="B692" s="112">
        <f>IF($C692="","","GG"&amp;TEXT(ROW()-6,"00000"))</f>
        <v/>
      </c>
      <c r="C692" s="114" t="n"/>
      <c r="D692" s="107" t="n"/>
      <c r="E692" s="108" t="n"/>
      <c r="F692" s="108" t="n"/>
      <c r="G692" s="115" t="n"/>
      <c r="H692" s="107" t="n"/>
      <c r="I692" s="107" t="n"/>
      <c r="J692" s="108" t="n"/>
      <c r="K692" s="108" t="n"/>
      <c r="L692" s="119">
        <f>IF($C692="","",DATE(YEAR($C692),MONTH($C692),1))</f>
        <v/>
      </c>
      <c r="M692" s="112">
        <f>IF($C692="","",IF(AND($D692&lt;&gt;"",$E692&lt;&gt;"",$G692&gt;0,$H692&lt;&gt;"",$I692&lt;&gt;""),IF($C692&gt;TODAY(),"İLERİ TARİH","UYGUN"),"EKSİK"))</f>
        <v/>
      </c>
      <c r="N692" s="6" t="n"/>
      <c r="O692" s="6" t="n"/>
    </row>
    <row r="693">
      <c r="A693" s="6" t="n"/>
      <c r="B693" s="112">
        <f>IF($C693="","","GG"&amp;TEXT(ROW()-6,"00000"))</f>
        <v/>
      </c>
      <c r="C693" s="114" t="n"/>
      <c r="D693" s="107" t="n"/>
      <c r="E693" s="108" t="n"/>
      <c r="F693" s="108" t="n"/>
      <c r="G693" s="115" t="n"/>
      <c r="H693" s="107" t="n"/>
      <c r="I693" s="107" t="n"/>
      <c r="J693" s="108" t="n"/>
      <c r="K693" s="108" t="n"/>
      <c r="L693" s="119">
        <f>IF($C693="","",DATE(YEAR($C693),MONTH($C693),1))</f>
        <v/>
      </c>
      <c r="M693" s="112">
        <f>IF($C693="","",IF(AND($D693&lt;&gt;"",$E693&lt;&gt;"",$G693&gt;0,$H693&lt;&gt;"",$I693&lt;&gt;""),IF($C693&gt;TODAY(),"İLERİ TARİH","UYGUN"),"EKSİK"))</f>
        <v/>
      </c>
      <c r="N693" s="6" t="n"/>
      <c r="O693" s="6" t="n"/>
    </row>
    <row r="694">
      <c r="A694" s="6" t="n"/>
      <c r="B694" s="112">
        <f>IF($C694="","","GG"&amp;TEXT(ROW()-6,"00000"))</f>
        <v/>
      </c>
      <c r="C694" s="114" t="n"/>
      <c r="D694" s="107" t="n"/>
      <c r="E694" s="108" t="n"/>
      <c r="F694" s="108" t="n"/>
      <c r="G694" s="115" t="n"/>
      <c r="H694" s="107" t="n"/>
      <c r="I694" s="107" t="n"/>
      <c r="J694" s="108" t="n"/>
      <c r="K694" s="108" t="n"/>
      <c r="L694" s="119">
        <f>IF($C694="","",DATE(YEAR($C694),MONTH($C694),1))</f>
        <v/>
      </c>
      <c r="M694" s="112">
        <f>IF($C694="","",IF(AND($D694&lt;&gt;"",$E694&lt;&gt;"",$G694&gt;0,$H694&lt;&gt;"",$I694&lt;&gt;""),IF($C694&gt;TODAY(),"İLERİ TARİH","UYGUN"),"EKSİK"))</f>
        <v/>
      </c>
      <c r="N694" s="6" t="n"/>
      <c r="O694" s="6" t="n"/>
    </row>
    <row r="695">
      <c r="A695" s="6" t="n"/>
      <c r="B695" s="112">
        <f>IF($C695="","","GG"&amp;TEXT(ROW()-6,"00000"))</f>
        <v/>
      </c>
      <c r="C695" s="114" t="n"/>
      <c r="D695" s="107" t="n"/>
      <c r="E695" s="108" t="n"/>
      <c r="F695" s="108" t="n"/>
      <c r="G695" s="115" t="n"/>
      <c r="H695" s="107" t="n"/>
      <c r="I695" s="107" t="n"/>
      <c r="J695" s="108" t="n"/>
      <c r="K695" s="108" t="n"/>
      <c r="L695" s="119">
        <f>IF($C695="","",DATE(YEAR($C695),MONTH($C695),1))</f>
        <v/>
      </c>
      <c r="M695" s="112">
        <f>IF($C695="","",IF(AND($D695&lt;&gt;"",$E695&lt;&gt;"",$G695&gt;0,$H695&lt;&gt;"",$I695&lt;&gt;""),IF($C695&gt;TODAY(),"İLERİ TARİH","UYGUN"),"EKSİK"))</f>
        <v/>
      </c>
      <c r="N695" s="6" t="n"/>
      <c r="O695" s="6" t="n"/>
    </row>
    <row r="696">
      <c r="A696" s="6" t="n"/>
      <c r="B696" s="112">
        <f>IF($C696="","","GG"&amp;TEXT(ROW()-6,"00000"))</f>
        <v/>
      </c>
      <c r="C696" s="114" t="n"/>
      <c r="D696" s="107" t="n"/>
      <c r="E696" s="108" t="n"/>
      <c r="F696" s="108" t="n"/>
      <c r="G696" s="115" t="n"/>
      <c r="H696" s="107" t="n"/>
      <c r="I696" s="107" t="n"/>
      <c r="J696" s="108" t="n"/>
      <c r="K696" s="108" t="n"/>
      <c r="L696" s="119">
        <f>IF($C696="","",DATE(YEAR($C696),MONTH($C696),1))</f>
        <v/>
      </c>
      <c r="M696" s="112">
        <f>IF($C696="","",IF(AND($D696&lt;&gt;"",$E696&lt;&gt;"",$G696&gt;0,$H696&lt;&gt;"",$I696&lt;&gt;""),IF($C696&gt;TODAY(),"İLERİ TARİH","UYGUN"),"EKSİK"))</f>
        <v/>
      </c>
      <c r="N696" s="6" t="n"/>
      <c r="O696" s="6" t="n"/>
    </row>
    <row r="697">
      <c r="A697" s="6" t="n"/>
      <c r="B697" s="112">
        <f>IF($C697="","","GG"&amp;TEXT(ROW()-6,"00000"))</f>
        <v/>
      </c>
      <c r="C697" s="114" t="n"/>
      <c r="D697" s="107" t="n"/>
      <c r="E697" s="108" t="n"/>
      <c r="F697" s="108" t="n"/>
      <c r="G697" s="115" t="n"/>
      <c r="H697" s="107" t="n"/>
      <c r="I697" s="107" t="n"/>
      <c r="J697" s="108" t="n"/>
      <c r="K697" s="108" t="n"/>
      <c r="L697" s="119">
        <f>IF($C697="","",DATE(YEAR($C697),MONTH($C697),1))</f>
        <v/>
      </c>
      <c r="M697" s="112">
        <f>IF($C697="","",IF(AND($D697&lt;&gt;"",$E697&lt;&gt;"",$G697&gt;0,$H697&lt;&gt;"",$I697&lt;&gt;""),IF($C697&gt;TODAY(),"İLERİ TARİH","UYGUN"),"EKSİK"))</f>
        <v/>
      </c>
      <c r="N697" s="6" t="n"/>
      <c r="O697" s="6" t="n"/>
    </row>
    <row r="698">
      <c r="A698" s="6" t="n"/>
      <c r="B698" s="112">
        <f>IF($C698="","","GG"&amp;TEXT(ROW()-6,"00000"))</f>
        <v/>
      </c>
      <c r="C698" s="114" t="n"/>
      <c r="D698" s="107" t="n"/>
      <c r="E698" s="108" t="n"/>
      <c r="F698" s="108" t="n"/>
      <c r="G698" s="115" t="n"/>
      <c r="H698" s="107" t="n"/>
      <c r="I698" s="107" t="n"/>
      <c r="J698" s="108" t="n"/>
      <c r="K698" s="108" t="n"/>
      <c r="L698" s="119">
        <f>IF($C698="","",DATE(YEAR($C698),MONTH($C698),1))</f>
        <v/>
      </c>
      <c r="M698" s="112">
        <f>IF($C698="","",IF(AND($D698&lt;&gt;"",$E698&lt;&gt;"",$G698&gt;0,$H698&lt;&gt;"",$I698&lt;&gt;""),IF($C698&gt;TODAY(),"İLERİ TARİH","UYGUN"),"EKSİK"))</f>
        <v/>
      </c>
      <c r="N698" s="6" t="n"/>
      <c r="O698" s="6" t="n"/>
    </row>
    <row r="699">
      <c r="A699" s="6" t="n"/>
      <c r="B699" s="112">
        <f>IF($C699="","","GG"&amp;TEXT(ROW()-6,"00000"))</f>
        <v/>
      </c>
      <c r="C699" s="114" t="n"/>
      <c r="D699" s="107" t="n"/>
      <c r="E699" s="108" t="n"/>
      <c r="F699" s="108" t="n"/>
      <c r="G699" s="115" t="n"/>
      <c r="H699" s="107" t="n"/>
      <c r="I699" s="107" t="n"/>
      <c r="J699" s="108" t="n"/>
      <c r="K699" s="108" t="n"/>
      <c r="L699" s="119">
        <f>IF($C699="","",DATE(YEAR($C699),MONTH($C699),1))</f>
        <v/>
      </c>
      <c r="M699" s="112">
        <f>IF($C699="","",IF(AND($D699&lt;&gt;"",$E699&lt;&gt;"",$G699&gt;0,$H699&lt;&gt;"",$I699&lt;&gt;""),IF($C699&gt;TODAY(),"İLERİ TARİH","UYGUN"),"EKSİK"))</f>
        <v/>
      </c>
      <c r="N699" s="6" t="n"/>
      <c r="O699" s="6" t="n"/>
    </row>
    <row r="700">
      <c r="A700" s="6" t="n"/>
      <c r="B700" s="112">
        <f>IF($C700="","","GG"&amp;TEXT(ROW()-6,"00000"))</f>
        <v/>
      </c>
      <c r="C700" s="114" t="n"/>
      <c r="D700" s="107" t="n"/>
      <c r="E700" s="108" t="n"/>
      <c r="F700" s="108" t="n"/>
      <c r="G700" s="115" t="n"/>
      <c r="H700" s="107" t="n"/>
      <c r="I700" s="107" t="n"/>
      <c r="J700" s="108" t="n"/>
      <c r="K700" s="108" t="n"/>
      <c r="L700" s="119">
        <f>IF($C700="","",DATE(YEAR($C700),MONTH($C700),1))</f>
        <v/>
      </c>
      <c r="M700" s="112">
        <f>IF($C700="","",IF(AND($D700&lt;&gt;"",$E700&lt;&gt;"",$G700&gt;0,$H700&lt;&gt;"",$I700&lt;&gt;""),IF($C700&gt;TODAY(),"İLERİ TARİH","UYGUN"),"EKSİK"))</f>
        <v/>
      </c>
      <c r="N700" s="6" t="n"/>
      <c r="O700" s="6" t="n"/>
    </row>
    <row r="701">
      <c r="A701" s="6" t="n"/>
      <c r="B701" s="112">
        <f>IF($C701="","","GG"&amp;TEXT(ROW()-6,"00000"))</f>
        <v/>
      </c>
      <c r="C701" s="114" t="n"/>
      <c r="D701" s="107" t="n"/>
      <c r="E701" s="108" t="n"/>
      <c r="F701" s="108" t="n"/>
      <c r="G701" s="115" t="n"/>
      <c r="H701" s="107" t="n"/>
      <c r="I701" s="107" t="n"/>
      <c r="J701" s="108" t="n"/>
      <c r="K701" s="108" t="n"/>
      <c r="L701" s="119">
        <f>IF($C701="","",DATE(YEAR($C701),MONTH($C701),1))</f>
        <v/>
      </c>
      <c r="M701" s="112">
        <f>IF($C701="","",IF(AND($D701&lt;&gt;"",$E701&lt;&gt;"",$G701&gt;0,$H701&lt;&gt;"",$I701&lt;&gt;""),IF($C701&gt;TODAY(),"İLERİ TARİH","UYGUN"),"EKSİK"))</f>
        <v/>
      </c>
      <c r="N701" s="6" t="n"/>
      <c r="O701" s="6" t="n"/>
    </row>
    <row r="702">
      <c r="A702" s="6" t="n"/>
      <c r="B702" s="112">
        <f>IF($C702="","","GG"&amp;TEXT(ROW()-6,"00000"))</f>
        <v/>
      </c>
      <c r="C702" s="114" t="n"/>
      <c r="D702" s="107" t="n"/>
      <c r="E702" s="108" t="n"/>
      <c r="F702" s="108" t="n"/>
      <c r="G702" s="115" t="n"/>
      <c r="H702" s="107" t="n"/>
      <c r="I702" s="107" t="n"/>
      <c r="J702" s="108" t="n"/>
      <c r="K702" s="108" t="n"/>
      <c r="L702" s="119">
        <f>IF($C702="","",DATE(YEAR($C702),MONTH($C702),1))</f>
        <v/>
      </c>
      <c r="M702" s="112">
        <f>IF($C702="","",IF(AND($D702&lt;&gt;"",$E702&lt;&gt;"",$G702&gt;0,$H702&lt;&gt;"",$I702&lt;&gt;""),IF($C702&gt;TODAY(),"İLERİ TARİH","UYGUN"),"EKSİK"))</f>
        <v/>
      </c>
      <c r="N702" s="6" t="n"/>
      <c r="O702" s="6" t="n"/>
    </row>
    <row r="703">
      <c r="A703" s="6" t="n"/>
      <c r="B703" s="112">
        <f>IF($C703="","","GG"&amp;TEXT(ROW()-6,"00000"))</f>
        <v/>
      </c>
      <c r="C703" s="114" t="n"/>
      <c r="D703" s="107" t="n"/>
      <c r="E703" s="108" t="n"/>
      <c r="F703" s="108" t="n"/>
      <c r="G703" s="115" t="n"/>
      <c r="H703" s="107" t="n"/>
      <c r="I703" s="107" t="n"/>
      <c r="J703" s="108" t="n"/>
      <c r="K703" s="108" t="n"/>
      <c r="L703" s="119">
        <f>IF($C703="","",DATE(YEAR($C703),MONTH($C703),1))</f>
        <v/>
      </c>
      <c r="M703" s="112">
        <f>IF($C703="","",IF(AND($D703&lt;&gt;"",$E703&lt;&gt;"",$G703&gt;0,$H703&lt;&gt;"",$I703&lt;&gt;""),IF($C703&gt;TODAY(),"İLERİ TARİH","UYGUN"),"EKSİK"))</f>
        <v/>
      </c>
      <c r="N703" s="6" t="n"/>
      <c r="O703" s="6" t="n"/>
    </row>
    <row r="704">
      <c r="A704" s="6" t="n"/>
      <c r="B704" s="112">
        <f>IF($C704="","","GG"&amp;TEXT(ROW()-6,"00000"))</f>
        <v/>
      </c>
      <c r="C704" s="114" t="n"/>
      <c r="D704" s="107" t="n"/>
      <c r="E704" s="108" t="n"/>
      <c r="F704" s="108" t="n"/>
      <c r="G704" s="115" t="n"/>
      <c r="H704" s="107" t="n"/>
      <c r="I704" s="107" t="n"/>
      <c r="J704" s="108" t="n"/>
      <c r="K704" s="108" t="n"/>
      <c r="L704" s="119">
        <f>IF($C704="","",DATE(YEAR($C704),MONTH($C704),1))</f>
        <v/>
      </c>
      <c r="M704" s="112">
        <f>IF($C704="","",IF(AND($D704&lt;&gt;"",$E704&lt;&gt;"",$G704&gt;0,$H704&lt;&gt;"",$I704&lt;&gt;""),IF($C704&gt;TODAY(),"İLERİ TARİH","UYGUN"),"EKSİK"))</f>
        <v/>
      </c>
      <c r="N704" s="6" t="n"/>
      <c r="O704" s="6" t="n"/>
    </row>
    <row r="705">
      <c r="A705" s="6" t="n"/>
      <c r="B705" s="112">
        <f>IF($C705="","","GG"&amp;TEXT(ROW()-6,"00000"))</f>
        <v/>
      </c>
      <c r="C705" s="114" t="n"/>
      <c r="D705" s="107" t="n"/>
      <c r="E705" s="108" t="n"/>
      <c r="F705" s="108" t="n"/>
      <c r="G705" s="115" t="n"/>
      <c r="H705" s="107" t="n"/>
      <c r="I705" s="107" t="n"/>
      <c r="J705" s="108" t="n"/>
      <c r="K705" s="108" t="n"/>
      <c r="L705" s="119">
        <f>IF($C705="","",DATE(YEAR($C705),MONTH($C705),1))</f>
        <v/>
      </c>
      <c r="M705" s="112">
        <f>IF($C705="","",IF(AND($D705&lt;&gt;"",$E705&lt;&gt;"",$G705&gt;0,$H705&lt;&gt;"",$I705&lt;&gt;""),IF($C705&gt;TODAY(),"İLERİ TARİH","UYGUN"),"EKSİK"))</f>
        <v/>
      </c>
      <c r="N705" s="6" t="n"/>
      <c r="O705" s="6" t="n"/>
    </row>
    <row r="706">
      <c r="A706" s="6" t="n"/>
      <c r="B706" s="112">
        <f>IF($C706="","","GG"&amp;TEXT(ROW()-6,"00000"))</f>
        <v/>
      </c>
      <c r="C706" s="114" t="n"/>
      <c r="D706" s="107" t="n"/>
      <c r="E706" s="108" t="n"/>
      <c r="F706" s="108" t="n"/>
      <c r="G706" s="115" t="n"/>
      <c r="H706" s="107" t="n"/>
      <c r="I706" s="107" t="n"/>
      <c r="J706" s="108" t="n"/>
      <c r="K706" s="108" t="n"/>
      <c r="L706" s="119">
        <f>IF($C706="","",DATE(YEAR($C706),MONTH($C706),1))</f>
        <v/>
      </c>
      <c r="M706" s="112">
        <f>IF($C706="","",IF(AND($D706&lt;&gt;"",$E706&lt;&gt;"",$G706&gt;0,$H706&lt;&gt;"",$I706&lt;&gt;""),IF($C706&gt;TODAY(),"İLERİ TARİH","UYGUN"),"EKSİK"))</f>
        <v/>
      </c>
      <c r="N706" s="6" t="n"/>
      <c r="O706" s="6" t="n"/>
    </row>
    <row r="707">
      <c r="A707" s="6" t="n"/>
      <c r="B707" s="112">
        <f>IF($C707="","","GG"&amp;TEXT(ROW()-6,"00000"))</f>
        <v/>
      </c>
      <c r="C707" s="114" t="n"/>
      <c r="D707" s="107" t="n"/>
      <c r="E707" s="108" t="n"/>
      <c r="F707" s="108" t="n"/>
      <c r="G707" s="115" t="n"/>
      <c r="H707" s="107" t="n"/>
      <c r="I707" s="107" t="n"/>
      <c r="J707" s="108" t="n"/>
      <c r="K707" s="108" t="n"/>
      <c r="L707" s="119">
        <f>IF($C707="","",DATE(YEAR($C707),MONTH($C707),1))</f>
        <v/>
      </c>
      <c r="M707" s="112">
        <f>IF($C707="","",IF(AND($D707&lt;&gt;"",$E707&lt;&gt;"",$G707&gt;0,$H707&lt;&gt;"",$I707&lt;&gt;""),IF($C707&gt;TODAY(),"İLERİ TARİH","UYGUN"),"EKSİK"))</f>
        <v/>
      </c>
      <c r="N707" s="6" t="n"/>
      <c r="O707" s="6" t="n"/>
    </row>
    <row r="708">
      <c r="A708" s="6" t="n"/>
      <c r="B708" s="112">
        <f>IF($C708="","","GG"&amp;TEXT(ROW()-6,"00000"))</f>
        <v/>
      </c>
      <c r="C708" s="114" t="n"/>
      <c r="D708" s="107" t="n"/>
      <c r="E708" s="108" t="n"/>
      <c r="F708" s="108" t="n"/>
      <c r="G708" s="115" t="n"/>
      <c r="H708" s="107" t="n"/>
      <c r="I708" s="107" t="n"/>
      <c r="J708" s="108" t="n"/>
      <c r="K708" s="108" t="n"/>
      <c r="L708" s="119">
        <f>IF($C708="","",DATE(YEAR($C708),MONTH($C708),1))</f>
        <v/>
      </c>
      <c r="M708" s="112">
        <f>IF($C708="","",IF(AND($D708&lt;&gt;"",$E708&lt;&gt;"",$G708&gt;0,$H708&lt;&gt;"",$I708&lt;&gt;""),IF($C708&gt;TODAY(),"İLERİ TARİH","UYGUN"),"EKSİK"))</f>
        <v/>
      </c>
      <c r="N708" s="6" t="n"/>
      <c r="O708" s="6" t="n"/>
    </row>
    <row r="709">
      <c r="A709" s="6" t="n"/>
      <c r="B709" s="112">
        <f>IF($C709="","","GG"&amp;TEXT(ROW()-6,"00000"))</f>
        <v/>
      </c>
      <c r="C709" s="114" t="n"/>
      <c r="D709" s="107" t="n"/>
      <c r="E709" s="108" t="n"/>
      <c r="F709" s="108" t="n"/>
      <c r="G709" s="115" t="n"/>
      <c r="H709" s="107" t="n"/>
      <c r="I709" s="107" t="n"/>
      <c r="J709" s="108" t="n"/>
      <c r="K709" s="108" t="n"/>
      <c r="L709" s="119">
        <f>IF($C709="","",DATE(YEAR($C709),MONTH($C709),1))</f>
        <v/>
      </c>
      <c r="M709" s="112">
        <f>IF($C709="","",IF(AND($D709&lt;&gt;"",$E709&lt;&gt;"",$G709&gt;0,$H709&lt;&gt;"",$I709&lt;&gt;""),IF($C709&gt;TODAY(),"İLERİ TARİH","UYGUN"),"EKSİK"))</f>
        <v/>
      </c>
      <c r="N709" s="6" t="n"/>
      <c r="O709" s="6" t="n"/>
    </row>
    <row r="710">
      <c r="A710" s="6" t="n"/>
      <c r="B710" s="112">
        <f>IF($C710="","","GG"&amp;TEXT(ROW()-6,"00000"))</f>
        <v/>
      </c>
      <c r="C710" s="114" t="n"/>
      <c r="D710" s="107" t="n"/>
      <c r="E710" s="108" t="n"/>
      <c r="F710" s="108" t="n"/>
      <c r="G710" s="115" t="n"/>
      <c r="H710" s="107" t="n"/>
      <c r="I710" s="107" t="n"/>
      <c r="J710" s="108" t="n"/>
      <c r="K710" s="108" t="n"/>
      <c r="L710" s="119">
        <f>IF($C710="","",DATE(YEAR($C710),MONTH($C710),1))</f>
        <v/>
      </c>
      <c r="M710" s="112">
        <f>IF($C710="","",IF(AND($D710&lt;&gt;"",$E710&lt;&gt;"",$G710&gt;0,$H710&lt;&gt;"",$I710&lt;&gt;""),IF($C710&gt;TODAY(),"İLERİ TARİH","UYGUN"),"EKSİK"))</f>
        <v/>
      </c>
      <c r="N710" s="6" t="n"/>
      <c r="O710" s="6" t="n"/>
    </row>
    <row r="711">
      <c r="A711" s="6" t="n"/>
      <c r="B711" s="112">
        <f>IF($C711="","","GG"&amp;TEXT(ROW()-6,"00000"))</f>
        <v/>
      </c>
      <c r="C711" s="114" t="n"/>
      <c r="D711" s="107" t="n"/>
      <c r="E711" s="108" t="n"/>
      <c r="F711" s="108" t="n"/>
      <c r="G711" s="115" t="n"/>
      <c r="H711" s="107" t="n"/>
      <c r="I711" s="107" t="n"/>
      <c r="J711" s="108" t="n"/>
      <c r="K711" s="108" t="n"/>
      <c r="L711" s="119">
        <f>IF($C711="","",DATE(YEAR($C711),MONTH($C711),1))</f>
        <v/>
      </c>
      <c r="M711" s="112">
        <f>IF($C711="","",IF(AND($D711&lt;&gt;"",$E711&lt;&gt;"",$G711&gt;0,$H711&lt;&gt;"",$I711&lt;&gt;""),IF($C711&gt;TODAY(),"İLERİ TARİH","UYGUN"),"EKSİK"))</f>
        <v/>
      </c>
      <c r="N711" s="6" t="n"/>
      <c r="O711" s="6" t="n"/>
    </row>
    <row r="712">
      <c r="A712" s="6" t="n"/>
      <c r="B712" s="112">
        <f>IF($C712="","","GG"&amp;TEXT(ROW()-6,"00000"))</f>
        <v/>
      </c>
      <c r="C712" s="114" t="n"/>
      <c r="D712" s="107" t="n"/>
      <c r="E712" s="108" t="n"/>
      <c r="F712" s="108" t="n"/>
      <c r="G712" s="115" t="n"/>
      <c r="H712" s="107" t="n"/>
      <c r="I712" s="107" t="n"/>
      <c r="J712" s="108" t="n"/>
      <c r="K712" s="108" t="n"/>
      <c r="L712" s="119">
        <f>IF($C712="","",DATE(YEAR($C712),MONTH($C712),1))</f>
        <v/>
      </c>
      <c r="M712" s="112">
        <f>IF($C712="","",IF(AND($D712&lt;&gt;"",$E712&lt;&gt;"",$G712&gt;0,$H712&lt;&gt;"",$I712&lt;&gt;""),IF($C712&gt;TODAY(),"İLERİ TARİH","UYGUN"),"EKSİK"))</f>
        <v/>
      </c>
      <c r="N712" s="6" t="n"/>
      <c r="O712" s="6" t="n"/>
    </row>
    <row r="713">
      <c r="A713" s="6" t="n"/>
      <c r="B713" s="112">
        <f>IF($C713="","","GG"&amp;TEXT(ROW()-6,"00000"))</f>
        <v/>
      </c>
      <c r="C713" s="114" t="n"/>
      <c r="D713" s="107" t="n"/>
      <c r="E713" s="108" t="n"/>
      <c r="F713" s="108" t="n"/>
      <c r="G713" s="115" t="n"/>
      <c r="H713" s="107" t="n"/>
      <c r="I713" s="107" t="n"/>
      <c r="J713" s="108" t="n"/>
      <c r="K713" s="108" t="n"/>
      <c r="L713" s="119">
        <f>IF($C713="","",DATE(YEAR($C713),MONTH($C713),1))</f>
        <v/>
      </c>
      <c r="M713" s="112">
        <f>IF($C713="","",IF(AND($D713&lt;&gt;"",$E713&lt;&gt;"",$G713&gt;0,$H713&lt;&gt;"",$I713&lt;&gt;""),IF($C713&gt;TODAY(),"İLERİ TARİH","UYGUN"),"EKSİK"))</f>
        <v/>
      </c>
      <c r="N713" s="6" t="n"/>
      <c r="O713" s="6" t="n"/>
    </row>
    <row r="714">
      <c r="A714" s="6" t="n"/>
      <c r="B714" s="112">
        <f>IF($C714="","","GG"&amp;TEXT(ROW()-6,"00000"))</f>
        <v/>
      </c>
      <c r="C714" s="114" t="n"/>
      <c r="D714" s="107" t="n"/>
      <c r="E714" s="108" t="n"/>
      <c r="F714" s="108" t="n"/>
      <c r="G714" s="115" t="n"/>
      <c r="H714" s="107" t="n"/>
      <c r="I714" s="107" t="n"/>
      <c r="J714" s="108" t="n"/>
      <c r="K714" s="108" t="n"/>
      <c r="L714" s="119">
        <f>IF($C714="","",DATE(YEAR($C714),MONTH($C714),1))</f>
        <v/>
      </c>
      <c r="M714" s="112">
        <f>IF($C714="","",IF(AND($D714&lt;&gt;"",$E714&lt;&gt;"",$G714&gt;0,$H714&lt;&gt;"",$I714&lt;&gt;""),IF($C714&gt;TODAY(),"İLERİ TARİH","UYGUN"),"EKSİK"))</f>
        <v/>
      </c>
      <c r="N714" s="6" t="n"/>
      <c r="O714" s="6" t="n"/>
    </row>
    <row r="715">
      <c r="A715" s="6" t="n"/>
      <c r="B715" s="112">
        <f>IF($C715="","","GG"&amp;TEXT(ROW()-6,"00000"))</f>
        <v/>
      </c>
      <c r="C715" s="114" t="n"/>
      <c r="D715" s="107" t="n"/>
      <c r="E715" s="108" t="n"/>
      <c r="F715" s="108" t="n"/>
      <c r="G715" s="115" t="n"/>
      <c r="H715" s="107" t="n"/>
      <c r="I715" s="107" t="n"/>
      <c r="J715" s="108" t="n"/>
      <c r="K715" s="108" t="n"/>
      <c r="L715" s="119">
        <f>IF($C715="","",DATE(YEAR($C715),MONTH($C715),1))</f>
        <v/>
      </c>
      <c r="M715" s="112">
        <f>IF($C715="","",IF(AND($D715&lt;&gt;"",$E715&lt;&gt;"",$G715&gt;0,$H715&lt;&gt;"",$I715&lt;&gt;""),IF($C715&gt;TODAY(),"İLERİ TARİH","UYGUN"),"EKSİK"))</f>
        <v/>
      </c>
      <c r="N715" s="6" t="n"/>
      <c r="O715" s="6" t="n"/>
    </row>
    <row r="716">
      <c r="A716" s="6" t="n"/>
      <c r="B716" s="112">
        <f>IF($C716="","","GG"&amp;TEXT(ROW()-6,"00000"))</f>
        <v/>
      </c>
      <c r="C716" s="114" t="n"/>
      <c r="D716" s="107" t="n"/>
      <c r="E716" s="108" t="n"/>
      <c r="F716" s="108" t="n"/>
      <c r="G716" s="115" t="n"/>
      <c r="H716" s="107" t="n"/>
      <c r="I716" s="107" t="n"/>
      <c r="J716" s="108" t="n"/>
      <c r="K716" s="108" t="n"/>
      <c r="L716" s="119">
        <f>IF($C716="","",DATE(YEAR($C716),MONTH($C716),1))</f>
        <v/>
      </c>
      <c r="M716" s="112">
        <f>IF($C716="","",IF(AND($D716&lt;&gt;"",$E716&lt;&gt;"",$G716&gt;0,$H716&lt;&gt;"",$I716&lt;&gt;""),IF($C716&gt;TODAY(),"İLERİ TARİH","UYGUN"),"EKSİK"))</f>
        <v/>
      </c>
      <c r="N716" s="6" t="n"/>
      <c r="O716" s="6" t="n"/>
    </row>
    <row r="717">
      <c r="A717" s="6" t="n"/>
      <c r="B717" s="112">
        <f>IF($C717="","","GG"&amp;TEXT(ROW()-6,"00000"))</f>
        <v/>
      </c>
      <c r="C717" s="114" t="n"/>
      <c r="D717" s="107" t="n"/>
      <c r="E717" s="108" t="n"/>
      <c r="F717" s="108" t="n"/>
      <c r="G717" s="115" t="n"/>
      <c r="H717" s="107" t="n"/>
      <c r="I717" s="107" t="n"/>
      <c r="J717" s="108" t="n"/>
      <c r="K717" s="108" t="n"/>
      <c r="L717" s="119">
        <f>IF($C717="","",DATE(YEAR($C717),MONTH($C717),1))</f>
        <v/>
      </c>
      <c r="M717" s="112">
        <f>IF($C717="","",IF(AND($D717&lt;&gt;"",$E717&lt;&gt;"",$G717&gt;0,$H717&lt;&gt;"",$I717&lt;&gt;""),IF($C717&gt;TODAY(),"İLERİ TARİH","UYGUN"),"EKSİK"))</f>
        <v/>
      </c>
      <c r="N717" s="6" t="n"/>
      <c r="O717" s="6" t="n"/>
    </row>
    <row r="718">
      <c r="A718" s="6" t="n"/>
      <c r="B718" s="112">
        <f>IF($C718="","","GG"&amp;TEXT(ROW()-6,"00000"))</f>
        <v/>
      </c>
      <c r="C718" s="114" t="n"/>
      <c r="D718" s="107" t="n"/>
      <c r="E718" s="108" t="n"/>
      <c r="F718" s="108" t="n"/>
      <c r="G718" s="115" t="n"/>
      <c r="H718" s="107" t="n"/>
      <c r="I718" s="107" t="n"/>
      <c r="J718" s="108" t="n"/>
      <c r="K718" s="108" t="n"/>
      <c r="L718" s="119">
        <f>IF($C718="","",DATE(YEAR($C718),MONTH($C718),1))</f>
        <v/>
      </c>
      <c r="M718" s="112">
        <f>IF($C718="","",IF(AND($D718&lt;&gt;"",$E718&lt;&gt;"",$G718&gt;0,$H718&lt;&gt;"",$I718&lt;&gt;""),IF($C718&gt;TODAY(),"İLERİ TARİH","UYGUN"),"EKSİK"))</f>
        <v/>
      </c>
      <c r="N718" s="6" t="n"/>
      <c r="O718" s="6" t="n"/>
    </row>
    <row r="719">
      <c r="A719" s="6" t="n"/>
      <c r="B719" s="112">
        <f>IF($C719="","","GG"&amp;TEXT(ROW()-6,"00000"))</f>
        <v/>
      </c>
      <c r="C719" s="114" t="n"/>
      <c r="D719" s="107" t="n"/>
      <c r="E719" s="108" t="n"/>
      <c r="F719" s="108" t="n"/>
      <c r="G719" s="115" t="n"/>
      <c r="H719" s="107" t="n"/>
      <c r="I719" s="107" t="n"/>
      <c r="J719" s="108" t="n"/>
      <c r="K719" s="108" t="n"/>
      <c r="L719" s="119">
        <f>IF($C719="","",DATE(YEAR($C719),MONTH($C719),1))</f>
        <v/>
      </c>
      <c r="M719" s="112">
        <f>IF($C719="","",IF(AND($D719&lt;&gt;"",$E719&lt;&gt;"",$G719&gt;0,$H719&lt;&gt;"",$I719&lt;&gt;""),IF($C719&gt;TODAY(),"İLERİ TARİH","UYGUN"),"EKSİK"))</f>
        <v/>
      </c>
      <c r="N719" s="6" t="n"/>
      <c r="O719" s="6" t="n"/>
    </row>
    <row r="720">
      <c r="A720" s="6" t="n"/>
      <c r="B720" s="112">
        <f>IF($C720="","","GG"&amp;TEXT(ROW()-6,"00000"))</f>
        <v/>
      </c>
      <c r="C720" s="114" t="n"/>
      <c r="D720" s="107" t="n"/>
      <c r="E720" s="108" t="n"/>
      <c r="F720" s="108" t="n"/>
      <c r="G720" s="115" t="n"/>
      <c r="H720" s="107" t="n"/>
      <c r="I720" s="107" t="n"/>
      <c r="J720" s="108" t="n"/>
      <c r="K720" s="108" t="n"/>
      <c r="L720" s="119">
        <f>IF($C720="","",DATE(YEAR($C720),MONTH($C720),1))</f>
        <v/>
      </c>
      <c r="M720" s="112">
        <f>IF($C720="","",IF(AND($D720&lt;&gt;"",$E720&lt;&gt;"",$G720&gt;0,$H720&lt;&gt;"",$I720&lt;&gt;""),IF($C720&gt;TODAY(),"İLERİ TARİH","UYGUN"),"EKSİK"))</f>
        <v/>
      </c>
      <c r="N720" s="6" t="n"/>
      <c r="O720" s="6" t="n"/>
    </row>
    <row r="721">
      <c r="A721" s="6" t="n"/>
      <c r="B721" s="112">
        <f>IF($C721="","","GG"&amp;TEXT(ROW()-6,"00000"))</f>
        <v/>
      </c>
      <c r="C721" s="114" t="n"/>
      <c r="D721" s="107" t="n"/>
      <c r="E721" s="108" t="n"/>
      <c r="F721" s="108" t="n"/>
      <c r="G721" s="115" t="n"/>
      <c r="H721" s="107" t="n"/>
      <c r="I721" s="107" t="n"/>
      <c r="J721" s="108" t="n"/>
      <c r="K721" s="108" t="n"/>
      <c r="L721" s="119">
        <f>IF($C721="","",DATE(YEAR($C721),MONTH($C721),1))</f>
        <v/>
      </c>
      <c r="M721" s="112">
        <f>IF($C721="","",IF(AND($D721&lt;&gt;"",$E721&lt;&gt;"",$G721&gt;0,$H721&lt;&gt;"",$I721&lt;&gt;""),IF($C721&gt;TODAY(),"İLERİ TARİH","UYGUN"),"EKSİK"))</f>
        <v/>
      </c>
      <c r="N721" s="6" t="n"/>
      <c r="O721" s="6" t="n"/>
    </row>
    <row r="722">
      <c r="A722" s="6" t="n"/>
      <c r="B722" s="112">
        <f>IF($C722="","","GG"&amp;TEXT(ROW()-6,"00000"))</f>
        <v/>
      </c>
      <c r="C722" s="114" t="n"/>
      <c r="D722" s="107" t="n"/>
      <c r="E722" s="108" t="n"/>
      <c r="F722" s="108" t="n"/>
      <c r="G722" s="115" t="n"/>
      <c r="H722" s="107" t="n"/>
      <c r="I722" s="107" t="n"/>
      <c r="J722" s="108" t="n"/>
      <c r="K722" s="108" t="n"/>
      <c r="L722" s="119">
        <f>IF($C722="","",DATE(YEAR($C722),MONTH($C722),1))</f>
        <v/>
      </c>
      <c r="M722" s="112">
        <f>IF($C722="","",IF(AND($D722&lt;&gt;"",$E722&lt;&gt;"",$G722&gt;0,$H722&lt;&gt;"",$I722&lt;&gt;""),IF($C722&gt;TODAY(),"İLERİ TARİH","UYGUN"),"EKSİK"))</f>
        <v/>
      </c>
      <c r="N722" s="6" t="n"/>
      <c r="O722" s="6" t="n"/>
    </row>
    <row r="723">
      <c r="A723" s="6" t="n"/>
      <c r="B723" s="112">
        <f>IF($C723="","","GG"&amp;TEXT(ROW()-6,"00000"))</f>
        <v/>
      </c>
      <c r="C723" s="114" t="n"/>
      <c r="D723" s="107" t="n"/>
      <c r="E723" s="108" t="n"/>
      <c r="F723" s="108" t="n"/>
      <c r="G723" s="115" t="n"/>
      <c r="H723" s="107" t="n"/>
      <c r="I723" s="107" t="n"/>
      <c r="J723" s="108" t="n"/>
      <c r="K723" s="108" t="n"/>
      <c r="L723" s="119">
        <f>IF($C723="","",DATE(YEAR($C723),MONTH($C723),1))</f>
        <v/>
      </c>
      <c r="M723" s="112">
        <f>IF($C723="","",IF(AND($D723&lt;&gt;"",$E723&lt;&gt;"",$G723&gt;0,$H723&lt;&gt;"",$I723&lt;&gt;""),IF($C723&gt;TODAY(),"İLERİ TARİH","UYGUN"),"EKSİK"))</f>
        <v/>
      </c>
      <c r="N723" s="6" t="n"/>
      <c r="O723" s="6" t="n"/>
    </row>
    <row r="724">
      <c r="A724" s="6" t="n"/>
      <c r="B724" s="112">
        <f>IF($C724="","","GG"&amp;TEXT(ROW()-6,"00000"))</f>
        <v/>
      </c>
      <c r="C724" s="114" t="n"/>
      <c r="D724" s="107" t="n"/>
      <c r="E724" s="108" t="n"/>
      <c r="F724" s="108" t="n"/>
      <c r="G724" s="115" t="n"/>
      <c r="H724" s="107" t="n"/>
      <c r="I724" s="107" t="n"/>
      <c r="J724" s="108" t="n"/>
      <c r="K724" s="108" t="n"/>
      <c r="L724" s="119">
        <f>IF($C724="","",DATE(YEAR($C724),MONTH($C724),1))</f>
        <v/>
      </c>
      <c r="M724" s="112">
        <f>IF($C724="","",IF(AND($D724&lt;&gt;"",$E724&lt;&gt;"",$G724&gt;0,$H724&lt;&gt;"",$I724&lt;&gt;""),IF($C724&gt;TODAY(),"İLERİ TARİH","UYGUN"),"EKSİK"))</f>
        <v/>
      </c>
      <c r="N724" s="6" t="n"/>
      <c r="O724" s="6" t="n"/>
    </row>
    <row r="725">
      <c r="A725" s="6" t="n"/>
      <c r="B725" s="112">
        <f>IF($C725="","","GG"&amp;TEXT(ROW()-6,"00000"))</f>
        <v/>
      </c>
      <c r="C725" s="114" t="n"/>
      <c r="D725" s="107" t="n"/>
      <c r="E725" s="108" t="n"/>
      <c r="F725" s="108" t="n"/>
      <c r="G725" s="115" t="n"/>
      <c r="H725" s="107" t="n"/>
      <c r="I725" s="107" t="n"/>
      <c r="J725" s="108" t="n"/>
      <c r="K725" s="108" t="n"/>
      <c r="L725" s="119">
        <f>IF($C725="","",DATE(YEAR($C725),MONTH($C725),1))</f>
        <v/>
      </c>
      <c r="M725" s="112">
        <f>IF($C725="","",IF(AND($D725&lt;&gt;"",$E725&lt;&gt;"",$G725&gt;0,$H725&lt;&gt;"",$I725&lt;&gt;""),IF($C725&gt;TODAY(),"İLERİ TARİH","UYGUN"),"EKSİK"))</f>
        <v/>
      </c>
      <c r="N725" s="6" t="n"/>
      <c r="O725" s="6" t="n"/>
    </row>
    <row r="726">
      <c r="A726" s="6" t="n"/>
      <c r="B726" s="112">
        <f>IF($C726="","","GG"&amp;TEXT(ROW()-6,"00000"))</f>
        <v/>
      </c>
      <c r="C726" s="114" t="n"/>
      <c r="D726" s="107" t="n"/>
      <c r="E726" s="108" t="n"/>
      <c r="F726" s="108" t="n"/>
      <c r="G726" s="115" t="n"/>
      <c r="H726" s="107" t="n"/>
      <c r="I726" s="107" t="n"/>
      <c r="J726" s="108" t="n"/>
      <c r="K726" s="108" t="n"/>
      <c r="L726" s="119">
        <f>IF($C726="","",DATE(YEAR($C726),MONTH($C726),1))</f>
        <v/>
      </c>
      <c r="M726" s="112">
        <f>IF($C726="","",IF(AND($D726&lt;&gt;"",$E726&lt;&gt;"",$G726&gt;0,$H726&lt;&gt;"",$I726&lt;&gt;""),IF($C726&gt;TODAY(),"İLERİ TARİH","UYGUN"),"EKSİK"))</f>
        <v/>
      </c>
      <c r="N726" s="6" t="n"/>
      <c r="O726" s="6" t="n"/>
    </row>
    <row r="727">
      <c r="A727" s="6" t="n"/>
      <c r="B727" s="112">
        <f>IF($C727="","","GG"&amp;TEXT(ROW()-6,"00000"))</f>
        <v/>
      </c>
      <c r="C727" s="114" t="n"/>
      <c r="D727" s="107" t="n"/>
      <c r="E727" s="108" t="n"/>
      <c r="F727" s="108" t="n"/>
      <c r="G727" s="115" t="n"/>
      <c r="H727" s="107" t="n"/>
      <c r="I727" s="107" t="n"/>
      <c r="J727" s="108" t="n"/>
      <c r="K727" s="108" t="n"/>
      <c r="L727" s="119">
        <f>IF($C727="","",DATE(YEAR($C727),MONTH($C727),1))</f>
        <v/>
      </c>
      <c r="M727" s="112">
        <f>IF($C727="","",IF(AND($D727&lt;&gt;"",$E727&lt;&gt;"",$G727&gt;0,$H727&lt;&gt;"",$I727&lt;&gt;""),IF($C727&gt;TODAY(),"İLERİ TARİH","UYGUN"),"EKSİK"))</f>
        <v/>
      </c>
      <c r="N727" s="6" t="n"/>
      <c r="O727" s="6" t="n"/>
    </row>
    <row r="728">
      <c r="A728" s="6" t="n"/>
      <c r="B728" s="112">
        <f>IF($C728="","","GG"&amp;TEXT(ROW()-6,"00000"))</f>
        <v/>
      </c>
      <c r="C728" s="114" t="n"/>
      <c r="D728" s="107" t="n"/>
      <c r="E728" s="108" t="n"/>
      <c r="F728" s="108" t="n"/>
      <c r="G728" s="115" t="n"/>
      <c r="H728" s="107" t="n"/>
      <c r="I728" s="107" t="n"/>
      <c r="J728" s="108" t="n"/>
      <c r="K728" s="108" t="n"/>
      <c r="L728" s="119">
        <f>IF($C728="","",DATE(YEAR($C728),MONTH($C728),1))</f>
        <v/>
      </c>
      <c r="M728" s="112">
        <f>IF($C728="","",IF(AND($D728&lt;&gt;"",$E728&lt;&gt;"",$G728&gt;0,$H728&lt;&gt;"",$I728&lt;&gt;""),IF($C728&gt;TODAY(),"İLERİ TARİH","UYGUN"),"EKSİK"))</f>
        <v/>
      </c>
      <c r="N728" s="6" t="n"/>
      <c r="O728" s="6" t="n"/>
    </row>
    <row r="729">
      <c r="A729" s="6" t="n"/>
      <c r="B729" s="112">
        <f>IF($C729="","","GG"&amp;TEXT(ROW()-6,"00000"))</f>
        <v/>
      </c>
      <c r="C729" s="114" t="n"/>
      <c r="D729" s="107" t="n"/>
      <c r="E729" s="108" t="n"/>
      <c r="F729" s="108" t="n"/>
      <c r="G729" s="115" t="n"/>
      <c r="H729" s="107" t="n"/>
      <c r="I729" s="107" t="n"/>
      <c r="J729" s="108" t="n"/>
      <c r="K729" s="108" t="n"/>
      <c r="L729" s="119">
        <f>IF($C729="","",DATE(YEAR($C729),MONTH($C729),1))</f>
        <v/>
      </c>
      <c r="M729" s="112">
        <f>IF($C729="","",IF(AND($D729&lt;&gt;"",$E729&lt;&gt;"",$G729&gt;0,$H729&lt;&gt;"",$I729&lt;&gt;""),IF($C729&gt;TODAY(),"İLERİ TARİH","UYGUN"),"EKSİK"))</f>
        <v/>
      </c>
      <c r="N729" s="6" t="n"/>
      <c r="O729" s="6" t="n"/>
    </row>
    <row r="730">
      <c r="A730" s="6" t="n"/>
      <c r="B730" s="112">
        <f>IF($C730="","","GG"&amp;TEXT(ROW()-6,"00000"))</f>
        <v/>
      </c>
      <c r="C730" s="114" t="n"/>
      <c r="D730" s="107" t="n"/>
      <c r="E730" s="108" t="n"/>
      <c r="F730" s="108" t="n"/>
      <c r="G730" s="115" t="n"/>
      <c r="H730" s="107" t="n"/>
      <c r="I730" s="107" t="n"/>
      <c r="J730" s="108" t="n"/>
      <c r="K730" s="108" t="n"/>
      <c r="L730" s="119">
        <f>IF($C730="","",DATE(YEAR($C730),MONTH($C730),1))</f>
        <v/>
      </c>
      <c r="M730" s="112">
        <f>IF($C730="","",IF(AND($D730&lt;&gt;"",$E730&lt;&gt;"",$G730&gt;0,$H730&lt;&gt;"",$I730&lt;&gt;""),IF($C730&gt;TODAY(),"İLERİ TARİH","UYGUN"),"EKSİK"))</f>
        <v/>
      </c>
      <c r="N730" s="6" t="n"/>
      <c r="O730" s="6" t="n"/>
    </row>
    <row r="731">
      <c r="A731" s="6" t="n"/>
      <c r="B731" s="112">
        <f>IF($C731="","","GG"&amp;TEXT(ROW()-6,"00000"))</f>
        <v/>
      </c>
      <c r="C731" s="114" t="n"/>
      <c r="D731" s="107" t="n"/>
      <c r="E731" s="108" t="n"/>
      <c r="F731" s="108" t="n"/>
      <c r="G731" s="115" t="n"/>
      <c r="H731" s="107" t="n"/>
      <c r="I731" s="107" t="n"/>
      <c r="J731" s="108" t="n"/>
      <c r="K731" s="108" t="n"/>
      <c r="L731" s="119">
        <f>IF($C731="","",DATE(YEAR($C731),MONTH($C731),1))</f>
        <v/>
      </c>
      <c r="M731" s="112">
        <f>IF($C731="","",IF(AND($D731&lt;&gt;"",$E731&lt;&gt;"",$G731&gt;0,$H731&lt;&gt;"",$I731&lt;&gt;""),IF($C731&gt;TODAY(),"İLERİ TARİH","UYGUN"),"EKSİK"))</f>
        <v/>
      </c>
      <c r="N731" s="6" t="n"/>
      <c r="O731" s="6" t="n"/>
    </row>
    <row r="732">
      <c r="A732" s="6" t="n"/>
      <c r="B732" s="112">
        <f>IF($C732="","","GG"&amp;TEXT(ROW()-6,"00000"))</f>
        <v/>
      </c>
      <c r="C732" s="114" t="n"/>
      <c r="D732" s="107" t="n"/>
      <c r="E732" s="108" t="n"/>
      <c r="F732" s="108" t="n"/>
      <c r="G732" s="115" t="n"/>
      <c r="H732" s="107" t="n"/>
      <c r="I732" s="107" t="n"/>
      <c r="J732" s="108" t="n"/>
      <c r="K732" s="108" t="n"/>
      <c r="L732" s="119">
        <f>IF($C732="","",DATE(YEAR($C732),MONTH($C732),1))</f>
        <v/>
      </c>
      <c r="M732" s="112">
        <f>IF($C732="","",IF(AND($D732&lt;&gt;"",$E732&lt;&gt;"",$G732&gt;0,$H732&lt;&gt;"",$I732&lt;&gt;""),IF($C732&gt;TODAY(),"İLERİ TARİH","UYGUN"),"EKSİK"))</f>
        <v/>
      </c>
      <c r="N732" s="6" t="n"/>
      <c r="O732" s="6" t="n"/>
    </row>
    <row r="733">
      <c r="A733" s="6" t="n"/>
      <c r="B733" s="112">
        <f>IF($C733="","","GG"&amp;TEXT(ROW()-6,"00000"))</f>
        <v/>
      </c>
      <c r="C733" s="114" t="n"/>
      <c r="D733" s="107" t="n"/>
      <c r="E733" s="108" t="n"/>
      <c r="F733" s="108" t="n"/>
      <c r="G733" s="115" t="n"/>
      <c r="H733" s="107" t="n"/>
      <c r="I733" s="107" t="n"/>
      <c r="J733" s="108" t="n"/>
      <c r="K733" s="108" t="n"/>
      <c r="L733" s="119">
        <f>IF($C733="","",DATE(YEAR($C733),MONTH($C733),1))</f>
        <v/>
      </c>
      <c r="M733" s="112">
        <f>IF($C733="","",IF(AND($D733&lt;&gt;"",$E733&lt;&gt;"",$G733&gt;0,$H733&lt;&gt;"",$I733&lt;&gt;""),IF($C733&gt;TODAY(),"İLERİ TARİH","UYGUN"),"EKSİK"))</f>
        <v/>
      </c>
      <c r="N733" s="6" t="n"/>
      <c r="O733" s="6" t="n"/>
    </row>
    <row r="734">
      <c r="A734" s="6" t="n"/>
      <c r="B734" s="112">
        <f>IF($C734="","","GG"&amp;TEXT(ROW()-6,"00000"))</f>
        <v/>
      </c>
      <c r="C734" s="114" t="n"/>
      <c r="D734" s="107" t="n"/>
      <c r="E734" s="108" t="n"/>
      <c r="F734" s="108" t="n"/>
      <c r="G734" s="115" t="n"/>
      <c r="H734" s="107" t="n"/>
      <c r="I734" s="107" t="n"/>
      <c r="J734" s="108" t="n"/>
      <c r="K734" s="108" t="n"/>
      <c r="L734" s="119">
        <f>IF($C734="","",DATE(YEAR($C734),MONTH($C734),1))</f>
        <v/>
      </c>
      <c r="M734" s="112">
        <f>IF($C734="","",IF(AND($D734&lt;&gt;"",$E734&lt;&gt;"",$G734&gt;0,$H734&lt;&gt;"",$I734&lt;&gt;""),IF($C734&gt;TODAY(),"İLERİ TARİH","UYGUN"),"EKSİK"))</f>
        <v/>
      </c>
      <c r="N734" s="6" t="n"/>
      <c r="O734" s="6" t="n"/>
    </row>
    <row r="735">
      <c r="A735" s="6" t="n"/>
      <c r="B735" s="112">
        <f>IF($C735="","","GG"&amp;TEXT(ROW()-6,"00000"))</f>
        <v/>
      </c>
      <c r="C735" s="114" t="n"/>
      <c r="D735" s="107" t="n"/>
      <c r="E735" s="108" t="n"/>
      <c r="F735" s="108" t="n"/>
      <c r="G735" s="115" t="n"/>
      <c r="H735" s="107" t="n"/>
      <c r="I735" s="107" t="n"/>
      <c r="J735" s="108" t="n"/>
      <c r="K735" s="108" t="n"/>
      <c r="L735" s="119">
        <f>IF($C735="","",DATE(YEAR($C735),MONTH($C735),1))</f>
        <v/>
      </c>
      <c r="M735" s="112">
        <f>IF($C735="","",IF(AND($D735&lt;&gt;"",$E735&lt;&gt;"",$G735&gt;0,$H735&lt;&gt;"",$I735&lt;&gt;""),IF($C735&gt;TODAY(),"İLERİ TARİH","UYGUN"),"EKSİK"))</f>
        <v/>
      </c>
      <c r="N735" s="6" t="n"/>
      <c r="O735" s="6" t="n"/>
    </row>
    <row r="736">
      <c r="A736" s="6" t="n"/>
      <c r="B736" s="112">
        <f>IF($C736="","","GG"&amp;TEXT(ROW()-6,"00000"))</f>
        <v/>
      </c>
      <c r="C736" s="114" t="n"/>
      <c r="D736" s="107" t="n"/>
      <c r="E736" s="108" t="n"/>
      <c r="F736" s="108" t="n"/>
      <c r="G736" s="115" t="n"/>
      <c r="H736" s="107" t="n"/>
      <c r="I736" s="107" t="n"/>
      <c r="J736" s="108" t="n"/>
      <c r="K736" s="108" t="n"/>
      <c r="L736" s="119">
        <f>IF($C736="","",DATE(YEAR($C736),MONTH($C736),1))</f>
        <v/>
      </c>
      <c r="M736" s="112">
        <f>IF($C736="","",IF(AND($D736&lt;&gt;"",$E736&lt;&gt;"",$G736&gt;0,$H736&lt;&gt;"",$I736&lt;&gt;""),IF($C736&gt;TODAY(),"İLERİ TARİH","UYGUN"),"EKSİK"))</f>
        <v/>
      </c>
      <c r="N736" s="6" t="n"/>
      <c r="O736" s="6" t="n"/>
    </row>
    <row r="737">
      <c r="A737" s="6" t="n"/>
      <c r="B737" s="112">
        <f>IF($C737="","","GG"&amp;TEXT(ROW()-6,"00000"))</f>
        <v/>
      </c>
      <c r="C737" s="114" t="n"/>
      <c r="D737" s="107" t="n"/>
      <c r="E737" s="108" t="n"/>
      <c r="F737" s="108" t="n"/>
      <c r="G737" s="115" t="n"/>
      <c r="H737" s="107" t="n"/>
      <c r="I737" s="107" t="n"/>
      <c r="J737" s="108" t="n"/>
      <c r="K737" s="108" t="n"/>
      <c r="L737" s="119">
        <f>IF($C737="","",DATE(YEAR($C737),MONTH($C737),1))</f>
        <v/>
      </c>
      <c r="M737" s="112">
        <f>IF($C737="","",IF(AND($D737&lt;&gt;"",$E737&lt;&gt;"",$G737&gt;0,$H737&lt;&gt;"",$I737&lt;&gt;""),IF($C737&gt;TODAY(),"İLERİ TARİH","UYGUN"),"EKSİK"))</f>
        <v/>
      </c>
      <c r="N737" s="6" t="n"/>
      <c r="O737" s="6" t="n"/>
    </row>
    <row r="738">
      <c r="A738" s="6" t="n"/>
      <c r="B738" s="112">
        <f>IF($C738="","","GG"&amp;TEXT(ROW()-6,"00000"))</f>
        <v/>
      </c>
      <c r="C738" s="114" t="n"/>
      <c r="D738" s="107" t="n"/>
      <c r="E738" s="108" t="n"/>
      <c r="F738" s="108" t="n"/>
      <c r="G738" s="115" t="n"/>
      <c r="H738" s="107" t="n"/>
      <c r="I738" s="107" t="n"/>
      <c r="J738" s="108" t="n"/>
      <c r="K738" s="108" t="n"/>
      <c r="L738" s="119">
        <f>IF($C738="","",DATE(YEAR($C738),MONTH($C738),1))</f>
        <v/>
      </c>
      <c r="M738" s="112">
        <f>IF($C738="","",IF(AND($D738&lt;&gt;"",$E738&lt;&gt;"",$G738&gt;0,$H738&lt;&gt;"",$I738&lt;&gt;""),IF($C738&gt;TODAY(),"İLERİ TARİH","UYGUN"),"EKSİK"))</f>
        <v/>
      </c>
      <c r="N738" s="6" t="n"/>
      <c r="O738" s="6" t="n"/>
    </row>
    <row r="739">
      <c r="A739" s="6" t="n"/>
      <c r="B739" s="112">
        <f>IF($C739="","","GG"&amp;TEXT(ROW()-6,"00000"))</f>
        <v/>
      </c>
      <c r="C739" s="114" t="n"/>
      <c r="D739" s="107" t="n"/>
      <c r="E739" s="108" t="n"/>
      <c r="F739" s="108" t="n"/>
      <c r="G739" s="115" t="n"/>
      <c r="H739" s="107" t="n"/>
      <c r="I739" s="107" t="n"/>
      <c r="J739" s="108" t="n"/>
      <c r="K739" s="108" t="n"/>
      <c r="L739" s="119">
        <f>IF($C739="","",DATE(YEAR($C739),MONTH($C739),1))</f>
        <v/>
      </c>
      <c r="M739" s="112">
        <f>IF($C739="","",IF(AND($D739&lt;&gt;"",$E739&lt;&gt;"",$G739&gt;0,$H739&lt;&gt;"",$I739&lt;&gt;""),IF($C739&gt;TODAY(),"İLERİ TARİH","UYGUN"),"EKSİK"))</f>
        <v/>
      </c>
      <c r="N739" s="6" t="n"/>
      <c r="O739" s="6" t="n"/>
    </row>
    <row r="740">
      <c r="A740" s="6" t="n"/>
      <c r="B740" s="112">
        <f>IF($C740="","","GG"&amp;TEXT(ROW()-6,"00000"))</f>
        <v/>
      </c>
      <c r="C740" s="114" t="n"/>
      <c r="D740" s="107" t="n"/>
      <c r="E740" s="108" t="n"/>
      <c r="F740" s="108" t="n"/>
      <c r="G740" s="115" t="n"/>
      <c r="H740" s="107" t="n"/>
      <c r="I740" s="107" t="n"/>
      <c r="J740" s="108" t="n"/>
      <c r="K740" s="108" t="n"/>
      <c r="L740" s="119">
        <f>IF($C740="","",DATE(YEAR($C740),MONTH($C740),1))</f>
        <v/>
      </c>
      <c r="M740" s="112">
        <f>IF($C740="","",IF(AND($D740&lt;&gt;"",$E740&lt;&gt;"",$G740&gt;0,$H740&lt;&gt;"",$I740&lt;&gt;""),IF($C740&gt;TODAY(),"İLERİ TARİH","UYGUN"),"EKSİK"))</f>
        <v/>
      </c>
      <c r="N740" s="6" t="n"/>
      <c r="O740" s="6" t="n"/>
    </row>
    <row r="741">
      <c r="A741" s="6" t="n"/>
      <c r="B741" s="112">
        <f>IF($C741="","","GG"&amp;TEXT(ROW()-6,"00000"))</f>
        <v/>
      </c>
      <c r="C741" s="114" t="n"/>
      <c r="D741" s="107" t="n"/>
      <c r="E741" s="108" t="n"/>
      <c r="F741" s="108" t="n"/>
      <c r="G741" s="115" t="n"/>
      <c r="H741" s="107" t="n"/>
      <c r="I741" s="107" t="n"/>
      <c r="J741" s="108" t="n"/>
      <c r="K741" s="108" t="n"/>
      <c r="L741" s="119">
        <f>IF($C741="","",DATE(YEAR($C741),MONTH($C741),1))</f>
        <v/>
      </c>
      <c r="M741" s="112">
        <f>IF($C741="","",IF(AND($D741&lt;&gt;"",$E741&lt;&gt;"",$G741&gt;0,$H741&lt;&gt;"",$I741&lt;&gt;""),IF($C741&gt;TODAY(),"İLERİ TARİH","UYGUN"),"EKSİK"))</f>
        <v/>
      </c>
      <c r="N741" s="6" t="n"/>
      <c r="O741" s="6" t="n"/>
    </row>
    <row r="742">
      <c r="A742" s="6" t="n"/>
      <c r="B742" s="112">
        <f>IF($C742="","","GG"&amp;TEXT(ROW()-6,"00000"))</f>
        <v/>
      </c>
      <c r="C742" s="114" t="n"/>
      <c r="D742" s="107" t="n"/>
      <c r="E742" s="108" t="n"/>
      <c r="F742" s="108" t="n"/>
      <c r="G742" s="115" t="n"/>
      <c r="H742" s="107" t="n"/>
      <c r="I742" s="107" t="n"/>
      <c r="J742" s="108" t="n"/>
      <c r="K742" s="108" t="n"/>
      <c r="L742" s="119">
        <f>IF($C742="","",DATE(YEAR($C742),MONTH($C742),1))</f>
        <v/>
      </c>
      <c r="M742" s="112">
        <f>IF($C742="","",IF(AND($D742&lt;&gt;"",$E742&lt;&gt;"",$G742&gt;0,$H742&lt;&gt;"",$I742&lt;&gt;""),IF($C742&gt;TODAY(),"İLERİ TARİH","UYGUN"),"EKSİK"))</f>
        <v/>
      </c>
      <c r="N742" s="6" t="n"/>
      <c r="O742" s="6" t="n"/>
    </row>
    <row r="743">
      <c r="A743" s="6" t="n"/>
      <c r="B743" s="112">
        <f>IF($C743="","","GG"&amp;TEXT(ROW()-6,"00000"))</f>
        <v/>
      </c>
      <c r="C743" s="114" t="n"/>
      <c r="D743" s="107" t="n"/>
      <c r="E743" s="108" t="n"/>
      <c r="F743" s="108" t="n"/>
      <c r="G743" s="115" t="n"/>
      <c r="H743" s="107" t="n"/>
      <c r="I743" s="107" t="n"/>
      <c r="J743" s="108" t="n"/>
      <c r="K743" s="108" t="n"/>
      <c r="L743" s="119">
        <f>IF($C743="","",DATE(YEAR($C743),MONTH($C743),1))</f>
        <v/>
      </c>
      <c r="M743" s="112">
        <f>IF($C743="","",IF(AND($D743&lt;&gt;"",$E743&lt;&gt;"",$G743&gt;0,$H743&lt;&gt;"",$I743&lt;&gt;""),IF($C743&gt;TODAY(),"İLERİ TARİH","UYGUN"),"EKSİK"))</f>
        <v/>
      </c>
      <c r="N743" s="6" t="n"/>
      <c r="O743" s="6" t="n"/>
    </row>
    <row r="744">
      <c r="A744" s="6" t="n"/>
      <c r="B744" s="112">
        <f>IF($C744="","","GG"&amp;TEXT(ROW()-6,"00000"))</f>
        <v/>
      </c>
      <c r="C744" s="114" t="n"/>
      <c r="D744" s="107" t="n"/>
      <c r="E744" s="108" t="n"/>
      <c r="F744" s="108" t="n"/>
      <c r="G744" s="115" t="n"/>
      <c r="H744" s="107" t="n"/>
      <c r="I744" s="107" t="n"/>
      <c r="J744" s="108" t="n"/>
      <c r="K744" s="108" t="n"/>
      <c r="L744" s="119">
        <f>IF($C744="","",DATE(YEAR($C744),MONTH($C744),1))</f>
        <v/>
      </c>
      <c r="M744" s="112">
        <f>IF($C744="","",IF(AND($D744&lt;&gt;"",$E744&lt;&gt;"",$G744&gt;0,$H744&lt;&gt;"",$I744&lt;&gt;""),IF($C744&gt;TODAY(),"İLERİ TARİH","UYGUN"),"EKSİK"))</f>
        <v/>
      </c>
      <c r="N744" s="6" t="n"/>
      <c r="O744" s="6" t="n"/>
    </row>
    <row r="745">
      <c r="A745" s="6" t="n"/>
      <c r="B745" s="112">
        <f>IF($C745="","","GG"&amp;TEXT(ROW()-6,"00000"))</f>
        <v/>
      </c>
      <c r="C745" s="114" t="n"/>
      <c r="D745" s="107" t="n"/>
      <c r="E745" s="108" t="n"/>
      <c r="F745" s="108" t="n"/>
      <c r="G745" s="115" t="n"/>
      <c r="H745" s="107" t="n"/>
      <c r="I745" s="107" t="n"/>
      <c r="J745" s="108" t="n"/>
      <c r="K745" s="108" t="n"/>
      <c r="L745" s="119">
        <f>IF($C745="","",DATE(YEAR($C745),MONTH($C745),1))</f>
        <v/>
      </c>
      <c r="M745" s="112">
        <f>IF($C745="","",IF(AND($D745&lt;&gt;"",$E745&lt;&gt;"",$G745&gt;0,$H745&lt;&gt;"",$I745&lt;&gt;""),IF($C745&gt;TODAY(),"İLERİ TARİH","UYGUN"),"EKSİK"))</f>
        <v/>
      </c>
      <c r="N745" s="6" t="n"/>
      <c r="O745" s="6" t="n"/>
    </row>
    <row r="746">
      <c r="A746" s="6" t="n"/>
      <c r="B746" s="112">
        <f>IF($C746="","","GG"&amp;TEXT(ROW()-6,"00000"))</f>
        <v/>
      </c>
      <c r="C746" s="114" t="n"/>
      <c r="D746" s="107" t="n"/>
      <c r="E746" s="108" t="n"/>
      <c r="F746" s="108" t="n"/>
      <c r="G746" s="115" t="n"/>
      <c r="H746" s="107" t="n"/>
      <c r="I746" s="107" t="n"/>
      <c r="J746" s="108" t="n"/>
      <c r="K746" s="108" t="n"/>
      <c r="L746" s="119">
        <f>IF($C746="","",DATE(YEAR($C746),MONTH($C746),1))</f>
        <v/>
      </c>
      <c r="M746" s="112">
        <f>IF($C746="","",IF(AND($D746&lt;&gt;"",$E746&lt;&gt;"",$G746&gt;0,$H746&lt;&gt;"",$I746&lt;&gt;""),IF($C746&gt;TODAY(),"İLERİ TARİH","UYGUN"),"EKSİK"))</f>
        <v/>
      </c>
      <c r="N746" s="6" t="n"/>
      <c r="O746" s="6" t="n"/>
    </row>
    <row r="747">
      <c r="A747" s="6" t="n"/>
      <c r="B747" s="112">
        <f>IF($C747="","","GG"&amp;TEXT(ROW()-6,"00000"))</f>
        <v/>
      </c>
      <c r="C747" s="114" t="n"/>
      <c r="D747" s="107" t="n"/>
      <c r="E747" s="108" t="n"/>
      <c r="F747" s="108" t="n"/>
      <c r="G747" s="115" t="n"/>
      <c r="H747" s="107" t="n"/>
      <c r="I747" s="107" t="n"/>
      <c r="J747" s="108" t="n"/>
      <c r="K747" s="108" t="n"/>
      <c r="L747" s="119">
        <f>IF($C747="","",DATE(YEAR($C747),MONTH($C747),1))</f>
        <v/>
      </c>
      <c r="M747" s="112">
        <f>IF($C747="","",IF(AND($D747&lt;&gt;"",$E747&lt;&gt;"",$G747&gt;0,$H747&lt;&gt;"",$I747&lt;&gt;""),IF($C747&gt;TODAY(),"İLERİ TARİH","UYGUN"),"EKSİK"))</f>
        <v/>
      </c>
      <c r="N747" s="6" t="n"/>
      <c r="O747" s="6" t="n"/>
    </row>
    <row r="748">
      <c r="A748" s="6" t="n"/>
      <c r="B748" s="112">
        <f>IF($C748="","","GG"&amp;TEXT(ROW()-6,"00000"))</f>
        <v/>
      </c>
      <c r="C748" s="114" t="n"/>
      <c r="D748" s="107" t="n"/>
      <c r="E748" s="108" t="n"/>
      <c r="F748" s="108" t="n"/>
      <c r="G748" s="115" t="n"/>
      <c r="H748" s="107" t="n"/>
      <c r="I748" s="107" t="n"/>
      <c r="J748" s="108" t="n"/>
      <c r="K748" s="108" t="n"/>
      <c r="L748" s="119">
        <f>IF($C748="","",DATE(YEAR($C748),MONTH($C748),1))</f>
        <v/>
      </c>
      <c r="M748" s="112">
        <f>IF($C748="","",IF(AND($D748&lt;&gt;"",$E748&lt;&gt;"",$G748&gt;0,$H748&lt;&gt;"",$I748&lt;&gt;""),IF($C748&gt;TODAY(),"İLERİ TARİH","UYGUN"),"EKSİK"))</f>
        <v/>
      </c>
      <c r="N748" s="6" t="n"/>
      <c r="O748" s="6" t="n"/>
    </row>
    <row r="749">
      <c r="A749" s="6" t="n"/>
      <c r="B749" s="112">
        <f>IF($C749="","","GG"&amp;TEXT(ROW()-6,"00000"))</f>
        <v/>
      </c>
      <c r="C749" s="114" t="n"/>
      <c r="D749" s="107" t="n"/>
      <c r="E749" s="108" t="n"/>
      <c r="F749" s="108" t="n"/>
      <c r="G749" s="115" t="n"/>
      <c r="H749" s="107" t="n"/>
      <c r="I749" s="107" t="n"/>
      <c r="J749" s="108" t="n"/>
      <c r="K749" s="108" t="n"/>
      <c r="L749" s="119">
        <f>IF($C749="","",DATE(YEAR($C749),MONTH($C749),1))</f>
        <v/>
      </c>
      <c r="M749" s="112">
        <f>IF($C749="","",IF(AND($D749&lt;&gt;"",$E749&lt;&gt;"",$G749&gt;0,$H749&lt;&gt;"",$I749&lt;&gt;""),IF($C749&gt;TODAY(),"İLERİ TARİH","UYGUN"),"EKSİK"))</f>
        <v/>
      </c>
      <c r="N749" s="6" t="n"/>
      <c r="O749" s="6" t="n"/>
    </row>
    <row r="750">
      <c r="A750" s="6" t="n"/>
      <c r="B750" s="112">
        <f>IF($C750="","","GG"&amp;TEXT(ROW()-6,"00000"))</f>
        <v/>
      </c>
      <c r="C750" s="114" t="n"/>
      <c r="D750" s="107" t="n"/>
      <c r="E750" s="108" t="n"/>
      <c r="F750" s="108" t="n"/>
      <c r="G750" s="115" t="n"/>
      <c r="H750" s="107" t="n"/>
      <c r="I750" s="107" t="n"/>
      <c r="J750" s="108" t="n"/>
      <c r="K750" s="108" t="n"/>
      <c r="L750" s="119">
        <f>IF($C750="","",DATE(YEAR($C750),MONTH($C750),1))</f>
        <v/>
      </c>
      <c r="M750" s="112">
        <f>IF($C750="","",IF(AND($D750&lt;&gt;"",$E750&lt;&gt;"",$G750&gt;0,$H750&lt;&gt;"",$I750&lt;&gt;""),IF($C750&gt;TODAY(),"İLERİ TARİH","UYGUN"),"EKSİK"))</f>
        <v/>
      </c>
      <c r="N750" s="6" t="n"/>
      <c r="O750" s="6" t="n"/>
    </row>
    <row r="751">
      <c r="A751" s="6" t="n"/>
      <c r="B751" s="112">
        <f>IF($C751="","","GG"&amp;TEXT(ROW()-6,"00000"))</f>
        <v/>
      </c>
      <c r="C751" s="114" t="n"/>
      <c r="D751" s="107" t="n"/>
      <c r="E751" s="108" t="n"/>
      <c r="F751" s="108" t="n"/>
      <c r="G751" s="115" t="n"/>
      <c r="H751" s="107" t="n"/>
      <c r="I751" s="107" t="n"/>
      <c r="J751" s="108" t="n"/>
      <c r="K751" s="108" t="n"/>
      <c r="L751" s="119">
        <f>IF($C751="","",DATE(YEAR($C751),MONTH($C751),1))</f>
        <v/>
      </c>
      <c r="M751" s="112">
        <f>IF($C751="","",IF(AND($D751&lt;&gt;"",$E751&lt;&gt;"",$G751&gt;0,$H751&lt;&gt;"",$I751&lt;&gt;""),IF($C751&gt;TODAY(),"İLERİ TARİH","UYGUN"),"EKSİK"))</f>
        <v/>
      </c>
      <c r="N751" s="6" t="n"/>
      <c r="O751" s="6" t="n"/>
    </row>
    <row r="752">
      <c r="A752" s="6" t="n"/>
      <c r="B752" s="112">
        <f>IF($C752="","","GG"&amp;TEXT(ROW()-6,"00000"))</f>
        <v/>
      </c>
      <c r="C752" s="114" t="n"/>
      <c r="D752" s="107" t="n"/>
      <c r="E752" s="108" t="n"/>
      <c r="F752" s="108" t="n"/>
      <c r="G752" s="115" t="n"/>
      <c r="H752" s="107" t="n"/>
      <c r="I752" s="107" t="n"/>
      <c r="J752" s="108" t="n"/>
      <c r="K752" s="108" t="n"/>
      <c r="L752" s="119">
        <f>IF($C752="","",DATE(YEAR($C752),MONTH($C752),1))</f>
        <v/>
      </c>
      <c r="M752" s="112">
        <f>IF($C752="","",IF(AND($D752&lt;&gt;"",$E752&lt;&gt;"",$G752&gt;0,$H752&lt;&gt;"",$I752&lt;&gt;""),IF($C752&gt;TODAY(),"İLERİ TARİH","UYGUN"),"EKSİK"))</f>
        <v/>
      </c>
      <c r="N752" s="6" t="n"/>
      <c r="O752" s="6" t="n"/>
    </row>
    <row r="753">
      <c r="A753" s="6" t="n"/>
      <c r="B753" s="112">
        <f>IF($C753="","","GG"&amp;TEXT(ROW()-6,"00000"))</f>
        <v/>
      </c>
      <c r="C753" s="114" t="n"/>
      <c r="D753" s="107" t="n"/>
      <c r="E753" s="108" t="n"/>
      <c r="F753" s="108" t="n"/>
      <c r="G753" s="115" t="n"/>
      <c r="H753" s="107" t="n"/>
      <c r="I753" s="107" t="n"/>
      <c r="J753" s="108" t="n"/>
      <c r="K753" s="108" t="n"/>
      <c r="L753" s="119">
        <f>IF($C753="","",DATE(YEAR($C753),MONTH($C753),1))</f>
        <v/>
      </c>
      <c r="M753" s="112">
        <f>IF($C753="","",IF(AND($D753&lt;&gt;"",$E753&lt;&gt;"",$G753&gt;0,$H753&lt;&gt;"",$I753&lt;&gt;""),IF($C753&gt;TODAY(),"İLERİ TARİH","UYGUN"),"EKSİK"))</f>
        <v/>
      </c>
      <c r="N753" s="6" t="n"/>
      <c r="O753" s="6" t="n"/>
    </row>
    <row r="754">
      <c r="A754" s="6" t="n"/>
      <c r="B754" s="112">
        <f>IF($C754="","","GG"&amp;TEXT(ROW()-6,"00000"))</f>
        <v/>
      </c>
      <c r="C754" s="114" t="n"/>
      <c r="D754" s="107" t="n"/>
      <c r="E754" s="108" t="n"/>
      <c r="F754" s="108" t="n"/>
      <c r="G754" s="115" t="n"/>
      <c r="H754" s="107" t="n"/>
      <c r="I754" s="107" t="n"/>
      <c r="J754" s="108" t="n"/>
      <c r="K754" s="108" t="n"/>
      <c r="L754" s="119">
        <f>IF($C754="","",DATE(YEAR($C754),MONTH($C754),1))</f>
        <v/>
      </c>
      <c r="M754" s="112">
        <f>IF($C754="","",IF(AND($D754&lt;&gt;"",$E754&lt;&gt;"",$G754&gt;0,$H754&lt;&gt;"",$I754&lt;&gt;""),IF($C754&gt;TODAY(),"İLERİ TARİH","UYGUN"),"EKSİK"))</f>
        <v/>
      </c>
      <c r="N754" s="6" t="n"/>
      <c r="O754" s="6" t="n"/>
    </row>
    <row r="755">
      <c r="A755" s="6" t="n"/>
      <c r="B755" s="112">
        <f>IF($C755="","","GG"&amp;TEXT(ROW()-6,"00000"))</f>
        <v/>
      </c>
      <c r="C755" s="114" t="n"/>
      <c r="D755" s="107" t="n"/>
      <c r="E755" s="108" t="n"/>
      <c r="F755" s="108" t="n"/>
      <c r="G755" s="115" t="n"/>
      <c r="H755" s="107" t="n"/>
      <c r="I755" s="107" t="n"/>
      <c r="J755" s="108" t="n"/>
      <c r="K755" s="108" t="n"/>
      <c r="L755" s="119">
        <f>IF($C755="","",DATE(YEAR($C755),MONTH($C755),1))</f>
        <v/>
      </c>
      <c r="M755" s="112">
        <f>IF($C755="","",IF(AND($D755&lt;&gt;"",$E755&lt;&gt;"",$G755&gt;0,$H755&lt;&gt;"",$I755&lt;&gt;""),IF($C755&gt;TODAY(),"İLERİ TARİH","UYGUN"),"EKSİK"))</f>
        <v/>
      </c>
      <c r="N755" s="6" t="n"/>
      <c r="O755" s="6" t="n"/>
    </row>
    <row r="756">
      <c r="A756" s="6" t="n"/>
      <c r="B756" s="112">
        <f>IF($C756="","","GG"&amp;TEXT(ROW()-6,"00000"))</f>
        <v/>
      </c>
      <c r="C756" s="114" t="n"/>
      <c r="D756" s="107" t="n"/>
      <c r="E756" s="108" t="n"/>
      <c r="F756" s="108" t="n"/>
      <c r="G756" s="115" t="n"/>
      <c r="H756" s="107" t="n"/>
      <c r="I756" s="107" t="n"/>
      <c r="J756" s="108" t="n"/>
      <c r="K756" s="108" t="n"/>
      <c r="L756" s="119">
        <f>IF($C756="","",DATE(YEAR($C756),MONTH($C756),1))</f>
        <v/>
      </c>
      <c r="M756" s="112">
        <f>IF($C756="","",IF(AND($D756&lt;&gt;"",$E756&lt;&gt;"",$G756&gt;0,$H756&lt;&gt;"",$I756&lt;&gt;""),IF($C756&gt;TODAY(),"İLERİ TARİH","UYGUN"),"EKSİK"))</f>
        <v/>
      </c>
      <c r="N756" s="6" t="n"/>
      <c r="O756" s="6" t="n"/>
    </row>
    <row r="757">
      <c r="A757" s="6" t="n"/>
      <c r="B757" s="112">
        <f>IF($C757="","","GG"&amp;TEXT(ROW()-6,"00000"))</f>
        <v/>
      </c>
      <c r="C757" s="114" t="n"/>
      <c r="D757" s="107" t="n"/>
      <c r="E757" s="108" t="n"/>
      <c r="F757" s="108" t="n"/>
      <c r="G757" s="115" t="n"/>
      <c r="H757" s="107" t="n"/>
      <c r="I757" s="107" t="n"/>
      <c r="J757" s="108" t="n"/>
      <c r="K757" s="108" t="n"/>
      <c r="L757" s="119">
        <f>IF($C757="","",DATE(YEAR($C757),MONTH($C757),1))</f>
        <v/>
      </c>
      <c r="M757" s="112">
        <f>IF($C757="","",IF(AND($D757&lt;&gt;"",$E757&lt;&gt;"",$G757&gt;0,$H757&lt;&gt;"",$I757&lt;&gt;""),IF($C757&gt;TODAY(),"İLERİ TARİH","UYGUN"),"EKSİK"))</f>
        <v/>
      </c>
      <c r="N757" s="6" t="n"/>
      <c r="O757" s="6" t="n"/>
    </row>
    <row r="758">
      <c r="A758" s="6" t="n"/>
      <c r="B758" s="112">
        <f>IF($C758="","","GG"&amp;TEXT(ROW()-6,"00000"))</f>
        <v/>
      </c>
      <c r="C758" s="114" t="n"/>
      <c r="D758" s="107" t="n"/>
      <c r="E758" s="108" t="n"/>
      <c r="F758" s="108" t="n"/>
      <c r="G758" s="115" t="n"/>
      <c r="H758" s="107" t="n"/>
      <c r="I758" s="107" t="n"/>
      <c r="J758" s="108" t="n"/>
      <c r="K758" s="108" t="n"/>
      <c r="L758" s="119">
        <f>IF($C758="","",DATE(YEAR($C758),MONTH($C758),1))</f>
        <v/>
      </c>
      <c r="M758" s="112">
        <f>IF($C758="","",IF(AND($D758&lt;&gt;"",$E758&lt;&gt;"",$G758&gt;0,$H758&lt;&gt;"",$I758&lt;&gt;""),IF($C758&gt;TODAY(),"İLERİ TARİH","UYGUN"),"EKSİK"))</f>
        <v/>
      </c>
      <c r="N758" s="6" t="n"/>
      <c r="O758" s="6" t="n"/>
    </row>
    <row r="759">
      <c r="A759" s="6" t="n"/>
      <c r="B759" s="112">
        <f>IF($C759="","","GG"&amp;TEXT(ROW()-6,"00000"))</f>
        <v/>
      </c>
      <c r="C759" s="114" t="n"/>
      <c r="D759" s="107" t="n"/>
      <c r="E759" s="108" t="n"/>
      <c r="F759" s="108" t="n"/>
      <c r="G759" s="115" t="n"/>
      <c r="H759" s="107" t="n"/>
      <c r="I759" s="107" t="n"/>
      <c r="J759" s="108" t="n"/>
      <c r="K759" s="108" t="n"/>
      <c r="L759" s="119">
        <f>IF($C759="","",DATE(YEAR($C759),MONTH($C759),1))</f>
        <v/>
      </c>
      <c r="M759" s="112">
        <f>IF($C759="","",IF(AND($D759&lt;&gt;"",$E759&lt;&gt;"",$G759&gt;0,$H759&lt;&gt;"",$I759&lt;&gt;""),IF($C759&gt;TODAY(),"İLERİ TARİH","UYGUN"),"EKSİK"))</f>
        <v/>
      </c>
      <c r="N759" s="6" t="n"/>
      <c r="O759" s="6" t="n"/>
    </row>
    <row r="760">
      <c r="A760" s="6" t="n"/>
      <c r="B760" s="112">
        <f>IF($C760="","","GG"&amp;TEXT(ROW()-6,"00000"))</f>
        <v/>
      </c>
      <c r="C760" s="114" t="n"/>
      <c r="D760" s="107" t="n"/>
      <c r="E760" s="108" t="n"/>
      <c r="F760" s="108" t="n"/>
      <c r="G760" s="115" t="n"/>
      <c r="H760" s="107" t="n"/>
      <c r="I760" s="107" t="n"/>
      <c r="J760" s="108" t="n"/>
      <c r="K760" s="108" t="n"/>
      <c r="L760" s="119">
        <f>IF($C760="","",DATE(YEAR($C760),MONTH($C760),1))</f>
        <v/>
      </c>
      <c r="M760" s="112">
        <f>IF($C760="","",IF(AND($D760&lt;&gt;"",$E760&lt;&gt;"",$G760&gt;0,$H760&lt;&gt;"",$I760&lt;&gt;""),IF($C760&gt;TODAY(),"İLERİ TARİH","UYGUN"),"EKSİK"))</f>
        <v/>
      </c>
      <c r="N760" s="6" t="n"/>
      <c r="O760" s="6" t="n"/>
    </row>
    <row r="761">
      <c r="A761" s="6" t="n"/>
      <c r="B761" s="112">
        <f>IF($C761="","","GG"&amp;TEXT(ROW()-6,"00000"))</f>
        <v/>
      </c>
      <c r="C761" s="114" t="n"/>
      <c r="D761" s="107" t="n"/>
      <c r="E761" s="108" t="n"/>
      <c r="F761" s="108" t="n"/>
      <c r="G761" s="115" t="n"/>
      <c r="H761" s="107" t="n"/>
      <c r="I761" s="107" t="n"/>
      <c r="J761" s="108" t="n"/>
      <c r="K761" s="108" t="n"/>
      <c r="L761" s="119">
        <f>IF($C761="","",DATE(YEAR($C761),MONTH($C761),1))</f>
        <v/>
      </c>
      <c r="M761" s="112">
        <f>IF($C761="","",IF(AND($D761&lt;&gt;"",$E761&lt;&gt;"",$G761&gt;0,$H761&lt;&gt;"",$I761&lt;&gt;""),IF($C761&gt;TODAY(),"İLERİ TARİH","UYGUN"),"EKSİK"))</f>
        <v/>
      </c>
      <c r="N761" s="6" t="n"/>
      <c r="O761" s="6" t="n"/>
    </row>
    <row r="762">
      <c r="A762" s="6" t="n"/>
      <c r="B762" s="112">
        <f>IF($C762="","","GG"&amp;TEXT(ROW()-6,"00000"))</f>
        <v/>
      </c>
      <c r="C762" s="114" t="n"/>
      <c r="D762" s="107" t="n"/>
      <c r="E762" s="108" t="n"/>
      <c r="F762" s="108" t="n"/>
      <c r="G762" s="115" t="n"/>
      <c r="H762" s="107" t="n"/>
      <c r="I762" s="107" t="n"/>
      <c r="J762" s="108" t="n"/>
      <c r="K762" s="108" t="n"/>
      <c r="L762" s="119">
        <f>IF($C762="","",DATE(YEAR($C762),MONTH($C762),1))</f>
        <v/>
      </c>
      <c r="M762" s="112">
        <f>IF($C762="","",IF(AND($D762&lt;&gt;"",$E762&lt;&gt;"",$G762&gt;0,$H762&lt;&gt;"",$I762&lt;&gt;""),IF($C762&gt;TODAY(),"İLERİ TARİH","UYGUN"),"EKSİK"))</f>
        <v/>
      </c>
      <c r="N762" s="6" t="n"/>
      <c r="O762" s="6" t="n"/>
    </row>
    <row r="763">
      <c r="A763" s="6" t="n"/>
      <c r="B763" s="112">
        <f>IF($C763="","","GG"&amp;TEXT(ROW()-6,"00000"))</f>
        <v/>
      </c>
      <c r="C763" s="114" t="n"/>
      <c r="D763" s="107" t="n"/>
      <c r="E763" s="108" t="n"/>
      <c r="F763" s="108" t="n"/>
      <c r="G763" s="115" t="n"/>
      <c r="H763" s="107" t="n"/>
      <c r="I763" s="107" t="n"/>
      <c r="J763" s="108" t="n"/>
      <c r="K763" s="108" t="n"/>
      <c r="L763" s="119">
        <f>IF($C763="","",DATE(YEAR($C763),MONTH($C763),1))</f>
        <v/>
      </c>
      <c r="M763" s="112">
        <f>IF($C763="","",IF(AND($D763&lt;&gt;"",$E763&lt;&gt;"",$G763&gt;0,$H763&lt;&gt;"",$I763&lt;&gt;""),IF($C763&gt;TODAY(),"İLERİ TARİH","UYGUN"),"EKSİK"))</f>
        <v/>
      </c>
      <c r="N763" s="6" t="n"/>
      <c r="O763" s="6" t="n"/>
    </row>
    <row r="764">
      <c r="A764" s="6" t="n"/>
      <c r="B764" s="112">
        <f>IF($C764="","","GG"&amp;TEXT(ROW()-6,"00000"))</f>
        <v/>
      </c>
      <c r="C764" s="114" t="n"/>
      <c r="D764" s="107" t="n"/>
      <c r="E764" s="108" t="n"/>
      <c r="F764" s="108" t="n"/>
      <c r="G764" s="115" t="n"/>
      <c r="H764" s="107" t="n"/>
      <c r="I764" s="107" t="n"/>
      <c r="J764" s="108" t="n"/>
      <c r="K764" s="108" t="n"/>
      <c r="L764" s="119">
        <f>IF($C764="","",DATE(YEAR($C764),MONTH($C764),1))</f>
        <v/>
      </c>
      <c r="M764" s="112">
        <f>IF($C764="","",IF(AND($D764&lt;&gt;"",$E764&lt;&gt;"",$G764&gt;0,$H764&lt;&gt;"",$I764&lt;&gt;""),IF($C764&gt;TODAY(),"İLERİ TARİH","UYGUN"),"EKSİK"))</f>
        <v/>
      </c>
      <c r="N764" s="6" t="n"/>
      <c r="O764" s="6" t="n"/>
    </row>
    <row r="765">
      <c r="A765" s="6" t="n"/>
      <c r="B765" s="112">
        <f>IF($C765="","","GG"&amp;TEXT(ROW()-6,"00000"))</f>
        <v/>
      </c>
      <c r="C765" s="114" t="n"/>
      <c r="D765" s="107" t="n"/>
      <c r="E765" s="108" t="n"/>
      <c r="F765" s="108" t="n"/>
      <c r="G765" s="115" t="n"/>
      <c r="H765" s="107" t="n"/>
      <c r="I765" s="107" t="n"/>
      <c r="J765" s="108" t="n"/>
      <c r="K765" s="108" t="n"/>
      <c r="L765" s="119">
        <f>IF($C765="","",DATE(YEAR($C765),MONTH($C765),1))</f>
        <v/>
      </c>
      <c r="M765" s="112">
        <f>IF($C765="","",IF(AND($D765&lt;&gt;"",$E765&lt;&gt;"",$G765&gt;0,$H765&lt;&gt;"",$I765&lt;&gt;""),IF($C765&gt;TODAY(),"İLERİ TARİH","UYGUN"),"EKSİK"))</f>
        <v/>
      </c>
      <c r="N765" s="6" t="n"/>
      <c r="O765" s="6" t="n"/>
    </row>
    <row r="766">
      <c r="A766" s="6" t="n"/>
      <c r="B766" s="112">
        <f>IF($C766="","","GG"&amp;TEXT(ROW()-6,"00000"))</f>
        <v/>
      </c>
      <c r="C766" s="114" t="n"/>
      <c r="D766" s="107" t="n"/>
      <c r="E766" s="108" t="n"/>
      <c r="F766" s="108" t="n"/>
      <c r="G766" s="115" t="n"/>
      <c r="H766" s="107" t="n"/>
      <c r="I766" s="107" t="n"/>
      <c r="J766" s="108" t="n"/>
      <c r="K766" s="108" t="n"/>
      <c r="L766" s="119">
        <f>IF($C766="","",DATE(YEAR($C766),MONTH($C766),1))</f>
        <v/>
      </c>
      <c r="M766" s="112">
        <f>IF($C766="","",IF(AND($D766&lt;&gt;"",$E766&lt;&gt;"",$G766&gt;0,$H766&lt;&gt;"",$I766&lt;&gt;""),IF($C766&gt;TODAY(),"İLERİ TARİH","UYGUN"),"EKSİK"))</f>
        <v/>
      </c>
      <c r="N766" s="6" t="n"/>
      <c r="O766" s="6" t="n"/>
    </row>
    <row r="767">
      <c r="A767" s="6" t="n"/>
      <c r="B767" s="112">
        <f>IF($C767="","","GG"&amp;TEXT(ROW()-6,"00000"))</f>
        <v/>
      </c>
      <c r="C767" s="114" t="n"/>
      <c r="D767" s="107" t="n"/>
      <c r="E767" s="108" t="n"/>
      <c r="F767" s="108" t="n"/>
      <c r="G767" s="115" t="n"/>
      <c r="H767" s="107" t="n"/>
      <c r="I767" s="107" t="n"/>
      <c r="J767" s="108" t="n"/>
      <c r="K767" s="108" t="n"/>
      <c r="L767" s="119">
        <f>IF($C767="","",DATE(YEAR($C767),MONTH($C767),1))</f>
        <v/>
      </c>
      <c r="M767" s="112">
        <f>IF($C767="","",IF(AND($D767&lt;&gt;"",$E767&lt;&gt;"",$G767&gt;0,$H767&lt;&gt;"",$I767&lt;&gt;""),IF($C767&gt;TODAY(),"İLERİ TARİH","UYGUN"),"EKSİK"))</f>
        <v/>
      </c>
      <c r="N767" s="6" t="n"/>
      <c r="O767" s="6" t="n"/>
    </row>
    <row r="768">
      <c r="A768" s="6" t="n"/>
      <c r="B768" s="112">
        <f>IF($C768="","","GG"&amp;TEXT(ROW()-6,"00000"))</f>
        <v/>
      </c>
      <c r="C768" s="114" t="n"/>
      <c r="D768" s="107" t="n"/>
      <c r="E768" s="108" t="n"/>
      <c r="F768" s="108" t="n"/>
      <c r="G768" s="115" t="n"/>
      <c r="H768" s="107" t="n"/>
      <c r="I768" s="107" t="n"/>
      <c r="J768" s="108" t="n"/>
      <c r="K768" s="108" t="n"/>
      <c r="L768" s="119">
        <f>IF($C768="","",DATE(YEAR($C768),MONTH($C768),1))</f>
        <v/>
      </c>
      <c r="M768" s="112">
        <f>IF($C768="","",IF(AND($D768&lt;&gt;"",$E768&lt;&gt;"",$G768&gt;0,$H768&lt;&gt;"",$I768&lt;&gt;""),IF($C768&gt;TODAY(),"İLERİ TARİH","UYGUN"),"EKSİK"))</f>
        <v/>
      </c>
      <c r="N768" s="6" t="n"/>
      <c r="O768" s="6" t="n"/>
    </row>
    <row r="769">
      <c r="A769" s="6" t="n"/>
      <c r="B769" s="112">
        <f>IF($C769="","","GG"&amp;TEXT(ROW()-6,"00000"))</f>
        <v/>
      </c>
      <c r="C769" s="114" t="n"/>
      <c r="D769" s="107" t="n"/>
      <c r="E769" s="108" t="n"/>
      <c r="F769" s="108" t="n"/>
      <c r="G769" s="115" t="n"/>
      <c r="H769" s="107" t="n"/>
      <c r="I769" s="107" t="n"/>
      <c r="J769" s="108" t="n"/>
      <c r="K769" s="108" t="n"/>
      <c r="L769" s="119">
        <f>IF($C769="","",DATE(YEAR($C769),MONTH($C769),1))</f>
        <v/>
      </c>
      <c r="M769" s="112">
        <f>IF($C769="","",IF(AND($D769&lt;&gt;"",$E769&lt;&gt;"",$G769&gt;0,$H769&lt;&gt;"",$I769&lt;&gt;""),IF($C769&gt;TODAY(),"İLERİ TARİH","UYGUN"),"EKSİK"))</f>
        <v/>
      </c>
      <c r="N769" s="6" t="n"/>
      <c r="O769" s="6" t="n"/>
    </row>
    <row r="770">
      <c r="A770" s="6" t="n"/>
      <c r="B770" s="112">
        <f>IF($C770="","","GG"&amp;TEXT(ROW()-6,"00000"))</f>
        <v/>
      </c>
      <c r="C770" s="114" t="n"/>
      <c r="D770" s="107" t="n"/>
      <c r="E770" s="108" t="n"/>
      <c r="F770" s="108" t="n"/>
      <c r="G770" s="115" t="n"/>
      <c r="H770" s="107" t="n"/>
      <c r="I770" s="107" t="n"/>
      <c r="J770" s="108" t="n"/>
      <c r="K770" s="108" t="n"/>
      <c r="L770" s="119">
        <f>IF($C770="","",DATE(YEAR($C770),MONTH($C770),1))</f>
        <v/>
      </c>
      <c r="M770" s="112">
        <f>IF($C770="","",IF(AND($D770&lt;&gt;"",$E770&lt;&gt;"",$G770&gt;0,$H770&lt;&gt;"",$I770&lt;&gt;""),IF($C770&gt;TODAY(),"İLERİ TARİH","UYGUN"),"EKSİK"))</f>
        <v/>
      </c>
      <c r="N770" s="6" t="n"/>
      <c r="O770" s="6" t="n"/>
    </row>
    <row r="771">
      <c r="A771" s="6" t="n"/>
      <c r="B771" s="112">
        <f>IF($C771="","","GG"&amp;TEXT(ROW()-6,"00000"))</f>
        <v/>
      </c>
      <c r="C771" s="114" t="n"/>
      <c r="D771" s="107" t="n"/>
      <c r="E771" s="108" t="n"/>
      <c r="F771" s="108" t="n"/>
      <c r="G771" s="115" t="n"/>
      <c r="H771" s="107" t="n"/>
      <c r="I771" s="107" t="n"/>
      <c r="J771" s="108" t="n"/>
      <c r="K771" s="108" t="n"/>
      <c r="L771" s="119">
        <f>IF($C771="","",DATE(YEAR($C771),MONTH($C771),1))</f>
        <v/>
      </c>
      <c r="M771" s="112">
        <f>IF($C771="","",IF(AND($D771&lt;&gt;"",$E771&lt;&gt;"",$G771&gt;0,$H771&lt;&gt;"",$I771&lt;&gt;""),IF($C771&gt;TODAY(),"İLERİ TARİH","UYGUN"),"EKSİK"))</f>
        <v/>
      </c>
      <c r="N771" s="6" t="n"/>
      <c r="O771" s="6" t="n"/>
    </row>
    <row r="772">
      <c r="A772" s="6" t="n"/>
      <c r="B772" s="112">
        <f>IF($C772="","","GG"&amp;TEXT(ROW()-6,"00000"))</f>
        <v/>
      </c>
      <c r="C772" s="114" t="n"/>
      <c r="D772" s="107" t="n"/>
      <c r="E772" s="108" t="n"/>
      <c r="F772" s="108" t="n"/>
      <c r="G772" s="115" t="n"/>
      <c r="H772" s="107" t="n"/>
      <c r="I772" s="107" t="n"/>
      <c r="J772" s="108" t="n"/>
      <c r="K772" s="108" t="n"/>
      <c r="L772" s="119">
        <f>IF($C772="","",DATE(YEAR($C772),MONTH($C772),1))</f>
        <v/>
      </c>
      <c r="M772" s="112">
        <f>IF($C772="","",IF(AND($D772&lt;&gt;"",$E772&lt;&gt;"",$G772&gt;0,$H772&lt;&gt;"",$I772&lt;&gt;""),IF($C772&gt;TODAY(),"İLERİ TARİH","UYGUN"),"EKSİK"))</f>
        <v/>
      </c>
      <c r="N772" s="6" t="n"/>
      <c r="O772" s="6" t="n"/>
    </row>
    <row r="773">
      <c r="A773" s="6" t="n"/>
      <c r="B773" s="112">
        <f>IF($C773="","","GG"&amp;TEXT(ROW()-6,"00000"))</f>
        <v/>
      </c>
      <c r="C773" s="114" t="n"/>
      <c r="D773" s="107" t="n"/>
      <c r="E773" s="108" t="n"/>
      <c r="F773" s="108" t="n"/>
      <c r="G773" s="115" t="n"/>
      <c r="H773" s="107" t="n"/>
      <c r="I773" s="107" t="n"/>
      <c r="J773" s="108" t="n"/>
      <c r="K773" s="108" t="n"/>
      <c r="L773" s="119">
        <f>IF($C773="","",DATE(YEAR($C773),MONTH($C773),1))</f>
        <v/>
      </c>
      <c r="M773" s="112">
        <f>IF($C773="","",IF(AND($D773&lt;&gt;"",$E773&lt;&gt;"",$G773&gt;0,$H773&lt;&gt;"",$I773&lt;&gt;""),IF($C773&gt;TODAY(),"İLERİ TARİH","UYGUN"),"EKSİK"))</f>
        <v/>
      </c>
      <c r="N773" s="6" t="n"/>
      <c r="O773" s="6" t="n"/>
    </row>
    <row r="774">
      <c r="A774" s="6" t="n"/>
      <c r="B774" s="112">
        <f>IF($C774="","","GG"&amp;TEXT(ROW()-6,"00000"))</f>
        <v/>
      </c>
      <c r="C774" s="114" t="n"/>
      <c r="D774" s="107" t="n"/>
      <c r="E774" s="108" t="n"/>
      <c r="F774" s="108" t="n"/>
      <c r="G774" s="115" t="n"/>
      <c r="H774" s="107" t="n"/>
      <c r="I774" s="107" t="n"/>
      <c r="J774" s="108" t="n"/>
      <c r="K774" s="108" t="n"/>
      <c r="L774" s="119">
        <f>IF($C774="","",DATE(YEAR($C774),MONTH($C774),1))</f>
        <v/>
      </c>
      <c r="M774" s="112">
        <f>IF($C774="","",IF(AND($D774&lt;&gt;"",$E774&lt;&gt;"",$G774&gt;0,$H774&lt;&gt;"",$I774&lt;&gt;""),IF($C774&gt;TODAY(),"İLERİ TARİH","UYGUN"),"EKSİK"))</f>
        <v/>
      </c>
      <c r="N774" s="6" t="n"/>
      <c r="O774" s="6" t="n"/>
    </row>
    <row r="775">
      <c r="A775" s="6" t="n"/>
      <c r="B775" s="112">
        <f>IF($C775="","","GG"&amp;TEXT(ROW()-6,"00000"))</f>
        <v/>
      </c>
      <c r="C775" s="114" t="n"/>
      <c r="D775" s="107" t="n"/>
      <c r="E775" s="108" t="n"/>
      <c r="F775" s="108" t="n"/>
      <c r="G775" s="115" t="n"/>
      <c r="H775" s="107" t="n"/>
      <c r="I775" s="107" t="n"/>
      <c r="J775" s="108" t="n"/>
      <c r="K775" s="108" t="n"/>
      <c r="L775" s="119">
        <f>IF($C775="","",DATE(YEAR($C775),MONTH($C775),1))</f>
        <v/>
      </c>
      <c r="M775" s="112">
        <f>IF($C775="","",IF(AND($D775&lt;&gt;"",$E775&lt;&gt;"",$G775&gt;0,$H775&lt;&gt;"",$I775&lt;&gt;""),IF($C775&gt;TODAY(),"İLERİ TARİH","UYGUN"),"EKSİK"))</f>
        <v/>
      </c>
      <c r="N775" s="6" t="n"/>
      <c r="O775" s="6" t="n"/>
    </row>
    <row r="776">
      <c r="A776" s="6" t="n"/>
      <c r="B776" s="112">
        <f>IF($C776="","","GG"&amp;TEXT(ROW()-6,"00000"))</f>
        <v/>
      </c>
      <c r="C776" s="114" t="n"/>
      <c r="D776" s="107" t="n"/>
      <c r="E776" s="108" t="n"/>
      <c r="F776" s="108" t="n"/>
      <c r="G776" s="115" t="n"/>
      <c r="H776" s="107" t="n"/>
      <c r="I776" s="107" t="n"/>
      <c r="J776" s="108" t="n"/>
      <c r="K776" s="108" t="n"/>
      <c r="L776" s="119">
        <f>IF($C776="","",DATE(YEAR($C776),MONTH($C776),1))</f>
        <v/>
      </c>
      <c r="M776" s="112">
        <f>IF($C776="","",IF(AND($D776&lt;&gt;"",$E776&lt;&gt;"",$G776&gt;0,$H776&lt;&gt;"",$I776&lt;&gt;""),IF($C776&gt;TODAY(),"İLERİ TARİH","UYGUN"),"EKSİK"))</f>
        <v/>
      </c>
      <c r="N776" s="6" t="n"/>
      <c r="O776" s="6" t="n"/>
    </row>
    <row r="777">
      <c r="A777" s="6" t="n"/>
      <c r="B777" s="112">
        <f>IF($C777="","","GG"&amp;TEXT(ROW()-6,"00000"))</f>
        <v/>
      </c>
      <c r="C777" s="114" t="n"/>
      <c r="D777" s="107" t="n"/>
      <c r="E777" s="108" t="n"/>
      <c r="F777" s="108" t="n"/>
      <c r="G777" s="115" t="n"/>
      <c r="H777" s="107" t="n"/>
      <c r="I777" s="107" t="n"/>
      <c r="J777" s="108" t="n"/>
      <c r="K777" s="108" t="n"/>
      <c r="L777" s="119">
        <f>IF($C777="","",DATE(YEAR($C777),MONTH($C777),1))</f>
        <v/>
      </c>
      <c r="M777" s="112">
        <f>IF($C777="","",IF(AND($D777&lt;&gt;"",$E777&lt;&gt;"",$G777&gt;0,$H777&lt;&gt;"",$I777&lt;&gt;""),IF($C777&gt;TODAY(),"İLERİ TARİH","UYGUN"),"EKSİK"))</f>
        <v/>
      </c>
      <c r="N777" s="6" t="n"/>
      <c r="O777" s="6" t="n"/>
    </row>
    <row r="778">
      <c r="A778" s="6" t="n"/>
      <c r="B778" s="112">
        <f>IF($C778="","","GG"&amp;TEXT(ROW()-6,"00000"))</f>
        <v/>
      </c>
      <c r="C778" s="114" t="n"/>
      <c r="D778" s="107" t="n"/>
      <c r="E778" s="108" t="n"/>
      <c r="F778" s="108" t="n"/>
      <c r="G778" s="115" t="n"/>
      <c r="H778" s="107" t="n"/>
      <c r="I778" s="107" t="n"/>
      <c r="J778" s="108" t="n"/>
      <c r="K778" s="108" t="n"/>
      <c r="L778" s="119">
        <f>IF($C778="","",DATE(YEAR($C778),MONTH($C778),1))</f>
        <v/>
      </c>
      <c r="M778" s="112">
        <f>IF($C778="","",IF(AND($D778&lt;&gt;"",$E778&lt;&gt;"",$G778&gt;0,$H778&lt;&gt;"",$I778&lt;&gt;""),IF($C778&gt;TODAY(),"İLERİ TARİH","UYGUN"),"EKSİK"))</f>
        <v/>
      </c>
      <c r="N778" s="6" t="n"/>
      <c r="O778" s="6" t="n"/>
    </row>
    <row r="779">
      <c r="A779" s="6" t="n"/>
      <c r="B779" s="112">
        <f>IF($C779="","","GG"&amp;TEXT(ROW()-6,"00000"))</f>
        <v/>
      </c>
      <c r="C779" s="114" t="n"/>
      <c r="D779" s="107" t="n"/>
      <c r="E779" s="108" t="n"/>
      <c r="F779" s="108" t="n"/>
      <c r="G779" s="115" t="n"/>
      <c r="H779" s="107" t="n"/>
      <c r="I779" s="107" t="n"/>
      <c r="J779" s="108" t="n"/>
      <c r="K779" s="108" t="n"/>
      <c r="L779" s="119">
        <f>IF($C779="","",DATE(YEAR($C779),MONTH($C779),1))</f>
        <v/>
      </c>
      <c r="M779" s="112">
        <f>IF($C779="","",IF(AND($D779&lt;&gt;"",$E779&lt;&gt;"",$G779&gt;0,$H779&lt;&gt;"",$I779&lt;&gt;""),IF($C779&gt;TODAY(),"İLERİ TARİH","UYGUN"),"EKSİK"))</f>
        <v/>
      </c>
      <c r="N779" s="6" t="n"/>
      <c r="O779" s="6" t="n"/>
    </row>
    <row r="780">
      <c r="A780" s="6" t="n"/>
      <c r="B780" s="112">
        <f>IF($C780="","","GG"&amp;TEXT(ROW()-6,"00000"))</f>
        <v/>
      </c>
      <c r="C780" s="114" t="n"/>
      <c r="D780" s="107" t="n"/>
      <c r="E780" s="108" t="n"/>
      <c r="F780" s="108" t="n"/>
      <c r="G780" s="115" t="n"/>
      <c r="H780" s="107" t="n"/>
      <c r="I780" s="107" t="n"/>
      <c r="J780" s="108" t="n"/>
      <c r="K780" s="108" t="n"/>
      <c r="L780" s="119">
        <f>IF($C780="","",DATE(YEAR($C780),MONTH($C780),1))</f>
        <v/>
      </c>
      <c r="M780" s="112">
        <f>IF($C780="","",IF(AND($D780&lt;&gt;"",$E780&lt;&gt;"",$G780&gt;0,$H780&lt;&gt;"",$I780&lt;&gt;""),IF($C780&gt;TODAY(),"İLERİ TARİH","UYGUN"),"EKSİK"))</f>
        <v/>
      </c>
      <c r="N780" s="6" t="n"/>
      <c r="O780" s="6" t="n"/>
    </row>
    <row r="781">
      <c r="A781" s="6" t="n"/>
      <c r="B781" s="112">
        <f>IF($C781="","","GG"&amp;TEXT(ROW()-6,"00000"))</f>
        <v/>
      </c>
      <c r="C781" s="114" t="n"/>
      <c r="D781" s="107" t="n"/>
      <c r="E781" s="108" t="n"/>
      <c r="F781" s="108" t="n"/>
      <c r="G781" s="115" t="n"/>
      <c r="H781" s="107" t="n"/>
      <c r="I781" s="107" t="n"/>
      <c r="J781" s="108" t="n"/>
      <c r="K781" s="108" t="n"/>
      <c r="L781" s="119">
        <f>IF($C781="","",DATE(YEAR($C781),MONTH($C781),1))</f>
        <v/>
      </c>
      <c r="M781" s="112">
        <f>IF($C781="","",IF(AND($D781&lt;&gt;"",$E781&lt;&gt;"",$G781&gt;0,$H781&lt;&gt;"",$I781&lt;&gt;""),IF($C781&gt;TODAY(),"İLERİ TARİH","UYGUN"),"EKSİK"))</f>
        <v/>
      </c>
      <c r="N781" s="6" t="n"/>
      <c r="O781" s="6" t="n"/>
    </row>
    <row r="782">
      <c r="A782" s="6" t="n"/>
      <c r="B782" s="112">
        <f>IF($C782="","","GG"&amp;TEXT(ROW()-6,"00000"))</f>
        <v/>
      </c>
      <c r="C782" s="114" t="n"/>
      <c r="D782" s="107" t="n"/>
      <c r="E782" s="108" t="n"/>
      <c r="F782" s="108" t="n"/>
      <c r="G782" s="115" t="n"/>
      <c r="H782" s="107" t="n"/>
      <c r="I782" s="107" t="n"/>
      <c r="J782" s="108" t="n"/>
      <c r="K782" s="108" t="n"/>
      <c r="L782" s="119">
        <f>IF($C782="","",DATE(YEAR($C782),MONTH($C782),1))</f>
        <v/>
      </c>
      <c r="M782" s="112">
        <f>IF($C782="","",IF(AND($D782&lt;&gt;"",$E782&lt;&gt;"",$G782&gt;0,$H782&lt;&gt;"",$I782&lt;&gt;""),IF($C782&gt;TODAY(),"İLERİ TARİH","UYGUN"),"EKSİK"))</f>
        <v/>
      </c>
      <c r="N782" s="6" t="n"/>
      <c r="O782" s="6" t="n"/>
    </row>
    <row r="783">
      <c r="A783" s="6" t="n"/>
      <c r="B783" s="112">
        <f>IF($C783="","","GG"&amp;TEXT(ROW()-6,"00000"))</f>
        <v/>
      </c>
      <c r="C783" s="114" t="n"/>
      <c r="D783" s="107" t="n"/>
      <c r="E783" s="108" t="n"/>
      <c r="F783" s="108" t="n"/>
      <c r="G783" s="115" t="n"/>
      <c r="H783" s="107" t="n"/>
      <c r="I783" s="107" t="n"/>
      <c r="J783" s="108" t="n"/>
      <c r="K783" s="108" t="n"/>
      <c r="L783" s="119">
        <f>IF($C783="","",DATE(YEAR($C783),MONTH($C783),1))</f>
        <v/>
      </c>
      <c r="M783" s="112">
        <f>IF($C783="","",IF(AND($D783&lt;&gt;"",$E783&lt;&gt;"",$G783&gt;0,$H783&lt;&gt;"",$I783&lt;&gt;""),IF($C783&gt;TODAY(),"İLERİ TARİH","UYGUN"),"EKSİK"))</f>
        <v/>
      </c>
      <c r="N783" s="6" t="n"/>
      <c r="O783" s="6" t="n"/>
    </row>
    <row r="784">
      <c r="A784" s="6" t="n"/>
      <c r="B784" s="112">
        <f>IF($C784="","","GG"&amp;TEXT(ROW()-6,"00000"))</f>
        <v/>
      </c>
      <c r="C784" s="114" t="n"/>
      <c r="D784" s="107" t="n"/>
      <c r="E784" s="108" t="n"/>
      <c r="F784" s="108" t="n"/>
      <c r="G784" s="115" t="n"/>
      <c r="H784" s="107" t="n"/>
      <c r="I784" s="107" t="n"/>
      <c r="J784" s="108" t="n"/>
      <c r="K784" s="108" t="n"/>
      <c r="L784" s="119">
        <f>IF($C784="","",DATE(YEAR($C784),MONTH($C784),1))</f>
        <v/>
      </c>
      <c r="M784" s="112">
        <f>IF($C784="","",IF(AND($D784&lt;&gt;"",$E784&lt;&gt;"",$G784&gt;0,$H784&lt;&gt;"",$I784&lt;&gt;""),IF($C784&gt;TODAY(),"İLERİ TARİH","UYGUN"),"EKSİK"))</f>
        <v/>
      </c>
      <c r="N784" s="6" t="n"/>
      <c r="O784" s="6" t="n"/>
    </row>
    <row r="785">
      <c r="A785" s="6" t="n"/>
      <c r="B785" s="112">
        <f>IF($C785="","","GG"&amp;TEXT(ROW()-6,"00000"))</f>
        <v/>
      </c>
      <c r="C785" s="114" t="n"/>
      <c r="D785" s="107" t="n"/>
      <c r="E785" s="108" t="n"/>
      <c r="F785" s="108" t="n"/>
      <c r="G785" s="115" t="n"/>
      <c r="H785" s="107" t="n"/>
      <c r="I785" s="107" t="n"/>
      <c r="J785" s="108" t="n"/>
      <c r="K785" s="108" t="n"/>
      <c r="L785" s="119">
        <f>IF($C785="","",DATE(YEAR($C785),MONTH($C785),1))</f>
        <v/>
      </c>
      <c r="M785" s="112">
        <f>IF($C785="","",IF(AND($D785&lt;&gt;"",$E785&lt;&gt;"",$G785&gt;0,$H785&lt;&gt;"",$I785&lt;&gt;""),IF($C785&gt;TODAY(),"İLERİ TARİH","UYGUN"),"EKSİK"))</f>
        <v/>
      </c>
      <c r="N785" s="6" t="n"/>
      <c r="O785" s="6" t="n"/>
    </row>
    <row r="786">
      <c r="A786" s="6" t="n"/>
      <c r="B786" s="112">
        <f>IF($C786="","","GG"&amp;TEXT(ROW()-6,"00000"))</f>
        <v/>
      </c>
      <c r="C786" s="114" t="n"/>
      <c r="D786" s="107" t="n"/>
      <c r="E786" s="108" t="n"/>
      <c r="F786" s="108" t="n"/>
      <c r="G786" s="115" t="n"/>
      <c r="H786" s="107" t="n"/>
      <c r="I786" s="107" t="n"/>
      <c r="J786" s="108" t="n"/>
      <c r="K786" s="108" t="n"/>
      <c r="L786" s="119">
        <f>IF($C786="","",DATE(YEAR($C786),MONTH($C786),1))</f>
        <v/>
      </c>
      <c r="M786" s="112">
        <f>IF($C786="","",IF(AND($D786&lt;&gt;"",$E786&lt;&gt;"",$G786&gt;0,$H786&lt;&gt;"",$I786&lt;&gt;""),IF($C786&gt;TODAY(),"İLERİ TARİH","UYGUN"),"EKSİK"))</f>
        <v/>
      </c>
      <c r="N786" s="6" t="n"/>
      <c r="O786" s="6" t="n"/>
    </row>
    <row r="787">
      <c r="A787" s="6" t="n"/>
      <c r="B787" s="112">
        <f>IF($C787="","","GG"&amp;TEXT(ROW()-6,"00000"))</f>
        <v/>
      </c>
      <c r="C787" s="114" t="n"/>
      <c r="D787" s="107" t="n"/>
      <c r="E787" s="108" t="n"/>
      <c r="F787" s="108" t="n"/>
      <c r="G787" s="115" t="n"/>
      <c r="H787" s="107" t="n"/>
      <c r="I787" s="107" t="n"/>
      <c r="J787" s="108" t="n"/>
      <c r="K787" s="108" t="n"/>
      <c r="L787" s="119">
        <f>IF($C787="","",DATE(YEAR($C787),MONTH($C787),1))</f>
        <v/>
      </c>
      <c r="M787" s="112">
        <f>IF($C787="","",IF(AND($D787&lt;&gt;"",$E787&lt;&gt;"",$G787&gt;0,$H787&lt;&gt;"",$I787&lt;&gt;""),IF($C787&gt;TODAY(),"İLERİ TARİH","UYGUN"),"EKSİK"))</f>
        <v/>
      </c>
      <c r="N787" s="6" t="n"/>
      <c r="O787" s="6" t="n"/>
    </row>
    <row r="788">
      <c r="A788" s="6" t="n"/>
      <c r="B788" s="112">
        <f>IF($C788="","","GG"&amp;TEXT(ROW()-6,"00000"))</f>
        <v/>
      </c>
      <c r="C788" s="114" t="n"/>
      <c r="D788" s="107" t="n"/>
      <c r="E788" s="108" t="n"/>
      <c r="F788" s="108" t="n"/>
      <c r="G788" s="115" t="n"/>
      <c r="H788" s="107" t="n"/>
      <c r="I788" s="107" t="n"/>
      <c r="J788" s="108" t="n"/>
      <c r="K788" s="108" t="n"/>
      <c r="L788" s="119">
        <f>IF($C788="","",DATE(YEAR($C788),MONTH($C788),1))</f>
        <v/>
      </c>
      <c r="M788" s="112">
        <f>IF($C788="","",IF(AND($D788&lt;&gt;"",$E788&lt;&gt;"",$G788&gt;0,$H788&lt;&gt;"",$I788&lt;&gt;""),IF($C788&gt;TODAY(),"İLERİ TARİH","UYGUN"),"EKSİK"))</f>
        <v/>
      </c>
      <c r="N788" s="6" t="n"/>
      <c r="O788" s="6" t="n"/>
    </row>
    <row r="789">
      <c r="A789" s="6" t="n"/>
      <c r="B789" s="112">
        <f>IF($C789="","","GG"&amp;TEXT(ROW()-6,"00000"))</f>
        <v/>
      </c>
      <c r="C789" s="114" t="n"/>
      <c r="D789" s="107" t="n"/>
      <c r="E789" s="108" t="n"/>
      <c r="F789" s="108" t="n"/>
      <c r="G789" s="115" t="n"/>
      <c r="H789" s="107" t="n"/>
      <c r="I789" s="107" t="n"/>
      <c r="J789" s="108" t="n"/>
      <c r="K789" s="108" t="n"/>
      <c r="L789" s="119">
        <f>IF($C789="","",DATE(YEAR($C789),MONTH($C789),1))</f>
        <v/>
      </c>
      <c r="M789" s="112">
        <f>IF($C789="","",IF(AND($D789&lt;&gt;"",$E789&lt;&gt;"",$G789&gt;0,$H789&lt;&gt;"",$I789&lt;&gt;""),IF($C789&gt;TODAY(),"İLERİ TARİH","UYGUN"),"EKSİK"))</f>
        <v/>
      </c>
      <c r="N789" s="6" t="n"/>
      <c r="O789" s="6" t="n"/>
    </row>
    <row r="790">
      <c r="A790" s="6" t="n"/>
      <c r="B790" s="112">
        <f>IF($C790="","","GG"&amp;TEXT(ROW()-6,"00000"))</f>
        <v/>
      </c>
      <c r="C790" s="114" t="n"/>
      <c r="D790" s="107" t="n"/>
      <c r="E790" s="108" t="n"/>
      <c r="F790" s="108" t="n"/>
      <c r="G790" s="115" t="n"/>
      <c r="H790" s="107" t="n"/>
      <c r="I790" s="107" t="n"/>
      <c r="J790" s="108" t="n"/>
      <c r="K790" s="108" t="n"/>
      <c r="L790" s="119">
        <f>IF($C790="","",DATE(YEAR($C790),MONTH($C790),1))</f>
        <v/>
      </c>
      <c r="M790" s="112">
        <f>IF($C790="","",IF(AND($D790&lt;&gt;"",$E790&lt;&gt;"",$G790&gt;0,$H790&lt;&gt;"",$I790&lt;&gt;""),IF($C790&gt;TODAY(),"İLERİ TARİH","UYGUN"),"EKSİK"))</f>
        <v/>
      </c>
      <c r="N790" s="6" t="n"/>
      <c r="O790" s="6" t="n"/>
    </row>
    <row r="791">
      <c r="A791" s="6" t="n"/>
      <c r="B791" s="112">
        <f>IF($C791="","","GG"&amp;TEXT(ROW()-6,"00000"))</f>
        <v/>
      </c>
      <c r="C791" s="114" t="n"/>
      <c r="D791" s="107" t="n"/>
      <c r="E791" s="108" t="n"/>
      <c r="F791" s="108" t="n"/>
      <c r="G791" s="115" t="n"/>
      <c r="H791" s="107" t="n"/>
      <c r="I791" s="107" t="n"/>
      <c r="J791" s="108" t="n"/>
      <c r="K791" s="108" t="n"/>
      <c r="L791" s="119">
        <f>IF($C791="","",DATE(YEAR($C791),MONTH($C791),1))</f>
        <v/>
      </c>
      <c r="M791" s="112">
        <f>IF($C791="","",IF(AND($D791&lt;&gt;"",$E791&lt;&gt;"",$G791&gt;0,$H791&lt;&gt;"",$I791&lt;&gt;""),IF($C791&gt;TODAY(),"İLERİ TARİH","UYGUN"),"EKSİK"))</f>
        <v/>
      </c>
      <c r="N791" s="6" t="n"/>
      <c r="O791" s="6" t="n"/>
    </row>
    <row r="792">
      <c r="A792" s="6" t="n"/>
      <c r="B792" s="112">
        <f>IF($C792="","","GG"&amp;TEXT(ROW()-6,"00000"))</f>
        <v/>
      </c>
      <c r="C792" s="114" t="n"/>
      <c r="D792" s="107" t="n"/>
      <c r="E792" s="108" t="n"/>
      <c r="F792" s="108" t="n"/>
      <c r="G792" s="115" t="n"/>
      <c r="H792" s="107" t="n"/>
      <c r="I792" s="107" t="n"/>
      <c r="J792" s="108" t="n"/>
      <c r="K792" s="108" t="n"/>
      <c r="L792" s="119">
        <f>IF($C792="","",DATE(YEAR($C792),MONTH($C792),1))</f>
        <v/>
      </c>
      <c r="M792" s="112">
        <f>IF($C792="","",IF(AND($D792&lt;&gt;"",$E792&lt;&gt;"",$G792&gt;0,$H792&lt;&gt;"",$I792&lt;&gt;""),IF($C792&gt;TODAY(),"İLERİ TARİH","UYGUN"),"EKSİK"))</f>
        <v/>
      </c>
      <c r="N792" s="6" t="n"/>
      <c r="O792" s="6" t="n"/>
    </row>
    <row r="793">
      <c r="A793" s="6" t="n"/>
      <c r="B793" s="112">
        <f>IF($C793="","","GG"&amp;TEXT(ROW()-6,"00000"))</f>
        <v/>
      </c>
      <c r="C793" s="114" t="n"/>
      <c r="D793" s="107" t="n"/>
      <c r="E793" s="108" t="n"/>
      <c r="F793" s="108" t="n"/>
      <c r="G793" s="115" t="n"/>
      <c r="H793" s="107" t="n"/>
      <c r="I793" s="107" t="n"/>
      <c r="J793" s="108" t="n"/>
      <c r="K793" s="108" t="n"/>
      <c r="L793" s="119">
        <f>IF($C793="","",DATE(YEAR($C793),MONTH($C793),1))</f>
        <v/>
      </c>
      <c r="M793" s="112">
        <f>IF($C793="","",IF(AND($D793&lt;&gt;"",$E793&lt;&gt;"",$G793&gt;0,$H793&lt;&gt;"",$I793&lt;&gt;""),IF($C793&gt;TODAY(),"İLERİ TARİH","UYGUN"),"EKSİK"))</f>
        <v/>
      </c>
      <c r="N793" s="6" t="n"/>
      <c r="O793" s="6" t="n"/>
    </row>
    <row r="794">
      <c r="A794" s="6" t="n"/>
      <c r="B794" s="112">
        <f>IF($C794="","","GG"&amp;TEXT(ROW()-6,"00000"))</f>
        <v/>
      </c>
      <c r="C794" s="114" t="n"/>
      <c r="D794" s="107" t="n"/>
      <c r="E794" s="108" t="n"/>
      <c r="F794" s="108" t="n"/>
      <c r="G794" s="115" t="n"/>
      <c r="H794" s="107" t="n"/>
      <c r="I794" s="107" t="n"/>
      <c r="J794" s="108" t="n"/>
      <c r="K794" s="108" t="n"/>
      <c r="L794" s="119">
        <f>IF($C794="","",DATE(YEAR($C794),MONTH($C794),1))</f>
        <v/>
      </c>
      <c r="M794" s="112">
        <f>IF($C794="","",IF(AND($D794&lt;&gt;"",$E794&lt;&gt;"",$G794&gt;0,$H794&lt;&gt;"",$I794&lt;&gt;""),IF($C794&gt;TODAY(),"İLERİ TARİH","UYGUN"),"EKSİK"))</f>
        <v/>
      </c>
      <c r="N794" s="6" t="n"/>
      <c r="O794" s="6" t="n"/>
    </row>
    <row r="795">
      <c r="A795" s="6" t="n"/>
      <c r="B795" s="112">
        <f>IF($C795="","","GG"&amp;TEXT(ROW()-6,"00000"))</f>
        <v/>
      </c>
      <c r="C795" s="114" t="n"/>
      <c r="D795" s="107" t="n"/>
      <c r="E795" s="108" t="n"/>
      <c r="F795" s="108" t="n"/>
      <c r="G795" s="115" t="n"/>
      <c r="H795" s="107" t="n"/>
      <c r="I795" s="107" t="n"/>
      <c r="J795" s="108" t="n"/>
      <c r="K795" s="108" t="n"/>
      <c r="L795" s="119">
        <f>IF($C795="","",DATE(YEAR($C795),MONTH($C795),1))</f>
        <v/>
      </c>
      <c r="M795" s="112">
        <f>IF($C795="","",IF(AND($D795&lt;&gt;"",$E795&lt;&gt;"",$G795&gt;0,$H795&lt;&gt;"",$I795&lt;&gt;""),IF($C795&gt;TODAY(),"İLERİ TARİH","UYGUN"),"EKSİK"))</f>
        <v/>
      </c>
      <c r="N795" s="6" t="n"/>
      <c r="O795" s="6" t="n"/>
    </row>
    <row r="796">
      <c r="A796" s="6" t="n"/>
      <c r="B796" s="112">
        <f>IF($C796="","","GG"&amp;TEXT(ROW()-6,"00000"))</f>
        <v/>
      </c>
      <c r="C796" s="114" t="n"/>
      <c r="D796" s="107" t="n"/>
      <c r="E796" s="108" t="n"/>
      <c r="F796" s="108" t="n"/>
      <c r="G796" s="115" t="n"/>
      <c r="H796" s="107" t="n"/>
      <c r="I796" s="107" t="n"/>
      <c r="J796" s="108" t="n"/>
      <c r="K796" s="108" t="n"/>
      <c r="L796" s="119">
        <f>IF($C796="","",DATE(YEAR($C796),MONTH($C796),1))</f>
        <v/>
      </c>
      <c r="M796" s="112">
        <f>IF($C796="","",IF(AND($D796&lt;&gt;"",$E796&lt;&gt;"",$G796&gt;0,$H796&lt;&gt;"",$I796&lt;&gt;""),IF($C796&gt;TODAY(),"İLERİ TARİH","UYGUN"),"EKSİK"))</f>
        <v/>
      </c>
      <c r="N796" s="6" t="n"/>
      <c r="O796" s="6" t="n"/>
    </row>
    <row r="797">
      <c r="A797" s="6" t="n"/>
      <c r="B797" s="112">
        <f>IF($C797="","","GG"&amp;TEXT(ROW()-6,"00000"))</f>
        <v/>
      </c>
      <c r="C797" s="114" t="n"/>
      <c r="D797" s="107" t="n"/>
      <c r="E797" s="108" t="n"/>
      <c r="F797" s="108" t="n"/>
      <c r="G797" s="115" t="n"/>
      <c r="H797" s="107" t="n"/>
      <c r="I797" s="107" t="n"/>
      <c r="J797" s="108" t="n"/>
      <c r="K797" s="108" t="n"/>
      <c r="L797" s="119">
        <f>IF($C797="","",DATE(YEAR($C797),MONTH($C797),1))</f>
        <v/>
      </c>
      <c r="M797" s="112">
        <f>IF($C797="","",IF(AND($D797&lt;&gt;"",$E797&lt;&gt;"",$G797&gt;0,$H797&lt;&gt;"",$I797&lt;&gt;""),IF($C797&gt;TODAY(),"İLERİ TARİH","UYGUN"),"EKSİK"))</f>
        <v/>
      </c>
      <c r="N797" s="6" t="n"/>
      <c r="O797" s="6" t="n"/>
    </row>
    <row r="798">
      <c r="A798" s="6" t="n"/>
      <c r="B798" s="112">
        <f>IF($C798="","","GG"&amp;TEXT(ROW()-6,"00000"))</f>
        <v/>
      </c>
      <c r="C798" s="114" t="n"/>
      <c r="D798" s="107" t="n"/>
      <c r="E798" s="108" t="n"/>
      <c r="F798" s="108" t="n"/>
      <c r="G798" s="115" t="n"/>
      <c r="H798" s="107" t="n"/>
      <c r="I798" s="107" t="n"/>
      <c r="J798" s="108" t="n"/>
      <c r="K798" s="108" t="n"/>
      <c r="L798" s="119">
        <f>IF($C798="","",DATE(YEAR($C798),MONTH($C798),1))</f>
        <v/>
      </c>
      <c r="M798" s="112">
        <f>IF($C798="","",IF(AND($D798&lt;&gt;"",$E798&lt;&gt;"",$G798&gt;0,$H798&lt;&gt;"",$I798&lt;&gt;""),IF($C798&gt;TODAY(),"İLERİ TARİH","UYGUN"),"EKSİK"))</f>
        <v/>
      </c>
      <c r="N798" s="6" t="n"/>
      <c r="O798" s="6" t="n"/>
    </row>
    <row r="799">
      <c r="A799" s="6" t="n"/>
      <c r="B799" s="112">
        <f>IF($C799="","","GG"&amp;TEXT(ROW()-6,"00000"))</f>
        <v/>
      </c>
      <c r="C799" s="114" t="n"/>
      <c r="D799" s="107" t="n"/>
      <c r="E799" s="108" t="n"/>
      <c r="F799" s="108" t="n"/>
      <c r="G799" s="115" t="n"/>
      <c r="H799" s="107" t="n"/>
      <c r="I799" s="107" t="n"/>
      <c r="J799" s="108" t="n"/>
      <c r="K799" s="108" t="n"/>
      <c r="L799" s="119">
        <f>IF($C799="","",DATE(YEAR($C799),MONTH($C799),1))</f>
        <v/>
      </c>
      <c r="M799" s="112">
        <f>IF($C799="","",IF(AND($D799&lt;&gt;"",$E799&lt;&gt;"",$G799&gt;0,$H799&lt;&gt;"",$I799&lt;&gt;""),IF($C799&gt;TODAY(),"İLERİ TARİH","UYGUN"),"EKSİK"))</f>
        <v/>
      </c>
      <c r="N799" s="6" t="n"/>
      <c r="O799" s="6" t="n"/>
    </row>
    <row r="800">
      <c r="A800" s="6" t="n"/>
      <c r="B800" s="112">
        <f>IF($C800="","","GG"&amp;TEXT(ROW()-6,"00000"))</f>
        <v/>
      </c>
      <c r="C800" s="114" t="n"/>
      <c r="D800" s="107" t="n"/>
      <c r="E800" s="108" t="n"/>
      <c r="F800" s="108" t="n"/>
      <c r="G800" s="115" t="n"/>
      <c r="H800" s="107" t="n"/>
      <c r="I800" s="107" t="n"/>
      <c r="J800" s="108" t="n"/>
      <c r="K800" s="108" t="n"/>
      <c r="L800" s="119">
        <f>IF($C800="","",DATE(YEAR($C800),MONTH($C800),1))</f>
        <v/>
      </c>
      <c r="M800" s="112">
        <f>IF($C800="","",IF(AND($D800&lt;&gt;"",$E800&lt;&gt;"",$G800&gt;0,$H800&lt;&gt;"",$I800&lt;&gt;""),IF($C800&gt;TODAY(),"İLERİ TARİH","UYGUN"),"EKSİK"))</f>
        <v/>
      </c>
      <c r="N800" s="6" t="n"/>
      <c r="O800" s="6" t="n"/>
    </row>
    <row r="801">
      <c r="A801" s="6" t="n"/>
      <c r="B801" s="112">
        <f>IF($C801="","","GG"&amp;TEXT(ROW()-6,"00000"))</f>
        <v/>
      </c>
      <c r="C801" s="114" t="n"/>
      <c r="D801" s="107" t="n"/>
      <c r="E801" s="108" t="n"/>
      <c r="F801" s="108" t="n"/>
      <c r="G801" s="115" t="n"/>
      <c r="H801" s="107" t="n"/>
      <c r="I801" s="107" t="n"/>
      <c r="J801" s="108" t="n"/>
      <c r="K801" s="108" t="n"/>
      <c r="L801" s="119">
        <f>IF($C801="","",DATE(YEAR($C801),MONTH($C801),1))</f>
        <v/>
      </c>
      <c r="M801" s="112">
        <f>IF($C801="","",IF(AND($D801&lt;&gt;"",$E801&lt;&gt;"",$G801&gt;0,$H801&lt;&gt;"",$I801&lt;&gt;""),IF($C801&gt;TODAY(),"İLERİ TARİH","UYGUN"),"EKSİK"))</f>
        <v/>
      </c>
      <c r="N801" s="6" t="n"/>
      <c r="O801" s="6" t="n"/>
    </row>
    <row r="802">
      <c r="A802" s="6" t="n"/>
      <c r="B802" s="112">
        <f>IF($C802="","","GG"&amp;TEXT(ROW()-6,"00000"))</f>
        <v/>
      </c>
      <c r="C802" s="114" t="n"/>
      <c r="D802" s="107" t="n"/>
      <c r="E802" s="108" t="n"/>
      <c r="F802" s="108" t="n"/>
      <c r="G802" s="115" t="n"/>
      <c r="H802" s="107" t="n"/>
      <c r="I802" s="107" t="n"/>
      <c r="J802" s="108" t="n"/>
      <c r="K802" s="108" t="n"/>
      <c r="L802" s="119">
        <f>IF($C802="","",DATE(YEAR($C802),MONTH($C802),1))</f>
        <v/>
      </c>
      <c r="M802" s="112">
        <f>IF($C802="","",IF(AND($D802&lt;&gt;"",$E802&lt;&gt;"",$G802&gt;0,$H802&lt;&gt;"",$I802&lt;&gt;""),IF($C802&gt;TODAY(),"İLERİ TARİH","UYGUN"),"EKSİK"))</f>
        <v/>
      </c>
      <c r="N802" s="6" t="n"/>
      <c r="O802" s="6" t="n"/>
    </row>
    <row r="803">
      <c r="A803" s="6" t="n"/>
      <c r="B803" s="112">
        <f>IF($C803="","","GG"&amp;TEXT(ROW()-6,"00000"))</f>
        <v/>
      </c>
      <c r="C803" s="114" t="n"/>
      <c r="D803" s="107" t="n"/>
      <c r="E803" s="108" t="n"/>
      <c r="F803" s="108" t="n"/>
      <c r="G803" s="115" t="n"/>
      <c r="H803" s="107" t="n"/>
      <c r="I803" s="107" t="n"/>
      <c r="J803" s="108" t="n"/>
      <c r="K803" s="108" t="n"/>
      <c r="L803" s="119">
        <f>IF($C803="","",DATE(YEAR($C803),MONTH($C803),1))</f>
        <v/>
      </c>
      <c r="M803" s="112">
        <f>IF($C803="","",IF(AND($D803&lt;&gt;"",$E803&lt;&gt;"",$G803&gt;0,$H803&lt;&gt;"",$I803&lt;&gt;""),IF($C803&gt;TODAY(),"İLERİ TARİH","UYGUN"),"EKSİK"))</f>
        <v/>
      </c>
      <c r="N803" s="6" t="n"/>
      <c r="O803" s="6" t="n"/>
    </row>
    <row r="804">
      <c r="A804" s="6" t="n"/>
      <c r="B804" s="112">
        <f>IF($C804="","","GG"&amp;TEXT(ROW()-6,"00000"))</f>
        <v/>
      </c>
      <c r="C804" s="114" t="n"/>
      <c r="D804" s="107" t="n"/>
      <c r="E804" s="108" t="n"/>
      <c r="F804" s="108" t="n"/>
      <c r="G804" s="115" t="n"/>
      <c r="H804" s="107" t="n"/>
      <c r="I804" s="107" t="n"/>
      <c r="J804" s="108" t="n"/>
      <c r="K804" s="108" t="n"/>
      <c r="L804" s="119">
        <f>IF($C804="","",DATE(YEAR($C804),MONTH($C804),1))</f>
        <v/>
      </c>
      <c r="M804" s="112">
        <f>IF($C804="","",IF(AND($D804&lt;&gt;"",$E804&lt;&gt;"",$G804&gt;0,$H804&lt;&gt;"",$I804&lt;&gt;""),IF($C804&gt;TODAY(),"İLERİ TARİH","UYGUN"),"EKSİK"))</f>
        <v/>
      </c>
      <c r="N804" s="6" t="n"/>
      <c r="O804" s="6" t="n"/>
    </row>
    <row r="805">
      <c r="A805" s="6" t="n"/>
      <c r="B805" s="112">
        <f>IF($C805="","","GG"&amp;TEXT(ROW()-6,"00000"))</f>
        <v/>
      </c>
      <c r="C805" s="114" t="n"/>
      <c r="D805" s="107" t="n"/>
      <c r="E805" s="108" t="n"/>
      <c r="F805" s="108" t="n"/>
      <c r="G805" s="115" t="n"/>
      <c r="H805" s="107" t="n"/>
      <c r="I805" s="107" t="n"/>
      <c r="J805" s="108" t="n"/>
      <c r="K805" s="108" t="n"/>
      <c r="L805" s="119">
        <f>IF($C805="","",DATE(YEAR($C805),MONTH($C805),1))</f>
        <v/>
      </c>
      <c r="M805" s="112">
        <f>IF($C805="","",IF(AND($D805&lt;&gt;"",$E805&lt;&gt;"",$G805&gt;0,$H805&lt;&gt;"",$I805&lt;&gt;""),IF($C805&gt;TODAY(),"İLERİ TARİH","UYGUN"),"EKSİK"))</f>
        <v/>
      </c>
      <c r="N805" s="6" t="n"/>
      <c r="O805" s="6" t="n"/>
    </row>
    <row r="806">
      <c r="A806" s="6" t="n"/>
      <c r="B806" s="112">
        <f>IF($C806="","","GG"&amp;TEXT(ROW()-6,"00000"))</f>
        <v/>
      </c>
      <c r="C806" s="114" t="n"/>
      <c r="D806" s="107" t="n"/>
      <c r="E806" s="108" t="n"/>
      <c r="F806" s="108" t="n"/>
      <c r="G806" s="115" t="n"/>
      <c r="H806" s="107" t="n"/>
      <c r="I806" s="107" t="n"/>
      <c r="J806" s="108" t="n"/>
      <c r="K806" s="108" t="n"/>
      <c r="L806" s="119">
        <f>IF($C806="","",DATE(YEAR($C806),MONTH($C806),1))</f>
        <v/>
      </c>
      <c r="M806" s="112">
        <f>IF($C806="","",IF(AND($D806&lt;&gt;"",$E806&lt;&gt;"",$G806&gt;0,$H806&lt;&gt;"",$I806&lt;&gt;""),IF($C806&gt;TODAY(),"İLERİ TARİH","UYGUN"),"EKSİK"))</f>
        <v/>
      </c>
      <c r="N806" s="6" t="n"/>
      <c r="O806" s="6" t="n"/>
    </row>
    <row r="807">
      <c r="A807" s="6" t="n"/>
      <c r="B807" s="112">
        <f>IF($C807="","","GG"&amp;TEXT(ROW()-6,"00000"))</f>
        <v/>
      </c>
      <c r="C807" s="114" t="n"/>
      <c r="D807" s="107" t="n"/>
      <c r="E807" s="108" t="n"/>
      <c r="F807" s="108" t="n"/>
      <c r="G807" s="115" t="n"/>
      <c r="H807" s="107" t="n"/>
      <c r="I807" s="107" t="n"/>
      <c r="J807" s="108" t="n"/>
      <c r="K807" s="108" t="n"/>
      <c r="L807" s="119">
        <f>IF($C807="","",DATE(YEAR($C807),MONTH($C807),1))</f>
        <v/>
      </c>
      <c r="M807" s="112">
        <f>IF($C807="","",IF(AND($D807&lt;&gt;"",$E807&lt;&gt;"",$G807&gt;0,$H807&lt;&gt;"",$I807&lt;&gt;""),IF($C807&gt;TODAY(),"İLERİ TARİH","UYGUN"),"EKSİK"))</f>
        <v/>
      </c>
      <c r="N807" s="6" t="n"/>
      <c r="O807" s="6" t="n"/>
    </row>
    <row r="808">
      <c r="A808" s="6" t="n"/>
      <c r="B808" s="112">
        <f>IF($C808="","","GG"&amp;TEXT(ROW()-6,"00000"))</f>
        <v/>
      </c>
      <c r="C808" s="114" t="n"/>
      <c r="D808" s="107" t="n"/>
      <c r="E808" s="108" t="n"/>
      <c r="F808" s="108" t="n"/>
      <c r="G808" s="115" t="n"/>
      <c r="H808" s="107" t="n"/>
      <c r="I808" s="107" t="n"/>
      <c r="J808" s="108" t="n"/>
      <c r="K808" s="108" t="n"/>
      <c r="L808" s="119">
        <f>IF($C808="","",DATE(YEAR($C808),MONTH($C808),1))</f>
        <v/>
      </c>
      <c r="M808" s="112">
        <f>IF($C808="","",IF(AND($D808&lt;&gt;"",$E808&lt;&gt;"",$G808&gt;0,$H808&lt;&gt;"",$I808&lt;&gt;""),IF($C808&gt;TODAY(),"İLERİ TARİH","UYGUN"),"EKSİK"))</f>
        <v/>
      </c>
      <c r="N808" s="6" t="n"/>
      <c r="O808" s="6" t="n"/>
    </row>
    <row r="809">
      <c r="A809" s="6" t="n"/>
      <c r="B809" s="112">
        <f>IF($C809="","","GG"&amp;TEXT(ROW()-6,"00000"))</f>
        <v/>
      </c>
      <c r="C809" s="114" t="n"/>
      <c r="D809" s="107" t="n"/>
      <c r="E809" s="108" t="n"/>
      <c r="F809" s="108" t="n"/>
      <c r="G809" s="115" t="n"/>
      <c r="H809" s="107" t="n"/>
      <c r="I809" s="107" t="n"/>
      <c r="J809" s="108" t="n"/>
      <c r="K809" s="108" t="n"/>
      <c r="L809" s="119">
        <f>IF($C809="","",DATE(YEAR($C809),MONTH($C809),1))</f>
        <v/>
      </c>
      <c r="M809" s="112">
        <f>IF($C809="","",IF(AND($D809&lt;&gt;"",$E809&lt;&gt;"",$G809&gt;0,$H809&lt;&gt;"",$I809&lt;&gt;""),IF($C809&gt;TODAY(),"İLERİ TARİH","UYGUN"),"EKSİK"))</f>
        <v/>
      </c>
      <c r="N809" s="6" t="n"/>
      <c r="O809" s="6" t="n"/>
    </row>
    <row r="810">
      <c r="A810" s="6" t="n"/>
      <c r="B810" s="112">
        <f>IF($C810="","","GG"&amp;TEXT(ROW()-6,"00000"))</f>
        <v/>
      </c>
      <c r="C810" s="114" t="n"/>
      <c r="D810" s="107" t="n"/>
      <c r="E810" s="108" t="n"/>
      <c r="F810" s="108" t="n"/>
      <c r="G810" s="115" t="n"/>
      <c r="H810" s="107" t="n"/>
      <c r="I810" s="107" t="n"/>
      <c r="J810" s="108" t="n"/>
      <c r="K810" s="108" t="n"/>
      <c r="L810" s="119">
        <f>IF($C810="","",DATE(YEAR($C810),MONTH($C810),1))</f>
        <v/>
      </c>
      <c r="M810" s="112">
        <f>IF($C810="","",IF(AND($D810&lt;&gt;"",$E810&lt;&gt;"",$G810&gt;0,$H810&lt;&gt;"",$I810&lt;&gt;""),IF($C810&gt;TODAY(),"İLERİ TARİH","UYGUN"),"EKSİK"))</f>
        <v/>
      </c>
      <c r="N810" s="6" t="n"/>
      <c r="O810" s="6" t="n"/>
    </row>
    <row r="811">
      <c r="A811" s="6" t="n"/>
      <c r="B811" s="112">
        <f>IF($C811="","","GG"&amp;TEXT(ROW()-6,"00000"))</f>
        <v/>
      </c>
      <c r="C811" s="114" t="n"/>
      <c r="D811" s="107" t="n"/>
      <c r="E811" s="108" t="n"/>
      <c r="F811" s="108" t="n"/>
      <c r="G811" s="115" t="n"/>
      <c r="H811" s="107" t="n"/>
      <c r="I811" s="107" t="n"/>
      <c r="J811" s="108" t="n"/>
      <c r="K811" s="108" t="n"/>
      <c r="L811" s="119">
        <f>IF($C811="","",DATE(YEAR($C811),MONTH($C811),1))</f>
        <v/>
      </c>
      <c r="M811" s="112">
        <f>IF($C811="","",IF(AND($D811&lt;&gt;"",$E811&lt;&gt;"",$G811&gt;0,$H811&lt;&gt;"",$I811&lt;&gt;""),IF($C811&gt;TODAY(),"İLERİ TARİH","UYGUN"),"EKSİK"))</f>
        <v/>
      </c>
      <c r="N811" s="6" t="n"/>
      <c r="O811" s="6" t="n"/>
    </row>
    <row r="812">
      <c r="A812" s="6" t="n"/>
      <c r="B812" s="112">
        <f>IF($C812="","","GG"&amp;TEXT(ROW()-6,"00000"))</f>
        <v/>
      </c>
      <c r="C812" s="114" t="n"/>
      <c r="D812" s="107" t="n"/>
      <c r="E812" s="108" t="n"/>
      <c r="F812" s="108" t="n"/>
      <c r="G812" s="115" t="n"/>
      <c r="H812" s="107" t="n"/>
      <c r="I812" s="107" t="n"/>
      <c r="J812" s="108" t="n"/>
      <c r="K812" s="108" t="n"/>
      <c r="L812" s="119">
        <f>IF($C812="","",DATE(YEAR($C812),MONTH($C812),1))</f>
        <v/>
      </c>
      <c r="M812" s="112">
        <f>IF($C812="","",IF(AND($D812&lt;&gt;"",$E812&lt;&gt;"",$G812&gt;0,$H812&lt;&gt;"",$I812&lt;&gt;""),IF($C812&gt;TODAY(),"İLERİ TARİH","UYGUN"),"EKSİK"))</f>
        <v/>
      </c>
      <c r="N812" s="6" t="n"/>
      <c r="O812" s="6" t="n"/>
    </row>
    <row r="813">
      <c r="A813" s="6" t="n"/>
      <c r="B813" s="112">
        <f>IF($C813="","","GG"&amp;TEXT(ROW()-6,"00000"))</f>
        <v/>
      </c>
      <c r="C813" s="114" t="n"/>
      <c r="D813" s="107" t="n"/>
      <c r="E813" s="108" t="n"/>
      <c r="F813" s="108" t="n"/>
      <c r="G813" s="115" t="n"/>
      <c r="H813" s="107" t="n"/>
      <c r="I813" s="107" t="n"/>
      <c r="J813" s="108" t="n"/>
      <c r="K813" s="108" t="n"/>
      <c r="L813" s="119">
        <f>IF($C813="","",DATE(YEAR($C813),MONTH($C813),1))</f>
        <v/>
      </c>
      <c r="M813" s="112">
        <f>IF($C813="","",IF(AND($D813&lt;&gt;"",$E813&lt;&gt;"",$G813&gt;0,$H813&lt;&gt;"",$I813&lt;&gt;""),IF($C813&gt;TODAY(),"İLERİ TARİH","UYGUN"),"EKSİK"))</f>
        <v/>
      </c>
      <c r="N813" s="6" t="n"/>
      <c r="O813" s="6" t="n"/>
    </row>
    <row r="814">
      <c r="A814" s="6" t="n"/>
      <c r="B814" s="112">
        <f>IF($C814="","","GG"&amp;TEXT(ROW()-6,"00000"))</f>
        <v/>
      </c>
      <c r="C814" s="114" t="n"/>
      <c r="D814" s="107" t="n"/>
      <c r="E814" s="108" t="n"/>
      <c r="F814" s="108" t="n"/>
      <c r="G814" s="115" t="n"/>
      <c r="H814" s="107" t="n"/>
      <c r="I814" s="107" t="n"/>
      <c r="J814" s="108" t="n"/>
      <c r="K814" s="108" t="n"/>
      <c r="L814" s="119">
        <f>IF($C814="","",DATE(YEAR($C814),MONTH($C814),1))</f>
        <v/>
      </c>
      <c r="M814" s="112">
        <f>IF($C814="","",IF(AND($D814&lt;&gt;"",$E814&lt;&gt;"",$G814&gt;0,$H814&lt;&gt;"",$I814&lt;&gt;""),IF($C814&gt;TODAY(),"İLERİ TARİH","UYGUN"),"EKSİK"))</f>
        <v/>
      </c>
      <c r="N814" s="6" t="n"/>
      <c r="O814" s="6" t="n"/>
    </row>
    <row r="815">
      <c r="A815" s="6" t="n"/>
      <c r="B815" s="112">
        <f>IF($C815="","","GG"&amp;TEXT(ROW()-6,"00000"))</f>
        <v/>
      </c>
      <c r="C815" s="114" t="n"/>
      <c r="D815" s="107" t="n"/>
      <c r="E815" s="108" t="n"/>
      <c r="F815" s="108" t="n"/>
      <c r="G815" s="115" t="n"/>
      <c r="H815" s="107" t="n"/>
      <c r="I815" s="107" t="n"/>
      <c r="J815" s="108" t="n"/>
      <c r="K815" s="108" t="n"/>
      <c r="L815" s="119">
        <f>IF($C815="","",DATE(YEAR($C815),MONTH($C815),1))</f>
        <v/>
      </c>
      <c r="M815" s="112">
        <f>IF($C815="","",IF(AND($D815&lt;&gt;"",$E815&lt;&gt;"",$G815&gt;0,$H815&lt;&gt;"",$I815&lt;&gt;""),IF($C815&gt;TODAY(),"İLERİ TARİH","UYGUN"),"EKSİK"))</f>
        <v/>
      </c>
      <c r="N815" s="6" t="n"/>
      <c r="O815" s="6" t="n"/>
    </row>
    <row r="816">
      <c r="A816" s="6" t="n"/>
      <c r="B816" s="112">
        <f>IF($C816="","","GG"&amp;TEXT(ROW()-6,"00000"))</f>
        <v/>
      </c>
      <c r="C816" s="114" t="n"/>
      <c r="D816" s="107" t="n"/>
      <c r="E816" s="108" t="n"/>
      <c r="F816" s="108" t="n"/>
      <c r="G816" s="115" t="n"/>
      <c r="H816" s="107" t="n"/>
      <c r="I816" s="107" t="n"/>
      <c r="J816" s="108" t="n"/>
      <c r="K816" s="108" t="n"/>
      <c r="L816" s="119">
        <f>IF($C816="","",DATE(YEAR($C816),MONTH($C816),1))</f>
        <v/>
      </c>
      <c r="M816" s="112">
        <f>IF($C816="","",IF(AND($D816&lt;&gt;"",$E816&lt;&gt;"",$G816&gt;0,$H816&lt;&gt;"",$I816&lt;&gt;""),IF($C816&gt;TODAY(),"İLERİ TARİH","UYGUN"),"EKSİK"))</f>
        <v/>
      </c>
      <c r="N816" s="6" t="n"/>
      <c r="O816" s="6" t="n"/>
    </row>
    <row r="817">
      <c r="A817" s="6" t="n"/>
      <c r="B817" s="112">
        <f>IF($C817="","","GG"&amp;TEXT(ROW()-6,"00000"))</f>
        <v/>
      </c>
      <c r="C817" s="114" t="n"/>
      <c r="D817" s="107" t="n"/>
      <c r="E817" s="108" t="n"/>
      <c r="F817" s="108" t="n"/>
      <c r="G817" s="115" t="n"/>
      <c r="H817" s="107" t="n"/>
      <c r="I817" s="107" t="n"/>
      <c r="J817" s="108" t="n"/>
      <c r="K817" s="108" t="n"/>
      <c r="L817" s="119">
        <f>IF($C817="","",DATE(YEAR($C817),MONTH($C817),1))</f>
        <v/>
      </c>
      <c r="M817" s="112">
        <f>IF($C817="","",IF(AND($D817&lt;&gt;"",$E817&lt;&gt;"",$G817&gt;0,$H817&lt;&gt;"",$I817&lt;&gt;""),IF($C817&gt;TODAY(),"İLERİ TARİH","UYGUN"),"EKSİK"))</f>
        <v/>
      </c>
      <c r="N817" s="6" t="n"/>
      <c r="O817" s="6" t="n"/>
    </row>
    <row r="818">
      <c r="A818" s="6" t="n"/>
      <c r="B818" s="112">
        <f>IF($C818="","","GG"&amp;TEXT(ROW()-6,"00000"))</f>
        <v/>
      </c>
      <c r="C818" s="114" t="n"/>
      <c r="D818" s="107" t="n"/>
      <c r="E818" s="108" t="n"/>
      <c r="F818" s="108" t="n"/>
      <c r="G818" s="115" t="n"/>
      <c r="H818" s="107" t="n"/>
      <c r="I818" s="107" t="n"/>
      <c r="J818" s="108" t="n"/>
      <c r="K818" s="108" t="n"/>
      <c r="L818" s="119">
        <f>IF($C818="","",DATE(YEAR($C818),MONTH($C818),1))</f>
        <v/>
      </c>
      <c r="M818" s="112">
        <f>IF($C818="","",IF(AND($D818&lt;&gt;"",$E818&lt;&gt;"",$G818&gt;0,$H818&lt;&gt;"",$I818&lt;&gt;""),IF($C818&gt;TODAY(),"İLERİ TARİH","UYGUN"),"EKSİK"))</f>
        <v/>
      </c>
      <c r="N818" s="6" t="n"/>
      <c r="O818" s="6" t="n"/>
    </row>
    <row r="819">
      <c r="A819" s="6" t="n"/>
      <c r="B819" s="112">
        <f>IF($C819="","","GG"&amp;TEXT(ROW()-6,"00000"))</f>
        <v/>
      </c>
      <c r="C819" s="114" t="n"/>
      <c r="D819" s="107" t="n"/>
      <c r="E819" s="108" t="n"/>
      <c r="F819" s="108" t="n"/>
      <c r="G819" s="115" t="n"/>
      <c r="H819" s="107" t="n"/>
      <c r="I819" s="107" t="n"/>
      <c r="J819" s="108" t="n"/>
      <c r="K819" s="108" t="n"/>
      <c r="L819" s="119">
        <f>IF($C819="","",DATE(YEAR($C819),MONTH($C819),1))</f>
        <v/>
      </c>
      <c r="M819" s="112">
        <f>IF($C819="","",IF(AND($D819&lt;&gt;"",$E819&lt;&gt;"",$G819&gt;0,$H819&lt;&gt;"",$I819&lt;&gt;""),IF($C819&gt;TODAY(),"İLERİ TARİH","UYGUN"),"EKSİK"))</f>
        <v/>
      </c>
      <c r="N819" s="6" t="n"/>
      <c r="O819" s="6" t="n"/>
    </row>
    <row r="820">
      <c r="A820" s="6" t="n"/>
      <c r="B820" s="112">
        <f>IF($C820="","","GG"&amp;TEXT(ROW()-6,"00000"))</f>
        <v/>
      </c>
      <c r="C820" s="114" t="n"/>
      <c r="D820" s="107" t="n"/>
      <c r="E820" s="108" t="n"/>
      <c r="F820" s="108" t="n"/>
      <c r="G820" s="115" t="n"/>
      <c r="H820" s="107" t="n"/>
      <c r="I820" s="107" t="n"/>
      <c r="J820" s="108" t="n"/>
      <c r="K820" s="108" t="n"/>
      <c r="L820" s="119">
        <f>IF($C820="","",DATE(YEAR($C820),MONTH($C820),1))</f>
        <v/>
      </c>
      <c r="M820" s="112">
        <f>IF($C820="","",IF(AND($D820&lt;&gt;"",$E820&lt;&gt;"",$G820&gt;0,$H820&lt;&gt;"",$I820&lt;&gt;""),IF($C820&gt;TODAY(),"İLERİ TARİH","UYGUN"),"EKSİK"))</f>
        <v/>
      </c>
      <c r="N820" s="6" t="n"/>
      <c r="O820" s="6" t="n"/>
    </row>
    <row r="821">
      <c r="A821" s="6" t="n"/>
      <c r="B821" s="112">
        <f>IF($C821="","","GG"&amp;TEXT(ROW()-6,"00000"))</f>
        <v/>
      </c>
      <c r="C821" s="114" t="n"/>
      <c r="D821" s="107" t="n"/>
      <c r="E821" s="108" t="n"/>
      <c r="F821" s="108" t="n"/>
      <c r="G821" s="115" t="n"/>
      <c r="H821" s="107" t="n"/>
      <c r="I821" s="107" t="n"/>
      <c r="J821" s="108" t="n"/>
      <c r="K821" s="108" t="n"/>
      <c r="L821" s="119">
        <f>IF($C821="","",DATE(YEAR($C821),MONTH($C821),1))</f>
        <v/>
      </c>
      <c r="M821" s="112">
        <f>IF($C821="","",IF(AND($D821&lt;&gt;"",$E821&lt;&gt;"",$G821&gt;0,$H821&lt;&gt;"",$I821&lt;&gt;""),IF($C821&gt;TODAY(),"İLERİ TARİH","UYGUN"),"EKSİK"))</f>
        <v/>
      </c>
      <c r="N821" s="6" t="n"/>
      <c r="O821" s="6" t="n"/>
    </row>
    <row r="822">
      <c r="A822" s="6" t="n"/>
      <c r="B822" s="112">
        <f>IF($C822="","","GG"&amp;TEXT(ROW()-6,"00000"))</f>
        <v/>
      </c>
      <c r="C822" s="114" t="n"/>
      <c r="D822" s="107" t="n"/>
      <c r="E822" s="108" t="n"/>
      <c r="F822" s="108" t="n"/>
      <c r="G822" s="115" t="n"/>
      <c r="H822" s="107" t="n"/>
      <c r="I822" s="107" t="n"/>
      <c r="J822" s="108" t="n"/>
      <c r="K822" s="108" t="n"/>
      <c r="L822" s="119">
        <f>IF($C822="","",DATE(YEAR($C822),MONTH($C822),1))</f>
        <v/>
      </c>
      <c r="M822" s="112">
        <f>IF($C822="","",IF(AND($D822&lt;&gt;"",$E822&lt;&gt;"",$G822&gt;0,$H822&lt;&gt;"",$I822&lt;&gt;""),IF($C822&gt;TODAY(),"İLERİ TARİH","UYGUN"),"EKSİK"))</f>
        <v/>
      </c>
      <c r="N822" s="6" t="n"/>
      <c r="O822" s="6" t="n"/>
    </row>
    <row r="823">
      <c r="A823" s="6" t="n"/>
      <c r="B823" s="112">
        <f>IF($C823="","","GG"&amp;TEXT(ROW()-6,"00000"))</f>
        <v/>
      </c>
      <c r="C823" s="114" t="n"/>
      <c r="D823" s="107" t="n"/>
      <c r="E823" s="108" t="n"/>
      <c r="F823" s="108" t="n"/>
      <c r="G823" s="115" t="n"/>
      <c r="H823" s="107" t="n"/>
      <c r="I823" s="107" t="n"/>
      <c r="J823" s="108" t="n"/>
      <c r="K823" s="108" t="n"/>
      <c r="L823" s="119">
        <f>IF($C823="","",DATE(YEAR($C823),MONTH($C823),1))</f>
        <v/>
      </c>
      <c r="M823" s="112">
        <f>IF($C823="","",IF(AND($D823&lt;&gt;"",$E823&lt;&gt;"",$G823&gt;0,$H823&lt;&gt;"",$I823&lt;&gt;""),IF($C823&gt;TODAY(),"İLERİ TARİH","UYGUN"),"EKSİK"))</f>
        <v/>
      </c>
      <c r="N823" s="6" t="n"/>
      <c r="O823" s="6" t="n"/>
    </row>
    <row r="824">
      <c r="A824" s="6" t="n"/>
      <c r="B824" s="112">
        <f>IF($C824="","","GG"&amp;TEXT(ROW()-6,"00000"))</f>
        <v/>
      </c>
      <c r="C824" s="114" t="n"/>
      <c r="D824" s="107" t="n"/>
      <c r="E824" s="108" t="n"/>
      <c r="F824" s="108" t="n"/>
      <c r="G824" s="115" t="n"/>
      <c r="H824" s="107" t="n"/>
      <c r="I824" s="107" t="n"/>
      <c r="J824" s="108" t="n"/>
      <c r="K824" s="108" t="n"/>
      <c r="L824" s="119">
        <f>IF($C824="","",DATE(YEAR($C824),MONTH($C824),1))</f>
        <v/>
      </c>
      <c r="M824" s="112">
        <f>IF($C824="","",IF(AND($D824&lt;&gt;"",$E824&lt;&gt;"",$G824&gt;0,$H824&lt;&gt;"",$I824&lt;&gt;""),IF($C824&gt;TODAY(),"İLERİ TARİH","UYGUN"),"EKSİK"))</f>
        <v/>
      </c>
      <c r="N824" s="6" t="n"/>
      <c r="O824" s="6" t="n"/>
    </row>
    <row r="825">
      <c r="A825" s="6" t="n"/>
      <c r="B825" s="112">
        <f>IF($C825="","","GG"&amp;TEXT(ROW()-6,"00000"))</f>
        <v/>
      </c>
      <c r="C825" s="114" t="n"/>
      <c r="D825" s="107" t="n"/>
      <c r="E825" s="108" t="n"/>
      <c r="F825" s="108" t="n"/>
      <c r="G825" s="115" t="n"/>
      <c r="H825" s="107" t="n"/>
      <c r="I825" s="107" t="n"/>
      <c r="J825" s="108" t="n"/>
      <c r="K825" s="108" t="n"/>
      <c r="L825" s="119">
        <f>IF($C825="","",DATE(YEAR($C825),MONTH($C825),1))</f>
        <v/>
      </c>
      <c r="M825" s="112">
        <f>IF($C825="","",IF(AND($D825&lt;&gt;"",$E825&lt;&gt;"",$G825&gt;0,$H825&lt;&gt;"",$I825&lt;&gt;""),IF($C825&gt;TODAY(),"İLERİ TARİH","UYGUN"),"EKSİK"))</f>
        <v/>
      </c>
      <c r="N825" s="6" t="n"/>
      <c r="O825" s="6" t="n"/>
    </row>
    <row r="826">
      <c r="A826" s="6" t="n"/>
      <c r="B826" s="112">
        <f>IF($C826="","","GG"&amp;TEXT(ROW()-6,"00000"))</f>
        <v/>
      </c>
      <c r="C826" s="114" t="n"/>
      <c r="D826" s="107" t="n"/>
      <c r="E826" s="108" t="n"/>
      <c r="F826" s="108" t="n"/>
      <c r="G826" s="115" t="n"/>
      <c r="H826" s="107" t="n"/>
      <c r="I826" s="107" t="n"/>
      <c r="J826" s="108" t="n"/>
      <c r="K826" s="108" t="n"/>
      <c r="L826" s="119">
        <f>IF($C826="","",DATE(YEAR($C826),MONTH($C826),1))</f>
        <v/>
      </c>
      <c r="M826" s="112">
        <f>IF($C826="","",IF(AND($D826&lt;&gt;"",$E826&lt;&gt;"",$G826&gt;0,$H826&lt;&gt;"",$I826&lt;&gt;""),IF($C826&gt;TODAY(),"İLERİ TARİH","UYGUN"),"EKSİK"))</f>
        <v/>
      </c>
      <c r="N826" s="6" t="n"/>
      <c r="O826" s="6" t="n"/>
    </row>
    <row r="827">
      <c r="A827" s="6" t="n"/>
      <c r="B827" s="112">
        <f>IF($C827="","","GG"&amp;TEXT(ROW()-6,"00000"))</f>
        <v/>
      </c>
      <c r="C827" s="114" t="n"/>
      <c r="D827" s="107" t="n"/>
      <c r="E827" s="108" t="n"/>
      <c r="F827" s="108" t="n"/>
      <c r="G827" s="115" t="n"/>
      <c r="H827" s="107" t="n"/>
      <c r="I827" s="107" t="n"/>
      <c r="J827" s="108" t="n"/>
      <c r="K827" s="108" t="n"/>
      <c r="L827" s="119">
        <f>IF($C827="","",DATE(YEAR($C827),MONTH($C827),1))</f>
        <v/>
      </c>
      <c r="M827" s="112">
        <f>IF($C827="","",IF(AND($D827&lt;&gt;"",$E827&lt;&gt;"",$G827&gt;0,$H827&lt;&gt;"",$I827&lt;&gt;""),IF($C827&gt;TODAY(),"İLERİ TARİH","UYGUN"),"EKSİK"))</f>
        <v/>
      </c>
      <c r="N827" s="6" t="n"/>
      <c r="O827" s="6" t="n"/>
    </row>
    <row r="828">
      <c r="A828" s="6" t="n"/>
      <c r="B828" s="112">
        <f>IF($C828="","","GG"&amp;TEXT(ROW()-6,"00000"))</f>
        <v/>
      </c>
      <c r="C828" s="114" t="n"/>
      <c r="D828" s="107" t="n"/>
      <c r="E828" s="108" t="n"/>
      <c r="F828" s="108" t="n"/>
      <c r="G828" s="115" t="n"/>
      <c r="H828" s="107" t="n"/>
      <c r="I828" s="107" t="n"/>
      <c r="J828" s="108" t="n"/>
      <c r="K828" s="108" t="n"/>
      <c r="L828" s="119">
        <f>IF($C828="","",DATE(YEAR($C828),MONTH($C828),1))</f>
        <v/>
      </c>
      <c r="M828" s="112">
        <f>IF($C828="","",IF(AND($D828&lt;&gt;"",$E828&lt;&gt;"",$G828&gt;0,$H828&lt;&gt;"",$I828&lt;&gt;""),IF($C828&gt;TODAY(),"İLERİ TARİH","UYGUN"),"EKSİK"))</f>
        <v/>
      </c>
      <c r="N828" s="6" t="n"/>
      <c r="O828" s="6" t="n"/>
    </row>
    <row r="829">
      <c r="A829" s="6" t="n"/>
      <c r="B829" s="112">
        <f>IF($C829="","","GG"&amp;TEXT(ROW()-6,"00000"))</f>
        <v/>
      </c>
      <c r="C829" s="114" t="n"/>
      <c r="D829" s="107" t="n"/>
      <c r="E829" s="108" t="n"/>
      <c r="F829" s="108" t="n"/>
      <c r="G829" s="115" t="n"/>
      <c r="H829" s="107" t="n"/>
      <c r="I829" s="107" t="n"/>
      <c r="J829" s="108" t="n"/>
      <c r="K829" s="108" t="n"/>
      <c r="L829" s="119">
        <f>IF($C829="","",DATE(YEAR($C829),MONTH($C829),1))</f>
        <v/>
      </c>
      <c r="M829" s="112">
        <f>IF($C829="","",IF(AND($D829&lt;&gt;"",$E829&lt;&gt;"",$G829&gt;0,$H829&lt;&gt;"",$I829&lt;&gt;""),IF($C829&gt;TODAY(),"İLERİ TARİH","UYGUN"),"EKSİK"))</f>
        <v/>
      </c>
      <c r="N829" s="6" t="n"/>
      <c r="O829" s="6" t="n"/>
    </row>
    <row r="830">
      <c r="A830" s="6" t="n"/>
      <c r="B830" s="112">
        <f>IF($C830="","","GG"&amp;TEXT(ROW()-6,"00000"))</f>
        <v/>
      </c>
      <c r="C830" s="114" t="n"/>
      <c r="D830" s="107" t="n"/>
      <c r="E830" s="108" t="n"/>
      <c r="F830" s="108" t="n"/>
      <c r="G830" s="115" t="n"/>
      <c r="H830" s="107" t="n"/>
      <c r="I830" s="107" t="n"/>
      <c r="J830" s="108" t="n"/>
      <c r="K830" s="108" t="n"/>
      <c r="L830" s="119">
        <f>IF($C830="","",DATE(YEAR($C830),MONTH($C830),1))</f>
        <v/>
      </c>
      <c r="M830" s="112">
        <f>IF($C830="","",IF(AND($D830&lt;&gt;"",$E830&lt;&gt;"",$G830&gt;0,$H830&lt;&gt;"",$I830&lt;&gt;""),IF($C830&gt;TODAY(),"İLERİ TARİH","UYGUN"),"EKSİK"))</f>
        <v/>
      </c>
      <c r="N830" s="6" t="n"/>
      <c r="O830" s="6" t="n"/>
    </row>
    <row r="831">
      <c r="A831" s="6" t="n"/>
      <c r="B831" s="112">
        <f>IF($C831="","","GG"&amp;TEXT(ROW()-6,"00000"))</f>
        <v/>
      </c>
      <c r="C831" s="114" t="n"/>
      <c r="D831" s="107" t="n"/>
      <c r="E831" s="108" t="n"/>
      <c r="F831" s="108" t="n"/>
      <c r="G831" s="115" t="n"/>
      <c r="H831" s="107" t="n"/>
      <c r="I831" s="107" t="n"/>
      <c r="J831" s="108" t="n"/>
      <c r="K831" s="108" t="n"/>
      <c r="L831" s="119">
        <f>IF($C831="","",DATE(YEAR($C831),MONTH($C831),1))</f>
        <v/>
      </c>
      <c r="M831" s="112">
        <f>IF($C831="","",IF(AND($D831&lt;&gt;"",$E831&lt;&gt;"",$G831&gt;0,$H831&lt;&gt;"",$I831&lt;&gt;""),IF($C831&gt;TODAY(),"İLERİ TARİH","UYGUN"),"EKSİK"))</f>
        <v/>
      </c>
      <c r="N831" s="6" t="n"/>
      <c r="O831" s="6" t="n"/>
    </row>
    <row r="832">
      <c r="A832" s="6" t="n"/>
      <c r="B832" s="112">
        <f>IF($C832="","","GG"&amp;TEXT(ROW()-6,"00000"))</f>
        <v/>
      </c>
      <c r="C832" s="114" t="n"/>
      <c r="D832" s="107" t="n"/>
      <c r="E832" s="108" t="n"/>
      <c r="F832" s="108" t="n"/>
      <c r="G832" s="115" t="n"/>
      <c r="H832" s="107" t="n"/>
      <c r="I832" s="107" t="n"/>
      <c r="J832" s="108" t="n"/>
      <c r="K832" s="108" t="n"/>
      <c r="L832" s="119">
        <f>IF($C832="","",DATE(YEAR($C832),MONTH($C832),1))</f>
        <v/>
      </c>
      <c r="M832" s="112">
        <f>IF($C832="","",IF(AND($D832&lt;&gt;"",$E832&lt;&gt;"",$G832&gt;0,$H832&lt;&gt;"",$I832&lt;&gt;""),IF($C832&gt;TODAY(),"İLERİ TARİH","UYGUN"),"EKSİK"))</f>
        <v/>
      </c>
      <c r="N832" s="6" t="n"/>
      <c r="O832" s="6" t="n"/>
    </row>
    <row r="833">
      <c r="A833" s="6" t="n"/>
      <c r="B833" s="112">
        <f>IF($C833="","","GG"&amp;TEXT(ROW()-6,"00000"))</f>
        <v/>
      </c>
      <c r="C833" s="114" t="n"/>
      <c r="D833" s="107" t="n"/>
      <c r="E833" s="108" t="n"/>
      <c r="F833" s="108" t="n"/>
      <c r="G833" s="115" t="n"/>
      <c r="H833" s="107" t="n"/>
      <c r="I833" s="107" t="n"/>
      <c r="J833" s="108" t="n"/>
      <c r="K833" s="108" t="n"/>
      <c r="L833" s="119">
        <f>IF($C833="","",DATE(YEAR($C833),MONTH($C833),1))</f>
        <v/>
      </c>
      <c r="M833" s="112">
        <f>IF($C833="","",IF(AND($D833&lt;&gt;"",$E833&lt;&gt;"",$G833&gt;0,$H833&lt;&gt;"",$I833&lt;&gt;""),IF($C833&gt;TODAY(),"İLERİ TARİH","UYGUN"),"EKSİK"))</f>
        <v/>
      </c>
      <c r="N833" s="6" t="n"/>
      <c r="O833" s="6" t="n"/>
    </row>
    <row r="834">
      <c r="A834" s="6" t="n"/>
      <c r="B834" s="112">
        <f>IF($C834="","","GG"&amp;TEXT(ROW()-6,"00000"))</f>
        <v/>
      </c>
      <c r="C834" s="114" t="n"/>
      <c r="D834" s="107" t="n"/>
      <c r="E834" s="108" t="n"/>
      <c r="F834" s="108" t="n"/>
      <c r="G834" s="115" t="n"/>
      <c r="H834" s="107" t="n"/>
      <c r="I834" s="107" t="n"/>
      <c r="J834" s="108" t="n"/>
      <c r="K834" s="108" t="n"/>
      <c r="L834" s="119">
        <f>IF($C834="","",DATE(YEAR($C834),MONTH($C834),1))</f>
        <v/>
      </c>
      <c r="M834" s="112">
        <f>IF($C834="","",IF(AND($D834&lt;&gt;"",$E834&lt;&gt;"",$G834&gt;0,$H834&lt;&gt;"",$I834&lt;&gt;""),IF($C834&gt;TODAY(),"İLERİ TARİH","UYGUN"),"EKSİK"))</f>
        <v/>
      </c>
      <c r="N834" s="6" t="n"/>
      <c r="O834" s="6" t="n"/>
    </row>
    <row r="835">
      <c r="A835" s="6" t="n"/>
      <c r="B835" s="112">
        <f>IF($C835="","","GG"&amp;TEXT(ROW()-6,"00000"))</f>
        <v/>
      </c>
      <c r="C835" s="114" t="n"/>
      <c r="D835" s="107" t="n"/>
      <c r="E835" s="108" t="n"/>
      <c r="F835" s="108" t="n"/>
      <c r="G835" s="115" t="n"/>
      <c r="H835" s="107" t="n"/>
      <c r="I835" s="107" t="n"/>
      <c r="J835" s="108" t="n"/>
      <c r="K835" s="108" t="n"/>
      <c r="L835" s="119">
        <f>IF($C835="","",DATE(YEAR($C835),MONTH($C835),1))</f>
        <v/>
      </c>
      <c r="M835" s="112">
        <f>IF($C835="","",IF(AND($D835&lt;&gt;"",$E835&lt;&gt;"",$G835&gt;0,$H835&lt;&gt;"",$I835&lt;&gt;""),IF($C835&gt;TODAY(),"İLERİ TARİH","UYGUN"),"EKSİK"))</f>
        <v/>
      </c>
      <c r="N835" s="6" t="n"/>
      <c r="O835" s="6" t="n"/>
    </row>
    <row r="836">
      <c r="A836" s="6" t="n"/>
      <c r="B836" s="112">
        <f>IF($C836="","","GG"&amp;TEXT(ROW()-6,"00000"))</f>
        <v/>
      </c>
      <c r="C836" s="114" t="n"/>
      <c r="D836" s="107" t="n"/>
      <c r="E836" s="108" t="n"/>
      <c r="F836" s="108" t="n"/>
      <c r="G836" s="115" t="n"/>
      <c r="H836" s="107" t="n"/>
      <c r="I836" s="107" t="n"/>
      <c r="J836" s="108" t="n"/>
      <c r="K836" s="108" t="n"/>
      <c r="L836" s="119">
        <f>IF($C836="","",DATE(YEAR($C836),MONTH($C836),1))</f>
        <v/>
      </c>
      <c r="M836" s="112">
        <f>IF($C836="","",IF(AND($D836&lt;&gt;"",$E836&lt;&gt;"",$G836&gt;0,$H836&lt;&gt;"",$I836&lt;&gt;""),IF($C836&gt;TODAY(),"İLERİ TARİH","UYGUN"),"EKSİK"))</f>
        <v/>
      </c>
      <c r="N836" s="6" t="n"/>
      <c r="O836" s="6" t="n"/>
    </row>
    <row r="837">
      <c r="A837" s="6" t="n"/>
      <c r="B837" s="112">
        <f>IF($C837="","","GG"&amp;TEXT(ROW()-6,"00000"))</f>
        <v/>
      </c>
      <c r="C837" s="114" t="n"/>
      <c r="D837" s="107" t="n"/>
      <c r="E837" s="108" t="n"/>
      <c r="F837" s="108" t="n"/>
      <c r="G837" s="115" t="n"/>
      <c r="H837" s="107" t="n"/>
      <c r="I837" s="107" t="n"/>
      <c r="J837" s="108" t="n"/>
      <c r="K837" s="108" t="n"/>
      <c r="L837" s="119">
        <f>IF($C837="","",DATE(YEAR($C837),MONTH($C837),1))</f>
        <v/>
      </c>
      <c r="M837" s="112">
        <f>IF($C837="","",IF(AND($D837&lt;&gt;"",$E837&lt;&gt;"",$G837&gt;0,$H837&lt;&gt;"",$I837&lt;&gt;""),IF($C837&gt;TODAY(),"İLERİ TARİH","UYGUN"),"EKSİK"))</f>
        <v/>
      </c>
      <c r="N837" s="6" t="n"/>
      <c r="O837" s="6" t="n"/>
    </row>
    <row r="838">
      <c r="A838" s="6" t="n"/>
      <c r="B838" s="112">
        <f>IF($C838="","","GG"&amp;TEXT(ROW()-6,"00000"))</f>
        <v/>
      </c>
      <c r="C838" s="114" t="n"/>
      <c r="D838" s="107" t="n"/>
      <c r="E838" s="108" t="n"/>
      <c r="F838" s="108" t="n"/>
      <c r="G838" s="115" t="n"/>
      <c r="H838" s="107" t="n"/>
      <c r="I838" s="107" t="n"/>
      <c r="J838" s="108" t="n"/>
      <c r="K838" s="108" t="n"/>
      <c r="L838" s="119">
        <f>IF($C838="","",DATE(YEAR($C838),MONTH($C838),1))</f>
        <v/>
      </c>
      <c r="M838" s="112">
        <f>IF($C838="","",IF(AND($D838&lt;&gt;"",$E838&lt;&gt;"",$G838&gt;0,$H838&lt;&gt;"",$I838&lt;&gt;""),IF($C838&gt;TODAY(),"İLERİ TARİH","UYGUN"),"EKSİK"))</f>
        <v/>
      </c>
      <c r="N838" s="6" t="n"/>
      <c r="O838" s="6" t="n"/>
    </row>
    <row r="839">
      <c r="A839" s="6" t="n"/>
      <c r="B839" s="112">
        <f>IF($C839="","","GG"&amp;TEXT(ROW()-6,"00000"))</f>
        <v/>
      </c>
      <c r="C839" s="114" t="n"/>
      <c r="D839" s="107" t="n"/>
      <c r="E839" s="108" t="n"/>
      <c r="F839" s="108" t="n"/>
      <c r="G839" s="115" t="n"/>
      <c r="H839" s="107" t="n"/>
      <c r="I839" s="107" t="n"/>
      <c r="J839" s="108" t="n"/>
      <c r="K839" s="108" t="n"/>
      <c r="L839" s="119">
        <f>IF($C839="","",DATE(YEAR($C839),MONTH($C839),1))</f>
        <v/>
      </c>
      <c r="M839" s="112">
        <f>IF($C839="","",IF(AND($D839&lt;&gt;"",$E839&lt;&gt;"",$G839&gt;0,$H839&lt;&gt;"",$I839&lt;&gt;""),IF($C839&gt;TODAY(),"İLERİ TARİH","UYGUN"),"EKSİK"))</f>
        <v/>
      </c>
      <c r="N839" s="6" t="n"/>
      <c r="O839" s="6" t="n"/>
    </row>
    <row r="840">
      <c r="A840" s="6" t="n"/>
      <c r="B840" s="112">
        <f>IF($C840="","","GG"&amp;TEXT(ROW()-6,"00000"))</f>
        <v/>
      </c>
      <c r="C840" s="114" t="n"/>
      <c r="D840" s="107" t="n"/>
      <c r="E840" s="108" t="n"/>
      <c r="F840" s="108" t="n"/>
      <c r="G840" s="115" t="n"/>
      <c r="H840" s="107" t="n"/>
      <c r="I840" s="107" t="n"/>
      <c r="J840" s="108" t="n"/>
      <c r="K840" s="108" t="n"/>
      <c r="L840" s="119">
        <f>IF($C840="","",DATE(YEAR($C840),MONTH($C840),1))</f>
        <v/>
      </c>
      <c r="M840" s="112">
        <f>IF($C840="","",IF(AND($D840&lt;&gt;"",$E840&lt;&gt;"",$G840&gt;0,$H840&lt;&gt;"",$I840&lt;&gt;""),IF($C840&gt;TODAY(),"İLERİ TARİH","UYGUN"),"EKSİK"))</f>
        <v/>
      </c>
      <c r="N840" s="6" t="n"/>
      <c r="O840" s="6" t="n"/>
    </row>
    <row r="841">
      <c r="A841" s="6" t="n"/>
      <c r="B841" s="112">
        <f>IF($C841="","","GG"&amp;TEXT(ROW()-6,"00000"))</f>
        <v/>
      </c>
      <c r="C841" s="114" t="n"/>
      <c r="D841" s="107" t="n"/>
      <c r="E841" s="108" t="n"/>
      <c r="F841" s="108" t="n"/>
      <c r="G841" s="115" t="n"/>
      <c r="H841" s="107" t="n"/>
      <c r="I841" s="107" t="n"/>
      <c r="J841" s="108" t="n"/>
      <c r="K841" s="108" t="n"/>
      <c r="L841" s="119">
        <f>IF($C841="","",DATE(YEAR($C841),MONTH($C841),1))</f>
        <v/>
      </c>
      <c r="M841" s="112">
        <f>IF($C841="","",IF(AND($D841&lt;&gt;"",$E841&lt;&gt;"",$G841&gt;0,$H841&lt;&gt;"",$I841&lt;&gt;""),IF($C841&gt;TODAY(),"İLERİ TARİH","UYGUN"),"EKSİK"))</f>
        <v/>
      </c>
      <c r="N841" s="6" t="n"/>
      <c r="O841" s="6" t="n"/>
    </row>
    <row r="842">
      <c r="A842" s="6" t="n"/>
      <c r="B842" s="112">
        <f>IF($C842="","","GG"&amp;TEXT(ROW()-6,"00000"))</f>
        <v/>
      </c>
      <c r="C842" s="114" t="n"/>
      <c r="D842" s="107" t="n"/>
      <c r="E842" s="108" t="n"/>
      <c r="F842" s="108" t="n"/>
      <c r="G842" s="115" t="n"/>
      <c r="H842" s="107" t="n"/>
      <c r="I842" s="107" t="n"/>
      <c r="J842" s="108" t="n"/>
      <c r="K842" s="108" t="n"/>
      <c r="L842" s="119">
        <f>IF($C842="","",DATE(YEAR($C842),MONTH($C842),1))</f>
        <v/>
      </c>
      <c r="M842" s="112">
        <f>IF($C842="","",IF(AND($D842&lt;&gt;"",$E842&lt;&gt;"",$G842&gt;0,$H842&lt;&gt;"",$I842&lt;&gt;""),IF($C842&gt;TODAY(),"İLERİ TARİH","UYGUN"),"EKSİK"))</f>
        <v/>
      </c>
      <c r="N842" s="6" t="n"/>
      <c r="O842" s="6" t="n"/>
    </row>
    <row r="843">
      <c r="A843" s="6" t="n"/>
      <c r="B843" s="112">
        <f>IF($C843="","","GG"&amp;TEXT(ROW()-6,"00000"))</f>
        <v/>
      </c>
      <c r="C843" s="114" t="n"/>
      <c r="D843" s="107" t="n"/>
      <c r="E843" s="108" t="n"/>
      <c r="F843" s="108" t="n"/>
      <c r="G843" s="115" t="n"/>
      <c r="H843" s="107" t="n"/>
      <c r="I843" s="107" t="n"/>
      <c r="J843" s="108" t="n"/>
      <c r="K843" s="108" t="n"/>
      <c r="L843" s="119">
        <f>IF($C843="","",DATE(YEAR($C843),MONTH($C843),1))</f>
        <v/>
      </c>
      <c r="M843" s="112">
        <f>IF($C843="","",IF(AND($D843&lt;&gt;"",$E843&lt;&gt;"",$G843&gt;0,$H843&lt;&gt;"",$I843&lt;&gt;""),IF($C843&gt;TODAY(),"İLERİ TARİH","UYGUN"),"EKSİK"))</f>
        <v/>
      </c>
      <c r="N843" s="6" t="n"/>
      <c r="O843" s="6" t="n"/>
    </row>
    <row r="844">
      <c r="A844" s="6" t="n"/>
      <c r="B844" s="112">
        <f>IF($C844="","","GG"&amp;TEXT(ROW()-6,"00000"))</f>
        <v/>
      </c>
      <c r="C844" s="114" t="n"/>
      <c r="D844" s="107" t="n"/>
      <c r="E844" s="108" t="n"/>
      <c r="F844" s="108" t="n"/>
      <c r="G844" s="115" t="n"/>
      <c r="H844" s="107" t="n"/>
      <c r="I844" s="107" t="n"/>
      <c r="J844" s="108" t="n"/>
      <c r="K844" s="108" t="n"/>
      <c r="L844" s="119">
        <f>IF($C844="","",DATE(YEAR($C844),MONTH($C844),1))</f>
        <v/>
      </c>
      <c r="M844" s="112">
        <f>IF($C844="","",IF(AND($D844&lt;&gt;"",$E844&lt;&gt;"",$G844&gt;0,$H844&lt;&gt;"",$I844&lt;&gt;""),IF($C844&gt;TODAY(),"İLERİ TARİH","UYGUN"),"EKSİK"))</f>
        <v/>
      </c>
      <c r="N844" s="6" t="n"/>
      <c r="O844" s="6" t="n"/>
    </row>
    <row r="845">
      <c r="A845" s="6" t="n"/>
      <c r="B845" s="112">
        <f>IF($C845="","","GG"&amp;TEXT(ROW()-6,"00000"))</f>
        <v/>
      </c>
      <c r="C845" s="114" t="n"/>
      <c r="D845" s="107" t="n"/>
      <c r="E845" s="108" t="n"/>
      <c r="F845" s="108" t="n"/>
      <c r="G845" s="115" t="n"/>
      <c r="H845" s="107" t="n"/>
      <c r="I845" s="107" t="n"/>
      <c r="J845" s="108" t="n"/>
      <c r="K845" s="108" t="n"/>
      <c r="L845" s="119">
        <f>IF($C845="","",DATE(YEAR($C845),MONTH($C845),1))</f>
        <v/>
      </c>
      <c r="M845" s="112">
        <f>IF($C845="","",IF(AND($D845&lt;&gt;"",$E845&lt;&gt;"",$G845&gt;0,$H845&lt;&gt;"",$I845&lt;&gt;""),IF($C845&gt;TODAY(),"İLERİ TARİH","UYGUN"),"EKSİK"))</f>
        <v/>
      </c>
      <c r="N845" s="6" t="n"/>
      <c r="O845" s="6" t="n"/>
    </row>
    <row r="846">
      <c r="A846" s="6" t="n"/>
      <c r="B846" s="112">
        <f>IF($C846="","","GG"&amp;TEXT(ROW()-6,"00000"))</f>
        <v/>
      </c>
      <c r="C846" s="114" t="n"/>
      <c r="D846" s="107" t="n"/>
      <c r="E846" s="108" t="n"/>
      <c r="F846" s="108" t="n"/>
      <c r="G846" s="115" t="n"/>
      <c r="H846" s="107" t="n"/>
      <c r="I846" s="107" t="n"/>
      <c r="J846" s="108" t="n"/>
      <c r="K846" s="108" t="n"/>
      <c r="L846" s="119">
        <f>IF($C846="","",DATE(YEAR($C846),MONTH($C846),1))</f>
        <v/>
      </c>
      <c r="M846" s="112">
        <f>IF($C846="","",IF(AND($D846&lt;&gt;"",$E846&lt;&gt;"",$G846&gt;0,$H846&lt;&gt;"",$I846&lt;&gt;""),IF($C846&gt;TODAY(),"İLERİ TARİH","UYGUN"),"EKSİK"))</f>
        <v/>
      </c>
      <c r="N846" s="6" t="n"/>
      <c r="O846" s="6" t="n"/>
    </row>
    <row r="847">
      <c r="A847" s="6" t="n"/>
      <c r="B847" s="112">
        <f>IF($C847="","","GG"&amp;TEXT(ROW()-6,"00000"))</f>
        <v/>
      </c>
      <c r="C847" s="114" t="n"/>
      <c r="D847" s="107" t="n"/>
      <c r="E847" s="108" t="n"/>
      <c r="F847" s="108" t="n"/>
      <c r="G847" s="115" t="n"/>
      <c r="H847" s="107" t="n"/>
      <c r="I847" s="107" t="n"/>
      <c r="J847" s="108" t="n"/>
      <c r="K847" s="108" t="n"/>
      <c r="L847" s="119">
        <f>IF($C847="","",DATE(YEAR($C847),MONTH($C847),1))</f>
        <v/>
      </c>
      <c r="M847" s="112">
        <f>IF($C847="","",IF(AND($D847&lt;&gt;"",$E847&lt;&gt;"",$G847&gt;0,$H847&lt;&gt;"",$I847&lt;&gt;""),IF($C847&gt;TODAY(),"İLERİ TARİH","UYGUN"),"EKSİK"))</f>
        <v/>
      </c>
      <c r="N847" s="6" t="n"/>
      <c r="O847" s="6" t="n"/>
    </row>
    <row r="848">
      <c r="A848" s="6" t="n"/>
      <c r="B848" s="112">
        <f>IF($C848="","","GG"&amp;TEXT(ROW()-6,"00000"))</f>
        <v/>
      </c>
      <c r="C848" s="114" t="n"/>
      <c r="D848" s="107" t="n"/>
      <c r="E848" s="108" t="n"/>
      <c r="F848" s="108" t="n"/>
      <c r="G848" s="115" t="n"/>
      <c r="H848" s="107" t="n"/>
      <c r="I848" s="107" t="n"/>
      <c r="J848" s="108" t="n"/>
      <c r="K848" s="108" t="n"/>
      <c r="L848" s="119">
        <f>IF($C848="","",DATE(YEAR($C848),MONTH($C848),1))</f>
        <v/>
      </c>
      <c r="M848" s="112">
        <f>IF($C848="","",IF(AND($D848&lt;&gt;"",$E848&lt;&gt;"",$G848&gt;0,$H848&lt;&gt;"",$I848&lt;&gt;""),IF($C848&gt;TODAY(),"İLERİ TARİH","UYGUN"),"EKSİK"))</f>
        <v/>
      </c>
      <c r="N848" s="6" t="n"/>
      <c r="O848" s="6" t="n"/>
    </row>
    <row r="849">
      <c r="A849" s="6" t="n"/>
      <c r="B849" s="112">
        <f>IF($C849="","","GG"&amp;TEXT(ROW()-6,"00000"))</f>
        <v/>
      </c>
      <c r="C849" s="114" t="n"/>
      <c r="D849" s="107" t="n"/>
      <c r="E849" s="108" t="n"/>
      <c r="F849" s="108" t="n"/>
      <c r="G849" s="115" t="n"/>
      <c r="H849" s="107" t="n"/>
      <c r="I849" s="107" t="n"/>
      <c r="J849" s="108" t="n"/>
      <c r="K849" s="108" t="n"/>
      <c r="L849" s="119">
        <f>IF($C849="","",DATE(YEAR($C849),MONTH($C849),1))</f>
        <v/>
      </c>
      <c r="M849" s="112">
        <f>IF($C849="","",IF(AND($D849&lt;&gt;"",$E849&lt;&gt;"",$G849&gt;0,$H849&lt;&gt;"",$I849&lt;&gt;""),IF($C849&gt;TODAY(),"İLERİ TARİH","UYGUN"),"EKSİK"))</f>
        <v/>
      </c>
      <c r="N849" s="6" t="n"/>
      <c r="O849" s="6" t="n"/>
    </row>
    <row r="850">
      <c r="A850" s="6" t="n"/>
      <c r="B850" s="112">
        <f>IF($C850="","","GG"&amp;TEXT(ROW()-6,"00000"))</f>
        <v/>
      </c>
      <c r="C850" s="114" t="n"/>
      <c r="D850" s="107" t="n"/>
      <c r="E850" s="108" t="n"/>
      <c r="F850" s="108" t="n"/>
      <c r="G850" s="115" t="n"/>
      <c r="H850" s="107" t="n"/>
      <c r="I850" s="107" t="n"/>
      <c r="J850" s="108" t="n"/>
      <c r="K850" s="108" t="n"/>
      <c r="L850" s="119">
        <f>IF($C850="","",DATE(YEAR($C850),MONTH($C850),1))</f>
        <v/>
      </c>
      <c r="M850" s="112">
        <f>IF($C850="","",IF(AND($D850&lt;&gt;"",$E850&lt;&gt;"",$G850&gt;0,$H850&lt;&gt;"",$I850&lt;&gt;""),IF($C850&gt;TODAY(),"İLERİ TARİH","UYGUN"),"EKSİK"))</f>
        <v/>
      </c>
      <c r="N850" s="6" t="n"/>
      <c r="O850" s="6" t="n"/>
    </row>
    <row r="851">
      <c r="A851" s="6" t="n"/>
      <c r="B851" s="112">
        <f>IF($C851="","","GG"&amp;TEXT(ROW()-6,"00000"))</f>
        <v/>
      </c>
      <c r="C851" s="114" t="n"/>
      <c r="D851" s="107" t="n"/>
      <c r="E851" s="108" t="n"/>
      <c r="F851" s="108" t="n"/>
      <c r="G851" s="115" t="n"/>
      <c r="H851" s="107" t="n"/>
      <c r="I851" s="107" t="n"/>
      <c r="J851" s="108" t="n"/>
      <c r="K851" s="108" t="n"/>
      <c r="L851" s="119">
        <f>IF($C851="","",DATE(YEAR($C851),MONTH($C851),1))</f>
        <v/>
      </c>
      <c r="M851" s="112">
        <f>IF($C851="","",IF(AND($D851&lt;&gt;"",$E851&lt;&gt;"",$G851&gt;0,$H851&lt;&gt;"",$I851&lt;&gt;""),IF($C851&gt;TODAY(),"İLERİ TARİH","UYGUN"),"EKSİK"))</f>
        <v/>
      </c>
      <c r="N851" s="6" t="n"/>
      <c r="O851" s="6" t="n"/>
    </row>
    <row r="852">
      <c r="A852" s="6" t="n"/>
      <c r="B852" s="112">
        <f>IF($C852="","","GG"&amp;TEXT(ROW()-6,"00000"))</f>
        <v/>
      </c>
      <c r="C852" s="114" t="n"/>
      <c r="D852" s="107" t="n"/>
      <c r="E852" s="108" t="n"/>
      <c r="F852" s="108" t="n"/>
      <c r="G852" s="115" t="n"/>
      <c r="H852" s="107" t="n"/>
      <c r="I852" s="107" t="n"/>
      <c r="J852" s="108" t="n"/>
      <c r="K852" s="108" t="n"/>
      <c r="L852" s="119">
        <f>IF($C852="","",DATE(YEAR($C852),MONTH($C852),1))</f>
        <v/>
      </c>
      <c r="M852" s="112">
        <f>IF($C852="","",IF(AND($D852&lt;&gt;"",$E852&lt;&gt;"",$G852&gt;0,$H852&lt;&gt;"",$I852&lt;&gt;""),IF($C852&gt;TODAY(),"İLERİ TARİH","UYGUN"),"EKSİK"))</f>
        <v/>
      </c>
      <c r="N852" s="6" t="n"/>
      <c r="O852" s="6" t="n"/>
    </row>
    <row r="853">
      <c r="A853" s="6" t="n"/>
      <c r="B853" s="112">
        <f>IF($C853="","","GG"&amp;TEXT(ROW()-6,"00000"))</f>
        <v/>
      </c>
      <c r="C853" s="114" t="n"/>
      <c r="D853" s="107" t="n"/>
      <c r="E853" s="108" t="n"/>
      <c r="F853" s="108" t="n"/>
      <c r="G853" s="115" t="n"/>
      <c r="H853" s="107" t="n"/>
      <c r="I853" s="107" t="n"/>
      <c r="J853" s="108" t="n"/>
      <c r="K853" s="108" t="n"/>
      <c r="L853" s="119">
        <f>IF($C853="","",DATE(YEAR($C853),MONTH($C853),1))</f>
        <v/>
      </c>
      <c r="M853" s="112">
        <f>IF($C853="","",IF(AND($D853&lt;&gt;"",$E853&lt;&gt;"",$G853&gt;0,$H853&lt;&gt;"",$I853&lt;&gt;""),IF($C853&gt;TODAY(),"İLERİ TARİH","UYGUN"),"EKSİK"))</f>
        <v/>
      </c>
      <c r="N853" s="6" t="n"/>
      <c r="O853" s="6" t="n"/>
    </row>
    <row r="854">
      <c r="A854" s="6" t="n"/>
      <c r="B854" s="112">
        <f>IF($C854="","","GG"&amp;TEXT(ROW()-6,"00000"))</f>
        <v/>
      </c>
      <c r="C854" s="114" t="n"/>
      <c r="D854" s="107" t="n"/>
      <c r="E854" s="108" t="n"/>
      <c r="F854" s="108" t="n"/>
      <c r="G854" s="115" t="n"/>
      <c r="H854" s="107" t="n"/>
      <c r="I854" s="107" t="n"/>
      <c r="J854" s="108" t="n"/>
      <c r="K854" s="108" t="n"/>
      <c r="L854" s="119">
        <f>IF($C854="","",DATE(YEAR($C854),MONTH($C854),1))</f>
        <v/>
      </c>
      <c r="M854" s="112">
        <f>IF($C854="","",IF(AND($D854&lt;&gt;"",$E854&lt;&gt;"",$G854&gt;0,$H854&lt;&gt;"",$I854&lt;&gt;""),IF($C854&gt;TODAY(),"İLERİ TARİH","UYGUN"),"EKSİK"))</f>
        <v/>
      </c>
      <c r="N854" s="6" t="n"/>
      <c r="O854" s="6" t="n"/>
    </row>
    <row r="855">
      <c r="A855" s="6" t="n"/>
      <c r="B855" s="112">
        <f>IF($C855="","","GG"&amp;TEXT(ROW()-6,"00000"))</f>
        <v/>
      </c>
      <c r="C855" s="114" t="n"/>
      <c r="D855" s="107" t="n"/>
      <c r="E855" s="108" t="n"/>
      <c r="F855" s="108" t="n"/>
      <c r="G855" s="115" t="n"/>
      <c r="H855" s="107" t="n"/>
      <c r="I855" s="107" t="n"/>
      <c r="J855" s="108" t="n"/>
      <c r="K855" s="108" t="n"/>
      <c r="L855" s="119">
        <f>IF($C855="","",DATE(YEAR($C855),MONTH($C855),1))</f>
        <v/>
      </c>
      <c r="M855" s="112">
        <f>IF($C855="","",IF(AND($D855&lt;&gt;"",$E855&lt;&gt;"",$G855&gt;0,$H855&lt;&gt;"",$I855&lt;&gt;""),IF($C855&gt;TODAY(),"İLERİ TARİH","UYGUN"),"EKSİK"))</f>
        <v/>
      </c>
      <c r="N855" s="6" t="n"/>
      <c r="O855" s="6" t="n"/>
    </row>
    <row r="856">
      <c r="A856" s="6" t="n"/>
      <c r="B856" s="112">
        <f>IF($C856="","","GG"&amp;TEXT(ROW()-6,"00000"))</f>
        <v/>
      </c>
      <c r="C856" s="114" t="n"/>
      <c r="D856" s="107" t="n"/>
      <c r="E856" s="108" t="n"/>
      <c r="F856" s="108" t="n"/>
      <c r="G856" s="115" t="n"/>
      <c r="H856" s="107" t="n"/>
      <c r="I856" s="107" t="n"/>
      <c r="J856" s="108" t="n"/>
      <c r="K856" s="108" t="n"/>
      <c r="L856" s="119">
        <f>IF($C856="","",DATE(YEAR($C856),MONTH($C856),1))</f>
        <v/>
      </c>
      <c r="M856" s="112">
        <f>IF($C856="","",IF(AND($D856&lt;&gt;"",$E856&lt;&gt;"",$G856&gt;0,$H856&lt;&gt;"",$I856&lt;&gt;""),IF($C856&gt;TODAY(),"İLERİ TARİH","UYGUN"),"EKSİK"))</f>
        <v/>
      </c>
      <c r="N856" s="6" t="n"/>
      <c r="O856" s="6" t="n"/>
    </row>
    <row r="857">
      <c r="A857" s="6" t="n"/>
      <c r="B857" s="112">
        <f>IF($C857="","","GG"&amp;TEXT(ROW()-6,"00000"))</f>
        <v/>
      </c>
      <c r="C857" s="114" t="n"/>
      <c r="D857" s="107" t="n"/>
      <c r="E857" s="108" t="n"/>
      <c r="F857" s="108" t="n"/>
      <c r="G857" s="115" t="n"/>
      <c r="H857" s="107" t="n"/>
      <c r="I857" s="107" t="n"/>
      <c r="J857" s="108" t="n"/>
      <c r="K857" s="108" t="n"/>
      <c r="L857" s="119">
        <f>IF($C857="","",DATE(YEAR($C857),MONTH($C857),1))</f>
        <v/>
      </c>
      <c r="M857" s="112">
        <f>IF($C857="","",IF(AND($D857&lt;&gt;"",$E857&lt;&gt;"",$G857&gt;0,$H857&lt;&gt;"",$I857&lt;&gt;""),IF($C857&gt;TODAY(),"İLERİ TARİH","UYGUN"),"EKSİK"))</f>
        <v/>
      </c>
      <c r="N857" s="6" t="n"/>
      <c r="O857" s="6" t="n"/>
    </row>
    <row r="858">
      <c r="A858" s="6" t="n"/>
      <c r="B858" s="112">
        <f>IF($C858="","","GG"&amp;TEXT(ROW()-6,"00000"))</f>
        <v/>
      </c>
      <c r="C858" s="114" t="n"/>
      <c r="D858" s="107" t="n"/>
      <c r="E858" s="108" t="n"/>
      <c r="F858" s="108" t="n"/>
      <c r="G858" s="115" t="n"/>
      <c r="H858" s="107" t="n"/>
      <c r="I858" s="107" t="n"/>
      <c r="J858" s="108" t="n"/>
      <c r="K858" s="108" t="n"/>
      <c r="L858" s="119">
        <f>IF($C858="","",DATE(YEAR($C858),MONTH($C858),1))</f>
        <v/>
      </c>
      <c r="M858" s="112">
        <f>IF($C858="","",IF(AND($D858&lt;&gt;"",$E858&lt;&gt;"",$G858&gt;0,$H858&lt;&gt;"",$I858&lt;&gt;""),IF($C858&gt;TODAY(),"İLERİ TARİH","UYGUN"),"EKSİK"))</f>
        <v/>
      </c>
      <c r="N858" s="6" t="n"/>
      <c r="O858" s="6" t="n"/>
    </row>
    <row r="859">
      <c r="A859" s="6" t="n"/>
      <c r="B859" s="112">
        <f>IF($C859="","","GG"&amp;TEXT(ROW()-6,"00000"))</f>
        <v/>
      </c>
      <c r="C859" s="114" t="n"/>
      <c r="D859" s="107" t="n"/>
      <c r="E859" s="108" t="n"/>
      <c r="F859" s="108" t="n"/>
      <c r="G859" s="115" t="n"/>
      <c r="H859" s="107" t="n"/>
      <c r="I859" s="107" t="n"/>
      <c r="J859" s="108" t="n"/>
      <c r="K859" s="108" t="n"/>
      <c r="L859" s="119">
        <f>IF($C859="","",DATE(YEAR($C859),MONTH($C859),1))</f>
        <v/>
      </c>
      <c r="M859" s="112">
        <f>IF($C859="","",IF(AND($D859&lt;&gt;"",$E859&lt;&gt;"",$G859&gt;0,$H859&lt;&gt;"",$I859&lt;&gt;""),IF($C859&gt;TODAY(),"İLERİ TARİH","UYGUN"),"EKSİK"))</f>
        <v/>
      </c>
      <c r="N859" s="6" t="n"/>
      <c r="O859" s="6" t="n"/>
    </row>
    <row r="860">
      <c r="A860" s="6" t="n"/>
      <c r="B860" s="112">
        <f>IF($C860="","","GG"&amp;TEXT(ROW()-6,"00000"))</f>
        <v/>
      </c>
      <c r="C860" s="114" t="n"/>
      <c r="D860" s="107" t="n"/>
      <c r="E860" s="108" t="n"/>
      <c r="F860" s="108" t="n"/>
      <c r="G860" s="115" t="n"/>
      <c r="H860" s="107" t="n"/>
      <c r="I860" s="107" t="n"/>
      <c r="J860" s="108" t="n"/>
      <c r="K860" s="108" t="n"/>
      <c r="L860" s="119">
        <f>IF($C860="","",DATE(YEAR($C860),MONTH($C860),1))</f>
        <v/>
      </c>
      <c r="M860" s="112">
        <f>IF($C860="","",IF(AND($D860&lt;&gt;"",$E860&lt;&gt;"",$G860&gt;0,$H860&lt;&gt;"",$I860&lt;&gt;""),IF($C860&gt;TODAY(),"İLERİ TARİH","UYGUN"),"EKSİK"))</f>
        <v/>
      </c>
      <c r="N860" s="6" t="n"/>
      <c r="O860" s="6" t="n"/>
    </row>
    <row r="861">
      <c r="A861" s="6" t="n"/>
      <c r="B861" s="112">
        <f>IF($C861="","","GG"&amp;TEXT(ROW()-6,"00000"))</f>
        <v/>
      </c>
      <c r="C861" s="114" t="n"/>
      <c r="D861" s="107" t="n"/>
      <c r="E861" s="108" t="n"/>
      <c r="F861" s="108" t="n"/>
      <c r="G861" s="115" t="n"/>
      <c r="H861" s="107" t="n"/>
      <c r="I861" s="107" t="n"/>
      <c r="J861" s="108" t="n"/>
      <c r="K861" s="108" t="n"/>
      <c r="L861" s="119">
        <f>IF($C861="","",DATE(YEAR($C861),MONTH($C861),1))</f>
        <v/>
      </c>
      <c r="M861" s="112">
        <f>IF($C861="","",IF(AND($D861&lt;&gt;"",$E861&lt;&gt;"",$G861&gt;0,$H861&lt;&gt;"",$I861&lt;&gt;""),IF($C861&gt;TODAY(),"İLERİ TARİH","UYGUN"),"EKSİK"))</f>
        <v/>
      </c>
      <c r="N861" s="6" t="n"/>
      <c r="O861" s="6" t="n"/>
    </row>
    <row r="862">
      <c r="A862" s="6" t="n"/>
      <c r="B862" s="112">
        <f>IF($C862="","","GG"&amp;TEXT(ROW()-6,"00000"))</f>
        <v/>
      </c>
      <c r="C862" s="114" t="n"/>
      <c r="D862" s="107" t="n"/>
      <c r="E862" s="108" t="n"/>
      <c r="F862" s="108" t="n"/>
      <c r="G862" s="115" t="n"/>
      <c r="H862" s="107" t="n"/>
      <c r="I862" s="107" t="n"/>
      <c r="J862" s="108" t="n"/>
      <c r="K862" s="108" t="n"/>
      <c r="L862" s="119">
        <f>IF($C862="","",DATE(YEAR($C862),MONTH($C862),1))</f>
        <v/>
      </c>
      <c r="M862" s="112">
        <f>IF($C862="","",IF(AND($D862&lt;&gt;"",$E862&lt;&gt;"",$G862&gt;0,$H862&lt;&gt;"",$I862&lt;&gt;""),IF($C862&gt;TODAY(),"İLERİ TARİH","UYGUN"),"EKSİK"))</f>
        <v/>
      </c>
      <c r="N862" s="6" t="n"/>
      <c r="O862" s="6" t="n"/>
    </row>
    <row r="863">
      <c r="A863" s="6" t="n"/>
      <c r="B863" s="112">
        <f>IF($C863="","","GG"&amp;TEXT(ROW()-6,"00000"))</f>
        <v/>
      </c>
      <c r="C863" s="114" t="n"/>
      <c r="D863" s="107" t="n"/>
      <c r="E863" s="108" t="n"/>
      <c r="F863" s="108" t="n"/>
      <c r="G863" s="115" t="n"/>
      <c r="H863" s="107" t="n"/>
      <c r="I863" s="107" t="n"/>
      <c r="J863" s="108" t="n"/>
      <c r="K863" s="108" t="n"/>
      <c r="L863" s="119">
        <f>IF($C863="","",DATE(YEAR($C863),MONTH($C863),1))</f>
        <v/>
      </c>
      <c r="M863" s="112">
        <f>IF($C863="","",IF(AND($D863&lt;&gt;"",$E863&lt;&gt;"",$G863&gt;0,$H863&lt;&gt;"",$I863&lt;&gt;""),IF($C863&gt;TODAY(),"İLERİ TARİH","UYGUN"),"EKSİK"))</f>
        <v/>
      </c>
      <c r="N863" s="6" t="n"/>
      <c r="O863" s="6" t="n"/>
    </row>
    <row r="864">
      <c r="A864" s="6" t="n"/>
      <c r="B864" s="112">
        <f>IF($C864="","","GG"&amp;TEXT(ROW()-6,"00000"))</f>
        <v/>
      </c>
      <c r="C864" s="114" t="n"/>
      <c r="D864" s="107" t="n"/>
      <c r="E864" s="108" t="n"/>
      <c r="F864" s="108" t="n"/>
      <c r="G864" s="115" t="n"/>
      <c r="H864" s="107" t="n"/>
      <c r="I864" s="107" t="n"/>
      <c r="J864" s="108" t="n"/>
      <c r="K864" s="108" t="n"/>
      <c r="L864" s="119">
        <f>IF($C864="","",DATE(YEAR($C864),MONTH($C864),1))</f>
        <v/>
      </c>
      <c r="M864" s="112">
        <f>IF($C864="","",IF(AND($D864&lt;&gt;"",$E864&lt;&gt;"",$G864&gt;0,$H864&lt;&gt;"",$I864&lt;&gt;""),IF($C864&gt;TODAY(),"İLERİ TARİH","UYGUN"),"EKSİK"))</f>
        <v/>
      </c>
      <c r="N864" s="6" t="n"/>
      <c r="O864" s="6" t="n"/>
    </row>
    <row r="865">
      <c r="A865" s="6" t="n"/>
      <c r="B865" s="112">
        <f>IF($C865="","","GG"&amp;TEXT(ROW()-6,"00000"))</f>
        <v/>
      </c>
      <c r="C865" s="114" t="n"/>
      <c r="D865" s="107" t="n"/>
      <c r="E865" s="108" t="n"/>
      <c r="F865" s="108" t="n"/>
      <c r="G865" s="115" t="n"/>
      <c r="H865" s="107" t="n"/>
      <c r="I865" s="107" t="n"/>
      <c r="J865" s="108" t="n"/>
      <c r="K865" s="108" t="n"/>
      <c r="L865" s="119">
        <f>IF($C865="","",DATE(YEAR($C865),MONTH($C865),1))</f>
        <v/>
      </c>
      <c r="M865" s="112">
        <f>IF($C865="","",IF(AND($D865&lt;&gt;"",$E865&lt;&gt;"",$G865&gt;0,$H865&lt;&gt;"",$I865&lt;&gt;""),IF($C865&gt;TODAY(),"İLERİ TARİH","UYGUN"),"EKSİK"))</f>
        <v/>
      </c>
      <c r="N865" s="6" t="n"/>
      <c r="O865" s="6" t="n"/>
    </row>
    <row r="866">
      <c r="A866" s="6" t="n"/>
      <c r="B866" s="112">
        <f>IF($C866="","","GG"&amp;TEXT(ROW()-6,"00000"))</f>
        <v/>
      </c>
      <c r="C866" s="114" t="n"/>
      <c r="D866" s="107" t="n"/>
      <c r="E866" s="108" t="n"/>
      <c r="F866" s="108" t="n"/>
      <c r="G866" s="115" t="n"/>
      <c r="H866" s="107" t="n"/>
      <c r="I866" s="107" t="n"/>
      <c r="J866" s="108" t="n"/>
      <c r="K866" s="108" t="n"/>
      <c r="L866" s="119">
        <f>IF($C866="","",DATE(YEAR($C866),MONTH($C866),1))</f>
        <v/>
      </c>
      <c r="M866" s="112">
        <f>IF($C866="","",IF(AND($D866&lt;&gt;"",$E866&lt;&gt;"",$G866&gt;0,$H866&lt;&gt;"",$I866&lt;&gt;""),IF($C866&gt;TODAY(),"İLERİ TARİH","UYGUN"),"EKSİK"))</f>
        <v/>
      </c>
      <c r="N866" s="6" t="n"/>
      <c r="O866" s="6" t="n"/>
    </row>
    <row r="867">
      <c r="A867" s="6" t="n"/>
      <c r="B867" s="112">
        <f>IF($C867="","","GG"&amp;TEXT(ROW()-6,"00000"))</f>
        <v/>
      </c>
      <c r="C867" s="114" t="n"/>
      <c r="D867" s="107" t="n"/>
      <c r="E867" s="108" t="n"/>
      <c r="F867" s="108" t="n"/>
      <c r="G867" s="115" t="n"/>
      <c r="H867" s="107" t="n"/>
      <c r="I867" s="107" t="n"/>
      <c r="J867" s="108" t="n"/>
      <c r="K867" s="108" t="n"/>
      <c r="L867" s="119">
        <f>IF($C867="","",DATE(YEAR($C867),MONTH($C867),1))</f>
        <v/>
      </c>
      <c r="M867" s="112">
        <f>IF($C867="","",IF(AND($D867&lt;&gt;"",$E867&lt;&gt;"",$G867&gt;0,$H867&lt;&gt;"",$I867&lt;&gt;""),IF($C867&gt;TODAY(),"İLERİ TARİH","UYGUN"),"EKSİK"))</f>
        <v/>
      </c>
      <c r="N867" s="6" t="n"/>
      <c r="O867" s="6" t="n"/>
    </row>
    <row r="868">
      <c r="A868" s="6" t="n"/>
      <c r="B868" s="112">
        <f>IF($C868="","","GG"&amp;TEXT(ROW()-6,"00000"))</f>
        <v/>
      </c>
      <c r="C868" s="114" t="n"/>
      <c r="D868" s="107" t="n"/>
      <c r="E868" s="108" t="n"/>
      <c r="F868" s="108" t="n"/>
      <c r="G868" s="115" t="n"/>
      <c r="H868" s="107" t="n"/>
      <c r="I868" s="107" t="n"/>
      <c r="J868" s="108" t="n"/>
      <c r="K868" s="108" t="n"/>
      <c r="L868" s="119">
        <f>IF($C868="","",DATE(YEAR($C868),MONTH($C868),1))</f>
        <v/>
      </c>
      <c r="M868" s="112">
        <f>IF($C868="","",IF(AND($D868&lt;&gt;"",$E868&lt;&gt;"",$G868&gt;0,$H868&lt;&gt;"",$I868&lt;&gt;""),IF($C868&gt;TODAY(),"İLERİ TARİH","UYGUN"),"EKSİK"))</f>
        <v/>
      </c>
      <c r="N868" s="6" t="n"/>
      <c r="O868" s="6" t="n"/>
    </row>
    <row r="869">
      <c r="A869" s="6" t="n"/>
      <c r="B869" s="112">
        <f>IF($C869="","","GG"&amp;TEXT(ROW()-6,"00000"))</f>
        <v/>
      </c>
      <c r="C869" s="114" t="n"/>
      <c r="D869" s="107" t="n"/>
      <c r="E869" s="108" t="n"/>
      <c r="F869" s="108" t="n"/>
      <c r="G869" s="115" t="n"/>
      <c r="H869" s="107" t="n"/>
      <c r="I869" s="107" t="n"/>
      <c r="J869" s="108" t="n"/>
      <c r="K869" s="108" t="n"/>
      <c r="L869" s="119">
        <f>IF($C869="","",DATE(YEAR($C869),MONTH($C869),1))</f>
        <v/>
      </c>
      <c r="M869" s="112">
        <f>IF($C869="","",IF(AND($D869&lt;&gt;"",$E869&lt;&gt;"",$G869&gt;0,$H869&lt;&gt;"",$I869&lt;&gt;""),IF($C869&gt;TODAY(),"İLERİ TARİH","UYGUN"),"EKSİK"))</f>
        <v/>
      </c>
      <c r="N869" s="6" t="n"/>
      <c r="O869" s="6" t="n"/>
    </row>
    <row r="870">
      <c r="A870" s="6" t="n"/>
      <c r="B870" s="112">
        <f>IF($C870="","","GG"&amp;TEXT(ROW()-6,"00000"))</f>
        <v/>
      </c>
      <c r="C870" s="114" t="n"/>
      <c r="D870" s="107" t="n"/>
      <c r="E870" s="108" t="n"/>
      <c r="F870" s="108" t="n"/>
      <c r="G870" s="115" t="n"/>
      <c r="H870" s="107" t="n"/>
      <c r="I870" s="107" t="n"/>
      <c r="J870" s="108" t="n"/>
      <c r="K870" s="108" t="n"/>
      <c r="L870" s="119">
        <f>IF($C870="","",DATE(YEAR($C870),MONTH($C870),1))</f>
        <v/>
      </c>
      <c r="M870" s="112">
        <f>IF($C870="","",IF(AND($D870&lt;&gt;"",$E870&lt;&gt;"",$G870&gt;0,$H870&lt;&gt;"",$I870&lt;&gt;""),IF($C870&gt;TODAY(),"İLERİ TARİH","UYGUN"),"EKSİK"))</f>
        <v/>
      </c>
      <c r="N870" s="6" t="n"/>
      <c r="O870" s="6" t="n"/>
    </row>
    <row r="871">
      <c r="A871" s="6" t="n"/>
      <c r="B871" s="112">
        <f>IF($C871="","","GG"&amp;TEXT(ROW()-6,"00000"))</f>
        <v/>
      </c>
      <c r="C871" s="114" t="n"/>
      <c r="D871" s="107" t="n"/>
      <c r="E871" s="108" t="n"/>
      <c r="F871" s="108" t="n"/>
      <c r="G871" s="115" t="n"/>
      <c r="H871" s="107" t="n"/>
      <c r="I871" s="107" t="n"/>
      <c r="J871" s="108" t="n"/>
      <c r="K871" s="108" t="n"/>
      <c r="L871" s="119">
        <f>IF($C871="","",DATE(YEAR($C871),MONTH($C871),1))</f>
        <v/>
      </c>
      <c r="M871" s="112">
        <f>IF($C871="","",IF(AND($D871&lt;&gt;"",$E871&lt;&gt;"",$G871&gt;0,$H871&lt;&gt;"",$I871&lt;&gt;""),IF($C871&gt;TODAY(),"İLERİ TARİH","UYGUN"),"EKSİK"))</f>
        <v/>
      </c>
      <c r="N871" s="6" t="n"/>
      <c r="O871" s="6" t="n"/>
    </row>
    <row r="872">
      <c r="A872" s="6" t="n"/>
      <c r="B872" s="112">
        <f>IF($C872="","","GG"&amp;TEXT(ROW()-6,"00000"))</f>
        <v/>
      </c>
      <c r="C872" s="114" t="n"/>
      <c r="D872" s="107" t="n"/>
      <c r="E872" s="108" t="n"/>
      <c r="F872" s="108" t="n"/>
      <c r="G872" s="115" t="n"/>
      <c r="H872" s="107" t="n"/>
      <c r="I872" s="107" t="n"/>
      <c r="J872" s="108" t="n"/>
      <c r="K872" s="108" t="n"/>
      <c r="L872" s="119">
        <f>IF($C872="","",DATE(YEAR($C872),MONTH($C872),1))</f>
        <v/>
      </c>
      <c r="M872" s="112">
        <f>IF($C872="","",IF(AND($D872&lt;&gt;"",$E872&lt;&gt;"",$G872&gt;0,$H872&lt;&gt;"",$I872&lt;&gt;""),IF($C872&gt;TODAY(),"İLERİ TARİH","UYGUN"),"EKSİK"))</f>
        <v/>
      </c>
      <c r="N872" s="6" t="n"/>
      <c r="O872" s="6" t="n"/>
    </row>
    <row r="873">
      <c r="A873" s="6" t="n"/>
      <c r="B873" s="112">
        <f>IF($C873="","","GG"&amp;TEXT(ROW()-6,"00000"))</f>
        <v/>
      </c>
      <c r="C873" s="114" t="n"/>
      <c r="D873" s="107" t="n"/>
      <c r="E873" s="108" t="n"/>
      <c r="F873" s="108" t="n"/>
      <c r="G873" s="115" t="n"/>
      <c r="H873" s="107" t="n"/>
      <c r="I873" s="107" t="n"/>
      <c r="J873" s="108" t="n"/>
      <c r="K873" s="108" t="n"/>
      <c r="L873" s="119">
        <f>IF($C873="","",DATE(YEAR($C873),MONTH($C873),1))</f>
        <v/>
      </c>
      <c r="M873" s="112">
        <f>IF($C873="","",IF(AND($D873&lt;&gt;"",$E873&lt;&gt;"",$G873&gt;0,$H873&lt;&gt;"",$I873&lt;&gt;""),IF($C873&gt;TODAY(),"İLERİ TARİH","UYGUN"),"EKSİK"))</f>
        <v/>
      </c>
      <c r="N873" s="6" t="n"/>
      <c r="O873" s="6" t="n"/>
    </row>
    <row r="874">
      <c r="A874" s="6" t="n"/>
      <c r="B874" s="112">
        <f>IF($C874="","","GG"&amp;TEXT(ROW()-6,"00000"))</f>
        <v/>
      </c>
      <c r="C874" s="114" t="n"/>
      <c r="D874" s="107" t="n"/>
      <c r="E874" s="108" t="n"/>
      <c r="F874" s="108" t="n"/>
      <c r="G874" s="115" t="n"/>
      <c r="H874" s="107" t="n"/>
      <c r="I874" s="107" t="n"/>
      <c r="J874" s="108" t="n"/>
      <c r="K874" s="108" t="n"/>
      <c r="L874" s="119">
        <f>IF($C874="","",DATE(YEAR($C874),MONTH($C874),1))</f>
        <v/>
      </c>
      <c r="M874" s="112">
        <f>IF($C874="","",IF(AND($D874&lt;&gt;"",$E874&lt;&gt;"",$G874&gt;0,$H874&lt;&gt;"",$I874&lt;&gt;""),IF($C874&gt;TODAY(),"İLERİ TARİH","UYGUN"),"EKSİK"))</f>
        <v/>
      </c>
      <c r="N874" s="6" t="n"/>
      <c r="O874" s="6" t="n"/>
    </row>
    <row r="875">
      <c r="A875" s="6" t="n"/>
      <c r="B875" s="112">
        <f>IF($C875="","","GG"&amp;TEXT(ROW()-6,"00000"))</f>
        <v/>
      </c>
      <c r="C875" s="114" t="n"/>
      <c r="D875" s="107" t="n"/>
      <c r="E875" s="108" t="n"/>
      <c r="F875" s="108" t="n"/>
      <c r="G875" s="115" t="n"/>
      <c r="H875" s="107" t="n"/>
      <c r="I875" s="107" t="n"/>
      <c r="J875" s="108" t="n"/>
      <c r="K875" s="108" t="n"/>
      <c r="L875" s="119">
        <f>IF($C875="","",DATE(YEAR($C875),MONTH($C875),1))</f>
        <v/>
      </c>
      <c r="M875" s="112">
        <f>IF($C875="","",IF(AND($D875&lt;&gt;"",$E875&lt;&gt;"",$G875&gt;0,$H875&lt;&gt;"",$I875&lt;&gt;""),IF($C875&gt;TODAY(),"İLERİ TARİH","UYGUN"),"EKSİK"))</f>
        <v/>
      </c>
      <c r="N875" s="6" t="n"/>
      <c r="O875" s="6" t="n"/>
    </row>
    <row r="876">
      <c r="A876" s="6" t="n"/>
      <c r="B876" s="112">
        <f>IF($C876="","","GG"&amp;TEXT(ROW()-6,"00000"))</f>
        <v/>
      </c>
      <c r="C876" s="114" t="n"/>
      <c r="D876" s="107" t="n"/>
      <c r="E876" s="108" t="n"/>
      <c r="F876" s="108" t="n"/>
      <c r="G876" s="115" t="n"/>
      <c r="H876" s="107" t="n"/>
      <c r="I876" s="107" t="n"/>
      <c r="J876" s="108" t="n"/>
      <c r="K876" s="108" t="n"/>
      <c r="L876" s="119">
        <f>IF($C876="","",DATE(YEAR($C876),MONTH($C876),1))</f>
        <v/>
      </c>
      <c r="M876" s="112">
        <f>IF($C876="","",IF(AND($D876&lt;&gt;"",$E876&lt;&gt;"",$G876&gt;0,$H876&lt;&gt;"",$I876&lt;&gt;""),IF($C876&gt;TODAY(),"İLERİ TARİH","UYGUN"),"EKSİK"))</f>
        <v/>
      </c>
      <c r="N876" s="6" t="n"/>
      <c r="O876" s="6" t="n"/>
    </row>
    <row r="877">
      <c r="A877" s="6" t="n"/>
      <c r="B877" s="112">
        <f>IF($C877="","","GG"&amp;TEXT(ROW()-6,"00000"))</f>
        <v/>
      </c>
      <c r="C877" s="114" t="n"/>
      <c r="D877" s="107" t="n"/>
      <c r="E877" s="108" t="n"/>
      <c r="F877" s="108" t="n"/>
      <c r="G877" s="115" t="n"/>
      <c r="H877" s="107" t="n"/>
      <c r="I877" s="107" t="n"/>
      <c r="J877" s="108" t="n"/>
      <c r="K877" s="108" t="n"/>
      <c r="L877" s="119">
        <f>IF($C877="","",DATE(YEAR($C877),MONTH($C877),1))</f>
        <v/>
      </c>
      <c r="M877" s="112">
        <f>IF($C877="","",IF(AND($D877&lt;&gt;"",$E877&lt;&gt;"",$G877&gt;0,$H877&lt;&gt;"",$I877&lt;&gt;""),IF($C877&gt;TODAY(),"İLERİ TARİH","UYGUN"),"EKSİK"))</f>
        <v/>
      </c>
      <c r="N877" s="6" t="n"/>
      <c r="O877" s="6" t="n"/>
    </row>
    <row r="878">
      <c r="A878" s="6" t="n"/>
      <c r="B878" s="112">
        <f>IF($C878="","","GG"&amp;TEXT(ROW()-6,"00000"))</f>
        <v/>
      </c>
      <c r="C878" s="114" t="n"/>
      <c r="D878" s="107" t="n"/>
      <c r="E878" s="108" t="n"/>
      <c r="F878" s="108" t="n"/>
      <c r="G878" s="115" t="n"/>
      <c r="H878" s="107" t="n"/>
      <c r="I878" s="107" t="n"/>
      <c r="J878" s="108" t="n"/>
      <c r="K878" s="108" t="n"/>
      <c r="L878" s="119">
        <f>IF($C878="","",DATE(YEAR($C878),MONTH($C878),1))</f>
        <v/>
      </c>
      <c r="M878" s="112">
        <f>IF($C878="","",IF(AND($D878&lt;&gt;"",$E878&lt;&gt;"",$G878&gt;0,$H878&lt;&gt;"",$I878&lt;&gt;""),IF($C878&gt;TODAY(),"İLERİ TARİH","UYGUN"),"EKSİK"))</f>
        <v/>
      </c>
      <c r="N878" s="6" t="n"/>
      <c r="O878" s="6" t="n"/>
    </row>
    <row r="879">
      <c r="A879" s="6" t="n"/>
      <c r="B879" s="112">
        <f>IF($C879="","","GG"&amp;TEXT(ROW()-6,"00000"))</f>
        <v/>
      </c>
      <c r="C879" s="114" t="n"/>
      <c r="D879" s="107" t="n"/>
      <c r="E879" s="108" t="n"/>
      <c r="F879" s="108" t="n"/>
      <c r="G879" s="115" t="n"/>
      <c r="H879" s="107" t="n"/>
      <c r="I879" s="107" t="n"/>
      <c r="J879" s="108" t="n"/>
      <c r="K879" s="108" t="n"/>
      <c r="L879" s="119">
        <f>IF($C879="","",DATE(YEAR($C879),MONTH($C879),1))</f>
        <v/>
      </c>
      <c r="M879" s="112">
        <f>IF($C879="","",IF(AND($D879&lt;&gt;"",$E879&lt;&gt;"",$G879&gt;0,$H879&lt;&gt;"",$I879&lt;&gt;""),IF($C879&gt;TODAY(),"İLERİ TARİH","UYGUN"),"EKSİK"))</f>
        <v/>
      </c>
      <c r="N879" s="6" t="n"/>
      <c r="O879" s="6" t="n"/>
    </row>
    <row r="880">
      <c r="A880" s="6" t="n"/>
      <c r="B880" s="112">
        <f>IF($C880="","","GG"&amp;TEXT(ROW()-6,"00000"))</f>
        <v/>
      </c>
      <c r="C880" s="114" t="n"/>
      <c r="D880" s="107" t="n"/>
      <c r="E880" s="108" t="n"/>
      <c r="F880" s="108" t="n"/>
      <c r="G880" s="115" t="n"/>
      <c r="H880" s="107" t="n"/>
      <c r="I880" s="107" t="n"/>
      <c r="J880" s="108" t="n"/>
      <c r="K880" s="108" t="n"/>
      <c r="L880" s="119">
        <f>IF($C880="","",DATE(YEAR($C880),MONTH($C880),1))</f>
        <v/>
      </c>
      <c r="M880" s="112">
        <f>IF($C880="","",IF(AND($D880&lt;&gt;"",$E880&lt;&gt;"",$G880&gt;0,$H880&lt;&gt;"",$I880&lt;&gt;""),IF($C880&gt;TODAY(),"İLERİ TARİH","UYGUN"),"EKSİK"))</f>
        <v/>
      </c>
      <c r="N880" s="6" t="n"/>
      <c r="O880" s="6" t="n"/>
    </row>
    <row r="881">
      <c r="A881" s="6" t="n"/>
      <c r="B881" s="112">
        <f>IF($C881="","","GG"&amp;TEXT(ROW()-6,"00000"))</f>
        <v/>
      </c>
      <c r="C881" s="114" t="n"/>
      <c r="D881" s="107" t="n"/>
      <c r="E881" s="108" t="n"/>
      <c r="F881" s="108" t="n"/>
      <c r="G881" s="115" t="n"/>
      <c r="H881" s="107" t="n"/>
      <c r="I881" s="107" t="n"/>
      <c r="J881" s="108" t="n"/>
      <c r="K881" s="108" t="n"/>
      <c r="L881" s="119">
        <f>IF($C881="","",DATE(YEAR($C881),MONTH($C881),1))</f>
        <v/>
      </c>
      <c r="M881" s="112">
        <f>IF($C881="","",IF(AND($D881&lt;&gt;"",$E881&lt;&gt;"",$G881&gt;0,$H881&lt;&gt;"",$I881&lt;&gt;""),IF($C881&gt;TODAY(),"İLERİ TARİH","UYGUN"),"EKSİK"))</f>
        <v/>
      </c>
      <c r="N881" s="6" t="n"/>
      <c r="O881" s="6" t="n"/>
    </row>
    <row r="882">
      <c r="A882" s="6" t="n"/>
      <c r="B882" s="112">
        <f>IF($C882="","","GG"&amp;TEXT(ROW()-6,"00000"))</f>
        <v/>
      </c>
      <c r="C882" s="114" t="n"/>
      <c r="D882" s="107" t="n"/>
      <c r="E882" s="108" t="n"/>
      <c r="F882" s="108" t="n"/>
      <c r="G882" s="115" t="n"/>
      <c r="H882" s="107" t="n"/>
      <c r="I882" s="107" t="n"/>
      <c r="J882" s="108" t="n"/>
      <c r="K882" s="108" t="n"/>
      <c r="L882" s="119">
        <f>IF($C882="","",DATE(YEAR($C882),MONTH($C882),1))</f>
        <v/>
      </c>
      <c r="M882" s="112">
        <f>IF($C882="","",IF(AND($D882&lt;&gt;"",$E882&lt;&gt;"",$G882&gt;0,$H882&lt;&gt;"",$I882&lt;&gt;""),IF($C882&gt;TODAY(),"İLERİ TARİH","UYGUN"),"EKSİK"))</f>
        <v/>
      </c>
      <c r="N882" s="6" t="n"/>
      <c r="O882" s="6" t="n"/>
    </row>
    <row r="883">
      <c r="A883" s="6" t="n"/>
      <c r="B883" s="112">
        <f>IF($C883="","","GG"&amp;TEXT(ROW()-6,"00000"))</f>
        <v/>
      </c>
      <c r="C883" s="114" t="n"/>
      <c r="D883" s="107" t="n"/>
      <c r="E883" s="108" t="n"/>
      <c r="F883" s="108" t="n"/>
      <c r="G883" s="115" t="n"/>
      <c r="H883" s="107" t="n"/>
      <c r="I883" s="107" t="n"/>
      <c r="J883" s="108" t="n"/>
      <c r="K883" s="108" t="n"/>
      <c r="L883" s="119">
        <f>IF($C883="","",DATE(YEAR($C883),MONTH($C883),1))</f>
        <v/>
      </c>
      <c r="M883" s="112">
        <f>IF($C883="","",IF(AND($D883&lt;&gt;"",$E883&lt;&gt;"",$G883&gt;0,$H883&lt;&gt;"",$I883&lt;&gt;""),IF($C883&gt;TODAY(),"İLERİ TARİH","UYGUN"),"EKSİK"))</f>
        <v/>
      </c>
      <c r="N883" s="6" t="n"/>
      <c r="O883" s="6" t="n"/>
    </row>
    <row r="884">
      <c r="A884" s="6" t="n"/>
      <c r="B884" s="112">
        <f>IF($C884="","","GG"&amp;TEXT(ROW()-6,"00000"))</f>
        <v/>
      </c>
      <c r="C884" s="114" t="n"/>
      <c r="D884" s="107" t="n"/>
      <c r="E884" s="108" t="n"/>
      <c r="F884" s="108" t="n"/>
      <c r="G884" s="115" t="n"/>
      <c r="H884" s="107" t="n"/>
      <c r="I884" s="107" t="n"/>
      <c r="J884" s="108" t="n"/>
      <c r="K884" s="108" t="n"/>
      <c r="L884" s="119">
        <f>IF($C884="","",DATE(YEAR($C884),MONTH($C884),1))</f>
        <v/>
      </c>
      <c r="M884" s="112">
        <f>IF($C884="","",IF(AND($D884&lt;&gt;"",$E884&lt;&gt;"",$G884&gt;0,$H884&lt;&gt;"",$I884&lt;&gt;""),IF($C884&gt;TODAY(),"İLERİ TARİH","UYGUN"),"EKSİK"))</f>
        <v/>
      </c>
      <c r="N884" s="6" t="n"/>
      <c r="O884" s="6" t="n"/>
    </row>
    <row r="885">
      <c r="A885" s="6" t="n"/>
      <c r="B885" s="112">
        <f>IF($C885="","","GG"&amp;TEXT(ROW()-6,"00000"))</f>
        <v/>
      </c>
      <c r="C885" s="114" t="n"/>
      <c r="D885" s="107" t="n"/>
      <c r="E885" s="108" t="n"/>
      <c r="F885" s="108" t="n"/>
      <c r="G885" s="115" t="n"/>
      <c r="H885" s="107" t="n"/>
      <c r="I885" s="107" t="n"/>
      <c r="J885" s="108" t="n"/>
      <c r="K885" s="108" t="n"/>
      <c r="L885" s="119">
        <f>IF($C885="","",DATE(YEAR($C885),MONTH($C885),1))</f>
        <v/>
      </c>
      <c r="M885" s="112">
        <f>IF($C885="","",IF(AND($D885&lt;&gt;"",$E885&lt;&gt;"",$G885&gt;0,$H885&lt;&gt;"",$I885&lt;&gt;""),IF($C885&gt;TODAY(),"İLERİ TARİH","UYGUN"),"EKSİK"))</f>
        <v/>
      </c>
      <c r="N885" s="6" t="n"/>
      <c r="O885" s="6" t="n"/>
    </row>
    <row r="886">
      <c r="A886" s="6" t="n"/>
      <c r="B886" s="112">
        <f>IF($C886="","","GG"&amp;TEXT(ROW()-6,"00000"))</f>
        <v/>
      </c>
      <c r="C886" s="114" t="n"/>
      <c r="D886" s="107" t="n"/>
      <c r="E886" s="108" t="n"/>
      <c r="F886" s="108" t="n"/>
      <c r="G886" s="115" t="n"/>
      <c r="H886" s="107" t="n"/>
      <c r="I886" s="107" t="n"/>
      <c r="J886" s="108" t="n"/>
      <c r="K886" s="108" t="n"/>
      <c r="L886" s="119">
        <f>IF($C886="","",DATE(YEAR($C886),MONTH($C886),1))</f>
        <v/>
      </c>
      <c r="M886" s="112">
        <f>IF($C886="","",IF(AND($D886&lt;&gt;"",$E886&lt;&gt;"",$G886&gt;0,$H886&lt;&gt;"",$I886&lt;&gt;""),IF($C886&gt;TODAY(),"İLERİ TARİH","UYGUN"),"EKSİK"))</f>
        <v/>
      </c>
      <c r="N886" s="6" t="n"/>
      <c r="O886" s="6" t="n"/>
    </row>
    <row r="887">
      <c r="A887" s="6" t="n"/>
      <c r="B887" s="112">
        <f>IF($C887="","","GG"&amp;TEXT(ROW()-6,"00000"))</f>
        <v/>
      </c>
      <c r="C887" s="114" t="n"/>
      <c r="D887" s="107" t="n"/>
      <c r="E887" s="108" t="n"/>
      <c r="F887" s="108" t="n"/>
      <c r="G887" s="115" t="n"/>
      <c r="H887" s="107" t="n"/>
      <c r="I887" s="107" t="n"/>
      <c r="J887" s="108" t="n"/>
      <c r="K887" s="108" t="n"/>
      <c r="L887" s="119">
        <f>IF($C887="","",DATE(YEAR($C887),MONTH($C887),1))</f>
        <v/>
      </c>
      <c r="M887" s="112">
        <f>IF($C887="","",IF(AND($D887&lt;&gt;"",$E887&lt;&gt;"",$G887&gt;0,$H887&lt;&gt;"",$I887&lt;&gt;""),IF($C887&gt;TODAY(),"İLERİ TARİH","UYGUN"),"EKSİK"))</f>
        <v/>
      </c>
      <c r="N887" s="6" t="n"/>
      <c r="O887" s="6" t="n"/>
    </row>
    <row r="888">
      <c r="A888" s="6" t="n"/>
      <c r="B888" s="112">
        <f>IF($C888="","","GG"&amp;TEXT(ROW()-6,"00000"))</f>
        <v/>
      </c>
      <c r="C888" s="114" t="n"/>
      <c r="D888" s="107" t="n"/>
      <c r="E888" s="108" t="n"/>
      <c r="F888" s="108" t="n"/>
      <c r="G888" s="115" t="n"/>
      <c r="H888" s="107" t="n"/>
      <c r="I888" s="107" t="n"/>
      <c r="J888" s="108" t="n"/>
      <c r="K888" s="108" t="n"/>
      <c r="L888" s="119">
        <f>IF($C888="","",DATE(YEAR($C888),MONTH($C888),1))</f>
        <v/>
      </c>
      <c r="M888" s="112">
        <f>IF($C888="","",IF(AND($D888&lt;&gt;"",$E888&lt;&gt;"",$G888&gt;0,$H888&lt;&gt;"",$I888&lt;&gt;""),IF($C888&gt;TODAY(),"İLERİ TARİH","UYGUN"),"EKSİK"))</f>
        <v/>
      </c>
      <c r="N888" s="6" t="n"/>
      <c r="O888" s="6" t="n"/>
    </row>
    <row r="889">
      <c r="A889" s="6" t="n"/>
      <c r="B889" s="112">
        <f>IF($C889="","","GG"&amp;TEXT(ROW()-6,"00000"))</f>
        <v/>
      </c>
      <c r="C889" s="114" t="n"/>
      <c r="D889" s="107" t="n"/>
      <c r="E889" s="108" t="n"/>
      <c r="F889" s="108" t="n"/>
      <c r="G889" s="115" t="n"/>
      <c r="H889" s="107" t="n"/>
      <c r="I889" s="107" t="n"/>
      <c r="J889" s="108" t="n"/>
      <c r="K889" s="108" t="n"/>
      <c r="L889" s="119">
        <f>IF($C889="","",DATE(YEAR($C889),MONTH($C889),1))</f>
        <v/>
      </c>
      <c r="M889" s="112">
        <f>IF($C889="","",IF(AND($D889&lt;&gt;"",$E889&lt;&gt;"",$G889&gt;0,$H889&lt;&gt;"",$I889&lt;&gt;""),IF($C889&gt;TODAY(),"İLERİ TARİH","UYGUN"),"EKSİK"))</f>
        <v/>
      </c>
      <c r="N889" s="6" t="n"/>
      <c r="O889" s="6" t="n"/>
    </row>
    <row r="890">
      <c r="A890" s="6" t="n"/>
      <c r="B890" s="112">
        <f>IF($C890="","","GG"&amp;TEXT(ROW()-6,"00000"))</f>
        <v/>
      </c>
      <c r="C890" s="114" t="n"/>
      <c r="D890" s="107" t="n"/>
      <c r="E890" s="108" t="n"/>
      <c r="F890" s="108" t="n"/>
      <c r="G890" s="115" t="n"/>
      <c r="H890" s="107" t="n"/>
      <c r="I890" s="107" t="n"/>
      <c r="J890" s="108" t="n"/>
      <c r="K890" s="108" t="n"/>
      <c r="L890" s="119">
        <f>IF($C890="","",DATE(YEAR($C890),MONTH($C890),1))</f>
        <v/>
      </c>
      <c r="M890" s="112">
        <f>IF($C890="","",IF(AND($D890&lt;&gt;"",$E890&lt;&gt;"",$G890&gt;0,$H890&lt;&gt;"",$I890&lt;&gt;""),IF($C890&gt;TODAY(),"İLERİ TARİH","UYGUN"),"EKSİK"))</f>
        <v/>
      </c>
      <c r="N890" s="6" t="n"/>
      <c r="O890" s="6" t="n"/>
    </row>
    <row r="891">
      <c r="A891" s="6" t="n"/>
      <c r="B891" s="112">
        <f>IF($C891="","","GG"&amp;TEXT(ROW()-6,"00000"))</f>
        <v/>
      </c>
      <c r="C891" s="114" t="n"/>
      <c r="D891" s="107" t="n"/>
      <c r="E891" s="108" t="n"/>
      <c r="F891" s="108" t="n"/>
      <c r="G891" s="115" t="n"/>
      <c r="H891" s="107" t="n"/>
      <c r="I891" s="107" t="n"/>
      <c r="J891" s="108" t="n"/>
      <c r="K891" s="108" t="n"/>
      <c r="L891" s="119">
        <f>IF($C891="","",DATE(YEAR($C891),MONTH($C891),1))</f>
        <v/>
      </c>
      <c r="M891" s="112">
        <f>IF($C891="","",IF(AND($D891&lt;&gt;"",$E891&lt;&gt;"",$G891&gt;0,$H891&lt;&gt;"",$I891&lt;&gt;""),IF($C891&gt;TODAY(),"İLERİ TARİH","UYGUN"),"EKSİK"))</f>
        <v/>
      </c>
      <c r="N891" s="6" t="n"/>
      <c r="O891" s="6" t="n"/>
    </row>
    <row r="892">
      <c r="A892" s="6" t="n"/>
      <c r="B892" s="112">
        <f>IF($C892="","","GG"&amp;TEXT(ROW()-6,"00000"))</f>
        <v/>
      </c>
      <c r="C892" s="114" t="n"/>
      <c r="D892" s="107" t="n"/>
      <c r="E892" s="108" t="n"/>
      <c r="F892" s="108" t="n"/>
      <c r="G892" s="115" t="n"/>
      <c r="H892" s="107" t="n"/>
      <c r="I892" s="107" t="n"/>
      <c r="J892" s="108" t="n"/>
      <c r="K892" s="108" t="n"/>
      <c r="L892" s="119">
        <f>IF($C892="","",DATE(YEAR($C892),MONTH($C892),1))</f>
        <v/>
      </c>
      <c r="M892" s="112">
        <f>IF($C892="","",IF(AND($D892&lt;&gt;"",$E892&lt;&gt;"",$G892&gt;0,$H892&lt;&gt;"",$I892&lt;&gt;""),IF($C892&gt;TODAY(),"İLERİ TARİH","UYGUN"),"EKSİK"))</f>
        <v/>
      </c>
      <c r="N892" s="6" t="n"/>
      <c r="O892" s="6" t="n"/>
    </row>
    <row r="893">
      <c r="A893" s="6" t="n"/>
      <c r="B893" s="112">
        <f>IF($C893="","","GG"&amp;TEXT(ROW()-6,"00000"))</f>
        <v/>
      </c>
      <c r="C893" s="114" t="n"/>
      <c r="D893" s="107" t="n"/>
      <c r="E893" s="108" t="n"/>
      <c r="F893" s="108" t="n"/>
      <c r="G893" s="115" t="n"/>
      <c r="H893" s="107" t="n"/>
      <c r="I893" s="107" t="n"/>
      <c r="J893" s="108" t="n"/>
      <c r="K893" s="108" t="n"/>
      <c r="L893" s="119">
        <f>IF($C893="","",DATE(YEAR($C893),MONTH($C893),1))</f>
        <v/>
      </c>
      <c r="M893" s="112">
        <f>IF($C893="","",IF(AND($D893&lt;&gt;"",$E893&lt;&gt;"",$G893&gt;0,$H893&lt;&gt;"",$I893&lt;&gt;""),IF($C893&gt;TODAY(),"İLERİ TARİH","UYGUN"),"EKSİK"))</f>
        <v/>
      </c>
      <c r="N893" s="6" t="n"/>
      <c r="O893" s="6" t="n"/>
    </row>
    <row r="894">
      <c r="A894" s="6" t="n"/>
      <c r="B894" s="112">
        <f>IF($C894="","","GG"&amp;TEXT(ROW()-6,"00000"))</f>
        <v/>
      </c>
      <c r="C894" s="114" t="n"/>
      <c r="D894" s="107" t="n"/>
      <c r="E894" s="108" t="n"/>
      <c r="F894" s="108" t="n"/>
      <c r="G894" s="115" t="n"/>
      <c r="H894" s="107" t="n"/>
      <c r="I894" s="107" t="n"/>
      <c r="J894" s="108" t="n"/>
      <c r="K894" s="108" t="n"/>
      <c r="L894" s="119">
        <f>IF($C894="","",DATE(YEAR($C894),MONTH($C894),1))</f>
        <v/>
      </c>
      <c r="M894" s="112">
        <f>IF($C894="","",IF(AND($D894&lt;&gt;"",$E894&lt;&gt;"",$G894&gt;0,$H894&lt;&gt;"",$I894&lt;&gt;""),IF($C894&gt;TODAY(),"İLERİ TARİH","UYGUN"),"EKSİK"))</f>
        <v/>
      </c>
      <c r="N894" s="6" t="n"/>
      <c r="O894" s="6" t="n"/>
    </row>
    <row r="895">
      <c r="A895" s="6" t="n"/>
      <c r="B895" s="112">
        <f>IF($C895="","","GG"&amp;TEXT(ROW()-6,"00000"))</f>
        <v/>
      </c>
      <c r="C895" s="114" t="n"/>
      <c r="D895" s="107" t="n"/>
      <c r="E895" s="108" t="n"/>
      <c r="F895" s="108" t="n"/>
      <c r="G895" s="115" t="n"/>
      <c r="H895" s="107" t="n"/>
      <c r="I895" s="107" t="n"/>
      <c r="J895" s="108" t="n"/>
      <c r="K895" s="108" t="n"/>
      <c r="L895" s="119">
        <f>IF($C895="","",DATE(YEAR($C895),MONTH($C895),1))</f>
        <v/>
      </c>
      <c r="M895" s="112">
        <f>IF($C895="","",IF(AND($D895&lt;&gt;"",$E895&lt;&gt;"",$G895&gt;0,$H895&lt;&gt;"",$I895&lt;&gt;""),IF($C895&gt;TODAY(),"İLERİ TARİH","UYGUN"),"EKSİK"))</f>
        <v/>
      </c>
      <c r="N895" s="6" t="n"/>
      <c r="O895" s="6" t="n"/>
    </row>
    <row r="896">
      <c r="A896" s="6" t="n"/>
      <c r="B896" s="112">
        <f>IF($C896="","","GG"&amp;TEXT(ROW()-6,"00000"))</f>
        <v/>
      </c>
      <c r="C896" s="114" t="n"/>
      <c r="D896" s="107" t="n"/>
      <c r="E896" s="108" t="n"/>
      <c r="F896" s="108" t="n"/>
      <c r="G896" s="115" t="n"/>
      <c r="H896" s="107" t="n"/>
      <c r="I896" s="107" t="n"/>
      <c r="J896" s="108" t="n"/>
      <c r="K896" s="108" t="n"/>
      <c r="L896" s="119">
        <f>IF($C896="","",DATE(YEAR($C896),MONTH($C896),1))</f>
        <v/>
      </c>
      <c r="M896" s="112">
        <f>IF($C896="","",IF(AND($D896&lt;&gt;"",$E896&lt;&gt;"",$G896&gt;0,$H896&lt;&gt;"",$I896&lt;&gt;""),IF($C896&gt;TODAY(),"İLERİ TARİH","UYGUN"),"EKSİK"))</f>
        <v/>
      </c>
      <c r="N896" s="6" t="n"/>
      <c r="O896" s="6" t="n"/>
    </row>
    <row r="897">
      <c r="A897" s="6" t="n"/>
      <c r="B897" s="112">
        <f>IF($C897="","","GG"&amp;TEXT(ROW()-6,"00000"))</f>
        <v/>
      </c>
      <c r="C897" s="114" t="n"/>
      <c r="D897" s="107" t="n"/>
      <c r="E897" s="108" t="n"/>
      <c r="F897" s="108" t="n"/>
      <c r="G897" s="115" t="n"/>
      <c r="H897" s="107" t="n"/>
      <c r="I897" s="107" t="n"/>
      <c r="J897" s="108" t="n"/>
      <c r="K897" s="108" t="n"/>
      <c r="L897" s="119">
        <f>IF($C897="","",DATE(YEAR($C897),MONTH($C897),1))</f>
        <v/>
      </c>
      <c r="M897" s="112">
        <f>IF($C897="","",IF(AND($D897&lt;&gt;"",$E897&lt;&gt;"",$G897&gt;0,$H897&lt;&gt;"",$I897&lt;&gt;""),IF($C897&gt;TODAY(),"İLERİ TARİH","UYGUN"),"EKSİK"))</f>
        <v/>
      </c>
      <c r="N897" s="6" t="n"/>
      <c r="O897" s="6" t="n"/>
    </row>
    <row r="898">
      <c r="A898" s="6" t="n"/>
      <c r="B898" s="112">
        <f>IF($C898="","","GG"&amp;TEXT(ROW()-6,"00000"))</f>
        <v/>
      </c>
      <c r="C898" s="114" t="n"/>
      <c r="D898" s="107" t="n"/>
      <c r="E898" s="108" t="n"/>
      <c r="F898" s="108" t="n"/>
      <c r="G898" s="115" t="n"/>
      <c r="H898" s="107" t="n"/>
      <c r="I898" s="107" t="n"/>
      <c r="J898" s="108" t="n"/>
      <c r="K898" s="108" t="n"/>
      <c r="L898" s="119">
        <f>IF($C898="","",DATE(YEAR($C898),MONTH($C898),1))</f>
        <v/>
      </c>
      <c r="M898" s="112">
        <f>IF($C898="","",IF(AND($D898&lt;&gt;"",$E898&lt;&gt;"",$G898&gt;0,$H898&lt;&gt;"",$I898&lt;&gt;""),IF($C898&gt;TODAY(),"İLERİ TARİH","UYGUN"),"EKSİK"))</f>
        <v/>
      </c>
      <c r="N898" s="6" t="n"/>
      <c r="O898" s="6" t="n"/>
    </row>
    <row r="899">
      <c r="A899" s="6" t="n"/>
      <c r="B899" s="112">
        <f>IF($C899="","","GG"&amp;TEXT(ROW()-6,"00000"))</f>
        <v/>
      </c>
      <c r="C899" s="114" t="n"/>
      <c r="D899" s="107" t="n"/>
      <c r="E899" s="108" t="n"/>
      <c r="F899" s="108" t="n"/>
      <c r="G899" s="115" t="n"/>
      <c r="H899" s="107" t="n"/>
      <c r="I899" s="107" t="n"/>
      <c r="J899" s="108" t="n"/>
      <c r="K899" s="108" t="n"/>
      <c r="L899" s="119">
        <f>IF($C899="","",DATE(YEAR($C899),MONTH($C899),1))</f>
        <v/>
      </c>
      <c r="M899" s="112">
        <f>IF($C899="","",IF(AND($D899&lt;&gt;"",$E899&lt;&gt;"",$G899&gt;0,$H899&lt;&gt;"",$I899&lt;&gt;""),IF($C899&gt;TODAY(),"İLERİ TARİH","UYGUN"),"EKSİK"))</f>
        <v/>
      </c>
      <c r="N899" s="6" t="n"/>
      <c r="O899" s="6" t="n"/>
    </row>
    <row r="900">
      <c r="A900" s="6" t="n"/>
      <c r="B900" s="112">
        <f>IF($C900="","","GG"&amp;TEXT(ROW()-6,"00000"))</f>
        <v/>
      </c>
      <c r="C900" s="114" t="n"/>
      <c r="D900" s="107" t="n"/>
      <c r="E900" s="108" t="n"/>
      <c r="F900" s="108" t="n"/>
      <c r="G900" s="115" t="n"/>
      <c r="H900" s="107" t="n"/>
      <c r="I900" s="107" t="n"/>
      <c r="J900" s="108" t="n"/>
      <c r="K900" s="108" t="n"/>
      <c r="L900" s="119">
        <f>IF($C900="","",DATE(YEAR($C900),MONTH($C900),1))</f>
        <v/>
      </c>
      <c r="M900" s="112">
        <f>IF($C900="","",IF(AND($D900&lt;&gt;"",$E900&lt;&gt;"",$G900&gt;0,$H900&lt;&gt;"",$I900&lt;&gt;""),IF($C900&gt;TODAY(),"İLERİ TARİH","UYGUN"),"EKSİK"))</f>
        <v/>
      </c>
      <c r="N900" s="6" t="n"/>
      <c r="O900" s="6" t="n"/>
    </row>
    <row r="901">
      <c r="A901" s="6" t="n"/>
      <c r="B901" s="112">
        <f>IF($C901="","","GG"&amp;TEXT(ROW()-6,"00000"))</f>
        <v/>
      </c>
      <c r="C901" s="114" t="n"/>
      <c r="D901" s="107" t="n"/>
      <c r="E901" s="108" t="n"/>
      <c r="F901" s="108" t="n"/>
      <c r="G901" s="115" t="n"/>
      <c r="H901" s="107" t="n"/>
      <c r="I901" s="107" t="n"/>
      <c r="J901" s="108" t="n"/>
      <c r="K901" s="108" t="n"/>
      <c r="L901" s="119">
        <f>IF($C901="","",DATE(YEAR($C901),MONTH($C901),1))</f>
        <v/>
      </c>
      <c r="M901" s="112">
        <f>IF($C901="","",IF(AND($D901&lt;&gt;"",$E901&lt;&gt;"",$G901&gt;0,$H901&lt;&gt;"",$I901&lt;&gt;""),IF($C901&gt;TODAY(),"İLERİ TARİH","UYGUN"),"EKSİK"))</f>
        <v/>
      </c>
      <c r="N901" s="6" t="n"/>
      <c r="O901" s="6" t="n"/>
    </row>
    <row r="902">
      <c r="A902" s="6" t="n"/>
      <c r="B902" s="112">
        <f>IF($C902="","","GG"&amp;TEXT(ROW()-6,"00000"))</f>
        <v/>
      </c>
      <c r="C902" s="114" t="n"/>
      <c r="D902" s="107" t="n"/>
      <c r="E902" s="108" t="n"/>
      <c r="F902" s="108" t="n"/>
      <c r="G902" s="115" t="n"/>
      <c r="H902" s="107" t="n"/>
      <c r="I902" s="107" t="n"/>
      <c r="J902" s="108" t="n"/>
      <c r="K902" s="108" t="n"/>
      <c r="L902" s="119">
        <f>IF($C902="","",DATE(YEAR($C902),MONTH($C902),1))</f>
        <v/>
      </c>
      <c r="M902" s="112">
        <f>IF($C902="","",IF(AND($D902&lt;&gt;"",$E902&lt;&gt;"",$G902&gt;0,$H902&lt;&gt;"",$I902&lt;&gt;""),IF($C902&gt;TODAY(),"İLERİ TARİH","UYGUN"),"EKSİK"))</f>
        <v/>
      </c>
      <c r="N902" s="6" t="n"/>
      <c r="O902" s="6" t="n"/>
    </row>
    <row r="903">
      <c r="A903" s="6" t="n"/>
      <c r="B903" s="112">
        <f>IF($C903="","","GG"&amp;TEXT(ROW()-6,"00000"))</f>
        <v/>
      </c>
      <c r="C903" s="114" t="n"/>
      <c r="D903" s="107" t="n"/>
      <c r="E903" s="108" t="n"/>
      <c r="F903" s="108" t="n"/>
      <c r="G903" s="115" t="n"/>
      <c r="H903" s="107" t="n"/>
      <c r="I903" s="107" t="n"/>
      <c r="J903" s="108" t="n"/>
      <c r="K903" s="108" t="n"/>
      <c r="L903" s="119">
        <f>IF($C903="","",DATE(YEAR($C903),MONTH($C903),1))</f>
        <v/>
      </c>
      <c r="M903" s="112">
        <f>IF($C903="","",IF(AND($D903&lt;&gt;"",$E903&lt;&gt;"",$G903&gt;0,$H903&lt;&gt;"",$I903&lt;&gt;""),IF($C903&gt;TODAY(),"İLERİ TARİH","UYGUN"),"EKSİK"))</f>
        <v/>
      </c>
      <c r="N903" s="6" t="n"/>
      <c r="O903" s="6" t="n"/>
    </row>
    <row r="904">
      <c r="A904" s="6" t="n"/>
      <c r="B904" s="112">
        <f>IF($C904="","","GG"&amp;TEXT(ROW()-6,"00000"))</f>
        <v/>
      </c>
      <c r="C904" s="114" t="n"/>
      <c r="D904" s="107" t="n"/>
      <c r="E904" s="108" t="n"/>
      <c r="F904" s="108" t="n"/>
      <c r="G904" s="115" t="n"/>
      <c r="H904" s="107" t="n"/>
      <c r="I904" s="107" t="n"/>
      <c r="J904" s="108" t="n"/>
      <c r="K904" s="108" t="n"/>
      <c r="L904" s="119">
        <f>IF($C904="","",DATE(YEAR($C904),MONTH($C904),1))</f>
        <v/>
      </c>
      <c r="M904" s="112">
        <f>IF($C904="","",IF(AND($D904&lt;&gt;"",$E904&lt;&gt;"",$G904&gt;0,$H904&lt;&gt;"",$I904&lt;&gt;""),IF($C904&gt;TODAY(),"İLERİ TARİH","UYGUN"),"EKSİK"))</f>
        <v/>
      </c>
      <c r="N904" s="6" t="n"/>
      <c r="O904" s="6" t="n"/>
    </row>
    <row r="905">
      <c r="A905" s="6" t="n"/>
      <c r="B905" s="112">
        <f>IF($C905="","","GG"&amp;TEXT(ROW()-6,"00000"))</f>
        <v/>
      </c>
      <c r="C905" s="114" t="n"/>
      <c r="D905" s="107" t="n"/>
      <c r="E905" s="108" t="n"/>
      <c r="F905" s="108" t="n"/>
      <c r="G905" s="115" t="n"/>
      <c r="H905" s="107" t="n"/>
      <c r="I905" s="107" t="n"/>
      <c r="J905" s="108" t="n"/>
      <c r="K905" s="108" t="n"/>
      <c r="L905" s="119">
        <f>IF($C905="","",DATE(YEAR($C905),MONTH($C905),1))</f>
        <v/>
      </c>
      <c r="M905" s="112">
        <f>IF($C905="","",IF(AND($D905&lt;&gt;"",$E905&lt;&gt;"",$G905&gt;0,$H905&lt;&gt;"",$I905&lt;&gt;""),IF($C905&gt;TODAY(),"İLERİ TARİH","UYGUN"),"EKSİK"))</f>
        <v/>
      </c>
      <c r="N905" s="6" t="n"/>
      <c r="O905" s="6" t="n"/>
    </row>
    <row r="906">
      <c r="A906" s="6" t="n"/>
      <c r="B906" s="112">
        <f>IF($C906="","","GG"&amp;TEXT(ROW()-6,"00000"))</f>
        <v/>
      </c>
      <c r="C906" s="114" t="n"/>
      <c r="D906" s="107" t="n"/>
      <c r="E906" s="108" t="n"/>
      <c r="F906" s="108" t="n"/>
      <c r="G906" s="115" t="n"/>
      <c r="H906" s="107" t="n"/>
      <c r="I906" s="107" t="n"/>
      <c r="J906" s="108" t="n"/>
      <c r="K906" s="108" t="n"/>
      <c r="L906" s="119">
        <f>IF($C906="","",DATE(YEAR($C906),MONTH($C906),1))</f>
        <v/>
      </c>
      <c r="M906" s="112">
        <f>IF($C906="","",IF(AND($D906&lt;&gt;"",$E906&lt;&gt;"",$G906&gt;0,$H906&lt;&gt;"",$I906&lt;&gt;""),IF($C906&gt;TODAY(),"İLERİ TARİH","UYGUN"),"EKSİK"))</f>
        <v/>
      </c>
      <c r="N906" s="6" t="n"/>
      <c r="O906" s="6" t="n"/>
    </row>
    <row r="907">
      <c r="A907" s="6" t="n"/>
      <c r="B907" s="112">
        <f>IF($C907="","","GG"&amp;TEXT(ROW()-6,"00000"))</f>
        <v/>
      </c>
      <c r="C907" s="114" t="n"/>
      <c r="D907" s="107" t="n"/>
      <c r="E907" s="108" t="n"/>
      <c r="F907" s="108" t="n"/>
      <c r="G907" s="115" t="n"/>
      <c r="H907" s="107" t="n"/>
      <c r="I907" s="107" t="n"/>
      <c r="J907" s="108" t="n"/>
      <c r="K907" s="108" t="n"/>
      <c r="L907" s="119">
        <f>IF($C907="","",DATE(YEAR($C907),MONTH($C907),1))</f>
        <v/>
      </c>
      <c r="M907" s="112">
        <f>IF($C907="","",IF(AND($D907&lt;&gt;"",$E907&lt;&gt;"",$G907&gt;0,$H907&lt;&gt;"",$I907&lt;&gt;""),IF($C907&gt;TODAY(),"İLERİ TARİH","UYGUN"),"EKSİK"))</f>
        <v/>
      </c>
      <c r="N907" s="6" t="n"/>
      <c r="O907" s="6" t="n"/>
    </row>
    <row r="908">
      <c r="A908" s="6" t="n"/>
      <c r="B908" s="112">
        <f>IF($C908="","","GG"&amp;TEXT(ROW()-6,"00000"))</f>
        <v/>
      </c>
      <c r="C908" s="114" t="n"/>
      <c r="D908" s="107" t="n"/>
      <c r="E908" s="108" t="n"/>
      <c r="F908" s="108" t="n"/>
      <c r="G908" s="115" t="n"/>
      <c r="H908" s="107" t="n"/>
      <c r="I908" s="107" t="n"/>
      <c r="J908" s="108" t="n"/>
      <c r="K908" s="108" t="n"/>
      <c r="L908" s="119">
        <f>IF($C908="","",DATE(YEAR($C908),MONTH($C908),1))</f>
        <v/>
      </c>
      <c r="M908" s="112">
        <f>IF($C908="","",IF(AND($D908&lt;&gt;"",$E908&lt;&gt;"",$G908&gt;0,$H908&lt;&gt;"",$I908&lt;&gt;""),IF($C908&gt;TODAY(),"İLERİ TARİH","UYGUN"),"EKSİK"))</f>
        <v/>
      </c>
      <c r="N908" s="6" t="n"/>
      <c r="O908" s="6" t="n"/>
    </row>
    <row r="909">
      <c r="A909" s="6" t="n"/>
      <c r="B909" s="112">
        <f>IF($C909="","","GG"&amp;TEXT(ROW()-6,"00000"))</f>
        <v/>
      </c>
      <c r="C909" s="114" t="n"/>
      <c r="D909" s="107" t="n"/>
      <c r="E909" s="108" t="n"/>
      <c r="F909" s="108" t="n"/>
      <c r="G909" s="115" t="n"/>
      <c r="H909" s="107" t="n"/>
      <c r="I909" s="107" t="n"/>
      <c r="J909" s="108" t="n"/>
      <c r="K909" s="108" t="n"/>
      <c r="L909" s="119">
        <f>IF($C909="","",DATE(YEAR($C909),MONTH($C909),1))</f>
        <v/>
      </c>
      <c r="M909" s="112">
        <f>IF($C909="","",IF(AND($D909&lt;&gt;"",$E909&lt;&gt;"",$G909&gt;0,$H909&lt;&gt;"",$I909&lt;&gt;""),IF($C909&gt;TODAY(),"İLERİ TARİH","UYGUN"),"EKSİK"))</f>
        <v/>
      </c>
      <c r="N909" s="6" t="n"/>
      <c r="O909" s="6" t="n"/>
    </row>
    <row r="910">
      <c r="A910" s="6" t="n"/>
      <c r="B910" s="112">
        <f>IF($C910="","","GG"&amp;TEXT(ROW()-6,"00000"))</f>
        <v/>
      </c>
      <c r="C910" s="114" t="n"/>
      <c r="D910" s="107" t="n"/>
      <c r="E910" s="108" t="n"/>
      <c r="F910" s="108" t="n"/>
      <c r="G910" s="115" t="n"/>
      <c r="H910" s="107" t="n"/>
      <c r="I910" s="107" t="n"/>
      <c r="J910" s="108" t="n"/>
      <c r="K910" s="108" t="n"/>
      <c r="L910" s="119">
        <f>IF($C910="","",DATE(YEAR($C910),MONTH($C910),1))</f>
        <v/>
      </c>
      <c r="M910" s="112">
        <f>IF($C910="","",IF(AND($D910&lt;&gt;"",$E910&lt;&gt;"",$G910&gt;0,$H910&lt;&gt;"",$I910&lt;&gt;""),IF($C910&gt;TODAY(),"İLERİ TARİH","UYGUN"),"EKSİK"))</f>
        <v/>
      </c>
      <c r="N910" s="6" t="n"/>
      <c r="O910" s="6" t="n"/>
    </row>
    <row r="911">
      <c r="A911" s="6" t="n"/>
      <c r="B911" s="112">
        <f>IF($C911="","","GG"&amp;TEXT(ROW()-6,"00000"))</f>
        <v/>
      </c>
      <c r="C911" s="114" t="n"/>
      <c r="D911" s="107" t="n"/>
      <c r="E911" s="108" t="n"/>
      <c r="F911" s="108" t="n"/>
      <c r="G911" s="115" t="n"/>
      <c r="H911" s="107" t="n"/>
      <c r="I911" s="107" t="n"/>
      <c r="J911" s="108" t="n"/>
      <c r="K911" s="108" t="n"/>
      <c r="L911" s="119">
        <f>IF($C911="","",DATE(YEAR($C911),MONTH($C911),1))</f>
        <v/>
      </c>
      <c r="M911" s="112">
        <f>IF($C911="","",IF(AND($D911&lt;&gt;"",$E911&lt;&gt;"",$G911&gt;0,$H911&lt;&gt;"",$I911&lt;&gt;""),IF($C911&gt;TODAY(),"İLERİ TARİH","UYGUN"),"EKSİK"))</f>
        <v/>
      </c>
      <c r="N911" s="6" t="n"/>
      <c r="O911" s="6" t="n"/>
    </row>
    <row r="912">
      <c r="A912" s="6" t="n"/>
      <c r="B912" s="112">
        <f>IF($C912="","","GG"&amp;TEXT(ROW()-6,"00000"))</f>
        <v/>
      </c>
      <c r="C912" s="114" t="n"/>
      <c r="D912" s="107" t="n"/>
      <c r="E912" s="108" t="n"/>
      <c r="F912" s="108" t="n"/>
      <c r="G912" s="115" t="n"/>
      <c r="H912" s="107" t="n"/>
      <c r="I912" s="107" t="n"/>
      <c r="J912" s="108" t="n"/>
      <c r="K912" s="108" t="n"/>
      <c r="L912" s="119">
        <f>IF($C912="","",DATE(YEAR($C912),MONTH($C912),1))</f>
        <v/>
      </c>
      <c r="M912" s="112">
        <f>IF($C912="","",IF(AND($D912&lt;&gt;"",$E912&lt;&gt;"",$G912&gt;0,$H912&lt;&gt;"",$I912&lt;&gt;""),IF($C912&gt;TODAY(),"İLERİ TARİH","UYGUN"),"EKSİK"))</f>
        <v/>
      </c>
      <c r="N912" s="6" t="n"/>
      <c r="O912" s="6" t="n"/>
    </row>
    <row r="913">
      <c r="A913" s="6" t="n"/>
      <c r="B913" s="112">
        <f>IF($C913="","","GG"&amp;TEXT(ROW()-6,"00000"))</f>
        <v/>
      </c>
      <c r="C913" s="114" t="n"/>
      <c r="D913" s="107" t="n"/>
      <c r="E913" s="108" t="n"/>
      <c r="F913" s="108" t="n"/>
      <c r="G913" s="115" t="n"/>
      <c r="H913" s="107" t="n"/>
      <c r="I913" s="107" t="n"/>
      <c r="J913" s="108" t="n"/>
      <c r="K913" s="108" t="n"/>
      <c r="L913" s="119">
        <f>IF($C913="","",DATE(YEAR($C913),MONTH($C913),1))</f>
        <v/>
      </c>
      <c r="M913" s="112">
        <f>IF($C913="","",IF(AND($D913&lt;&gt;"",$E913&lt;&gt;"",$G913&gt;0,$H913&lt;&gt;"",$I913&lt;&gt;""),IF($C913&gt;TODAY(),"İLERİ TARİH","UYGUN"),"EKSİK"))</f>
        <v/>
      </c>
      <c r="N913" s="6" t="n"/>
      <c r="O913" s="6" t="n"/>
    </row>
    <row r="914">
      <c r="A914" s="6" t="n"/>
      <c r="B914" s="112">
        <f>IF($C914="","","GG"&amp;TEXT(ROW()-6,"00000"))</f>
        <v/>
      </c>
      <c r="C914" s="114" t="n"/>
      <c r="D914" s="107" t="n"/>
      <c r="E914" s="108" t="n"/>
      <c r="F914" s="108" t="n"/>
      <c r="G914" s="115" t="n"/>
      <c r="H914" s="107" t="n"/>
      <c r="I914" s="107" t="n"/>
      <c r="J914" s="108" t="n"/>
      <c r="K914" s="108" t="n"/>
      <c r="L914" s="119">
        <f>IF($C914="","",DATE(YEAR($C914),MONTH($C914),1))</f>
        <v/>
      </c>
      <c r="M914" s="112">
        <f>IF($C914="","",IF(AND($D914&lt;&gt;"",$E914&lt;&gt;"",$G914&gt;0,$H914&lt;&gt;"",$I914&lt;&gt;""),IF($C914&gt;TODAY(),"İLERİ TARİH","UYGUN"),"EKSİK"))</f>
        <v/>
      </c>
      <c r="N914" s="6" t="n"/>
      <c r="O914" s="6" t="n"/>
    </row>
    <row r="915">
      <c r="A915" s="6" t="n"/>
      <c r="B915" s="112">
        <f>IF($C915="","","GG"&amp;TEXT(ROW()-6,"00000"))</f>
        <v/>
      </c>
      <c r="C915" s="114" t="n"/>
      <c r="D915" s="107" t="n"/>
      <c r="E915" s="108" t="n"/>
      <c r="F915" s="108" t="n"/>
      <c r="G915" s="115" t="n"/>
      <c r="H915" s="107" t="n"/>
      <c r="I915" s="107" t="n"/>
      <c r="J915" s="108" t="n"/>
      <c r="K915" s="108" t="n"/>
      <c r="L915" s="119">
        <f>IF($C915="","",DATE(YEAR($C915),MONTH($C915),1))</f>
        <v/>
      </c>
      <c r="M915" s="112">
        <f>IF($C915="","",IF(AND($D915&lt;&gt;"",$E915&lt;&gt;"",$G915&gt;0,$H915&lt;&gt;"",$I915&lt;&gt;""),IF($C915&gt;TODAY(),"İLERİ TARİH","UYGUN"),"EKSİK"))</f>
        <v/>
      </c>
      <c r="N915" s="6" t="n"/>
      <c r="O915" s="6" t="n"/>
    </row>
    <row r="916">
      <c r="A916" s="6" t="n"/>
      <c r="B916" s="112">
        <f>IF($C916="","","GG"&amp;TEXT(ROW()-6,"00000"))</f>
        <v/>
      </c>
      <c r="C916" s="114" t="n"/>
      <c r="D916" s="107" t="n"/>
      <c r="E916" s="108" t="n"/>
      <c r="F916" s="108" t="n"/>
      <c r="G916" s="115" t="n"/>
      <c r="H916" s="107" t="n"/>
      <c r="I916" s="107" t="n"/>
      <c r="J916" s="108" t="n"/>
      <c r="K916" s="108" t="n"/>
      <c r="L916" s="119">
        <f>IF($C916="","",DATE(YEAR($C916),MONTH($C916),1))</f>
        <v/>
      </c>
      <c r="M916" s="112">
        <f>IF($C916="","",IF(AND($D916&lt;&gt;"",$E916&lt;&gt;"",$G916&gt;0,$H916&lt;&gt;"",$I916&lt;&gt;""),IF($C916&gt;TODAY(),"İLERİ TARİH","UYGUN"),"EKSİK"))</f>
        <v/>
      </c>
      <c r="N916" s="6" t="n"/>
      <c r="O916" s="6" t="n"/>
    </row>
    <row r="917">
      <c r="A917" s="6" t="n"/>
      <c r="B917" s="112">
        <f>IF($C917="","","GG"&amp;TEXT(ROW()-6,"00000"))</f>
        <v/>
      </c>
      <c r="C917" s="114" t="n"/>
      <c r="D917" s="107" t="n"/>
      <c r="E917" s="108" t="n"/>
      <c r="F917" s="108" t="n"/>
      <c r="G917" s="115" t="n"/>
      <c r="H917" s="107" t="n"/>
      <c r="I917" s="107" t="n"/>
      <c r="J917" s="108" t="n"/>
      <c r="K917" s="108" t="n"/>
      <c r="L917" s="119">
        <f>IF($C917="","",DATE(YEAR($C917),MONTH($C917),1))</f>
        <v/>
      </c>
      <c r="M917" s="112">
        <f>IF($C917="","",IF(AND($D917&lt;&gt;"",$E917&lt;&gt;"",$G917&gt;0,$H917&lt;&gt;"",$I917&lt;&gt;""),IF($C917&gt;TODAY(),"İLERİ TARİH","UYGUN"),"EKSİK"))</f>
        <v/>
      </c>
      <c r="N917" s="6" t="n"/>
      <c r="O917" s="6" t="n"/>
    </row>
    <row r="918">
      <c r="A918" s="6" t="n"/>
      <c r="B918" s="112">
        <f>IF($C918="","","GG"&amp;TEXT(ROW()-6,"00000"))</f>
        <v/>
      </c>
      <c r="C918" s="114" t="n"/>
      <c r="D918" s="107" t="n"/>
      <c r="E918" s="108" t="n"/>
      <c r="F918" s="108" t="n"/>
      <c r="G918" s="115" t="n"/>
      <c r="H918" s="107" t="n"/>
      <c r="I918" s="107" t="n"/>
      <c r="J918" s="108" t="n"/>
      <c r="K918" s="108" t="n"/>
      <c r="L918" s="119">
        <f>IF($C918="","",DATE(YEAR($C918),MONTH($C918),1))</f>
        <v/>
      </c>
      <c r="M918" s="112">
        <f>IF($C918="","",IF(AND($D918&lt;&gt;"",$E918&lt;&gt;"",$G918&gt;0,$H918&lt;&gt;"",$I918&lt;&gt;""),IF($C918&gt;TODAY(),"İLERİ TARİH","UYGUN"),"EKSİK"))</f>
        <v/>
      </c>
      <c r="N918" s="6" t="n"/>
      <c r="O918" s="6" t="n"/>
    </row>
    <row r="919">
      <c r="A919" s="6" t="n"/>
      <c r="B919" s="112">
        <f>IF($C919="","","GG"&amp;TEXT(ROW()-6,"00000"))</f>
        <v/>
      </c>
      <c r="C919" s="114" t="n"/>
      <c r="D919" s="107" t="n"/>
      <c r="E919" s="108" t="n"/>
      <c r="F919" s="108" t="n"/>
      <c r="G919" s="115" t="n"/>
      <c r="H919" s="107" t="n"/>
      <c r="I919" s="107" t="n"/>
      <c r="J919" s="108" t="n"/>
      <c r="K919" s="108" t="n"/>
      <c r="L919" s="119">
        <f>IF($C919="","",DATE(YEAR($C919),MONTH($C919),1))</f>
        <v/>
      </c>
      <c r="M919" s="112">
        <f>IF($C919="","",IF(AND($D919&lt;&gt;"",$E919&lt;&gt;"",$G919&gt;0,$H919&lt;&gt;"",$I919&lt;&gt;""),IF($C919&gt;TODAY(),"İLERİ TARİH","UYGUN"),"EKSİK"))</f>
        <v/>
      </c>
      <c r="N919" s="6" t="n"/>
      <c r="O919" s="6" t="n"/>
    </row>
    <row r="920">
      <c r="A920" s="6" t="n"/>
      <c r="B920" s="112">
        <f>IF($C920="","","GG"&amp;TEXT(ROW()-6,"00000"))</f>
        <v/>
      </c>
      <c r="C920" s="114" t="n"/>
      <c r="D920" s="107" t="n"/>
      <c r="E920" s="108" t="n"/>
      <c r="F920" s="108" t="n"/>
      <c r="G920" s="115" t="n"/>
      <c r="H920" s="107" t="n"/>
      <c r="I920" s="107" t="n"/>
      <c r="J920" s="108" t="n"/>
      <c r="K920" s="108" t="n"/>
      <c r="L920" s="119">
        <f>IF($C920="","",DATE(YEAR($C920),MONTH($C920),1))</f>
        <v/>
      </c>
      <c r="M920" s="112">
        <f>IF($C920="","",IF(AND($D920&lt;&gt;"",$E920&lt;&gt;"",$G920&gt;0,$H920&lt;&gt;"",$I920&lt;&gt;""),IF($C920&gt;TODAY(),"İLERİ TARİH","UYGUN"),"EKSİK"))</f>
        <v/>
      </c>
      <c r="N920" s="6" t="n"/>
      <c r="O920" s="6" t="n"/>
    </row>
    <row r="921">
      <c r="A921" s="6" t="n"/>
      <c r="B921" s="112">
        <f>IF($C921="","","GG"&amp;TEXT(ROW()-6,"00000"))</f>
        <v/>
      </c>
      <c r="C921" s="114" t="n"/>
      <c r="D921" s="107" t="n"/>
      <c r="E921" s="108" t="n"/>
      <c r="F921" s="108" t="n"/>
      <c r="G921" s="115" t="n"/>
      <c r="H921" s="107" t="n"/>
      <c r="I921" s="107" t="n"/>
      <c r="J921" s="108" t="n"/>
      <c r="K921" s="108" t="n"/>
      <c r="L921" s="119">
        <f>IF($C921="","",DATE(YEAR($C921),MONTH($C921),1))</f>
        <v/>
      </c>
      <c r="M921" s="112">
        <f>IF($C921="","",IF(AND($D921&lt;&gt;"",$E921&lt;&gt;"",$G921&gt;0,$H921&lt;&gt;"",$I921&lt;&gt;""),IF($C921&gt;TODAY(),"İLERİ TARİH","UYGUN"),"EKSİK"))</f>
        <v/>
      </c>
      <c r="N921" s="6" t="n"/>
      <c r="O921" s="6" t="n"/>
    </row>
    <row r="922">
      <c r="A922" s="6" t="n"/>
      <c r="B922" s="112">
        <f>IF($C922="","","GG"&amp;TEXT(ROW()-6,"00000"))</f>
        <v/>
      </c>
      <c r="C922" s="114" t="n"/>
      <c r="D922" s="107" t="n"/>
      <c r="E922" s="108" t="n"/>
      <c r="F922" s="108" t="n"/>
      <c r="G922" s="115" t="n"/>
      <c r="H922" s="107" t="n"/>
      <c r="I922" s="107" t="n"/>
      <c r="J922" s="108" t="n"/>
      <c r="K922" s="108" t="n"/>
      <c r="L922" s="119">
        <f>IF($C922="","",DATE(YEAR($C922),MONTH($C922),1))</f>
        <v/>
      </c>
      <c r="M922" s="112">
        <f>IF($C922="","",IF(AND($D922&lt;&gt;"",$E922&lt;&gt;"",$G922&gt;0,$H922&lt;&gt;"",$I922&lt;&gt;""),IF($C922&gt;TODAY(),"İLERİ TARİH","UYGUN"),"EKSİK"))</f>
        <v/>
      </c>
      <c r="N922" s="6" t="n"/>
      <c r="O922" s="6" t="n"/>
    </row>
    <row r="923">
      <c r="A923" s="6" t="n"/>
      <c r="B923" s="112">
        <f>IF($C923="","","GG"&amp;TEXT(ROW()-6,"00000"))</f>
        <v/>
      </c>
      <c r="C923" s="114" t="n"/>
      <c r="D923" s="107" t="n"/>
      <c r="E923" s="108" t="n"/>
      <c r="F923" s="108" t="n"/>
      <c r="G923" s="115" t="n"/>
      <c r="H923" s="107" t="n"/>
      <c r="I923" s="107" t="n"/>
      <c r="J923" s="108" t="n"/>
      <c r="K923" s="108" t="n"/>
      <c r="L923" s="119">
        <f>IF($C923="","",DATE(YEAR($C923),MONTH($C923),1))</f>
        <v/>
      </c>
      <c r="M923" s="112">
        <f>IF($C923="","",IF(AND($D923&lt;&gt;"",$E923&lt;&gt;"",$G923&gt;0,$H923&lt;&gt;"",$I923&lt;&gt;""),IF($C923&gt;TODAY(),"İLERİ TARİH","UYGUN"),"EKSİK"))</f>
        <v/>
      </c>
      <c r="N923" s="6" t="n"/>
      <c r="O923" s="6" t="n"/>
    </row>
    <row r="924">
      <c r="A924" s="6" t="n"/>
      <c r="B924" s="112">
        <f>IF($C924="","","GG"&amp;TEXT(ROW()-6,"00000"))</f>
        <v/>
      </c>
      <c r="C924" s="114" t="n"/>
      <c r="D924" s="107" t="n"/>
      <c r="E924" s="108" t="n"/>
      <c r="F924" s="108" t="n"/>
      <c r="G924" s="115" t="n"/>
      <c r="H924" s="107" t="n"/>
      <c r="I924" s="107" t="n"/>
      <c r="J924" s="108" t="n"/>
      <c r="K924" s="108" t="n"/>
      <c r="L924" s="119">
        <f>IF($C924="","",DATE(YEAR($C924),MONTH($C924),1))</f>
        <v/>
      </c>
      <c r="M924" s="112">
        <f>IF($C924="","",IF(AND($D924&lt;&gt;"",$E924&lt;&gt;"",$G924&gt;0,$H924&lt;&gt;"",$I924&lt;&gt;""),IF($C924&gt;TODAY(),"İLERİ TARİH","UYGUN"),"EKSİK"))</f>
        <v/>
      </c>
      <c r="N924" s="6" t="n"/>
      <c r="O924" s="6" t="n"/>
    </row>
    <row r="925">
      <c r="A925" s="6" t="n"/>
      <c r="B925" s="112">
        <f>IF($C925="","","GG"&amp;TEXT(ROW()-6,"00000"))</f>
        <v/>
      </c>
      <c r="C925" s="114" t="n"/>
      <c r="D925" s="107" t="n"/>
      <c r="E925" s="108" t="n"/>
      <c r="F925" s="108" t="n"/>
      <c r="G925" s="115" t="n"/>
      <c r="H925" s="107" t="n"/>
      <c r="I925" s="107" t="n"/>
      <c r="J925" s="108" t="n"/>
      <c r="K925" s="108" t="n"/>
      <c r="L925" s="119">
        <f>IF($C925="","",DATE(YEAR($C925),MONTH($C925),1))</f>
        <v/>
      </c>
      <c r="M925" s="112">
        <f>IF($C925="","",IF(AND($D925&lt;&gt;"",$E925&lt;&gt;"",$G925&gt;0,$H925&lt;&gt;"",$I925&lt;&gt;""),IF($C925&gt;TODAY(),"İLERİ TARİH","UYGUN"),"EKSİK"))</f>
        <v/>
      </c>
      <c r="N925" s="6" t="n"/>
      <c r="O925" s="6" t="n"/>
    </row>
    <row r="926">
      <c r="A926" s="6" t="n"/>
      <c r="B926" s="112">
        <f>IF($C926="","","GG"&amp;TEXT(ROW()-6,"00000"))</f>
        <v/>
      </c>
      <c r="C926" s="114" t="n"/>
      <c r="D926" s="107" t="n"/>
      <c r="E926" s="108" t="n"/>
      <c r="F926" s="108" t="n"/>
      <c r="G926" s="115" t="n"/>
      <c r="H926" s="107" t="n"/>
      <c r="I926" s="107" t="n"/>
      <c r="J926" s="108" t="n"/>
      <c r="K926" s="108" t="n"/>
      <c r="L926" s="119">
        <f>IF($C926="","",DATE(YEAR($C926),MONTH($C926),1))</f>
        <v/>
      </c>
      <c r="M926" s="112">
        <f>IF($C926="","",IF(AND($D926&lt;&gt;"",$E926&lt;&gt;"",$G926&gt;0,$H926&lt;&gt;"",$I926&lt;&gt;""),IF($C926&gt;TODAY(),"İLERİ TARİH","UYGUN"),"EKSİK"))</f>
        <v/>
      </c>
      <c r="N926" s="6" t="n"/>
      <c r="O926" s="6" t="n"/>
    </row>
    <row r="927">
      <c r="A927" s="6" t="n"/>
      <c r="B927" s="112">
        <f>IF($C927="","","GG"&amp;TEXT(ROW()-6,"00000"))</f>
        <v/>
      </c>
      <c r="C927" s="114" t="n"/>
      <c r="D927" s="107" t="n"/>
      <c r="E927" s="108" t="n"/>
      <c r="F927" s="108" t="n"/>
      <c r="G927" s="115" t="n"/>
      <c r="H927" s="107" t="n"/>
      <c r="I927" s="107" t="n"/>
      <c r="J927" s="108" t="n"/>
      <c r="K927" s="108" t="n"/>
      <c r="L927" s="119">
        <f>IF($C927="","",DATE(YEAR($C927),MONTH($C927),1))</f>
        <v/>
      </c>
      <c r="M927" s="112">
        <f>IF($C927="","",IF(AND($D927&lt;&gt;"",$E927&lt;&gt;"",$G927&gt;0,$H927&lt;&gt;"",$I927&lt;&gt;""),IF($C927&gt;TODAY(),"İLERİ TARİH","UYGUN"),"EKSİK"))</f>
        <v/>
      </c>
      <c r="N927" s="6" t="n"/>
      <c r="O927" s="6" t="n"/>
    </row>
    <row r="928">
      <c r="A928" s="6" t="n"/>
      <c r="B928" s="112">
        <f>IF($C928="","","GG"&amp;TEXT(ROW()-6,"00000"))</f>
        <v/>
      </c>
      <c r="C928" s="114" t="n"/>
      <c r="D928" s="107" t="n"/>
      <c r="E928" s="108" t="n"/>
      <c r="F928" s="108" t="n"/>
      <c r="G928" s="115" t="n"/>
      <c r="H928" s="107" t="n"/>
      <c r="I928" s="107" t="n"/>
      <c r="J928" s="108" t="n"/>
      <c r="K928" s="108" t="n"/>
      <c r="L928" s="119">
        <f>IF($C928="","",DATE(YEAR($C928),MONTH($C928),1))</f>
        <v/>
      </c>
      <c r="M928" s="112">
        <f>IF($C928="","",IF(AND($D928&lt;&gt;"",$E928&lt;&gt;"",$G928&gt;0,$H928&lt;&gt;"",$I928&lt;&gt;""),IF($C928&gt;TODAY(),"İLERİ TARİH","UYGUN"),"EKSİK"))</f>
        <v/>
      </c>
      <c r="N928" s="6" t="n"/>
      <c r="O928" s="6" t="n"/>
    </row>
    <row r="929">
      <c r="A929" s="6" t="n"/>
      <c r="B929" s="112">
        <f>IF($C929="","","GG"&amp;TEXT(ROW()-6,"00000"))</f>
        <v/>
      </c>
      <c r="C929" s="114" t="n"/>
      <c r="D929" s="107" t="n"/>
      <c r="E929" s="108" t="n"/>
      <c r="F929" s="108" t="n"/>
      <c r="G929" s="115" t="n"/>
      <c r="H929" s="107" t="n"/>
      <c r="I929" s="107" t="n"/>
      <c r="J929" s="108" t="n"/>
      <c r="K929" s="108" t="n"/>
      <c r="L929" s="119">
        <f>IF($C929="","",DATE(YEAR($C929),MONTH($C929),1))</f>
        <v/>
      </c>
      <c r="M929" s="112">
        <f>IF($C929="","",IF(AND($D929&lt;&gt;"",$E929&lt;&gt;"",$G929&gt;0,$H929&lt;&gt;"",$I929&lt;&gt;""),IF($C929&gt;TODAY(),"İLERİ TARİH","UYGUN"),"EKSİK"))</f>
        <v/>
      </c>
      <c r="N929" s="6" t="n"/>
      <c r="O929" s="6" t="n"/>
    </row>
    <row r="930">
      <c r="A930" s="6" t="n"/>
      <c r="B930" s="112">
        <f>IF($C930="","","GG"&amp;TEXT(ROW()-6,"00000"))</f>
        <v/>
      </c>
      <c r="C930" s="114" t="n"/>
      <c r="D930" s="107" t="n"/>
      <c r="E930" s="108" t="n"/>
      <c r="F930" s="108" t="n"/>
      <c r="G930" s="115" t="n"/>
      <c r="H930" s="107" t="n"/>
      <c r="I930" s="107" t="n"/>
      <c r="J930" s="108" t="n"/>
      <c r="K930" s="108" t="n"/>
      <c r="L930" s="119">
        <f>IF($C930="","",DATE(YEAR($C930),MONTH($C930),1))</f>
        <v/>
      </c>
      <c r="M930" s="112">
        <f>IF($C930="","",IF(AND($D930&lt;&gt;"",$E930&lt;&gt;"",$G930&gt;0,$H930&lt;&gt;"",$I930&lt;&gt;""),IF($C930&gt;TODAY(),"İLERİ TARİH","UYGUN"),"EKSİK"))</f>
        <v/>
      </c>
      <c r="N930" s="6" t="n"/>
      <c r="O930" s="6" t="n"/>
    </row>
    <row r="931">
      <c r="A931" s="6" t="n"/>
      <c r="B931" s="112">
        <f>IF($C931="","","GG"&amp;TEXT(ROW()-6,"00000"))</f>
        <v/>
      </c>
      <c r="C931" s="114" t="n"/>
      <c r="D931" s="107" t="n"/>
      <c r="E931" s="108" t="n"/>
      <c r="F931" s="108" t="n"/>
      <c r="G931" s="115" t="n"/>
      <c r="H931" s="107" t="n"/>
      <c r="I931" s="107" t="n"/>
      <c r="J931" s="108" t="n"/>
      <c r="K931" s="108" t="n"/>
      <c r="L931" s="119">
        <f>IF($C931="","",DATE(YEAR($C931),MONTH($C931),1))</f>
        <v/>
      </c>
      <c r="M931" s="112">
        <f>IF($C931="","",IF(AND($D931&lt;&gt;"",$E931&lt;&gt;"",$G931&gt;0,$H931&lt;&gt;"",$I931&lt;&gt;""),IF($C931&gt;TODAY(),"İLERİ TARİH","UYGUN"),"EKSİK"))</f>
        <v/>
      </c>
      <c r="N931" s="6" t="n"/>
      <c r="O931" s="6" t="n"/>
    </row>
    <row r="932">
      <c r="A932" s="6" t="n"/>
      <c r="B932" s="112">
        <f>IF($C932="","","GG"&amp;TEXT(ROW()-6,"00000"))</f>
        <v/>
      </c>
      <c r="C932" s="114" t="n"/>
      <c r="D932" s="107" t="n"/>
      <c r="E932" s="108" t="n"/>
      <c r="F932" s="108" t="n"/>
      <c r="G932" s="115" t="n"/>
      <c r="H932" s="107" t="n"/>
      <c r="I932" s="107" t="n"/>
      <c r="J932" s="108" t="n"/>
      <c r="K932" s="108" t="n"/>
      <c r="L932" s="119">
        <f>IF($C932="","",DATE(YEAR($C932),MONTH($C932),1))</f>
        <v/>
      </c>
      <c r="M932" s="112">
        <f>IF($C932="","",IF(AND($D932&lt;&gt;"",$E932&lt;&gt;"",$G932&gt;0,$H932&lt;&gt;"",$I932&lt;&gt;""),IF($C932&gt;TODAY(),"İLERİ TARİH","UYGUN"),"EKSİK"))</f>
        <v/>
      </c>
      <c r="N932" s="6" t="n"/>
      <c r="O932" s="6" t="n"/>
    </row>
    <row r="933">
      <c r="A933" s="6" t="n"/>
      <c r="B933" s="112">
        <f>IF($C933="","","GG"&amp;TEXT(ROW()-6,"00000"))</f>
        <v/>
      </c>
      <c r="C933" s="114" t="n"/>
      <c r="D933" s="107" t="n"/>
      <c r="E933" s="108" t="n"/>
      <c r="F933" s="108" t="n"/>
      <c r="G933" s="115" t="n"/>
      <c r="H933" s="107" t="n"/>
      <c r="I933" s="107" t="n"/>
      <c r="J933" s="108" t="n"/>
      <c r="K933" s="108" t="n"/>
      <c r="L933" s="119">
        <f>IF($C933="","",DATE(YEAR($C933),MONTH($C933),1))</f>
        <v/>
      </c>
      <c r="M933" s="112">
        <f>IF($C933="","",IF(AND($D933&lt;&gt;"",$E933&lt;&gt;"",$G933&gt;0,$H933&lt;&gt;"",$I933&lt;&gt;""),IF($C933&gt;TODAY(),"İLERİ TARİH","UYGUN"),"EKSİK"))</f>
        <v/>
      </c>
      <c r="N933" s="6" t="n"/>
      <c r="O933" s="6" t="n"/>
    </row>
    <row r="934">
      <c r="A934" s="6" t="n"/>
      <c r="B934" s="112">
        <f>IF($C934="","","GG"&amp;TEXT(ROW()-6,"00000"))</f>
        <v/>
      </c>
      <c r="C934" s="114" t="n"/>
      <c r="D934" s="107" t="n"/>
      <c r="E934" s="108" t="n"/>
      <c r="F934" s="108" t="n"/>
      <c r="G934" s="115" t="n"/>
      <c r="H934" s="107" t="n"/>
      <c r="I934" s="107" t="n"/>
      <c r="J934" s="108" t="n"/>
      <c r="K934" s="108" t="n"/>
      <c r="L934" s="119">
        <f>IF($C934="","",DATE(YEAR($C934),MONTH($C934),1))</f>
        <v/>
      </c>
      <c r="M934" s="112">
        <f>IF($C934="","",IF(AND($D934&lt;&gt;"",$E934&lt;&gt;"",$G934&gt;0,$H934&lt;&gt;"",$I934&lt;&gt;""),IF($C934&gt;TODAY(),"İLERİ TARİH","UYGUN"),"EKSİK"))</f>
        <v/>
      </c>
      <c r="N934" s="6" t="n"/>
      <c r="O934" s="6" t="n"/>
    </row>
    <row r="935">
      <c r="A935" s="6" t="n"/>
      <c r="B935" s="112">
        <f>IF($C935="","","GG"&amp;TEXT(ROW()-6,"00000"))</f>
        <v/>
      </c>
      <c r="C935" s="114" t="n"/>
      <c r="D935" s="107" t="n"/>
      <c r="E935" s="108" t="n"/>
      <c r="F935" s="108" t="n"/>
      <c r="G935" s="115" t="n"/>
      <c r="H935" s="107" t="n"/>
      <c r="I935" s="107" t="n"/>
      <c r="J935" s="108" t="n"/>
      <c r="K935" s="108" t="n"/>
      <c r="L935" s="119">
        <f>IF($C935="","",DATE(YEAR($C935),MONTH($C935),1))</f>
        <v/>
      </c>
      <c r="M935" s="112">
        <f>IF($C935="","",IF(AND($D935&lt;&gt;"",$E935&lt;&gt;"",$G935&gt;0,$H935&lt;&gt;"",$I935&lt;&gt;""),IF($C935&gt;TODAY(),"İLERİ TARİH","UYGUN"),"EKSİK"))</f>
        <v/>
      </c>
      <c r="N935" s="6" t="n"/>
      <c r="O935" s="6" t="n"/>
    </row>
    <row r="936">
      <c r="A936" s="6" t="n"/>
      <c r="B936" s="112">
        <f>IF($C936="","","GG"&amp;TEXT(ROW()-6,"00000"))</f>
        <v/>
      </c>
      <c r="C936" s="114" t="n"/>
      <c r="D936" s="107" t="n"/>
      <c r="E936" s="108" t="n"/>
      <c r="F936" s="108" t="n"/>
      <c r="G936" s="115" t="n"/>
      <c r="H936" s="107" t="n"/>
      <c r="I936" s="107" t="n"/>
      <c r="J936" s="108" t="n"/>
      <c r="K936" s="108" t="n"/>
      <c r="L936" s="119">
        <f>IF($C936="","",DATE(YEAR($C936),MONTH($C936),1))</f>
        <v/>
      </c>
      <c r="M936" s="112">
        <f>IF($C936="","",IF(AND($D936&lt;&gt;"",$E936&lt;&gt;"",$G936&gt;0,$H936&lt;&gt;"",$I936&lt;&gt;""),IF($C936&gt;TODAY(),"İLERİ TARİH","UYGUN"),"EKSİK"))</f>
        <v/>
      </c>
      <c r="N936" s="6" t="n"/>
      <c r="O936" s="6" t="n"/>
    </row>
    <row r="937">
      <c r="A937" s="6" t="n"/>
      <c r="B937" s="112">
        <f>IF($C937="","","GG"&amp;TEXT(ROW()-6,"00000"))</f>
        <v/>
      </c>
      <c r="C937" s="114" t="n"/>
      <c r="D937" s="107" t="n"/>
      <c r="E937" s="108" t="n"/>
      <c r="F937" s="108" t="n"/>
      <c r="G937" s="115" t="n"/>
      <c r="H937" s="107" t="n"/>
      <c r="I937" s="107" t="n"/>
      <c r="J937" s="108" t="n"/>
      <c r="K937" s="108" t="n"/>
      <c r="L937" s="119">
        <f>IF($C937="","",DATE(YEAR($C937),MONTH($C937),1))</f>
        <v/>
      </c>
      <c r="M937" s="112">
        <f>IF($C937="","",IF(AND($D937&lt;&gt;"",$E937&lt;&gt;"",$G937&gt;0,$H937&lt;&gt;"",$I937&lt;&gt;""),IF($C937&gt;TODAY(),"İLERİ TARİH","UYGUN"),"EKSİK"))</f>
        <v/>
      </c>
      <c r="N937" s="6" t="n"/>
      <c r="O937" s="6" t="n"/>
    </row>
    <row r="938">
      <c r="A938" s="6" t="n"/>
      <c r="B938" s="112">
        <f>IF($C938="","","GG"&amp;TEXT(ROW()-6,"00000"))</f>
        <v/>
      </c>
      <c r="C938" s="114" t="n"/>
      <c r="D938" s="107" t="n"/>
      <c r="E938" s="108" t="n"/>
      <c r="F938" s="108" t="n"/>
      <c r="G938" s="115" t="n"/>
      <c r="H938" s="107" t="n"/>
      <c r="I938" s="107" t="n"/>
      <c r="J938" s="108" t="n"/>
      <c r="K938" s="108" t="n"/>
      <c r="L938" s="119">
        <f>IF($C938="","",DATE(YEAR($C938),MONTH($C938),1))</f>
        <v/>
      </c>
      <c r="M938" s="112">
        <f>IF($C938="","",IF(AND($D938&lt;&gt;"",$E938&lt;&gt;"",$G938&gt;0,$H938&lt;&gt;"",$I938&lt;&gt;""),IF($C938&gt;TODAY(),"İLERİ TARİH","UYGUN"),"EKSİK"))</f>
        <v/>
      </c>
      <c r="N938" s="6" t="n"/>
      <c r="O938" s="6" t="n"/>
    </row>
    <row r="939">
      <c r="A939" s="6" t="n"/>
      <c r="B939" s="112">
        <f>IF($C939="","","GG"&amp;TEXT(ROW()-6,"00000"))</f>
        <v/>
      </c>
      <c r="C939" s="114" t="n"/>
      <c r="D939" s="107" t="n"/>
      <c r="E939" s="108" t="n"/>
      <c r="F939" s="108" t="n"/>
      <c r="G939" s="115" t="n"/>
      <c r="H939" s="107" t="n"/>
      <c r="I939" s="107" t="n"/>
      <c r="J939" s="108" t="n"/>
      <c r="K939" s="108" t="n"/>
      <c r="L939" s="119">
        <f>IF($C939="","",DATE(YEAR($C939),MONTH($C939),1))</f>
        <v/>
      </c>
      <c r="M939" s="112">
        <f>IF($C939="","",IF(AND($D939&lt;&gt;"",$E939&lt;&gt;"",$G939&gt;0,$H939&lt;&gt;"",$I939&lt;&gt;""),IF($C939&gt;TODAY(),"İLERİ TARİH","UYGUN"),"EKSİK"))</f>
        <v/>
      </c>
      <c r="N939" s="6" t="n"/>
      <c r="O939" s="6" t="n"/>
    </row>
    <row r="940">
      <c r="A940" s="6" t="n"/>
      <c r="B940" s="112">
        <f>IF($C940="","","GG"&amp;TEXT(ROW()-6,"00000"))</f>
        <v/>
      </c>
      <c r="C940" s="114" t="n"/>
      <c r="D940" s="107" t="n"/>
      <c r="E940" s="108" t="n"/>
      <c r="F940" s="108" t="n"/>
      <c r="G940" s="115" t="n"/>
      <c r="H940" s="107" t="n"/>
      <c r="I940" s="107" t="n"/>
      <c r="J940" s="108" t="n"/>
      <c r="K940" s="108" t="n"/>
      <c r="L940" s="119">
        <f>IF($C940="","",DATE(YEAR($C940),MONTH($C940),1))</f>
        <v/>
      </c>
      <c r="M940" s="112">
        <f>IF($C940="","",IF(AND($D940&lt;&gt;"",$E940&lt;&gt;"",$G940&gt;0,$H940&lt;&gt;"",$I940&lt;&gt;""),IF($C940&gt;TODAY(),"İLERİ TARİH","UYGUN"),"EKSİK"))</f>
        <v/>
      </c>
      <c r="N940" s="6" t="n"/>
      <c r="O940" s="6" t="n"/>
    </row>
    <row r="941">
      <c r="A941" s="6" t="n"/>
      <c r="B941" s="112">
        <f>IF($C941="","","GG"&amp;TEXT(ROW()-6,"00000"))</f>
        <v/>
      </c>
      <c r="C941" s="114" t="n"/>
      <c r="D941" s="107" t="n"/>
      <c r="E941" s="108" t="n"/>
      <c r="F941" s="108" t="n"/>
      <c r="G941" s="115" t="n"/>
      <c r="H941" s="107" t="n"/>
      <c r="I941" s="107" t="n"/>
      <c r="J941" s="108" t="n"/>
      <c r="K941" s="108" t="n"/>
      <c r="L941" s="119">
        <f>IF($C941="","",DATE(YEAR($C941),MONTH($C941),1))</f>
        <v/>
      </c>
      <c r="M941" s="112">
        <f>IF($C941="","",IF(AND($D941&lt;&gt;"",$E941&lt;&gt;"",$G941&gt;0,$H941&lt;&gt;"",$I941&lt;&gt;""),IF($C941&gt;TODAY(),"İLERİ TARİH","UYGUN"),"EKSİK"))</f>
        <v/>
      </c>
      <c r="N941" s="6" t="n"/>
      <c r="O941" s="6" t="n"/>
    </row>
    <row r="942">
      <c r="A942" s="6" t="n"/>
      <c r="B942" s="112">
        <f>IF($C942="","","GG"&amp;TEXT(ROW()-6,"00000"))</f>
        <v/>
      </c>
      <c r="C942" s="114" t="n"/>
      <c r="D942" s="107" t="n"/>
      <c r="E942" s="108" t="n"/>
      <c r="F942" s="108" t="n"/>
      <c r="G942" s="115" t="n"/>
      <c r="H942" s="107" t="n"/>
      <c r="I942" s="107" t="n"/>
      <c r="J942" s="108" t="n"/>
      <c r="K942" s="108" t="n"/>
      <c r="L942" s="119">
        <f>IF($C942="","",DATE(YEAR($C942),MONTH($C942),1))</f>
        <v/>
      </c>
      <c r="M942" s="112">
        <f>IF($C942="","",IF(AND($D942&lt;&gt;"",$E942&lt;&gt;"",$G942&gt;0,$H942&lt;&gt;"",$I942&lt;&gt;""),IF($C942&gt;TODAY(),"İLERİ TARİH","UYGUN"),"EKSİK"))</f>
        <v/>
      </c>
      <c r="N942" s="6" t="n"/>
      <c r="O942" s="6" t="n"/>
    </row>
    <row r="943">
      <c r="A943" s="6" t="n"/>
      <c r="B943" s="112">
        <f>IF($C943="","","GG"&amp;TEXT(ROW()-6,"00000"))</f>
        <v/>
      </c>
      <c r="C943" s="114" t="n"/>
      <c r="D943" s="107" t="n"/>
      <c r="E943" s="108" t="n"/>
      <c r="F943" s="108" t="n"/>
      <c r="G943" s="115" t="n"/>
      <c r="H943" s="107" t="n"/>
      <c r="I943" s="107" t="n"/>
      <c r="J943" s="108" t="n"/>
      <c r="K943" s="108" t="n"/>
      <c r="L943" s="119">
        <f>IF($C943="","",DATE(YEAR($C943),MONTH($C943),1))</f>
        <v/>
      </c>
      <c r="M943" s="112">
        <f>IF($C943="","",IF(AND($D943&lt;&gt;"",$E943&lt;&gt;"",$G943&gt;0,$H943&lt;&gt;"",$I943&lt;&gt;""),IF($C943&gt;TODAY(),"İLERİ TARİH","UYGUN"),"EKSİK"))</f>
        <v/>
      </c>
      <c r="N943" s="6" t="n"/>
      <c r="O943" s="6" t="n"/>
    </row>
    <row r="944">
      <c r="A944" s="6" t="n"/>
      <c r="B944" s="112">
        <f>IF($C944="","","GG"&amp;TEXT(ROW()-6,"00000"))</f>
        <v/>
      </c>
      <c r="C944" s="114" t="n"/>
      <c r="D944" s="107" t="n"/>
      <c r="E944" s="108" t="n"/>
      <c r="F944" s="108" t="n"/>
      <c r="G944" s="115" t="n"/>
      <c r="H944" s="107" t="n"/>
      <c r="I944" s="107" t="n"/>
      <c r="J944" s="108" t="n"/>
      <c r="K944" s="108" t="n"/>
      <c r="L944" s="119">
        <f>IF($C944="","",DATE(YEAR($C944),MONTH($C944),1))</f>
        <v/>
      </c>
      <c r="M944" s="112">
        <f>IF($C944="","",IF(AND($D944&lt;&gt;"",$E944&lt;&gt;"",$G944&gt;0,$H944&lt;&gt;"",$I944&lt;&gt;""),IF($C944&gt;TODAY(),"İLERİ TARİH","UYGUN"),"EKSİK"))</f>
        <v/>
      </c>
      <c r="N944" s="6" t="n"/>
      <c r="O944" s="6" t="n"/>
    </row>
    <row r="945">
      <c r="A945" s="6" t="n"/>
      <c r="B945" s="112">
        <f>IF($C945="","","GG"&amp;TEXT(ROW()-6,"00000"))</f>
        <v/>
      </c>
      <c r="C945" s="114" t="n"/>
      <c r="D945" s="107" t="n"/>
      <c r="E945" s="108" t="n"/>
      <c r="F945" s="108" t="n"/>
      <c r="G945" s="115" t="n"/>
      <c r="H945" s="107" t="n"/>
      <c r="I945" s="107" t="n"/>
      <c r="J945" s="108" t="n"/>
      <c r="K945" s="108" t="n"/>
      <c r="L945" s="119">
        <f>IF($C945="","",DATE(YEAR($C945),MONTH($C945),1))</f>
        <v/>
      </c>
      <c r="M945" s="112">
        <f>IF($C945="","",IF(AND($D945&lt;&gt;"",$E945&lt;&gt;"",$G945&gt;0,$H945&lt;&gt;"",$I945&lt;&gt;""),IF($C945&gt;TODAY(),"İLERİ TARİH","UYGUN"),"EKSİK"))</f>
        <v/>
      </c>
      <c r="N945" s="6" t="n"/>
      <c r="O945" s="6" t="n"/>
    </row>
    <row r="946">
      <c r="A946" s="6" t="n"/>
      <c r="B946" s="112">
        <f>IF($C946="","","GG"&amp;TEXT(ROW()-6,"00000"))</f>
        <v/>
      </c>
      <c r="C946" s="114" t="n"/>
      <c r="D946" s="107" t="n"/>
      <c r="E946" s="108" t="n"/>
      <c r="F946" s="108" t="n"/>
      <c r="G946" s="115" t="n"/>
      <c r="H946" s="107" t="n"/>
      <c r="I946" s="107" t="n"/>
      <c r="J946" s="108" t="n"/>
      <c r="K946" s="108" t="n"/>
      <c r="L946" s="119">
        <f>IF($C946="","",DATE(YEAR($C946),MONTH($C946),1))</f>
        <v/>
      </c>
      <c r="M946" s="112">
        <f>IF($C946="","",IF(AND($D946&lt;&gt;"",$E946&lt;&gt;"",$G946&gt;0,$H946&lt;&gt;"",$I946&lt;&gt;""),IF($C946&gt;TODAY(),"İLERİ TARİH","UYGUN"),"EKSİK"))</f>
        <v/>
      </c>
      <c r="N946" s="6" t="n"/>
      <c r="O946" s="6" t="n"/>
    </row>
    <row r="947">
      <c r="A947" s="6" t="n"/>
      <c r="B947" s="112">
        <f>IF($C947="","","GG"&amp;TEXT(ROW()-6,"00000"))</f>
        <v/>
      </c>
      <c r="C947" s="114" t="n"/>
      <c r="D947" s="107" t="n"/>
      <c r="E947" s="108" t="n"/>
      <c r="F947" s="108" t="n"/>
      <c r="G947" s="115" t="n"/>
      <c r="H947" s="107" t="n"/>
      <c r="I947" s="107" t="n"/>
      <c r="J947" s="108" t="n"/>
      <c r="K947" s="108" t="n"/>
      <c r="L947" s="119">
        <f>IF($C947="","",DATE(YEAR($C947),MONTH($C947),1))</f>
        <v/>
      </c>
      <c r="M947" s="112">
        <f>IF($C947="","",IF(AND($D947&lt;&gt;"",$E947&lt;&gt;"",$G947&gt;0,$H947&lt;&gt;"",$I947&lt;&gt;""),IF($C947&gt;TODAY(),"İLERİ TARİH","UYGUN"),"EKSİK"))</f>
        <v/>
      </c>
      <c r="N947" s="6" t="n"/>
      <c r="O947" s="6" t="n"/>
    </row>
    <row r="948">
      <c r="A948" s="6" t="n"/>
      <c r="B948" s="112">
        <f>IF($C948="","","GG"&amp;TEXT(ROW()-6,"00000"))</f>
        <v/>
      </c>
      <c r="C948" s="114" t="n"/>
      <c r="D948" s="107" t="n"/>
      <c r="E948" s="108" t="n"/>
      <c r="F948" s="108" t="n"/>
      <c r="G948" s="115" t="n"/>
      <c r="H948" s="107" t="n"/>
      <c r="I948" s="107" t="n"/>
      <c r="J948" s="108" t="n"/>
      <c r="K948" s="108" t="n"/>
      <c r="L948" s="119">
        <f>IF($C948="","",DATE(YEAR($C948),MONTH($C948),1))</f>
        <v/>
      </c>
      <c r="M948" s="112">
        <f>IF($C948="","",IF(AND($D948&lt;&gt;"",$E948&lt;&gt;"",$G948&gt;0,$H948&lt;&gt;"",$I948&lt;&gt;""),IF($C948&gt;TODAY(),"İLERİ TARİH","UYGUN"),"EKSİK"))</f>
        <v/>
      </c>
      <c r="N948" s="6" t="n"/>
      <c r="O948" s="6" t="n"/>
    </row>
    <row r="949">
      <c r="A949" s="6" t="n"/>
      <c r="B949" s="112">
        <f>IF($C949="","","GG"&amp;TEXT(ROW()-6,"00000"))</f>
        <v/>
      </c>
      <c r="C949" s="114" t="n"/>
      <c r="D949" s="107" t="n"/>
      <c r="E949" s="108" t="n"/>
      <c r="F949" s="108" t="n"/>
      <c r="G949" s="115" t="n"/>
      <c r="H949" s="107" t="n"/>
      <c r="I949" s="107" t="n"/>
      <c r="J949" s="108" t="n"/>
      <c r="K949" s="108" t="n"/>
      <c r="L949" s="119">
        <f>IF($C949="","",DATE(YEAR($C949),MONTH($C949),1))</f>
        <v/>
      </c>
      <c r="M949" s="112">
        <f>IF($C949="","",IF(AND($D949&lt;&gt;"",$E949&lt;&gt;"",$G949&gt;0,$H949&lt;&gt;"",$I949&lt;&gt;""),IF($C949&gt;TODAY(),"İLERİ TARİH","UYGUN"),"EKSİK"))</f>
        <v/>
      </c>
      <c r="N949" s="6" t="n"/>
      <c r="O949" s="6" t="n"/>
    </row>
    <row r="950">
      <c r="A950" s="6" t="n"/>
      <c r="B950" s="112">
        <f>IF($C950="","","GG"&amp;TEXT(ROW()-6,"00000"))</f>
        <v/>
      </c>
      <c r="C950" s="114" t="n"/>
      <c r="D950" s="107" t="n"/>
      <c r="E950" s="108" t="n"/>
      <c r="F950" s="108" t="n"/>
      <c r="G950" s="115" t="n"/>
      <c r="H950" s="107" t="n"/>
      <c r="I950" s="107" t="n"/>
      <c r="J950" s="108" t="n"/>
      <c r="K950" s="108" t="n"/>
      <c r="L950" s="119">
        <f>IF($C950="","",DATE(YEAR($C950),MONTH($C950),1))</f>
        <v/>
      </c>
      <c r="M950" s="112">
        <f>IF($C950="","",IF(AND($D950&lt;&gt;"",$E950&lt;&gt;"",$G950&gt;0,$H950&lt;&gt;"",$I950&lt;&gt;""),IF($C950&gt;TODAY(),"İLERİ TARİH","UYGUN"),"EKSİK"))</f>
        <v/>
      </c>
      <c r="N950" s="6" t="n"/>
      <c r="O950" s="6" t="n"/>
    </row>
    <row r="951">
      <c r="A951" s="6" t="n"/>
      <c r="B951" s="112">
        <f>IF($C951="","","GG"&amp;TEXT(ROW()-6,"00000"))</f>
        <v/>
      </c>
      <c r="C951" s="114" t="n"/>
      <c r="D951" s="107" t="n"/>
      <c r="E951" s="108" t="n"/>
      <c r="F951" s="108" t="n"/>
      <c r="G951" s="115" t="n"/>
      <c r="H951" s="107" t="n"/>
      <c r="I951" s="107" t="n"/>
      <c r="J951" s="108" t="n"/>
      <c r="K951" s="108" t="n"/>
      <c r="L951" s="119">
        <f>IF($C951="","",DATE(YEAR($C951),MONTH($C951),1))</f>
        <v/>
      </c>
      <c r="M951" s="112">
        <f>IF($C951="","",IF(AND($D951&lt;&gt;"",$E951&lt;&gt;"",$G951&gt;0,$H951&lt;&gt;"",$I951&lt;&gt;""),IF($C951&gt;TODAY(),"İLERİ TARİH","UYGUN"),"EKSİK"))</f>
        <v/>
      </c>
      <c r="N951" s="6" t="n"/>
      <c r="O951" s="6" t="n"/>
    </row>
    <row r="952">
      <c r="A952" s="6" t="n"/>
      <c r="B952" s="112">
        <f>IF($C952="","","GG"&amp;TEXT(ROW()-6,"00000"))</f>
        <v/>
      </c>
      <c r="C952" s="114" t="n"/>
      <c r="D952" s="107" t="n"/>
      <c r="E952" s="108" t="n"/>
      <c r="F952" s="108" t="n"/>
      <c r="G952" s="115" t="n"/>
      <c r="H952" s="107" t="n"/>
      <c r="I952" s="107" t="n"/>
      <c r="J952" s="108" t="n"/>
      <c r="K952" s="108" t="n"/>
      <c r="L952" s="119">
        <f>IF($C952="","",DATE(YEAR($C952),MONTH($C952),1))</f>
        <v/>
      </c>
      <c r="M952" s="112">
        <f>IF($C952="","",IF(AND($D952&lt;&gt;"",$E952&lt;&gt;"",$G952&gt;0,$H952&lt;&gt;"",$I952&lt;&gt;""),IF($C952&gt;TODAY(),"İLERİ TARİH","UYGUN"),"EKSİK"))</f>
        <v/>
      </c>
      <c r="N952" s="6" t="n"/>
      <c r="O952" s="6" t="n"/>
    </row>
    <row r="953">
      <c r="A953" s="6" t="n"/>
      <c r="B953" s="112">
        <f>IF($C953="","","GG"&amp;TEXT(ROW()-6,"00000"))</f>
        <v/>
      </c>
      <c r="C953" s="114" t="n"/>
      <c r="D953" s="107" t="n"/>
      <c r="E953" s="108" t="n"/>
      <c r="F953" s="108" t="n"/>
      <c r="G953" s="115" t="n"/>
      <c r="H953" s="107" t="n"/>
      <c r="I953" s="107" t="n"/>
      <c r="J953" s="108" t="n"/>
      <c r="K953" s="108" t="n"/>
      <c r="L953" s="119">
        <f>IF($C953="","",DATE(YEAR($C953),MONTH($C953),1))</f>
        <v/>
      </c>
      <c r="M953" s="112">
        <f>IF($C953="","",IF(AND($D953&lt;&gt;"",$E953&lt;&gt;"",$G953&gt;0,$H953&lt;&gt;"",$I953&lt;&gt;""),IF($C953&gt;TODAY(),"İLERİ TARİH","UYGUN"),"EKSİK"))</f>
        <v/>
      </c>
      <c r="N953" s="6" t="n"/>
      <c r="O953" s="6" t="n"/>
    </row>
    <row r="954">
      <c r="A954" s="6" t="n"/>
      <c r="B954" s="112">
        <f>IF($C954="","","GG"&amp;TEXT(ROW()-6,"00000"))</f>
        <v/>
      </c>
      <c r="C954" s="114" t="n"/>
      <c r="D954" s="107" t="n"/>
      <c r="E954" s="108" t="n"/>
      <c r="F954" s="108" t="n"/>
      <c r="G954" s="115" t="n"/>
      <c r="H954" s="107" t="n"/>
      <c r="I954" s="107" t="n"/>
      <c r="J954" s="108" t="n"/>
      <c r="K954" s="108" t="n"/>
      <c r="L954" s="119">
        <f>IF($C954="","",DATE(YEAR($C954),MONTH($C954),1))</f>
        <v/>
      </c>
      <c r="M954" s="112">
        <f>IF($C954="","",IF(AND($D954&lt;&gt;"",$E954&lt;&gt;"",$G954&gt;0,$H954&lt;&gt;"",$I954&lt;&gt;""),IF($C954&gt;TODAY(),"İLERİ TARİH","UYGUN"),"EKSİK"))</f>
        <v/>
      </c>
      <c r="N954" s="6" t="n"/>
      <c r="O954" s="6" t="n"/>
    </row>
    <row r="955">
      <c r="A955" s="6" t="n"/>
      <c r="B955" s="112">
        <f>IF($C955="","","GG"&amp;TEXT(ROW()-6,"00000"))</f>
        <v/>
      </c>
      <c r="C955" s="114" t="n"/>
      <c r="D955" s="107" t="n"/>
      <c r="E955" s="108" t="n"/>
      <c r="F955" s="108" t="n"/>
      <c r="G955" s="115" t="n"/>
      <c r="H955" s="107" t="n"/>
      <c r="I955" s="107" t="n"/>
      <c r="J955" s="108" t="n"/>
      <c r="K955" s="108" t="n"/>
      <c r="L955" s="119">
        <f>IF($C955="","",DATE(YEAR($C955),MONTH($C955),1))</f>
        <v/>
      </c>
      <c r="M955" s="112">
        <f>IF($C955="","",IF(AND($D955&lt;&gt;"",$E955&lt;&gt;"",$G955&gt;0,$H955&lt;&gt;"",$I955&lt;&gt;""),IF($C955&gt;TODAY(),"İLERİ TARİH","UYGUN"),"EKSİK"))</f>
        <v/>
      </c>
      <c r="N955" s="6" t="n"/>
      <c r="O955" s="6" t="n"/>
    </row>
    <row r="956">
      <c r="A956" s="6" t="n"/>
      <c r="B956" s="112">
        <f>IF($C956="","","GG"&amp;TEXT(ROW()-6,"00000"))</f>
        <v/>
      </c>
      <c r="C956" s="114" t="n"/>
      <c r="D956" s="107" t="n"/>
      <c r="E956" s="108" t="n"/>
      <c r="F956" s="108" t="n"/>
      <c r="G956" s="115" t="n"/>
      <c r="H956" s="107" t="n"/>
      <c r="I956" s="107" t="n"/>
      <c r="J956" s="108" t="n"/>
      <c r="K956" s="108" t="n"/>
      <c r="L956" s="119">
        <f>IF($C956="","",DATE(YEAR($C956),MONTH($C956),1))</f>
        <v/>
      </c>
      <c r="M956" s="112">
        <f>IF($C956="","",IF(AND($D956&lt;&gt;"",$E956&lt;&gt;"",$G956&gt;0,$H956&lt;&gt;"",$I956&lt;&gt;""),IF($C956&gt;TODAY(),"İLERİ TARİH","UYGUN"),"EKSİK"))</f>
        <v/>
      </c>
      <c r="N956" s="6" t="n"/>
      <c r="O956" s="6" t="n"/>
    </row>
    <row r="957">
      <c r="A957" s="6" t="n"/>
      <c r="B957" s="112">
        <f>IF($C957="","","GG"&amp;TEXT(ROW()-6,"00000"))</f>
        <v/>
      </c>
      <c r="C957" s="114" t="n"/>
      <c r="D957" s="107" t="n"/>
      <c r="E957" s="108" t="n"/>
      <c r="F957" s="108" t="n"/>
      <c r="G957" s="115" t="n"/>
      <c r="H957" s="107" t="n"/>
      <c r="I957" s="107" t="n"/>
      <c r="J957" s="108" t="n"/>
      <c r="K957" s="108" t="n"/>
      <c r="L957" s="119">
        <f>IF($C957="","",DATE(YEAR($C957),MONTH($C957),1))</f>
        <v/>
      </c>
      <c r="M957" s="112">
        <f>IF($C957="","",IF(AND($D957&lt;&gt;"",$E957&lt;&gt;"",$G957&gt;0,$H957&lt;&gt;"",$I957&lt;&gt;""),IF($C957&gt;TODAY(),"İLERİ TARİH","UYGUN"),"EKSİK"))</f>
        <v/>
      </c>
      <c r="N957" s="6" t="n"/>
      <c r="O957" s="6" t="n"/>
    </row>
    <row r="958">
      <c r="A958" s="6" t="n"/>
      <c r="B958" s="112">
        <f>IF($C958="","","GG"&amp;TEXT(ROW()-6,"00000"))</f>
        <v/>
      </c>
      <c r="C958" s="114" t="n"/>
      <c r="D958" s="107" t="n"/>
      <c r="E958" s="108" t="n"/>
      <c r="F958" s="108" t="n"/>
      <c r="G958" s="115" t="n"/>
      <c r="H958" s="107" t="n"/>
      <c r="I958" s="107" t="n"/>
      <c r="J958" s="108" t="n"/>
      <c r="K958" s="108" t="n"/>
      <c r="L958" s="119">
        <f>IF($C958="","",DATE(YEAR($C958),MONTH($C958),1))</f>
        <v/>
      </c>
      <c r="M958" s="112">
        <f>IF($C958="","",IF(AND($D958&lt;&gt;"",$E958&lt;&gt;"",$G958&gt;0,$H958&lt;&gt;"",$I958&lt;&gt;""),IF($C958&gt;TODAY(),"İLERİ TARİH","UYGUN"),"EKSİK"))</f>
        <v/>
      </c>
      <c r="N958" s="6" t="n"/>
      <c r="O958" s="6" t="n"/>
    </row>
    <row r="959">
      <c r="A959" s="6" t="n"/>
      <c r="B959" s="112">
        <f>IF($C959="","","GG"&amp;TEXT(ROW()-6,"00000"))</f>
        <v/>
      </c>
      <c r="C959" s="114" t="n"/>
      <c r="D959" s="107" t="n"/>
      <c r="E959" s="108" t="n"/>
      <c r="F959" s="108" t="n"/>
      <c r="G959" s="115" t="n"/>
      <c r="H959" s="107" t="n"/>
      <c r="I959" s="107" t="n"/>
      <c r="J959" s="108" t="n"/>
      <c r="K959" s="108" t="n"/>
      <c r="L959" s="119">
        <f>IF($C959="","",DATE(YEAR($C959),MONTH($C959),1))</f>
        <v/>
      </c>
      <c r="M959" s="112">
        <f>IF($C959="","",IF(AND($D959&lt;&gt;"",$E959&lt;&gt;"",$G959&gt;0,$H959&lt;&gt;"",$I959&lt;&gt;""),IF($C959&gt;TODAY(),"İLERİ TARİH","UYGUN"),"EKSİK"))</f>
        <v/>
      </c>
      <c r="N959" s="6" t="n"/>
      <c r="O959" s="6" t="n"/>
    </row>
    <row r="960">
      <c r="A960" s="6" t="n"/>
      <c r="B960" s="112">
        <f>IF($C960="","","GG"&amp;TEXT(ROW()-6,"00000"))</f>
        <v/>
      </c>
      <c r="C960" s="114" t="n"/>
      <c r="D960" s="107" t="n"/>
      <c r="E960" s="108" t="n"/>
      <c r="F960" s="108" t="n"/>
      <c r="G960" s="115" t="n"/>
      <c r="H960" s="107" t="n"/>
      <c r="I960" s="107" t="n"/>
      <c r="J960" s="108" t="n"/>
      <c r="K960" s="108" t="n"/>
      <c r="L960" s="119">
        <f>IF($C960="","",DATE(YEAR($C960),MONTH($C960),1))</f>
        <v/>
      </c>
      <c r="M960" s="112">
        <f>IF($C960="","",IF(AND($D960&lt;&gt;"",$E960&lt;&gt;"",$G960&gt;0,$H960&lt;&gt;"",$I960&lt;&gt;""),IF($C960&gt;TODAY(),"İLERİ TARİH","UYGUN"),"EKSİK"))</f>
        <v/>
      </c>
      <c r="N960" s="6" t="n"/>
      <c r="O960" s="6" t="n"/>
    </row>
    <row r="961">
      <c r="A961" s="6" t="n"/>
      <c r="B961" s="112">
        <f>IF($C961="","","GG"&amp;TEXT(ROW()-6,"00000"))</f>
        <v/>
      </c>
      <c r="C961" s="114" t="n"/>
      <c r="D961" s="107" t="n"/>
      <c r="E961" s="108" t="n"/>
      <c r="F961" s="108" t="n"/>
      <c r="G961" s="115" t="n"/>
      <c r="H961" s="107" t="n"/>
      <c r="I961" s="107" t="n"/>
      <c r="J961" s="108" t="n"/>
      <c r="K961" s="108" t="n"/>
      <c r="L961" s="119">
        <f>IF($C961="","",DATE(YEAR($C961),MONTH($C961),1))</f>
        <v/>
      </c>
      <c r="M961" s="112">
        <f>IF($C961="","",IF(AND($D961&lt;&gt;"",$E961&lt;&gt;"",$G961&gt;0,$H961&lt;&gt;"",$I961&lt;&gt;""),IF($C961&gt;TODAY(),"İLERİ TARİH","UYGUN"),"EKSİK"))</f>
        <v/>
      </c>
      <c r="N961" s="6" t="n"/>
      <c r="O961" s="6" t="n"/>
    </row>
    <row r="962">
      <c r="A962" s="6" t="n"/>
      <c r="B962" s="112">
        <f>IF($C962="","","GG"&amp;TEXT(ROW()-6,"00000"))</f>
        <v/>
      </c>
      <c r="C962" s="114" t="n"/>
      <c r="D962" s="107" t="n"/>
      <c r="E962" s="108" t="n"/>
      <c r="F962" s="108" t="n"/>
      <c r="G962" s="115" t="n"/>
      <c r="H962" s="107" t="n"/>
      <c r="I962" s="107" t="n"/>
      <c r="J962" s="108" t="n"/>
      <c r="K962" s="108" t="n"/>
      <c r="L962" s="119">
        <f>IF($C962="","",DATE(YEAR($C962),MONTH($C962),1))</f>
        <v/>
      </c>
      <c r="M962" s="112">
        <f>IF($C962="","",IF(AND($D962&lt;&gt;"",$E962&lt;&gt;"",$G962&gt;0,$H962&lt;&gt;"",$I962&lt;&gt;""),IF($C962&gt;TODAY(),"İLERİ TARİH","UYGUN"),"EKSİK"))</f>
        <v/>
      </c>
      <c r="N962" s="6" t="n"/>
      <c r="O962" s="6" t="n"/>
    </row>
    <row r="963">
      <c r="A963" s="6" t="n"/>
      <c r="B963" s="112">
        <f>IF($C963="","","GG"&amp;TEXT(ROW()-6,"00000"))</f>
        <v/>
      </c>
      <c r="C963" s="114" t="n"/>
      <c r="D963" s="107" t="n"/>
      <c r="E963" s="108" t="n"/>
      <c r="F963" s="108" t="n"/>
      <c r="G963" s="115" t="n"/>
      <c r="H963" s="107" t="n"/>
      <c r="I963" s="107" t="n"/>
      <c r="J963" s="108" t="n"/>
      <c r="K963" s="108" t="n"/>
      <c r="L963" s="119">
        <f>IF($C963="","",DATE(YEAR($C963),MONTH($C963),1))</f>
        <v/>
      </c>
      <c r="M963" s="112">
        <f>IF($C963="","",IF(AND($D963&lt;&gt;"",$E963&lt;&gt;"",$G963&gt;0,$H963&lt;&gt;"",$I963&lt;&gt;""),IF($C963&gt;TODAY(),"İLERİ TARİH","UYGUN"),"EKSİK"))</f>
        <v/>
      </c>
      <c r="N963" s="6" t="n"/>
      <c r="O963" s="6" t="n"/>
    </row>
    <row r="964">
      <c r="A964" s="6" t="n"/>
      <c r="B964" s="112">
        <f>IF($C964="","","GG"&amp;TEXT(ROW()-6,"00000"))</f>
        <v/>
      </c>
      <c r="C964" s="114" t="n"/>
      <c r="D964" s="107" t="n"/>
      <c r="E964" s="108" t="n"/>
      <c r="F964" s="108" t="n"/>
      <c r="G964" s="115" t="n"/>
      <c r="H964" s="107" t="n"/>
      <c r="I964" s="107" t="n"/>
      <c r="J964" s="108" t="n"/>
      <c r="K964" s="108" t="n"/>
      <c r="L964" s="119">
        <f>IF($C964="","",DATE(YEAR($C964),MONTH($C964),1))</f>
        <v/>
      </c>
      <c r="M964" s="112">
        <f>IF($C964="","",IF(AND($D964&lt;&gt;"",$E964&lt;&gt;"",$G964&gt;0,$H964&lt;&gt;"",$I964&lt;&gt;""),IF($C964&gt;TODAY(),"İLERİ TARİH","UYGUN"),"EKSİK"))</f>
        <v/>
      </c>
      <c r="N964" s="6" t="n"/>
      <c r="O964" s="6" t="n"/>
    </row>
    <row r="965">
      <c r="A965" s="6" t="n"/>
      <c r="B965" s="112">
        <f>IF($C965="","","GG"&amp;TEXT(ROW()-6,"00000"))</f>
        <v/>
      </c>
      <c r="C965" s="114" t="n"/>
      <c r="D965" s="107" t="n"/>
      <c r="E965" s="108" t="n"/>
      <c r="F965" s="108" t="n"/>
      <c r="G965" s="115" t="n"/>
      <c r="H965" s="107" t="n"/>
      <c r="I965" s="107" t="n"/>
      <c r="J965" s="108" t="n"/>
      <c r="K965" s="108" t="n"/>
      <c r="L965" s="119">
        <f>IF($C965="","",DATE(YEAR($C965),MONTH($C965),1))</f>
        <v/>
      </c>
      <c r="M965" s="112">
        <f>IF($C965="","",IF(AND($D965&lt;&gt;"",$E965&lt;&gt;"",$G965&gt;0,$H965&lt;&gt;"",$I965&lt;&gt;""),IF($C965&gt;TODAY(),"İLERİ TARİH","UYGUN"),"EKSİK"))</f>
        <v/>
      </c>
      <c r="N965" s="6" t="n"/>
      <c r="O965" s="6" t="n"/>
    </row>
    <row r="966">
      <c r="A966" s="6" t="n"/>
      <c r="B966" s="112">
        <f>IF($C966="","","GG"&amp;TEXT(ROW()-6,"00000"))</f>
        <v/>
      </c>
      <c r="C966" s="114" t="n"/>
      <c r="D966" s="107" t="n"/>
      <c r="E966" s="108" t="n"/>
      <c r="F966" s="108" t="n"/>
      <c r="G966" s="115" t="n"/>
      <c r="H966" s="107" t="n"/>
      <c r="I966" s="107" t="n"/>
      <c r="J966" s="108" t="n"/>
      <c r="K966" s="108" t="n"/>
      <c r="L966" s="119">
        <f>IF($C966="","",DATE(YEAR($C966),MONTH($C966),1))</f>
        <v/>
      </c>
      <c r="M966" s="112">
        <f>IF($C966="","",IF(AND($D966&lt;&gt;"",$E966&lt;&gt;"",$G966&gt;0,$H966&lt;&gt;"",$I966&lt;&gt;""),IF($C966&gt;TODAY(),"İLERİ TARİH","UYGUN"),"EKSİK"))</f>
        <v/>
      </c>
      <c r="N966" s="6" t="n"/>
      <c r="O966" s="6" t="n"/>
    </row>
    <row r="967">
      <c r="A967" s="6" t="n"/>
      <c r="B967" s="112">
        <f>IF($C967="","","GG"&amp;TEXT(ROW()-6,"00000"))</f>
        <v/>
      </c>
      <c r="C967" s="114" t="n"/>
      <c r="D967" s="107" t="n"/>
      <c r="E967" s="108" t="n"/>
      <c r="F967" s="108" t="n"/>
      <c r="G967" s="115" t="n"/>
      <c r="H967" s="107" t="n"/>
      <c r="I967" s="107" t="n"/>
      <c r="J967" s="108" t="n"/>
      <c r="K967" s="108" t="n"/>
      <c r="L967" s="119">
        <f>IF($C967="","",DATE(YEAR($C967),MONTH($C967),1))</f>
        <v/>
      </c>
      <c r="M967" s="112">
        <f>IF($C967="","",IF(AND($D967&lt;&gt;"",$E967&lt;&gt;"",$G967&gt;0,$H967&lt;&gt;"",$I967&lt;&gt;""),IF($C967&gt;TODAY(),"İLERİ TARİH","UYGUN"),"EKSİK"))</f>
        <v/>
      </c>
      <c r="N967" s="6" t="n"/>
      <c r="O967" s="6" t="n"/>
    </row>
    <row r="968">
      <c r="A968" s="6" t="n"/>
      <c r="B968" s="112">
        <f>IF($C968="","","GG"&amp;TEXT(ROW()-6,"00000"))</f>
        <v/>
      </c>
      <c r="C968" s="114" t="n"/>
      <c r="D968" s="107" t="n"/>
      <c r="E968" s="108" t="n"/>
      <c r="F968" s="108" t="n"/>
      <c r="G968" s="115" t="n"/>
      <c r="H968" s="107" t="n"/>
      <c r="I968" s="107" t="n"/>
      <c r="J968" s="108" t="n"/>
      <c r="K968" s="108" t="n"/>
      <c r="L968" s="119">
        <f>IF($C968="","",DATE(YEAR($C968),MONTH($C968),1))</f>
        <v/>
      </c>
      <c r="M968" s="112">
        <f>IF($C968="","",IF(AND($D968&lt;&gt;"",$E968&lt;&gt;"",$G968&gt;0,$H968&lt;&gt;"",$I968&lt;&gt;""),IF($C968&gt;TODAY(),"İLERİ TARİH","UYGUN"),"EKSİK"))</f>
        <v/>
      </c>
      <c r="N968" s="6" t="n"/>
      <c r="O968" s="6" t="n"/>
    </row>
    <row r="969">
      <c r="A969" s="6" t="n"/>
      <c r="B969" s="112">
        <f>IF($C969="","","GG"&amp;TEXT(ROW()-6,"00000"))</f>
        <v/>
      </c>
      <c r="C969" s="114" t="n"/>
      <c r="D969" s="107" t="n"/>
      <c r="E969" s="108" t="n"/>
      <c r="F969" s="108" t="n"/>
      <c r="G969" s="115" t="n"/>
      <c r="H969" s="107" t="n"/>
      <c r="I969" s="107" t="n"/>
      <c r="J969" s="108" t="n"/>
      <c r="K969" s="108" t="n"/>
      <c r="L969" s="119">
        <f>IF($C969="","",DATE(YEAR($C969),MONTH($C969),1))</f>
        <v/>
      </c>
      <c r="M969" s="112">
        <f>IF($C969="","",IF(AND($D969&lt;&gt;"",$E969&lt;&gt;"",$G969&gt;0,$H969&lt;&gt;"",$I969&lt;&gt;""),IF($C969&gt;TODAY(),"İLERİ TARİH","UYGUN"),"EKSİK"))</f>
        <v/>
      </c>
      <c r="N969" s="6" t="n"/>
      <c r="O969" s="6" t="n"/>
    </row>
    <row r="970">
      <c r="A970" s="6" t="n"/>
      <c r="B970" s="112">
        <f>IF($C970="","","GG"&amp;TEXT(ROW()-6,"00000"))</f>
        <v/>
      </c>
      <c r="C970" s="114" t="n"/>
      <c r="D970" s="107" t="n"/>
      <c r="E970" s="108" t="n"/>
      <c r="F970" s="108" t="n"/>
      <c r="G970" s="115" t="n"/>
      <c r="H970" s="107" t="n"/>
      <c r="I970" s="107" t="n"/>
      <c r="J970" s="108" t="n"/>
      <c r="K970" s="108" t="n"/>
      <c r="L970" s="119">
        <f>IF($C970="","",DATE(YEAR($C970),MONTH($C970),1))</f>
        <v/>
      </c>
      <c r="M970" s="112">
        <f>IF($C970="","",IF(AND($D970&lt;&gt;"",$E970&lt;&gt;"",$G970&gt;0,$H970&lt;&gt;"",$I970&lt;&gt;""),IF($C970&gt;TODAY(),"İLERİ TARİH","UYGUN"),"EKSİK"))</f>
        <v/>
      </c>
      <c r="N970" s="6" t="n"/>
      <c r="O970" s="6" t="n"/>
    </row>
    <row r="971">
      <c r="A971" s="6" t="n"/>
      <c r="B971" s="112">
        <f>IF($C971="","","GG"&amp;TEXT(ROW()-6,"00000"))</f>
        <v/>
      </c>
      <c r="C971" s="114" t="n"/>
      <c r="D971" s="107" t="n"/>
      <c r="E971" s="108" t="n"/>
      <c r="F971" s="108" t="n"/>
      <c r="G971" s="115" t="n"/>
      <c r="H971" s="107" t="n"/>
      <c r="I971" s="107" t="n"/>
      <c r="J971" s="108" t="n"/>
      <c r="K971" s="108" t="n"/>
      <c r="L971" s="119">
        <f>IF($C971="","",DATE(YEAR($C971),MONTH($C971),1))</f>
        <v/>
      </c>
      <c r="M971" s="112">
        <f>IF($C971="","",IF(AND($D971&lt;&gt;"",$E971&lt;&gt;"",$G971&gt;0,$H971&lt;&gt;"",$I971&lt;&gt;""),IF($C971&gt;TODAY(),"İLERİ TARİH","UYGUN"),"EKSİK"))</f>
        <v/>
      </c>
      <c r="N971" s="6" t="n"/>
      <c r="O971" s="6" t="n"/>
    </row>
    <row r="972">
      <c r="A972" s="6" t="n"/>
      <c r="B972" s="112">
        <f>IF($C972="","","GG"&amp;TEXT(ROW()-6,"00000"))</f>
        <v/>
      </c>
      <c r="C972" s="114" t="n"/>
      <c r="D972" s="107" t="n"/>
      <c r="E972" s="108" t="n"/>
      <c r="F972" s="108" t="n"/>
      <c r="G972" s="115" t="n"/>
      <c r="H972" s="107" t="n"/>
      <c r="I972" s="107" t="n"/>
      <c r="J972" s="108" t="n"/>
      <c r="K972" s="108" t="n"/>
      <c r="L972" s="119">
        <f>IF($C972="","",DATE(YEAR($C972),MONTH($C972),1))</f>
        <v/>
      </c>
      <c r="M972" s="112">
        <f>IF($C972="","",IF(AND($D972&lt;&gt;"",$E972&lt;&gt;"",$G972&gt;0,$H972&lt;&gt;"",$I972&lt;&gt;""),IF($C972&gt;TODAY(),"İLERİ TARİH","UYGUN"),"EKSİK"))</f>
        <v/>
      </c>
      <c r="N972" s="6" t="n"/>
      <c r="O972" s="6" t="n"/>
    </row>
    <row r="973">
      <c r="A973" s="6" t="n"/>
      <c r="B973" s="112">
        <f>IF($C973="","","GG"&amp;TEXT(ROW()-6,"00000"))</f>
        <v/>
      </c>
      <c r="C973" s="114" t="n"/>
      <c r="D973" s="107" t="n"/>
      <c r="E973" s="108" t="n"/>
      <c r="F973" s="108" t="n"/>
      <c r="G973" s="115" t="n"/>
      <c r="H973" s="107" t="n"/>
      <c r="I973" s="107" t="n"/>
      <c r="J973" s="108" t="n"/>
      <c r="K973" s="108" t="n"/>
      <c r="L973" s="119">
        <f>IF($C973="","",DATE(YEAR($C973),MONTH($C973),1))</f>
        <v/>
      </c>
      <c r="M973" s="112">
        <f>IF($C973="","",IF(AND($D973&lt;&gt;"",$E973&lt;&gt;"",$G973&gt;0,$H973&lt;&gt;"",$I973&lt;&gt;""),IF($C973&gt;TODAY(),"İLERİ TARİH","UYGUN"),"EKSİK"))</f>
        <v/>
      </c>
      <c r="N973" s="6" t="n"/>
      <c r="O973" s="6" t="n"/>
    </row>
    <row r="974">
      <c r="A974" s="6" t="n"/>
      <c r="B974" s="112">
        <f>IF($C974="","","GG"&amp;TEXT(ROW()-6,"00000"))</f>
        <v/>
      </c>
      <c r="C974" s="114" t="n"/>
      <c r="D974" s="107" t="n"/>
      <c r="E974" s="108" t="n"/>
      <c r="F974" s="108" t="n"/>
      <c r="G974" s="115" t="n"/>
      <c r="H974" s="107" t="n"/>
      <c r="I974" s="107" t="n"/>
      <c r="J974" s="108" t="n"/>
      <c r="K974" s="108" t="n"/>
      <c r="L974" s="119">
        <f>IF($C974="","",DATE(YEAR($C974),MONTH($C974),1))</f>
        <v/>
      </c>
      <c r="M974" s="112">
        <f>IF($C974="","",IF(AND($D974&lt;&gt;"",$E974&lt;&gt;"",$G974&gt;0,$H974&lt;&gt;"",$I974&lt;&gt;""),IF($C974&gt;TODAY(),"İLERİ TARİH","UYGUN"),"EKSİK"))</f>
        <v/>
      </c>
      <c r="N974" s="6" t="n"/>
      <c r="O974" s="6" t="n"/>
    </row>
    <row r="975">
      <c r="A975" s="6" t="n"/>
      <c r="B975" s="112">
        <f>IF($C975="","","GG"&amp;TEXT(ROW()-6,"00000"))</f>
        <v/>
      </c>
      <c r="C975" s="114" t="n"/>
      <c r="D975" s="107" t="n"/>
      <c r="E975" s="108" t="n"/>
      <c r="F975" s="108" t="n"/>
      <c r="G975" s="115" t="n"/>
      <c r="H975" s="107" t="n"/>
      <c r="I975" s="107" t="n"/>
      <c r="J975" s="108" t="n"/>
      <c r="K975" s="108" t="n"/>
      <c r="L975" s="119">
        <f>IF($C975="","",DATE(YEAR($C975),MONTH($C975),1))</f>
        <v/>
      </c>
      <c r="M975" s="112">
        <f>IF($C975="","",IF(AND($D975&lt;&gt;"",$E975&lt;&gt;"",$G975&gt;0,$H975&lt;&gt;"",$I975&lt;&gt;""),IF($C975&gt;TODAY(),"İLERİ TARİH","UYGUN"),"EKSİK"))</f>
        <v/>
      </c>
      <c r="N975" s="6" t="n"/>
      <c r="O975" s="6" t="n"/>
    </row>
    <row r="976">
      <c r="A976" s="6" t="n"/>
      <c r="B976" s="112">
        <f>IF($C976="","","GG"&amp;TEXT(ROW()-6,"00000"))</f>
        <v/>
      </c>
      <c r="C976" s="114" t="n"/>
      <c r="D976" s="107" t="n"/>
      <c r="E976" s="108" t="n"/>
      <c r="F976" s="108" t="n"/>
      <c r="G976" s="115" t="n"/>
      <c r="H976" s="107" t="n"/>
      <c r="I976" s="107" t="n"/>
      <c r="J976" s="108" t="n"/>
      <c r="K976" s="108" t="n"/>
      <c r="L976" s="119">
        <f>IF($C976="","",DATE(YEAR($C976),MONTH($C976),1))</f>
        <v/>
      </c>
      <c r="M976" s="112">
        <f>IF($C976="","",IF(AND($D976&lt;&gt;"",$E976&lt;&gt;"",$G976&gt;0,$H976&lt;&gt;"",$I976&lt;&gt;""),IF($C976&gt;TODAY(),"İLERİ TARİH","UYGUN"),"EKSİK"))</f>
        <v/>
      </c>
      <c r="N976" s="6" t="n"/>
      <c r="O976" s="6" t="n"/>
    </row>
    <row r="977">
      <c r="A977" s="6" t="n"/>
      <c r="B977" s="112">
        <f>IF($C977="","","GG"&amp;TEXT(ROW()-6,"00000"))</f>
        <v/>
      </c>
      <c r="C977" s="114" t="n"/>
      <c r="D977" s="107" t="n"/>
      <c r="E977" s="108" t="n"/>
      <c r="F977" s="108" t="n"/>
      <c r="G977" s="115" t="n"/>
      <c r="H977" s="107" t="n"/>
      <c r="I977" s="107" t="n"/>
      <c r="J977" s="108" t="n"/>
      <c r="K977" s="108" t="n"/>
      <c r="L977" s="119">
        <f>IF($C977="","",DATE(YEAR($C977),MONTH($C977),1))</f>
        <v/>
      </c>
      <c r="M977" s="112">
        <f>IF($C977="","",IF(AND($D977&lt;&gt;"",$E977&lt;&gt;"",$G977&gt;0,$H977&lt;&gt;"",$I977&lt;&gt;""),IF($C977&gt;TODAY(),"İLERİ TARİH","UYGUN"),"EKSİK"))</f>
        <v/>
      </c>
      <c r="N977" s="6" t="n"/>
      <c r="O977" s="6" t="n"/>
    </row>
    <row r="978">
      <c r="A978" s="6" t="n"/>
      <c r="B978" s="112">
        <f>IF($C978="","","GG"&amp;TEXT(ROW()-6,"00000"))</f>
        <v/>
      </c>
      <c r="C978" s="114" t="n"/>
      <c r="D978" s="107" t="n"/>
      <c r="E978" s="108" t="n"/>
      <c r="F978" s="108" t="n"/>
      <c r="G978" s="115" t="n"/>
      <c r="H978" s="107" t="n"/>
      <c r="I978" s="107" t="n"/>
      <c r="J978" s="108" t="n"/>
      <c r="K978" s="108" t="n"/>
      <c r="L978" s="119">
        <f>IF($C978="","",DATE(YEAR($C978),MONTH($C978),1))</f>
        <v/>
      </c>
      <c r="M978" s="112">
        <f>IF($C978="","",IF(AND($D978&lt;&gt;"",$E978&lt;&gt;"",$G978&gt;0,$H978&lt;&gt;"",$I978&lt;&gt;""),IF($C978&gt;TODAY(),"İLERİ TARİH","UYGUN"),"EKSİK"))</f>
        <v/>
      </c>
      <c r="N978" s="6" t="n"/>
      <c r="O978" s="6" t="n"/>
    </row>
    <row r="979">
      <c r="A979" s="6" t="n"/>
      <c r="B979" s="112">
        <f>IF($C979="","","GG"&amp;TEXT(ROW()-6,"00000"))</f>
        <v/>
      </c>
      <c r="C979" s="114" t="n"/>
      <c r="D979" s="107" t="n"/>
      <c r="E979" s="108" t="n"/>
      <c r="F979" s="108" t="n"/>
      <c r="G979" s="115" t="n"/>
      <c r="H979" s="107" t="n"/>
      <c r="I979" s="107" t="n"/>
      <c r="J979" s="108" t="n"/>
      <c r="K979" s="108" t="n"/>
      <c r="L979" s="119">
        <f>IF($C979="","",DATE(YEAR($C979),MONTH($C979),1))</f>
        <v/>
      </c>
      <c r="M979" s="112">
        <f>IF($C979="","",IF(AND($D979&lt;&gt;"",$E979&lt;&gt;"",$G979&gt;0,$H979&lt;&gt;"",$I979&lt;&gt;""),IF($C979&gt;TODAY(),"İLERİ TARİH","UYGUN"),"EKSİK"))</f>
        <v/>
      </c>
      <c r="N979" s="6" t="n"/>
      <c r="O979" s="6" t="n"/>
    </row>
    <row r="980">
      <c r="A980" s="6" t="n"/>
      <c r="B980" s="112">
        <f>IF($C980="","","GG"&amp;TEXT(ROW()-6,"00000"))</f>
        <v/>
      </c>
      <c r="C980" s="114" t="n"/>
      <c r="D980" s="107" t="n"/>
      <c r="E980" s="108" t="n"/>
      <c r="F980" s="108" t="n"/>
      <c r="G980" s="115" t="n"/>
      <c r="H980" s="107" t="n"/>
      <c r="I980" s="107" t="n"/>
      <c r="J980" s="108" t="n"/>
      <c r="K980" s="108" t="n"/>
      <c r="L980" s="119">
        <f>IF($C980="","",DATE(YEAR($C980),MONTH($C980),1))</f>
        <v/>
      </c>
      <c r="M980" s="112">
        <f>IF($C980="","",IF(AND($D980&lt;&gt;"",$E980&lt;&gt;"",$G980&gt;0,$H980&lt;&gt;"",$I980&lt;&gt;""),IF($C980&gt;TODAY(),"İLERİ TARİH","UYGUN"),"EKSİK"))</f>
        <v/>
      </c>
      <c r="N980" s="6" t="n"/>
      <c r="O980" s="6" t="n"/>
    </row>
    <row r="981">
      <c r="A981" s="6" t="n"/>
      <c r="B981" s="112">
        <f>IF($C981="","","GG"&amp;TEXT(ROW()-6,"00000"))</f>
        <v/>
      </c>
      <c r="C981" s="114" t="n"/>
      <c r="D981" s="107" t="n"/>
      <c r="E981" s="108" t="n"/>
      <c r="F981" s="108" t="n"/>
      <c r="G981" s="115" t="n"/>
      <c r="H981" s="107" t="n"/>
      <c r="I981" s="107" t="n"/>
      <c r="J981" s="108" t="n"/>
      <c r="K981" s="108" t="n"/>
      <c r="L981" s="119">
        <f>IF($C981="","",DATE(YEAR($C981),MONTH($C981),1))</f>
        <v/>
      </c>
      <c r="M981" s="112">
        <f>IF($C981="","",IF(AND($D981&lt;&gt;"",$E981&lt;&gt;"",$G981&gt;0,$H981&lt;&gt;"",$I981&lt;&gt;""),IF($C981&gt;TODAY(),"İLERİ TARİH","UYGUN"),"EKSİK"))</f>
        <v/>
      </c>
      <c r="N981" s="6" t="n"/>
      <c r="O981" s="6" t="n"/>
    </row>
    <row r="982">
      <c r="A982" s="6" t="n"/>
      <c r="B982" s="112">
        <f>IF($C982="","","GG"&amp;TEXT(ROW()-6,"00000"))</f>
        <v/>
      </c>
      <c r="C982" s="114" t="n"/>
      <c r="D982" s="107" t="n"/>
      <c r="E982" s="108" t="n"/>
      <c r="F982" s="108" t="n"/>
      <c r="G982" s="115" t="n"/>
      <c r="H982" s="107" t="n"/>
      <c r="I982" s="107" t="n"/>
      <c r="J982" s="108" t="n"/>
      <c r="K982" s="108" t="n"/>
      <c r="L982" s="119">
        <f>IF($C982="","",DATE(YEAR($C982),MONTH($C982),1))</f>
        <v/>
      </c>
      <c r="M982" s="112">
        <f>IF($C982="","",IF(AND($D982&lt;&gt;"",$E982&lt;&gt;"",$G982&gt;0,$H982&lt;&gt;"",$I982&lt;&gt;""),IF($C982&gt;TODAY(),"İLERİ TARİH","UYGUN"),"EKSİK"))</f>
        <v/>
      </c>
      <c r="N982" s="6" t="n"/>
      <c r="O982" s="6" t="n"/>
    </row>
    <row r="983">
      <c r="A983" s="6" t="n"/>
      <c r="B983" s="112">
        <f>IF($C983="","","GG"&amp;TEXT(ROW()-6,"00000"))</f>
        <v/>
      </c>
      <c r="C983" s="114" t="n"/>
      <c r="D983" s="107" t="n"/>
      <c r="E983" s="108" t="n"/>
      <c r="F983" s="108" t="n"/>
      <c r="G983" s="115" t="n"/>
      <c r="H983" s="107" t="n"/>
      <c r="I983" s="107" t="n"/>
      <c r="J983" s="108" t="n"/>
      <c r="K983" s="108" t="n"/>
      <c r="L983" s="119">
        <f>IF($C983="","",DATE(YEAR($C983),MONTH($C983),1))</f>
        <v/>
      </c>
      <c r="M983" s="112">
        <f>IF($C983="","",IF(AND($D983&lt;&gt;"",$E983&lt;&gt;"",$G983&gt;0,$H983&lt;&gt;"",$I983&lt;&gt;""),IF($C983&gt;TODAY(),"İLERİ TARİH","UYGUN"),"EKSİK"))</f>
        <v/>
      </c>
      <c r="N983" s="6" t="n"/>
      <c r="O983" s="6" t="n"/>
    </row>
    <row r="984">
      <c r="A984" s="6" t="n"/>
      <c r="B984" s="112">
        <f>IF($C984="","","GG"&amp;TEXT(ROW()-6,"00000"))</f>
        <v/>
      </c>
      <c r="C984" s="114" t="n"/>
      <c r="D984" s="107" t="n"/>
      <c r="E984" s="108" t="n"/>
      <c r="F984" s="108" t="n"/>
      <c r="G984" s="115" t="n"/>
      <c r="H984" s="107" t="n"/>
      <c r="I984" s="107" t="n"/>
      <c r="J984" s="108" t="n"/>
      <c r="K984" s="108" t="n"/>
      <c r="L984" s="119">
        <f>IF($C984="","",DATE(YEAR($C984),MONTH($C984),1))</f>
        <v/>
      </c>
      <c r="M984" s="112">
        <f>IF($C984="","",IF(AND($D984&lt;&gt;"",$E984&lt;&gt;"",$G984&gt;0,$H984&lt;&gt;"",$I984&lt;&gt;""),IF($C984&gt;TODAY(),"İLERİ TARİH","UYGUN"),"EKSİK"))</f>
        <v/>
      </c>
      <c r="N984" s="6" t="n"/>
      <c r="O984" s="6" t="n"/>
    </row>
    <row r="985">
      <c r="A985" s="6" t="n"/>
      <c r="B985" s="112">
        <f>IF($C985="","","GG"&amp;TEXT(ROW()-6,"00000"))</f>
        <v/>
      </c>
      <c r="C985" s="114" t="n"/>
      <c r="D985" s="107" t="n"/>
      <c r="E985" s="108" t="n"/>
      <c r="F985" s="108" t="n"/>
      <c r="G985" s="115" t="n"/>
      <c r="H985" s="107" t="n"/>
      <c r="I985" s="107" t="n"/>
      <c r="J985" s="108" t="n"/>
      <c r="K985" s="108" t="n"/>
      <c r="L985" s="119">
        <f>IF($C985="","",DATE(YEAR($C985),MONTH($C985),1))</f>
        <v/>
      </c>
      <c r="M985" s="112">
        <f>IF($C985="","",IF(AND($D985&lt;&gt;"",$E985&lt;&gt;"",$G985&gt;0,$H985&lt;&gt;"",$I985&lt;&gt;""),IF($C985&gt;TODAY(),"İLERİ TARİH","UYGUN"),"EKSİK"))</f>
        <v/>
      </c>
      <c r="N985" s="6" t="n"/>
      <c r="O985" s="6" t="n"/>
    </row>
    <row r="986">
      <c r="A986" s="6" t="n"/>
      <c r="B986" s="112">
        <f>IF($C986="","","GG"&amp;TEXT(ROW()-6,"00000"))</f>
        <v/>
      </c>
      <c r="C986" s="114" t="n"/>
      <c r="D986" s="107" t="n"/>
      <c r="E986" s="108" t="n"/>
      <c r="F986" s="108" t="n"/>
      <c r="G986" s="115" t="n"/>
      <c r="H986" s="107" t="n"/>
      <c r="I986" s="107" t="n"/>
      <c r="J986" s="108" t="n"/>
      <c r="K986" s="108" t="n"/>
      <c r="L986" s="119">
        <f>IF($C986="","",DATE(YEAR($C986),MONTH($C986),1))</f>
        <v/>
      </c>
      <c r="M986" s="112">
        <f>IF($C986="","",IF(AND($D986&lt;&gt;"",$E986&lt;&gt;"",$G986&gt;0,$H986&lt;&gt;"",$I986&lt;&gt;""),IF($C986&gt;TODAY(),"İLERİ TARİH","UYGUN"),"EKSİK"))</f>
        <v/>
      </c>
      <c r="N986" s="6" t="n"/>
      <c r="O986" s="6" t="n"/>
    </row>
    <row r="987">
      <c r="A987" s="6" t="n"/>
      <c r="B987" s="112">
        <f>IF($C987="","","GG"&amp;TEXT(ROW()-6,"00000"))</f>
        <v/>
      </c>
      <c r="C987" s="114" t="n"/>
      <c r="D987" s="107" t="n"/>
      <c r="E987" s="108" t="n"/>
      <c r="F987" s="108" t="n"/>
      <c r="G987" s="115" t="n"/>
      <c r="H987" s="107" t="n"/>
      <c r="I987" s="107" t="n"/>
      <c r="J987" s="108" t="n"/>
      <c r="K987" s="108" t="n"/>
      <c r="L987" s="119">
        <f>IF($C987="","",DATE(YEAR($C987),MONTH($C987),1))</f>
        <v/>
      </c>
      <c r="M987" s="112">
        <f>IF($C987="","",IF(AND($D987&lt;&gt;"",$E987&lt;&gt;"",$G987&gt;0,$H987&lt;&gt;"",$I987&lt;&gt;""),IF($C987&gt;TODAY(),"İLERİ TARİH","UYGUN"),"EKSİK"))</f>
        <v/>
      </c>
      <c r="N987" s="6" t="n"/>
      <c r="O987" s="6" t="n"/>
    </row>
    <row r="988">
      <c r="A988" s="6" t="n"/>
      <c r="B988" s="112">
        <f>IF($C988="","","GG"&amp;TEXT(ROW()-6,"00000"))</f>
        <v/>
      </c>
      <c r="C988" s="114" t="n"/>
      <c r="D988" s="107" t="n"/>
      <c r="E988" s="108" t="n"/>
      <c r="F988" s="108" t="n"/>
      <c r="G988" s="115" t="n"/>
      <c r="H988" s="107" t="n"/>
      <c r="I988" s="107" t="n"/>
      <c r="J988" s="108" t="n"/>
      <c r="K988" s="108" t="n"/>
      <c r="L988" s="119">
        <f>IF($C988="","",DATE(YEAR($C988),MONTH($C988),1))</f>
        <v/>
      </c>
      <c r="M988" s="112">
        <f>IF($C988="","",IF(AND($D988&lt;&gt;"",$E988&lt;&gt;"",$G988&gt;0,$H988&lt;&gt;"",$I988&lt;&gt;""),IF($C988&gt;TODAY(),"İLERİ TARİH","UYGUN"),"EKSİK"))</f>
        <v/>
      </c>
      <c r="N988" s="6" t="n"/>
      <c r="O988" s="6" t="n"/>
    </row>
    <row r="989">
      <c r="A989" s="6" t="n"/>
      <c r="B989" s="112">
        <f>IF($C989="","","GG"&amp;TEXT(ROW()-6,"00000"))</f>
        <v/>
      </c>
      <c r="C989" s="114" t="n"/>
      <c r="D989" s="107" t="n"/>
      <c r="E989" s="108" t="n"/>
      <c r="F989" s="108" t="n"/>
      <c r="G989" s="115" t="n"/>
      <c r="H989" s="107" t="n"/>
      <c r="I989" s="107" t="n"/>
      <c r="J989" s="108" t="n"/>
      <c r="K989" s="108" t="n"/>
      <c r="L989" s="119">
        <f>IF($C989="","",DATE(YEAR($C989),MONTH($C989),1))</f>
        <v/>
      </c>
      <c r="M989" s="112">
        <f>IF($C989="","",IF(AND($D989&lt;&gt;"",$E989&lt;&gt;"",$G989&gt;0,$H989&lt;&gt;"",$I989&lt;&gt;""),IF($C989&gt;TODAY(),"İLERİ TARİH","UYGUN"),"EKSİK"))</f>
        <v/>
      </c>
      <c r="N989" s="6" t="n"/>
      <c r="O989" s="6" t="n"/>
    </row>
    <row r="990">
      <c r="A990" s="6" t="n"/>
      <c r="B990" s="112">
        <f>IF($C990="","","GG"&amp;TEXT(ROW()-6,"00000"))</f>
        <v/>
      </c>
      <c r="C990" s="114" t="n"/>
      <c r="D990" s="107" t="n"/>
      <c r="E990" s="108" t="n"/>
      <c r="F990" s="108" t="n"/>
      <c r="G990" s="115" t="n"/>
      <c r="H990" s="107" t="n"/>
      <c r="I990" s="107" t="n"/>
      <c r="J990" s="108" t="n"/>
      <c r="K990" s="108" t="n"/>
      <c r="L990" s="119">
        <f>IF($C990="","",DATE(YEAR($C990),MONTH($C990),1))</f>
        <v/>
      </c>
      <c r="M990" s="112">
        <f>IF($C990="","",IF(AND($D990&lt;&gt;"",$E990&lt;&gt;"",$G990&gt;0,$H990&lt;&gt;"",$I990&lt;&gt;""),IF($C990&gt;TODAY(),"İLERİ TARİH","UYGUN"),"EKSİK"))</f>
        <v/>
      </c>
      <c r="N990" s="6" t="n"/>
      <c r="O990" s="6" t="n"/>
    </row>
    <row r="991">
      <c r="A991" s="6" t="n"/>
      <c r="B991" s="112">
        <f>IF($C991="","","GG"&amp;TEXT(ROW()-6,"00000"))</f>
        <v/>
      </c>
      <c r="C991" s="114" t="n"/>
      <c r="D991" s="107" t="n"/>
      <c r="E991" s="108" t="n"/>
      <c r="F991" s="108" t="n"/>
      <c r="G991" s="115" t="n"/>
      <c r="H991" s="107" t="n"/>
      <c r="I991" s="107" t="n"/>
      <c r="J991" s="108" t="n"/>
      <c r="K991" s="108" t="n"/>
      <c r="L991" s="119">
        <f>IF($C991="","",DATE(YEAR($C991),MONTH($C991),1))</f>
        <v/>
      </c>
      <c r="M991" s="112">
        <f>IF($C991="","",IF(AND($D991&lt;&gt;"",$E991&lt;&gt;"",$G991&gt;0,$H991&lt;&gt;"",$I991&lt;&gt;""),IF($C991&gt;TODAY(),"İLERİ TARİH","UYGUN"),"EKSİK"))</f>
        <v/>
      </c>
      <c r="N991" s="6" t="n"/>
      <c r="O991" s="6" t="n"/>
    </row>
    <row r="992">
      <c r="A992" s="6" t="n"/>
      <c r="B992" s="112">
        <f>IF($C992="","","GG"&amp;TEXT(ROW()-6,"00000"))</f>
        <v/>
      </c>
      <c r="C992" s="114" t="n"/>
      <c r="D992" s="107" t="n"/>
      <c r="E992" s="108" t="n"/>
      <c r="F992" s="108" t="n"/>
      <c r="G992" s="115" t="n"/>
      <c r="H992" s="107" t="n"/>
      <c r="I992" s="107" t="n"/>
      <c r="J992" s="108" t="n"/>
      <c r="K992" s="108" t="n"/>
      <c r="L992" s="119">
        <f>IF($C992="","",DATE(YEAR($C992),MONTH($C992),1))</f>
        <v/>
      </c>
      <c r="M992" s="112">
        <f>IF($C992="","",IF(AND($D992&lt;&gt;"",$E992&lt;&gt;"",$G992&gt;0,$H992&lt;&gt;"",$I992&lt;&gt;""),IF($C992&gt;TODAY(),"İLERİ TARİH","UYGUN"),"EKSİK"))</f>
        <v/>
      </c>
      <c r="N992" s="6" t="n"/>
      <c r="O992" s="6" t="n"/>
    </row>
    <row r="993">
      <c r="A993" s="6" t="n"/>
      <c r="B993" s="112">
        <f>IF($C993="","","GG"&amp;TEXT(ROW()-6,"00000"))</f>
        <v/>
      </c>
      <c r="C993" s="114" t="n"/>
      <c r="D993" s="107" t="n"/>
      <c r="E993" s="108" t="n"/>
      <c r="F993" s="108" t="n"/>
      <c r="G993" s="115" t="n"/>
      <c r="H993" s="107" t="n"/>
      <c r="I993" s="107" t="n"/>
      <c r="J993" s="108" t="n"/>
      <c r="K993" s="108" t="n"/>
      <c r="L993" s="119">
        <f>IF($C993="","",DATE(YEAR($C993),MONTH($C993),1))</f>
        <v/>
      </c>
      <c r="M993" s="112">
        <f>IF($C993="","",IF(AND($D993&lt;&gt;"",$E993&lt;&gt;"",$G993&gt;0,$H993&lt;&gt;"",$I993&lt;&gt;""),IF($C993&gt;TODAY(),"İLERİ TARİH","UYGUN"),"EKSİK"))</f>
        <v/>
      </c>
      <c r="N993" s="6" t="n"/>
      <c r="O993" s="6" t="n"/>
    </row>
    <row r="994">
      <c r="A994" s="6" t="n"/>
      <c r="B994" s="112">
        <f>IF($C994="","","GG"&amp;TEXT(ROW()-6,"00000"))</f>
        <v/>
      </c>
      <c r="C994" s="114" t="n"/>
      <c r="D994" s="107" t="n"/>
      <c r="E994" s="108" t="n"/>
      <c r="F994" s="108" t="n"/>
      <c r="G994" s="115" t="n"/>
      <c r="H994" s="107" t="n"/>
      <c r="I994" s="107" t="n"/>
      <c r="J994" s="108" t="n"/>
      <c r="K994" s="108" t="n"/>
      <c r="L994" s="119">
        <f>IF($C994="","",DATE(YEAR($C994),MONTH($C994),1))</f>
        <v/>
      </c>
      <c r="M994" s="112">
        <f>IF($C994="","",IF(AND($D994&lt;&gt;"",$E994&lt;&gt;"",$G994&gt;0,$H994&lt;&gt;"",$I994&lt;&gt;""),IF($C994&gt;TODAY(),"İLERİ TARİH","UYGUN"),"EKSİK"))</f>
        <v/>
      </c>
      <c r="N994" s="6" t="n"/>
      <c r="O994" s="6" t="n"/>
    </row>
    <row r="995">
      <c r="A995" s="6" t="n"/>
      <c r="B995" s="112">
        <f>IF($C995="","","GG"&amp;TEXT(ROW()-6,"00000"))</f>
        <v/>
      </c>
      <c r="C995" s="114" t="n"/>
      <c r="D995" s="107" t="n"/>
      <c r="E995" s="108" t="n"/>
      <c r="F995" s="108" t="n"/>
      <c r="G995" s="115" t="n"/>
      <c r="H995" s="107" t="n"/>
      <c r="I995" s="107" t="n"/>
      <c r="J995" s="108" t="n"/>
      <c r="K995" s="108" t="n"/>
      <c r="L995" s="119">
        <f>IF($C995="","",DATE(YEAR($C995),MONTH($C995),1))</f>
        <v/>
      </c>
      <c r="M995" s="112">
        <f>IF($C995="","",IF(AND($D995&lt;&gt;"",$E995&lt;&gt;"",$G995&gt;0,$H995&lt;&gt;"",$I995&lt;&gt;""),IF($C995&gt;TODAY(),"İLERİ TARİH","UYGUN"),"EKSİK"))</f>
        <v/>
      </c>
      <c r="N995" s="6" t="n"/>
      <c r="O995" s="6" t="n"/>
    </row>
    <row r="996">
      <c r="A996" s="6" t="n"/>
      <c r="B996" s="112">
        <f>IF($C996="","","GG"&amp;TEXT(ROW()-6,"00000"))</f>
        <v/>
      </c>
      <c r="C996" s="114" t="n"/>
      <c r="D996" s="107" t="n"/>
      <c r="E996" s="108" t="n"/>
      <c r="F996" s="108" t="n"/>
      <c r="G996" s="115" t="n"/>
      <c r="H996" s="107" t="n"/>
      <c r="I996" s="107" t="n"/>
      <c r="J996" s="108" t="n"/>
      <c r="K996" s="108" t="n"/>
      <c r="L996" s="119">
        <f>IF($C996="","",DATE(YEAR($C996),MONTH($C996),1))</f>
        <v/>
      </c>
      <c r="M996" s="112">
        <f>IF($C996="","",IF(AND($D996&lt;&gt;"",$E996&lt;&gt;"",$G996&gt;0,$H996&lt;&gt;"",$I996&lt;&gt;""),IF($C996&gt;TODAY(),"İLERİ TARİH","UYGUN"),"EKSİK"))</f>
        <v/>
      </c>
      <c r="N996" s="6" t="n"/>
      <c r="O996" s="6" t="n"/>
    </row>
    <row r="997">
      <c r="A997" s="6" t="n"/>
      <c r="B997" s="112">
        <f>IF($C997="","","GG"&amp;TEXT(ROW()-6,"00000"))</f>
        <v/>
      </c>
      <c r="C997" s="114" t="n"/>
      <c r="D997" s="107" t="n"/>
      <c r="E997" s="108" t="n"/>
      <c r="F997" s="108" t="n"/>
      <c r="G997" s="115" t="n"/>
      <c r="H997" s="107" t="n"/>
      <c r="I997" s="107" t="n"/>
      <c r="J997" s="108" t="n"/>
      <c r="K997" s="108" t="n"/>
      <c r="L997" s="119">
        <f>IF($C997="","",DATE(YEAR($C997),MONTH($C997),1))</f>
        <v/>
      </c>
      <c r="M997" s="112">
        <f>IF($C997="","",IF(AND($D997&lt;&gt;"",$E997&lt;&gt;"",$G997&gt;0,$H997&lt;&gt;"",$I997&lt;&gt;""),IF($C997&gt;TODAY(),"İLERİ TARİH","UYGUN"),"EKSİK"))</f>
        <v/>
      </c>
      <c r="N997" s="6" t="n"/>
      <c r="O997" s="6" t="n"/>
    </row>
    <row r="998">
      <c r="A998" s="6" t="n"/>
      <c r="B998" s="112">
        <f>IF($C998="","","GG"&amp;TEXT(ROW()-6,"00000"))</f>
        <v/>
      </c>
      <c r="C998" s="114" t="n"/>
      <c r="D998" s="107" t="n"/>
      <c r="E998" s="108" t="n"/>
      <c r="F998" s="108" t="n"/>
      <c r="G998" s="115" t="n"/>
      <c r="H998" s="107" t="n"/>
      <c r="I998" s="107" t="n"/>
      <c r="J998" s="108" t="n"/>
      <c r="K998" s="108" t="n"/>
      <c r="L998" s="119">
        <f>IF($C998="","",DATE(YEAR($C998),MONTH($C998),1))</f>
        <v/>
      </c>
      <c r="M998" s="112">
        <f>IF($C998="","",IF(AND($D998&lt;&gt;"",$E998&lt;&gt;"",$G998&gt;0,$H998&lt;&gt;"",$I998&lt;&gt;""),IF($C998&gt;TODAY(),"İLERİ TARİH","UYGUN"),"EKSİK"))</f>
        <v/>
      </c>
      <c r="N998" s="6" t="n"/>
      <c r="O998" s="6" t="n"/>
    </row>
    <row r="999">
      <c r="A999" s="6" t="n"/>
      <c r="B999" s="112">
        <f>IF($C999="","","GG"&amp;TEXT(ROW()-6,"00000"))</f>
        <v/>
      </c>
      <c r="C999" s="114" t="n"/>
      <c r="D999" s="107" t="n"/>
      <c r="E999" s="108" t="n"/>
      <c r="F999" s="108" t="n"/>
      <c r="G999" s="115" t="n"/>
      <c r="H999" s="107" t="n"/>
      <c r="I999" s="107" t="n"/>
      <c r="J999" s="108" t="n"/>
      <c r="K999" s="108" t="n"/>
      <c r="L999" s="119">
        <f>IF($C999="","",DATE(YEAR($C999),MONTH($C999),1))</f>
        <v/>
      </c>
      <c r="M999" s="112">
        <f>IF($C999="","",IF(AND($D999&lt;&gt;"",$E999&lt;&gt;"",$G999&gt;0,$H999&lt;&gt;"",$I999&lt;&gt;""),IF($C999&gt;TODAY(),"İLERİ TARİH","UYGUN"),"EKSİK"))</f>
        <v/>
      </c>
      <c r="N999" s="6" t="n"/>
      <c r="O999" s="6" t="n"/>
    </row>
    <row r="1000">
      <c r="A1000" s="6" t="n"/>
      <c r="B1000" s="112">
        <f>IF($C1000="","","GG"&amp;TEXT(ROW()-6,"00000"))</f>
        <v/>
      </c>
      <c r="C1000" s="114" t="n"/>
      <c r="D1000" s="107" t="n"/>
      <c r="E1000" s="108" t="n"/>
      <c r="F1000" s="108" t="n"/>
      <c r="G1000" s="115" t="n"/>
      <c r="H1000" s="107" t="n"/>
      <c r="I1000" s="107" t="n"/>
      <c r="J1000" s="108" t="n"/>
      <c r="K1000" s="108" t="n"/>
      <c r="L1000" s="119">
        <f>IF($C1000="","",DATE(YEAR($C1000),MONTH($C1000),1))</f>
        <v/>
      </c>
      <c r="M1000" s="112">
        <f>IF($C1000="","",IF(AND($D1000&lt;&gt;"",$E1000&lt;&gt;"",$G1000&gt;0,$H1000&lt;&gt;"",$I1000&lt;&gt;""),IF($C1000&gt;TODAY(),"İLERİ TARİH","UYGUN"),"EKSİK"))</f>
        <v/>
      </c>
      <c r="N1000" s="6" t="n"/>
      <c r="O1000" s="6" t="n"/>
    </row>
    <row r="1001">
      <c r="A1001" s="6" t="n"/>
      <c r="B1001" s="112">
        <f>IF($C1001="","","GG"&amp;TEXT(ROW()-6,"00000"))</f>
        <v/>
      </c>
      <c r="C1001" s="114" t="n"/>
      <c r="D1001" s="107" t="n"/>
      <c r="E1001" s="108" t="n"/>
      <c r="F1001" s="108" t="n"/>
      <c r="G1001" s="115" t="n"/>
      <c r="H1001" s="107" t="n"/>
      <c r="I1001" s="107" t="n"/>
      <c r="J1001" s="108" t="n"/>
      <c r="K1001" s="108" t="n"/>
      <c r="L1001" s="119">
        <f>IF($C1001="","",DATE(YEAR($C1001),MONTH($C1001),1))</f>
        <v/>
      </c>
      <c r="M1001" s="112">
        <f>IF($C1001="","",IF(AND($D1001&lt;&gt;"",$E1001&lt;&gt;"",$G1001&gt;0,$H1001&lt;&gt;"",$I1001&lt;&gt;""),IF($C1001&gt;TODAY(),"İLERİ TARİH","UYGUN"),"EKSİK"))</f>
        <v/>
      </c>
      <c r="N1001" s="6" t="n"/>
      <c r="O1001" s="6" t="n"/>
    </row>
    <row r="1002">
      <c r="A1002" s="6" t="n"/>
      <c r="B1002" s="112">
        <f>IF($C1002="","","GG"&amp;TEXT(ROW()-6,"00000"))</f>
        <v/>
      </c>
      <c r="C1002" s="114" t="n"/>
      <c r="D1002" s="107" t="n"/>
      <c r="E1002" s="108" t="n"/>
      <c r="F1002" s="108" t="n"/>
      <c r="G1002" s="115" t="n"/>
      <c r="H1002" s="107" t="n"/>
      <c r="I1002" s="107" t="n"/>
      <c r="J1002" s="108" t="n"/>
      <c r="K1002" s="108" t="n"/>
      <c r="L1002" s="119">
        <f>IF($C1002="","",DATE(YEAR($C1002),MONTH($C1002),1))</f>
        <v/>
      </c>
      <c r="M1002" s="112">
        <f>IF($C1002="","",IF(AND($D1002&lt;&gt;"",$E1002&lt;&gt;"",$G1002&gt;0,$H1002&lt;&gt;"",$I1002&lt;&gt;""),IF($C1002&gt;TODAY(),"İLERİ TARİH","UYGUN"),"EKSİK"))</f>
        <v/>
      </c>
      <c r="N1002" s="6" t="n"/>
      <c r="O1002" s="6" t="n"/>
    </row>
    <row r="1003">
      <c r="A1003" s="6" t="n"/>
      <c r="B1003" s="112">
        <f>IF($C1003="","","GG"&amp;TEXT(ROW()-6,"00000"))</f>
        <v/>
      </c>
      <c r="C1003" s="114" t="n"/>
      <c r="D1003" s="107" t="n"/>
      <c r="E1003" s="108" t="n"/>
      <c r="F1003" s="108" t="n"/>
      <c r="G1003" s="115" t="n"/>
      <c r="H1003" s="107" t="n"/>
      <c r="I1003" s="107" t="n"/>
      <c r="J1003" s="108" t="n"/>
      <c r="K1003" s="108" t="n"/>
      <c r="L1003" s="119">
        <f>IF($C1003="","",DATE(YEAR($C1003),MONTH($C1003),1))</f>
        <v/>
      </c>
      <c r="M1003" s="112">
        <f>IF($C1003="","",IF(AND($D1003&lt;&gt;"",$E1003&lt;&gt;"",$G1003&gt;0,$H1003&lt;&gt;"",$I1003&lt;&gt;""),IF($C1003&gt;TODAY(),"İLERİ TARİH","UYGUN"),"EKSİK"))</f>
        <v/>
      </c>
      <c r="N1003" s="6" t="n"/>
      <c r="O1003" s="6" t="n"/>
    </row>
    <row r="1004">
      <c r="A1004" s="6" t="n"/>
      <c r="B1004" s="112">
        <f>IF($C1004="","","GG"&amp;TEXT(ROW()-6,"00000"))</f>
        <v/>
      </c>
      <c r="C1004" s="114" t="n"/>
      <c r="D1004" s="107" t="n"/>
      <c r="E1004" s="108" t="n"/>
      <c r="F1004" s="108" t="n"/>
      <c r="G1004" s="115" t="n"/>
      <c r="H1004" s="107" t="n"/>
      <c r="I1004" s="107" t="n"/>
      <c r="J1004" s="108" t="n"/>
      <c r="K1004" s="108" t="n"/>
      <c r="L1004" s="119">
        <f>IF($C1004="","",DATE(YEAR($C1004),MONTH($C1004),1))</f>
        <v/>
      </c>
      <c r="M1004" s="112">
        <f>IF($C1004="","",IF(AND($D1004&lt;&gt;"",$E1004&lt;&gt;"",$G1004&gt;0,$H1004&lt;&gt;"",$I1004&lt;&gt;""),IF($C1004&gt;TODAY(),"İLERİ TARİH","UYGUN"),"EKSİK"))</f>
        <v/>
      </c>
      <c r="N1004" s="6" t="n"/>
      <c r="O1004" s="6" t="n"/>
    </row>
    <row r="1005">
      <c r="A1005" s="6" t="n"/>
      <c r="B1005" s="112">
        <f>IF($C1005="","","GG"&amp;TEXT(ROW()-6,"00000"))</f>
        <v/>
      </c>
      <c r="C1005" s="114" t="n"/>
      <c r="D1005" s="107" t="n"/>
      <c r="E1005" s="108" t="n"/>
      <c r="F1005" s="108" t="n"/>
      <c r="G1005" s="115" t="n"/>
      <c r="H1005" s="107" t="n"/>
      <c r="I1005" s="107" t="n"/>
      <c r="J1005" s="108" t="n"/>
      <c r="K1005" s="108" t="n"/>
      <c r="L1005" s="119">
        <f>IF($C1005="","",DATE(YEAR($C1005),MONTH($C1005),1))</f>
        <v/>
      </c>
      <c r="M1005" s="112">
        <f>IF($C1005="","",IF(AND($D1005&lt;&gt;"",$E1005&lt;&gt;"",$G1005&gt;0,$H1005&lt;&gt;"",$I1005&lt;&gt;""),IF($C1005&gt;TODAY(),"İLERİ TARİH","UYGUN"),"EKSİK"))</f>
        <v/>
      </c>
      <c r="N1005" s="6" t="n"/>
      <c r="O1005" s="6" t="n"/>
    </row>
    <row r="1006">
      <c r="A1006" s="6" t="n"/>
      <c r="B1006" s="112">
        <f>IF($C1006="","","GG"&amp;TEXT(ROW()-6,"00000"))</f>
        <v/>
      </c>
      <c r="C1006" s="114" t="n"/>
      <c r="D1006" s="107" t="n"/>
      <c r="E1006" s="108" t="n"/>
      <c r="F1006" s="108" t="n"/>
      <c r="G1006" s="115" t="n"/>
      <c r="H1006" s="107" t="n"/>
      <c r="I1006" s="107" t="n"/>
      <c r="J1006" s="108" t="n"/>
      <c r="K1006" s="108" t="n"/>
      <c r="L1006" s="119">
        <f>IF($C1006="","",DATE(YEAR($C1006),MONTH($C1006),1))</f>
        <v/>
      </c>
      <c r="M1006" s="112">
        <f>IF($C1006="","",IF(AND($D1006&lt;&gt;"",$E1006&lt;&gt;"",$G1006&gt;0,$H1006&lt;&gt;"",$I1006&lt;&gt;""),IF($C1006&gt;TODAY(),"İLERİ TARİH","UYGUN"),"EKSİK"))</f>
        <v/>
      </c>
      <c r="N1006" s="6" t="n"/>
      <c r="O1006" s="6" t="n"/>
    </row>
    <row r="1007">
      <c r="A1007" s="6" t="n"/>
      <c r="B1007" s="112">
        <f>IF($C1007="","","GG"&amp;TEXT(ROW()-6,"00000"))</f>
        <v/>
      </c>
      <c r="C1007" s="114" t="n"/>
      <c r="D1007" s="107" t="n"/>
      <c r="E1007" s="108" t="n"/>
      <c r="F1007" s="108" t="n"/>
      <c r="G1007" s="115" t="n"/>
      <c r="H1007" s="107" t="n"/>
      <c r="I1007" s="107" t="n"/>
      <c r="J1007" s="108" t="n"/>
      <c r="K1007" s="108" t="n"/>
      <c r="L1007" s="119">
        <f>IF($C1007="","",DATE(YEAR($C1007),MONTH($C1007),1))</f>
        <v/>
      </c>
      <c r="M1007" s="112">
        <f>IF($C1007="","",IF(AND($D1007&lt;&gt;"",$E1007&lt;&gt;"",$G1007&gt;0,$H1007&lt;&gt;"",$I1007&lt;&gt;""),IF($C1007&gt;TODAY(),"İLERİ TARİH","UYGUN"),"EKSİK"))</f>
        <v/>
      </c>
      <c r="N1007" s="6" t="n"/>
      <c r="O1007" s="6" t="n"/>
    </row>
    <row r="1008">
      <c r="A1008" s="6" t="n"/>
      <c r="B1008" s="112">
        <f>IF($C1008="","","GG"&amp;TEXT(ROW()-6,"00000"))</f>
        <v/>
      </c>
      <c r="C1008" s="114" t="n"/>
      <c r="D1008" s="107" t="n"/>
      <c r="E1008" s="108" t="n"/>
      <c r="F1008" s="108" t="n"/>
      <c r="G1008" s="115" t="n"/>
      <c r="H1008" s="107" t="n"/>
      <c r="I1008" s="107" t="n"/>
      <c r="J1008" s="108" t="n"/>
      <c r="K1008" s="108" t="n"/>
      <c r="L1008" s="119">
        <f>IF($C1008="","",DATE(YEAR($C1008),MONTH($C1008),1))</f>
        <v/>
      </c>
      <c r="M1008" s="112">
        <f>IF($C1008="","",IF(AND($D1008&lt;&gt;"",$E1008&lt;&gt;"",$G1008&gt;0,$H1008&lt;&gt;"",$I1008&lt;&gt;""),IF($C1008&gt;TODAY(),"İLERİ TARİH","UYGUN"),"EKSİK"))</f>
        <v/>
      </c>
      <c r="N1008" s="6" t="n"/>
      <c r="O1008" s="6" t="n"/>
    </row>
    <row r="1009">
      <c r="A1009" s="6" t="n"/>
      <c r="B1009" s="112">
        <f>IF($C1009="","","GG"&amp;TEXT(ROW()-6,"00000"))</f>
        <v/>
      </c>
      <c r="C1009" s="114" t="n"/>
      <c r="D1009" s="107" t="n"/>
      <c r="E1009" s="108" t="n"/>
      <c r="F1009" s="108" t="n"/>
      <c r="G1009" s="115" t="n"/>
      <c r="H1009" s="107" t="n"/>
      <c r="I1009" s="107" t="n"/>
      <c r="J1009" s="108" t="n"/>
      <c r="K1009" s="108" t="n"/>
      <c r="L1009" s="119">
        <f>IF($C1009="","",DATE(YEAR($C1009),MONTH($C1009),1))</f>
        <v/>
      </c>
      <c r="M1009" s="112">
        <f>IF($C1009="","",IF(AND($D1009&lt;&gt;"",$E1009&lt;&gt;"",$G1009&gt;0,$H1009&lt;&gt;"",$I1009&lt;&gt;""),IF($C1009&gt;TODAY(),"İLERİ TARİH","UYGUN"),"EKSİK"))</f>
        <v/>
      </c>
      <c r="N1009" s="6" t="n"/>
      <c r="O1009" s="6" t="n"/>
    </row>
    <row r="1010">
      <c r="A1010" s="6" t="n"/>
      <c r="B1010" s="112">
        <f>IF($C1010="","","GG"&amp;TEXT(ROW()-6,"00000"))</f>
        <v/>
      </c>
      <c r="C1010" s="114" t="n"/>
      <c r="D1010" s="107" t="n"/>
      <c r="E1010" s="108" t="n"/>
      <c r="F1010" s="108" t="n"/>
      <c r="G1010" s="115" t="n"/>
      <c r="H1010" s="107" t="n"/>
      <c r="I1010" s="107" t="n"/>
      <c r="J1010" s="108" t="n"/>
      <c r="K1010" s="108" t="n"/>
      <c r="L1010" s="119">
        <f>IF($C1010="","",DATE(YEAR($C1010),MONTH($C1010),1))</f>
        <v/>
      </c>
      <c r="M1010" s="112">
        <f>IF($C1010="","",IF(AND($D1010&lt;&gt;"",$E1010&lt;&gt;"",$G1010&gt;0,$H1010&lt;&gt;"",$I1010&lt;&gt;""),IF($C1010&gt;TODAY(),"İLERİ TARİH","UYGUN"),"EKSİK"))</f>
        <v/>
      </c>
      <c r="N1010" s="6" t="n"/>
      <c r="O1010" s="6" t="n"/>
    </row>
    <row r="1011">
      <c r="A1011" s="6" t="n"/>
      <c r="B1011" s="112">
        <f>IF($C1011="","","GG"&amp;TEXT(ROW()-6,"00000"))</f>
        <v/>
      </c>
      <c r="C1011" s="114" t="n"/>
      <c r="D1011" s="107" t="n"/>
      <c r="E1011" s="108" t="n"/>
      <c r="F1011" s="108" t="n"/>
      <c r="G1011" s="115" t="n"/>
      <c r="H1011" s="107" t="n"/>
      <c r="I1011" s="107" t="n"/>
      <c r="J1011" s="108" t="n"/>
      <c r="K1011" s="108" t="n"/>
      <c r="L1011" s="119">
        <f>IF($C1011="","",DATE(YEAR($C1011),MONTH($C1011),1))</f>
        <v/>
      </c>
      <c r="M1011" s="112">
        <f>IF($C1011="","",IF(AND($D1011&lt;&gt;"",$E1011&lt;&gt;"",$G1011&gt;0,$H1011&lt;&gt;"",$I1011&lt;&gt;""),IF($C1011&gt;TODAY(),"İLERİ TARİH","UYGUN"),"EKSİK"))</f>
        <v/>
      </c>
      <c r="N1011" s="6" t="n"/>
      <c r="O1011" s="6" t="n"/>
    </row>
    <row r="1012">
      <c r="A1012" s="6" t="n"/>
      <c r="B1012" s="112">
        <f>IF($C1012="","","GG"&amp;TEXT(ROW()-6,"00000"))</f>
        <v/>
      </c>
      <c r="C1012" s="114" t="n"/>
      <c r="D1012" s="107" t="n"/>
      <c r="E1012" s="108" t="n"/>
      <c r="F1012" s="108" t="n"/>
      <c r="G1012" s="115" t="n"/>
      <c r="H1012" s="107" t="n"/>
      <c r="I1012" s="107" t="n"/>
      <c r="J1012" s="108" t="n"/>
      <c r="K1012" s="108" t="n"/>
      <c r="L1012" s="119">
        <f>IF($C1012="","",DATE(YEAR($C1012),MONTH($C1012),1))</f>
        <v/>
      </c>
      <c r="M1012" s="112">
        <f>IF($C1012="","",IF(AND($D1012&lt;&gt;"",$E1012&lt;&gt;"",$G1012&gt;0,$H1012&lt;&gt;"",$I1012&lt;&gt;""),IF($C1012&gt;TODAY(),"İLERİ TARİH","UYGUN"),"EKSİK"))</f>
        <v/>
      </c>
      <c r="N1012" s="6" t="n"/>
      <c r="O1012" s="6" t="n"/>
    </row>
    <row r="1013">
      <c r="A1013" s="6" t="n"/>
      <c r="B1013" s="112">
        <f>IF($C1013="","","GG"&amp;TEXT(ROW()-6,"00000"))</f>
        <v/>
      </c>
      <c r="C1013" s="114" t="n"/>
      <c r="D1013" s="107" t="n"/>
      <c r="E1013" s="108" t="n"/>
      <c r="F1013" s="108" t="n"/>
      <c r="G1013" s="115" t="n"/>
      <c r="H1013" s="107" t="n"/>
      <c r="I1013" s="107" t="n"/>
      <c r="J1013" s="108" t="n"/>
      <c r="K1013" s="108" t="n"/>
      <c r="L1013" s="119">
        <f>IF($C1013="","",DATE(YEAR($C1013),MONTH($C1013),1))</f>
        <v/>
      </c>
      <c r="M1013" s="112">
        <f>IF($C1013="","",IF(AND($D1013&lt;&gt;"",$E1013&lt;&gt;"",$G1013&gt;0,$H1013&lt;&gt;"",$I1013&lt;&gt;""),IF($C1013&gt;TODAY(),"İLERİ TARİH","UYGUN"),"EKSİK"))</f>
        <v/>
      </c>
      <c r="N1013" s="6" t="n"/>
      <c r="O1013" s="6" t="n"/>
    </row>
    <row r="1014">
      <c r="A1014" s="6" t="n"/>
      <c r="B1014" s="112">
        <f>IF($C1014="","","GG"&amp;TEXT(ROW()-6,"00000"))</f>
        <v/>
      </c>
      <c r="C1014" s="114" t="n"/>
      <c r="D1014" s="107" t="n"/>
      <c r="E1014" s="108" t="n"/>
      <c r="F1014" s="108" t="n"/>
      <c r="G1014" s="115" t="n"/>
      <c r="H1014" s="107" t="n"/>
      <c r="I1014" s="107" t="n"/>
      <c r="J1014" s="108" t="n"/>
      <c r="K1014" s="108" t="n"/>
      <c r="L1014" s="119">
        <f>IF($C1014="","",DATE(YEAR($C1014),MONTH($C1014),1))</f>
        <v/>
      </c>
      <c r="M1014" s="112">
        <f>IF($C1014="","",IF(AND($D1014&lt;&gt;"",$E1014&lt;&gt;"",$G1014&gt;0,$H1014&lt;&gt;"",$I1014&lt;&gt;""),IF($C1014&gt;TODAY(),"İLERİ TARİH","UYGUN"),"EKSİK"))</f>
        <v/>
      </c>
      <c r="N1014" s="6" t="n"/>
      <c r="O1014" s="6" t="n"/>
    </row>
    <row r="1015">
      <c r="A1015" s="6" t="n"/>
      <c r="B1015" s="112">
        <f>IF($C1015="","","GG"&amp;TEXT(ROW()-6,"00000"))</f>
        <v/>
      </c>
      <c r="C1015" s="114" t="n"/>
      <c r="D1015" s="107" t="n"/>
      <c r="E1015" s="108" t="n"/>
      <c r="F1015" s="108" t="n"/>
      <c r="G1015" s="115" t="n"/>
      <c r="H1015" s="107" t="n"/>
      <c r="I1015" s="107" t="n"/>
      <c r="J1015" s="108" t="n"/>
      <c r="K1015" s="108" t="n"/>
      <c r="L1015" s="119">
        <f>IF($C1015="","",DATE(YEAR($C1015),MONTH($C1015),1))</f>
        <v/>
      </c>
      <c r="M1015" s="112">
        <f>IF($C1015="","",IF(AND($D1015&lt;&gt;"",$E1015&lt;&gt;"",$G1015&gt;0,$H1015&lt;&gt;"",$I1015&lt;&gt;""),IF($C1015&gt;TODAY(),"İLERİ TARİH","UYGUN"),"EKSİK"))</f>
        <v/>
      </c>
      <c r="N1015" s="6" t="n"/>
      <c r="O1015" s="6" t="n"/>
    </row>
    <row r="1016">
      <c r="A1016" s="6" t="n"/>
      <c r="B1016" s="112">
        <f>IF($C1016="","","GG"&amp;TEXT(ROW()-6,"00000"))</f>
        <v/>
      </c>
      <c r="C1016" s="114" t="n"/>
      <c r="D1016" s="107" t="n"/>
      <c r="E1016" s="108" t="n"/>
      <c r="F1016" s="108" t="n"/>
      <c r="G1016" s="115" t="n"/>
      <c r="H1016" s="107" t="n"/>
      <c r="I1016" s="107" t="n"/>
      <c r="J1016" s="108" t="n"/>
      <c r="K1016" s="108" t="n"/>
      <c r="L1016" s="119">
        <f>IF($C1016="","",DATE(YEAR($C1016),MONTH($C1016),1))</f>
        <v/>
      </c>
      <c r="M1016" s="112">
        <f>IF($C1016="","",IF(AND($D1016&lt;&gt;"",$E1016&lt;&gt;"",$G1016&gt;0,$H1016&lt;&gt;"",$I1016&lt;&gt;""),IF($C1016&gt;TODAY(),"İLERİ TARİH","UYGUN"),"EKSİK"))</f>
        <v/>
      </c>
      <c r="N1016" s="6" t="n"/>
      <c r="O1016" s="6" t="n"/>
    </row>
    <row r="1017">
      <c r="A1017" s="6" t="n"/>
      <c r="B1017" s="112">
        <f>IF($C1017="","","GG"&amp;TEXT(ROW()-6,"00000"))</f>
        <v/>
      </c>
      <c r="C1017" s="114" t="n"/>
      <c r="D1017" s="107" t="n"/>
      <c r="E1017" s="108" t="n"/>
      <c r="F1017" s="108" t="n"/>
      <c r="G1017" s="115" t="n"/>
      <c r="H1017" s="107" t="n"/>
      <c r="I1017" s="107" t="n"/>
      <c r="J1017" s="108" t="n"/>
      <c r="K1017" s="108" t="n"/>
      <c r="L1017" s="119">
        <f>IF($C1017="","",DATE(YEAR($C1017),MONTH($C1017),1))</f>
        <v/>
      </c>
      <c r="M1017" s="112">
        <f>IF($C1017="","",IF(AND($D1017&lt;&gt;"",$E1017&lt;&gt;"",$G1017&gt;0,$H1017&lt;&gt;"",$I1017&lt;&gt;""),IF($C1017&gt;TODAY(),"İLERİ TARİH","UYGUN"),"EKSİK"))</f>
        <v/>
      </c>
      <c r="N1017" s="6" t="n"/>
      <c r="O1017" s="6" t="n"/>
    </row>
    <row r="1018">
      <c r="A1018" s="6" t="n"/>
      <c r="B1018" s="112">
        <f>IF($C1018="","","GG"&amp;TEXT(ROW()-6,"00000"))</f>
        <v/>
      </c>
      <c r="C1018" s="114" t="n"/>
      <c r="D1018" s="107" t="n"/>
      <c r="E1018" s="108" t="n"/>
      <c r="F1018" s="108" t="n"/>
      <c r="G1018" s="115" t="n"/>
      <c r="H1018" s="107" t="n"/>
      <c r="I1018" s="107" t="n"/>
      <c r="J1018" s="108" t="n"/>
      <c r="K1018" s="108" t="n"/>
      <c r="L1018" s="119">
        <f>IF($C1018="","",DATE(YEAR($C1018),MONTH($C1018),1))</f>
        <v/>
      </c>
      <c r="M1018" s="112">
        <f>IF($C1018="","",IF(AND($D1018&lt;&gt;"",$E1018&lt;&gt;"",$G1018&gt;0,$H1018&lt;&gt;"",$I1018&lt;&gt;""),IF($C1018&gt;TODAY(),"İLERİ TARİH","UYGUN"),"EKSİK"))</f>
        <v/>
      </c>
      <c r="N1018" s="6" t="n"/>
      <c r="O1018" s="6" t="n"/>
    </row>
    <row r="1019">
      <c r="A1019" s="6" t="n"/>
      <c r="B1019" s="112">
        <f>IF($C1019="","","GG"&amp;TEXT(ROW()-6,"00000"))</f>
        <v/>
      </c>
      <c r="C1019" s="114" t="n"/>
      <c r="D1019" s="107" t="n"/>
      <c r="E1019" s="108" t="n"/>
      <c r="F1019" s="108" t="n"/>
      <c r="G1019" s="115" t="n"/>
      <c r="H1019" s="107" t="n"/>
      <c r="I1019" s="107" t="n"/>
      <c r="J1019" s="108" t="n"/>
      <c r="K1019" s="108" t="n"/>
      <c r="L1019" s="119">
        <f>IF($C1019="","",DATE(YEAR($C1019),MONTH($C1019),1))</f>
        <v/>
      </c>
      <c r="M1019" s="112">
        <f>IF($C1019="","",IF(AND($D1019&lt;&gt;"",$E1019&lt;&gt;"",$G1019&gt;0,$H1019&lt;&gt;"",$I1019&lt;&gt;""),IF($C1019&gt;TODAY(),"İLERİ TARİH","UYGUN"),"EKSİK"))</f>
        <v/>
      </c>
      <c r="N1019" s="6" t="n"/>
      <c r="O1019" s="6" t="n"/>
    </row>
    <row r="1020">
      <c r="A1020" s="6" t="n"/>
      <c r="B1020" s="112">
        <f>IF($C1020="","","GG"&amp;TEXT(ROW()-6,"00000"))</f>
        <v/>
      </c>
      <c r="C1020" s="114" t="n"/>
      <c r="D1020" s="107" t="n"/>
      <c r="E1020" s="108" t="n"/>
      <c r="F1020" s="108" t="n"/>
      <c r="G1020" s="115" t="n"/>
      <c r="H1020" s="107" t="n"/>
      <c r="I1020" s="107" t="n"/>
      <c r="J1020" s="108" t="n"/>
      <c r="K1020" s="108" t="n"/>
      <c r="L1020" s="119">
        <f>IF($C1020="","",DATE(YEAR($C1020),MONTH($C1020),1))</f>
        <v/>
      </c>
      <c r="M1020" s="112">
        <f>IF($C1020="","",IF(AND($D1020&lt;&gt;"",$E1020&lt;&gt;"",$G1020&gt;0,$H1020&lt;&gt;"",$I1020&lt;&gt;""),IF($C1020&gt;TODAY(),"İLERİ TARİH","UYGUN"),"EKSİK"))</f>
        <v/>
      </c>
      <c r="N1020" s="6" t="n"/>
      <c r="O1020" s="6" t="n"/>
    </row>
    <row r="1021">
      <c r="A1021" s="6" t="n"/>
      <c r="B1021" s="112">
        <f>IF($C1021="","","GG"&amp;TEXT(ROW()-6,"00000"))</f>
        <v/>
      </c>
      <c r="C1021" s="114" t="n"/>
      <c r="D1021" s="107" t="n"/>
      <c r="E1021" s="108" t="n"/>
      <c r="F1021" s="108" t="n"/>
      <c r="G1021" s="115" t="n"/>
      <c r="H1021" s="107" t="n"/>
      <c r="I1021" s="107" t="n"/>
      <c r="J1021" s="108" t="n"/>
      <c r="K1021" s="108" t="n"/>
      <c r="L1021" s="119">
        <f>IF($C1021="","",DATE(YEAR($C1021),MONTH($C1021),1))</f>
        <v/>
      </c>
      <c r="M1021" s="112">
        <f>IF($C1021="","",IF(AND($D1021&lt;&gt;"",$E1021&lt;&gt;"",$G1021&gt;0,$H1021&lt;&gt;"",$I1021&lt;&gt;""),IF($C1021&gt;TODAY(),"İLERİ TARİH","UYGUN"),"EKSİK"))</f>
        <v/>
      </c>
      <c r="N1021" s="6" t="n"/>
      <c r="O1021" s="6" t="n"/>
    </row>
    <row r="1022">
      <c r="A1022" s="6" t="n"/>
      <c r="B1022" s="112">
        <f>IF($C1022="","","GG"&amp;TEXT(ROW()-6,"00000"))</f>
        <v/>
      </c>
      <c r="C1022" s="114" t="n"/>
      <c r="D1022" s="107" t="n"/>
      <c r="E1022" s="108" t="n"/>
      <c r="F1022" s="108" t="n"/>
      <c r="G1022" s="115" t="n"/>
      <c r="H1022" s="107" t="n"/>
      <c r="I1022" s="107" t="n"/>
      <c r="J1022" s="108" t="n"/>
      <c r="K1022" s="108" t="n"/>
      <c r="L1022" s="119">
        <f>IF($C1022="","",DATE(YEAR($C1022),MONTH($C1022),1))</f>
        <v/>
      </c>
      <c r="M1022" s="112">
        <f>IF($C1022="","",IF(AND($D1022&lt;&gt;"",$E1022&lt;&gt;"",$G1022&gt;0,$H1022&lt;&gt;"",$I1022&lt;&gt;""),IF($C1022&gt;TODAY(),"İLERİ TARİH","UYGUN"),"EKSİK"))</f>
        <v/>
      </c>
      <c r="N1022" s="6" t="n"/>
      <c r="O1022" s="6" t="n"/>
    </row>
    <row r="1023">
      <c r="A1023" s="6" t="n"/>
      <c r="B1023" s="112">
        <f>IF($C1023="","","GG"&amp;TEXT(ROW()-6,"00000"))</f>
        <v/>
      </c>
      <c r="C1023" s="114" t="n"/>
      <c r="D1023" s="107" t="n"/>
      <c r="E1023" s="108" t="n"/>
      <c r="F1023" s="108" t="n"/>
      <c r="G1023" s="115" t="n"/>
      <c r="H1023" s="107" t="n"/>
      <c r="I1023" s="107" t="n"/>
      <c r="J1023" s="108" t="n"/>
      <c r="K1023" s="108" t="n"/>
      <c r="L1023" s="119">
        <f>IF($C1023="","",DATE(YEAR($C1023),MONTH($C1023),1))</f>
        <v/>
      </c>
      <c r="M1023" s="112">
        <f>IF($C1023="","",IF(AND($D1023&lt;&gt;"",$E1023&lt;&gt;"",$G1023&gt;0,$H1023&lt;&gt;"",$I1023&lt;&gt;""),IF($C1023&gt;TODAY(),"İLERİ TARİH","UYGUN"),"EKSİK"))</f>
        <v/>
      </c>
      <c r="N1023" s="6" t="n"/>
      <c r="O1023" s="6" t="n"/>
    </row>
    <row r="1024">
      <c r="A1024" s="6" t="n"/>
      <c r="B1024" s="112">
        <f>IF($C1024="","","GG"&amp;TEXT(ROW()-6,"00000"))</f>
        <v/>
      </c>
      <c r="C1024" s="114" t="n"/>
      <c r="D1024" s="107" t="n"/>
      <c r="E1024" s="108" t="n"/>
      <c r="F1024" s="108" t="n"/>
      <c r="G1024" s="115" t="n"/>
      <c r="H1024" s="107" t="n"/>
      <c r="I1024" s="107" t="n"/>
      <c r="J1024" s="108" t="n"/>
      <c r="K1024" s="108" t="n"/>
      <c r="L1024" s="119">
        <f>IF($C1024="","",DATE(YEAR($C1024),MONTH($C1024),1))</f>
        <v/>
      </c>
      <c r="M1024" s="112">
        <f>IF($C1024="","",IF(AND($D1024&lt;&gt;"",$E1024&lt;&gt;"",$G1024&gt;0,$H1024&lt;&gt;"",$I1024&lt;&gt;""),IF($C1024&gt;TODAY(),"İLERİ TARİH","UYGUN"),"EKSİK"))</f>
        <v/>
      </c>
      <c r="N1024" s="6" t="n"/>
      <c r="O1024" s="6" t="n"/>
    </row>
    <row r="1025">
      <c r="A1025" s="6" t="n"/>
      <c r="B1025" s="112">
        <f>IF($C1025="","","GG"&amp;TEXT(ROW()-6,"00000"))</f>
        <v/>
      </c>
      <c r="C1025" s="114" t="n"/>
      <c r="D1025" s="107" t="n"/>
      <c r="E1025" s="108" t="n"/>
      <c r="F1025" s="108" t="n"/>
      <c r="G1025" s="115" t="n"/>
      <c r="H1025" s="107" t="n"/>
      <c r="I1025" s="107" t="n"/>
      <c r="J1025" s="108" t="n"/>
      <c r="K1025" s="108" t="n"/>
      <c r="L1025" s="119">
        <f>IF($C1025="","",DATE(YEAR($C1025),MONTH($C1025),1))</f>
        <v/>
      </c>
      <c r="M1025" s="112">
        <f>IF($C1025="","",IF(AND($D1025&lt;&gt;"",$E1025&lt;&gt;"",$G1025&gt;0,$H1025&lt;&gt;"",$I1025&lt;&gt;""),IF($C1025&gt;TODAY(),"İLERİ TARİH","UYGUN"),"EKSİK"))</f>
        <v/>
      </c>
      <c r="N1025" s="6" t="n"/>
      <c r="O1025" s="6" t="n"/>
    </row>
    <row r="1026">
      <c r="A1026" s="6" t="n"/>
      <c r="B1026" s="112">
        <f>IF($C1026="","","GG"&amp;TEXT(ROW()-6,"00000"))</f>
        <v/>
      </c>
      <c r="C1026" s="114" t="n"/>
      <c r="D1026" s="107" t="n"/>
      <c r="E1026" s="108" t="n"/>
      <c r="F1026" s="108" t="n"/>
      <c r="G1026" s="115" t="n"/>
      <c r="H1026" s="107" t="n"/>
      <c r="I1026" s="107" t="n"/>
      <c r="J1026" s="108" t="n"/>
      <c r="K1026" s="108" t="n"/>
      <c r="L1026" s="119">
        <f>IF($C1026="","",DATE(YEAR($C1026),MONTH($C1026),1))</f>
        <v/>
      </c>
      <c r="M1026" s="112">
        <f>IF($C1026="","",IF(AND($D1026&lt;&gt;"",$E1026&lt;&gt;"",$G1026&gt;0,$H1026&lt;&gt;"",$I1026&lt;&gt;""),IF($C1026&gt;TODAY(),"İLERİ TARİH","UYGUN"),"EKSİK"))</f>
        <v/>
      </c>
      <c r="N1026" s="6" t="n"/>
      <c r="O1026" s="6" t="n"/>
    </row>
    <row r="1027">
      <c r="A1027" s="6" t="n"/>
      <c r="B1027" s="112">
        <f>IF($C1027="","","GG"&amp;TEXT(ROW()-6,"00000"))</f>
        <v/>
      </c>
      <c r="C1027" s="114" t="n"/>
      <c r="D1027" s="107" t="n"/>
      <c r="E1027" s="108" t="n"/>
      <c r="F1027" s="108" t="n"/>
      <c r="G1027" s="115" t="n"/>
      <c r="H1027" s="107" t="n"/>
      <c r="I1027" s="107" t="n"/>
      <c r="J1027" s="108" t="n"/>
      <c r="K1027" s="108" t="n"/>
      <c r="L1027" s="119">
        <f>IF($C1027="","",DATE(YEAR($C1027),MONTH($C1027),1))</f>
        <v/>
      </c>
      <c r="M1027" s="112">
        <f>IF($C1027="","",IF(AND($D1027&lt;&gt;"",$E1027&lt;&gt;"",$G1027&gt;0,$H1027&lt;&gt;"",$I1027&lt;&gt;""),IF($C1027&gt;TODAY(),"İLERİ TARİH","UYGUN"),"EKSİK"))</f>
        <v/>
      </c>
      <c r="N1027" s="6" t="n"/>
      <c r="O1027" s="6" t="n"/>
    </row>
    <row r="1028">
      <c r="A1028" s="6" t="n"/>
      <c r="B1028" s="112">
        <f>IF($C1028="","","GG"&amp;TEXT(ROW()-6,"00000"))</f>
        <v/>
      </c>
      <c r="C1028" s="114" t="n"/>
      <c r="D1028" s="107" t="n"/>
      <c r="E1028" s="108" t="n"/>
      <c r="F1028" s="108" t="n"/>
      <c r="G1028" s="115" t="n"/>
      <c r="H1028" s="107" t="n"/>
      <c r="I1028" s="107" t="n"/>
      <c r="J1028" s="108" t="n"/>
      <c r="K1028" s="108" t="n"/>
      <c r="L1028" s="119">
        <f>IF($C1028="","",DATE(YEAR($C1028),MONTH($C1028),1))</f>
        <v/>
      </c>
      <c r="M1028" s="112">
        <f>IF($C1028="","",IF(AND($D1028&lt;&gt;"",$E1028&lt;&gt;"",$G1028&gt;0,$H1028&lt;&gt;"",$I1028&lt;&gt;""),IF($C1028&gt;TODAY(),"İLERİ TARİH","UYGUN"),"EKSİK"))</f>
        <v/>
      </c>
      <c r="N1028" s="6" t="n"/>
      <c r="O1028" s="6" t="n"/>
    </row>
    <row r="1029">
      <c r="A1029" s="6" t="n"/>
      <c r="B1029" s="112">
        <f>IF($C1029="","","GG"&amp;TEXT(ROW()-6,"00000"))</f>
        <v/>
      </c>
      <c r="C1029" s="114" t="n"/>
      <c r="D1029" s="107" t="n"/>
      <c r="E1029" s="108" t="n"/>
      <c r="F1029" s="108" t="n"/>
      <c r="G1029" s="115" t="n"/>
      <c r="H1029" s="107" t="n"/>
      <c r="I1029" s="107" t="n"/>
      <c r="J1029" s="108" t="n"/>
      <c r="K1029" s="108" t="n"/>
      <c r="L1029" s="119">
        <f>IF($C1029="","",DATE(YEAR($C1029),MONTH($C1029),1))</f>
        <v/>
      </c>
      <c r="M1029" s="112">
        <f>IF($C1029="","",IF(AND($D1029&lt;&gt;"",$E1029&lt;&gt;"",$G1029&gt;0,$H1029&lt;&gt;"",$I1029&lt;&gt;""),IF($C1029&gt;TODAY(),"İLERİ TARİH","UYGUN"),"EKSİK"))</f>
        <v/>
      </c>
      <c r="N1029" s="6" t="n"/>
      <c r="O1029" s="6" t="n"/>
    </row>
    <row r="1030">
      <c r="A1030" s="6" t="n"/>
      <c r="B1030" s="112">
        <f>IF($C1030="","","GG"&amp;TEXT(ROW()-6,"00000"))</f>
        <v/>
      </c>
      <c r="C1030" s="114" t="n"/>
      <c r="D1030" s="107" t="n"/>
      <c r="E1030" s="108" t="n"/>
      <c r="F1030" s="108" t="n"/>
      <c r="G1030" s="115" t="n"/>
      <c r="H1030" s="107" t="n"/>
      <c r="I1030" s="107" t="n"/>
      <c r="J1030" s="108" t="n"/>
      <c r="K1030" s="108" t="n"/>
      <c r="L1030" s="119">
        <f>IF($C1030="","",DATE(YEAR($C1030),MONTH($C1030),1))</f>
        <v/>
      </c>
      <c r="M1030" s="112">
        <f>IF($C1030="","",IF(AND($D1030&lt;&gt;"",$E1030&lt;&gt;"",$G1030&gt;0,$H1030&lt;&gt;"",$I1030&lt;&gt;""),IF($C1030&gt;TODAY(),"İLERİ TARİH","UYGUN"),"EKSİK"))</f>
        <v/>
      </c>
      <c r="N1030" s="6" t="n"/>
      <c r="O1030" s="6" t="n"/>
    </row>
    <row r="1031">
      <c r="A1031" s="6" t="n"/>
      <c r="B1031" s="112">
        <f>IF($C1031="","","GG"&amp;TEXT(ROW()-6,"00000"))</f>
        <v/>
      </c>
      <c r="C1031" s="114" t="n"/>
      <c r="D1031" s="107" t="n"/>
      <c r="E1031" s="108" t="n"/>
      <c r="F1031" s="108" t="n"/>
      <c r="G1031" s="115" t="n"/>
      <c r="H1031" s="107" t="n"/>
      <c r="I1031" s="107" t="n"/>
      <c r="J1031" s="108" t="n"/>
      <c r="K1031" s="108" t="n"/>
      <c r="L1031" s="119">
        <f>IF($C1031="","",DATE(YEAR($C1031),MONTH($C1031),1))</f>
        <v/>
      </c>
      <c r="M1031" s="112">
        <f>IF($C1031="","",IF(AND($D1031&lt;&gt;"",$E1031&lt;&gt;"",$G1031&gt;0,$H1031&lt;&gt;"",$I1031&lt;&gt;""),IF($C1031&gt;TODAY(),"İLERİ TARİH","UYGUN"),"EKSİK"))</f>
        <v/>
      </c>
      <c r="N1031" s="6" t="n"/>
      <c r="O1031" s="6" t="n"/>
    </row>
    <row r="1032">
      <c r="A1032" s="6" t="n"/>
      <c r="B1032" s="112">
        <f>IF($C1032="","","GG"&amp;TEXT(ROW()-6,"00000"))</f>
        <v/>
      </c>
      <c r="C1032" s="114" t="n"/>
      <c r="D1032" s="107" t="n"/>
      <c r="E1032" s="108" t="n"/>
      <c r="F1032" s="108" t="n"/>
      <c r="G1032" s="115" t="n"/>
      <c r="H1032" s="107" t="n"/>
      <c r="I1032" s="107" t="n"/>
      <c r="J1032" s="108" t="n"/>
      <c r="K1032" s="108" t="n"/>
      <c r="L1032" s="119">
        <f>IF($C1032="","",DATE(YEAR($C1032),MONTH($C1032),1))</f>
        <v/>
      </c>
      <c r="M1032" s="112">
        <f>IF($C1032="","",IF(AND($D1032&lt;&gt;"",$E1032&lt;&gt;"",$G1032&gt;0,$H1032&lt;&gt;"",$I1032&lt;&gt;""),IF($C1032&gt;TODAY(),"İLERİ TARİH","UYGUN"),"EKSİK"))</f>
        <v/>
      </c>
      <c r="N1032" s="6" t="n"/>
      <c r="O1032" s="6" t="n"/>
    </row>
    <row r="1033">
      <c r="A1033" s="6" t="n"/>
      <c r="B1033" s="112">
        <f>IF($C1033="","","GG"&amp;TEXT(ROW()-6,"00000"))</f>
        <v/>
      </c>
      <c r="C1033" s="114" t="n"/>
      <c r="D1033" s="107" t="n"/>
      <c r="E1033" s="108" t="n"/>
      <c r="F1033" s="108" t="n"/>
      <c r="G1033" s="115" t="n"/>
      <c r="H1033" s="107" t="n"/>
      <c r="I1033" s="107" t="n"/>
      <c r="J1033" s="108" t="n"/>
      <c r="K1033" s="108" t="n"/>
      <c r="L1033" s="119">
        <f>IF($C1033="","",DATE(YEAR($C1033),MONTH($C1033),1))</f>
        <v/>
      </c>
      <c r="M1033" s="112">
        <f>IF($C1033="","",IF(AND($D1033&lt;&gt;"",$E1033&lt;&gt;"",$G1033&gt;0,$H1033&lt;&gt;"",$I1033&lt;&gt;""),IF($C1033&gt;TODAY(),"İLERİ TARİH","UYGUN"),"EKSİK"))</f>
        <v/>
      </c>
      <c r="N1033" s="6" t="n"/>
      <c r="O1033" s="6" t="n"/>
    </row>
    <row r="1034">
      <c r="A1034" s="6" t="n"/>
      <c r="B1034" s="112">
        <f>IF($C1034="","","GG"&amp;TEXT(ROW()-6,"00000"))</f>
        <v/>
      </c>
      <c r="C1034" s="114" t="n"/>
      <c r="D1034" s="107" t="n"/>
      <c r="E1034" s="108" t="n"/>
      <c r="F1034" s="108" t="n"/>
      <c r="G1034" s="115" t="n"/>
      <c r="H1034" s="107" t="n"/>
      <c r="I1034" s="107" t="n"/>
      <c r="J1034" s="108" t="n"/>
      <c r="K1034" s="108" t="n"/>
      <c r="L1034" s="119">
        <f>IF($C1034="","",DATE(YEAR($C1034),MONTH($C1034),1))</f>
        <v/>
      </c>
      <c r="M1034" s="112">
        <f>IF($C1034="","",IF(AND($D1034&lt;&gt;"",$E1034&lt;&gt;"",$G1034&gt;0,$H1034&lt;&gt;"",$I1034&lt;&gt;""),IF($C1034&gt;TODAY(),"İLERİ TARİH","UYGUN"),"EKSİK"))</f>
        <v/>
      </c>
      <c r="N1034" s="6" t="n"/>
      <c r="O1034" s="6" t="n"/>
    </row>
    <row r="1035">
      <c r="A1035" s="6" t="n"/>
      <c r="B1035" s="112">
        <f>IF($C1035="","","GG"&amp;TEXT(ROW()-6,"00000"))</f>
        <v/>
      </c>
      <c r="C1035" s="114" t="n"/>
      <c r="D1035" s="107" t="n"/>
      <c r="E1035" s="108" t="n"/>
      <c r="F1035" s="108" t="n"/>
      <c r="G1035" s="115" t="n"/>
      <c r="H1035" s="107" t="n"/>
      <c r="I1035" s="107" t="n"/>
      <c r="J1035" s="108" t="n"/>
      <c r="K1035" s="108" t="n"/>
      <c r="L1035" s="119">
        <f>IF($C1035="","",DATE(YEAR($C1035),MONTH($C1035),1))</f>
        <v/>
      </c>
      <c r="M1035" s="112">
        <f>IF($C1035="","",IF(AND($D1035&lt;&gt;"",$E1035&lt;&gt;"",$G1035&gt;0,$H1035&lt;&gt;"",$I1035&lt;&gt;""),IF($C1035&gt;TODAY(),"İLERİ TARİH","UYGUN"),"EKSİK"))</f>
        <v/>
      </c>
      <c r="N1035" s="6" t="n"/>
      <c r="O1035" s="6" t="n"/>
    </row>
    <row r="1036">
      <c r="A1036" s="6" t="n"/>
      <c r="B1036" s="112">
        <f>IF($C1036="","","GG"&amp;TEXT(ROW()-6,"00000"))</f>
        <v/>
      </c>
      <c r="C1036" s="114" t="n"/>
      <c r="D1036" s="107" t="n"/>
      <c r="E1036" s="108" t="n"/>
      <c r="F1036" s="108" t="n"/>
      <c r="G1036" s="115" t="n"/>
      <c r="H1036" s="107" t="n"/>
      <c r="I1036" s="107" t="n"/>
      <c r="J1036" s="108" t="n"/>
      <c r="K1036" s="108" t="n"/>
      <c r="L1036" s="119">
        <f>IF($C1036="","",DATE(YEAR($C1036),MONTH($C1036),1))</f>
        <v/>
      </c>
      <c r="M1036" s="112">
        <f>IF($C1036="","",IF(AND($D1036&lt;&gt;"",$E1036&lt;&gt;"",$G1036&gt;0,$H1036&lt;&gt;"",$I1036&lt;&gt;""),IF($C1036&gt;TODAY(),"İLERİ TARİH","UYGUN"),"EKSİK"))</f>
        <v/>
      </c>
      <c r="N1036" s="6" t="n"/>
      <c r="O1036" s="6" t="n"/>
    </row>
    <row r="1037">
      <c r="A1037" s="6" t="n"/>
      <c r="B1037" s="112">
        <f>IF($C1037="","","GG"&amp;TEXT(ROW()-6,"00000"))</f>
        <v/>
      </c>
      <c r="C1037" s="114" t="n"/>
      <c r="D1037" s="107" t="n"/>
      <c r="E1037" s="108" t="n"/>
      <c r="F1037" s="108" t="n"/>
      <c r="G1037" s="115" t="n"/>
      <c r="H1037" s="107" t="n"/>
      <c r="I1037" s="107" t="n"/>
      <c r="J1037" s="108" t="n"/>
      <c r="K1037" s="108" t="n"/>
      <c r="L1037" s="119">
        <f>IF($C1037="","",DATE(YEAR($C1037),MONTH($C1037),1))</f>
        <v/>
      </c>
      <c r="M1037" s="112">
        <f>IF($C1037="","",IF(AND($D1037&lt;&gt;"",$E1037&lt;&gt;"",$G1037&gt;0,$H1037&lt;&gt;"",$I1037&lt;&gt;""),IF($C1037&gt;TODAY(),"İLERİ TARİH","UYGUN"),"EKSİK"))</f>
        <v/>
      </c>
      <c r="N1037" s="6" t="n"/>
      <c r="O1037" s="6" t="n"/>
    </row>
    <row r="1038">
      <c r="A1038" s="6" t="n"/>
      <c r="B1038" s="112">
        <f>IF($C1038="","","GG"&amp;TEXT(ROW()-6,"00000"))</f>
        <v/>
      </c>
      <c r="C1038" s="114" t="n"/>
      <c r="D1038" s="107" t="n"/>
      <c r="E1038" s="108" t="n"/>
      <c r="F1038" s="108" t="n"/>
      <c r="G1038" s="115" t="n"/>
      <c r="H1038" s="107" t="n"/>
      <c r="I1038" s="107" t="n"/>
      <c r="J1038" s="108" t="n"/>
      <c r="K1038" s="108" t="n"/>
      <c r="L1038" s="119">
        <f>IF($C1038="","",DATE(YEAR($C1038),MONTH($C1038),1))</f>
        <v/>
      </c>
      <c r="M1038" s="112">
        <f>IF($C1038="","",IF(AND($D1038&lt;&gt;"",$E1038&lt;&gt;"",$G1038&gt;0,$H1038&lt;&gt;"",$I1038&lt;&gt;""),IF($C1038&gt;TODAY(),"İLERİ TARİH","UYGUN"),"EKSİK"))</f>
        <v/>
      </c>
      <c r="N1038" s="6" t="n"/>
      <c r="O1038" s="6" t="n"/>
    </row>
    <row r="1039">
      <c r="A1039" s="6" t="n"/>
      <c r="B1039" s="112">
        <f>IF($C1039="","","GG"&amp;TEXT(ROW()-6,"00000"))</f>
        <v/>
      </c>
      <c r="C1039" s="114" t="n"/>
      <c r="D1039" s="107" t="n"/>
      <c r="E1039" s="108" t="n"/>
      <c r="F1039" s="108" t="n"/>
      <c r="G1039" s="115" t="n"/>
      <c r="H1039" s="107" t="n"/>
      <c r="I1039" s="107" t="n"/>
      <c r="J1039" s="108" t="n"/>
      <c r="K1039" s="108" t="n"/>
      <c r="L1039" s="119">
        <f>IF($C1039="","",DATE(YEAR($C1039),MONTH($C1039),1))</f>
        <v/>
      </c>
      <c r="M1039" s="112">
        <f>IF($C1039="","",IF(AND($D1039&lt;&gt;"",$E1039&lt;&gt;"",$G1039&gt;0,$H1039&lt;&gt;"",$I1039&lt;&gt;""),IF($C1039&gt;TODAY(),"İLERİ TARİH","UYGUN"),"EKSİK"))</f>
        <v/>
      </c>
      <c r="N1039" s="6" t="n"/>
      <c r="O1039" s="6" t="n"/>
    </row>
    <row r="1040">
      <c r="A1040" s="6" t="n"/>
      <c r="B1040" s="112">
        <f>IF($C1040="","","GG"&amp;TEXT(ROW()-6,"00000"))</f>
        <v/>
      </c>
      <c r="C1040" s="114" t="n"/>
      <c r="D1040" s="107" t="n"/>
      <c r="E1040" s="108" t="n"/>
      <c r="F1040" s="108" t="n"/>
      <c r="G1040" s="115" t="n"/>
      <c r="H1040" s="107" t="n"/>
      <c r="I1040" s="107" t="n"/>
      <c r="J1040" s="108" t="n"/>
      <c r="K1040" s="108" t="n"/>
      <c r="L1040" s="119">
        <f>IF($C1040="","",DATE(YEAR($C1040),MONTH($C1040),1))</f>
        <v/>
      </c>
      <c r="M1040" s="112">
        <f>IF($C1040="","",IF(AND($D1040&lt;&gt;"",$E1040&lt;&gt;"",$G1040&gt;0,$H1040&lt;&gt;"",$I1040&lt;&gt;""),IF($C1040&gt;TODAY(),"İLERİ TARİH","UYGUN"),"EKSİK"))</f>
        <v/>
      </c>
      <c r="N1040" s="6" t="n"/>
      <c r="O1040" s="6" t="n"/>
    </row>
    <row r="1041">
      <c r="A1041" s="6" t="n"/>
      <c r="B1041" s="112">
        <f>IF($C1041="","","GG"&amp;TEXT(ROW()-6,"00000"))</f>
        <v/>
      </c>
      <c r="C1041" s="114" t="n"/>
      <c r="D1041" s="107" t="n"/>
      <c r="E1041" s="108" t="n"/>
      <c r="F1041" s="108" t="n"/>
      <c r="G1041" s="115" t="n"/>
      <c r="H1041" s="107" t="n"/>
      <c r="I1041" s="107" t="n"/>
      <c r="J1041" s="108" t="n"/>
      <c r="K1041" s="108" t="n"/>
      <c r="L1041" s="119">
        <f>IF($C1041="","",DATE(YEAR($C1041),MONTH($C1041),1))</f>
        <v/>
      </c>
      <c r="M1041" s="112">
        <f>IF($C1041="","",IF(AND($D1041&lt;&gt;"",$E1041&lt;&gt;"",$G1041&gt;0,$H1041&lt;&gt;"",$I1041&lt;&gt;""),IF($C1041&gt;TODAY(),"İLERİ TARİH","UYGUN"),"EKSİK"))</f>
        <v/>
      </c>
      <c r="N1041" s="6" t="n"/>
      <c r="O1041" s="6" t="n"/>
    </row>
    <row r="1042">
      <c r="A1042" s="6" t="n"/>
      <c r="B1042" s="112">
        <f>IF($C1042="","","GG"&amp;TEXT(ROW()-6,"00000"))</f>
        <v/>
      </c>
      <c r="C1042" s="114" t="n"/>
      <c r="D1042" s="107" t="n"/>
      <c r="E1042" s="108" t="n"/>
      <c r="F1042" s="108" t="n"/>
      <c r="G1042" s="115" t="n"/>
      <c r="H1042" s="107" t="n"/>
      <c r="I1042" s="107" t="n"/>
      <c r="J1042" s="108" t="n"/>
      <c r="K1042" s="108" t="n"/>
      <c r="L1042" s="119">
        <f>IF($C1042="","",DATE(YEAR($C1042),MONTH($C1042),1))</f>
        <v/>
      </c>
      <c r="M1042" s="112">
        <f>IF($C1042="","",IF(AND($D1042&lt;&gt;"",$E1042&lt;&gt;"",$G1042&gt;0,$H1042&lt;&gt;"",$I1042&lt;&gt;""),IF($C1042&gt;TODAY(),"İLERİ TARİH","UYGUN"),"EKSİK"))</f>
        <v/>
      </c>
      <c r="N1042" s="6" t="n"/>
      <c r="O1042" s="6" t="n"/>
    </row>
    <row r="1043">
      <c r="A1043" s="6" t="n"/>
      <c r="B1043" s="112">
        <f>IF($C1043="","","GG"&amp;TEXT(ROW()-6,"00000"))</f>
        <v/>
      </c>
      <c r="C1043" s="114" t="n"/>
      <c r="D1043" s="107" t="n"/>
      <c r="E1043" s="108" t="n"/>
      <c r="F1043" s="108" t="n"/>
      <c r="G1043" s="115" t="n"/>
      <c r="H1043" s="107" t="n"/>
      <c r="I1043" s="107" t="n"/>
      <c r="J1043" s="108" t="n"/>
      <c r="K1043" s="108" t="n"/>
      <c r="L1043" s="119">
        <f>IF($C1043="","",DATE(YEAR($C1043),MONTH($C1043),1))</f>
        <v/>
      </c>
      <c r="M1043" s="112">
        <f>IF($C1043="","",IF(AND($D1043&lt;&gt;"",$E1043&lt;&gt;"",$G1043&gt;0,$H1043&lt;&gt;"",$I1043&lt;&gt;""),IF($C1043&gt;TODAY(),"İLERİ TARİH","UYGUN"),"EKSİK"))</f>
        <v/>
      </c>
      <c r="N1043" s="6" t="n"/>
      <c r="O1043" s="6" t="n"/>
    </row>
    <row r="1044">
      <c r="A1044" s="6" t="n"/>
      <c r="B1044" s="112">
        <f>IF($C1044="","","GG"&amp;TEXT(ROW()-6,"00000"))</f>
        <v/>
      </c>
      <c r="C1044" s="114" t="n"/>
      <c r="D1044" s="107" t="n"/>
      <c r="E1044" s="108" t="n"/>
      <c r="F1044" s="108" t="n"/>
      <c r="G1044" s="115" t="n"/>
      <c r="H1044" s="107" t="n"/>
      <c r="I1044" s="107" t="n"/>
      <c r="J1044" s="108" t="n"/>
      <c r="K1044" s="108" t="n"/>
      <c r="L1044" s="119">
        <f>IF($C1044="","",DATE(YEAR($C1044),MONTH($C1044),1))</f>
        <v/>
      </c>
      <c r="M1044" s="112">
        <f>IF($C1044="","",IF(AND($D1044&lt;&gt;"",$E1044&lt;&gt;"",$G1044&gt;0,$H1044&lt;&gt;"",$I1044&lt;&gt;""),IF($C1044&gt;TODAY(),"İLERİ TARİH","UYGUN"),"EKSİK"))</f>
        <v/>
      </c>
      <c r="N1044" s="6" t="n"/>
      <c r="O1044" s="6" t="n"/>
    </row>
    <row r="1045">
      <c r="A1045" s="6" t="n"/>
      <c r="B1045" s="112">
        <f>IF($C1045="","","GG"&amp;TEXT(ROW()-6,"00000"))</f>
        <v/>
      </c>
      <c r="C1045" s="114" t="n"/>
      <c r="D1045" s="107" t="n"/>
      <c r="E1045" s="108" t="n"/>
      <c r="F1045" s="108" t="n"/>
      <c r="G1045" s="115" t="n"/>
      <c r="H1045" s="107" t="n"/>
      <c r="I1045" s="107" t="n"/>
      <c r="J1045" s="108" t="n"/>
      <c r="K1045" s="108" t="n"/>
      <c r="L1045" s="119">
        <f>IF($C1045="","",DATE(YEAR($C1045),MONTH($C1045),1))</f>
        <v/>
      </c>
      <c r="M1045" s="112">
        <f>IF($C1045="","",IF(AND($D1045&lt;&gt;"",$E1045&lt;&gt;"",$G1045&gt;0,$H1045&lt;&gt;"",$I1045&lt;&gt;""),IF($C1045&gt;TODAY(),"İLERİ TARİH","UYGUN"),"EKSİK"))</f>
        <v/>
      </c>
      <c r="N1045" s="6" t="n"/>
      <c r="O1045" s="6" t="n"/>
    </row>
    <row r="1046">
      <c r="A1046" s="6" t="n"/>
      <c r="B1046" s="112">
        <f>IF($C1046="","","GG"&amp;TEXT(ROW()-6,"00000"))</f>
        <v/>
      </c>
      <c r="C1046" s="114" t="n"/>
      <c r="D1046" s="107" t="n"/>
      <c r="E1046" s="108" t="n"/>
      <c r="F1046" s="108" t="n"/>
      <c r="G1046" s="115" t="n"/>
      <c r="H1046" s="107" t="n"/>
      <c r="I1046" s="107" t="n"/>
      <c r="J1046" s="108" t="n"/>
      <c r="K1046" s="108" t="n"/>
      <c r="L1046" s="119">
        <f>IF($C1046="","",DATE(YEAR($C1046),MONTH($C1046),1))</f>
        <v/>
      </c>
      <c r="M1046" s="112">
        <f>IF($C1046="","",IF(AND($D1046&lt;&gt;"",$E1046&lt;&gt;"",$G1046&gt;0,$H1046&lt;&gt;"",$I1046&lt;&gt;""),IF($C1046&gt;TODAY(),"İLERİ TARİH","UYGUN"),"EKSİK"))</f>
        <v/>
      </c>
      <c r="N1046" s="6" t="n"/>
      <c r="O1046" s="6" t="n"/>
    </row>
    <row r="1047">
      <c r="A1047" s="6" t="n"/>
      <c r="B1047" s="112">
        <f>IF($C1047="","","GG"&amp;TEXT(ROW()-6,"00000"))</f>
        <v/>
      </c>
      <c r="C1047" s="114" t="n"/>
      <c r="D1047" s="107" t="n"/>
      <c r="E1047" s="108" t="n"/>
      <c r="F1047" s="108" t="n"/>
      <c r="G1047" s="115" t="n"/>
      <c r="H1047" s="107" t="n"/>
      <c r="I1047" s="107" t="n"/>
      <c r="J1047" s="108" t="n"/>
      <c r="K1047" s="108" t="n"/>
      <c r="L1047" s="119">
        <f>IF($C1047="","",DATE(YEAR($C1047),MONTH($C1047),1))</f>
        <v/>
      </c>
      <c r="M1047" s="112">
        <f>IF($C1047="","",IF(AND($D1047&lt;&gt;"",$E1047&lt;&gt;"",$G1047&gt;0,$H1047&lt;&gt;"",$I1047&lt;&gt;""),IF($C1047&gt;TODAY(),"İLERİ TARİH","UYGUN"),"EKSİK"))</f>
        <v/>
      </c>
      <c r="N1047" s="6" t="n"/>
      <c r="O1047" s="6" t="n"/>
    </row>
    <row r="1048">
      <c r="A1048" s="6" t="n"/>
      <c r="B1048" s="112">
        <f>IF($C1048="","","GG"&amp;TEXT(ROW()-6,"00000"))</f>
        <v/>
      </c>
      <c r="C1048" s="114" t="n"/>
      <c r="D1048" s="107" t="n"/>
      <c r="E1048" s="108" t="n"/>
      <c r="F1048" s="108" t="n"/>
      <c r="G1048" s="115" t="n"/>
      <c r="H1048" s="107" t="n"/>
      <c r="I1048" s="107" t="n"/>
      <c r="J1048" s="108" t="n"/>
      <c r="K1048" s="108" t="n"/>
      <c r="L1048" s="119">
        <f>IF($C1048="","",DATE(YEAR($C1048),MONTH($C1048),1))</f>
        <v/>
      </c>
      <c r="M1048" s="112">
        <f>IF($C1048="","",IF(AND($D1048&lt;&gt;"",$E1048&lt;&gt;"",$G1048&gt;0,$H1048&lt;&gt;"",$I1048&lt;&gt;""),IF($C1048&gt;TODAY(),"İLERİ TARİH","UYGUN"),"EKSİK"))</f>
        <v/>
      </c>
      <c r="N1048" s="6" t="n"/>
      <c r="O1048" s="6" t="n"/>
    </row>
    <row r="1049">
      <c r="A1049" s="6" t="n"/>
      <c r="B1049" s="112">
        <f>IF($C1049="","","GG"&amp;TEXT(ROW()-6,"00000"))</f>
        <v/>
      </c>
      <c r="C1049" s="114" t="n"/>
      <c r="D1049" s="107" t="n"/>
      <c r="E1049" s="108" t="n"/>
      <c r="F1049" s="108" t="n"/>
      <c r="G1049" s="115" t="n"/>
      <c r="H1049" s="107" t="n"/>
      <c r="I1049" s="107" t="n"/>
      <c r="J1049" s="108" t="n"/>
      <c r="K1049" s="108" t="n"/>
      <c r="L1049" s="119">
        <f>IF($C1049="","",DATE(YEAR($C1049),MONTH($C1049),1))</f>
        <v/>
      </c>
      <c r="M1049" s="112">
        <f>IF($C1049="","",IF(AND($D1049&lt;&gt;"",$E1049&lt;&gt;"",$G1049&gt;0,$H1049&lt;&gt;"",$I1049&lt;&gt;""),IF($C1049&gt;TODAY(),"İLERİ TARİH","UYGUN"),"EKSİK"))</f>
        <v/>
      </c>
      <c r="N1049" s="6" t="n"/>
      <c r="O1049" s="6" t="n"/>
    </row>
    <row r="1050">
      <c r="A1050" s="6" t="n"/>
      <c r="B1050" s="112">
        <f>IF($C1050="","","GG"&amp;TEXT(ROW()-6,"00000"))</f>
        <v/>
      </c>
      <c r="C1050" s="114" t="n"/>
      <c r="D1050" s="107" t="n"/>
      <c r="E1050" s="108" t="n"/>
      <c r="F1050" s="108" t="n"/>
      <c r="G1050" s="115" t="n"/>
      <c r="H1050" s="107" t="n"/>
      <c r="I1050" s="107" t="n"/>
      <c r="J1050" s="108" t="n"/>
      <c r="K1050" s="108" t="n"/>
      <c r="L1050" s="119">
        <f>IF($C1050="","",DATE(YEAR($C1050),MONTH($C1050),1))</f>
        <v/>
      </c>
      <c r="M1050" s="112">
        <f>IF($C1050="","",IF(AND($D1050&lt;&gt;"",$E1050&lt;&gt;"",$G1050&gt;0,$H1050&lt;&gt;"",$I1050&lt;&gt;""),IF($C1050&gt;TODAY(),"İLERİ TARİH","UYGUN"),"EKSİK"))</f>
        <v/>
      </c>
      <c r="N1050" s="6" t="n"/>
      <c r="O1050" s="6" t="n"/>
    </row>
    <row r="1051">
      <c r="A1051" s="6" t="n"/>
      <c r="B1051" s="112">
        <f>IF($C1051="","","GG"&amp;TEXT(ROW()-6,"00000"))</f>
        <v/>
      </c>
      <c r="C1051" s="114" t="n"/>
      <c r="D1051" s="107" t="n"/>
      <c r="E1051" s="108" t="n"/>
      <c r="F1051" s="108" t="n"/>
      <c r="G1051" s="115" t="n"/>
      <c r="H1051" s="107" t="n"/>
      <c r="I1051" s="107" t="n"/>
      <c r="J1051" s="108" t="n"/>
      <c r="K1051" s="108" t="n"/>
      <c r="L1051" s="119">
        <f>IF($C1051="","",DATE(YEAR($C1051),MONTH($C1051),1))</f>
        <v/>
      </c>
      <c r="M1051" s="112">
        <f>IF($C1051="","",IF(AND($D1051&lt;&gt;"",$E1051&lt;&gt;"",$G1051&gt;0,$H1051&lt;&gt;"",$I1051&lt;&gt;""),IF($C1051&gt;TODAY(),"İLERİ TARİH","UYGUN"),"EKSİK"))</f>
        <v/>
      </c>
      <c r="N1051" s="6" t="n"/>
      <c r="O1051" s="6" t="n"/>
    </row>
    <row r="1052">
      <c r="A1052" s="6" t="n"/>
      <c r="B1052" s="112">
        <f>IF($C1052="","","GG"&amp;TEXT(ROW()-6,"00000"))</f>
        <v/>
      </c>
      <c r="C1052" s="114" t="n"/>
      <c r="D1052" s="107" t="n"/>
      <c r="E1052" s="108" t="n"/>
      <c r="F1052" s="108" t="n"/>
      <c r="G1052" s="115" t="n"/>
      <c r="H1052" s="107" t="n"/>
      <c r="I1052" s="107" t="n"/>
      <c r="J1052" s="108" t="n"/>
      <c r="K1052" s="108" t="n"/>
      <c r="L1052" s="119">
        <f>IF($C1052="","",DATE(YEAR($C1052),MONTH($C1052),1))</f>
        <v/>
      </c>
      <c r="M1052" s="112">
        <f>IF($C1052="","",IF(AND($D1052&lt;&gt;"",$E1052&lt;&gt;"",$G1052&gt;0,$H1052&lt;&gt;"",$I1052&lt;&gt;""),IF($C1052&gt;TODAY(),"İLERİ TARİH","UYGUN"),"EKSİK"))</f>
        <v/>
      </c>
      <c r="N1052" s="6" t="n"/>
      <c r="O1052" s="6" t="n"/>
    </row>
    <row r="1053">
      <c r="A1053" s="6" t="n"/>
      <c r="B1053" s="112">
        <f>IF($C1053="","","GG"&amp;TEXT(ROW()-6,"00000"))</f>
        <v/>
      </c>
      <c r="C1053" s="114" t="n"/>
      <c r="D1053" s="107" t="n"/>
      <c r="E1053" s="108" t="n"/>
      <c r="F1053" s="108" t="n"/>
      <c r="G1053" s="115" t="n"/>
      <c r="H1053" s="107" t="n"/>
      <c r="I1053" s="107" t="n"/>
      <c r="J1053" s="108" t="n"/>
      <c r="K1053" s="108" t="n"/>
      <c r="L1053" s="119">
        <f>IF($C1053="","",DATE(YEAR($C1053),MONTH($C1053),1))</f>
        <v/>
      </c>
      <c r="M1053" s="112">
        <f>IF($C1053="","",IF(AND($D1053&lt;&gt;"",$E1053&lt;&gt;"",$G1053&gt;0,$H1053&lt;&gt;"",$I1053&lt;&gt;""),IF($C1053&gt;TODAY(),"İLERİ TARİH","UYGUN"),"EKSİK"))</f>
        <v/>
      </c>
      <c r="N1053" s="6" t="n"/>
      <c r="O1053" s="6" t="n"/>
    </row>
    <row r="1054">
      <c r="A1054" s="6" t="n"/>
      <c r="B1054" s="112">
        <f>IF($C1054="","","GG"&amp;TEXT(ROW()-6,"00000"))</f>
        <v/>
      </c>
      <c r="C1054" s="114" t="n"/>
      <c r="D1054" s="107" t="n"/>
      <c r="E1054" s="108" t="n"/>
      <c r="F1054" s="108" t="n"/>
      <c r="G1054" s="115" t="n"/>
      <c r="H1054" s="107" t="n"/>
      <c r="I1054" s="107" t="n"/>
      <c r="J1054" s="108" t="n"/>
      <c r="K1054" s="108" t="n"/>
      <c r="L1054" s="119">
        <f>IF($C1054="","",DATE(YEAR($C1054),MONTH($C1054),1))</f>
        <v/>
      </c>
      <c r="M1054" s="112">
        <f>IF($C1054="","",IF(AND($D1054&lt;&gt;"",$E1054&lt;&gt;"",$G1054&gt;0,$H1054&lt;&gt;"",$I1054&lt;&gt;""),IF($C1054&gt;TODAY(),"İLERİ TARİH","UYGUN"),"EKSİK"))</f>
        <v/>
      </c>
      <c r="N1054" s="6" t="n"/>
      <c r="O1054" s="6" t="n"/>
    </row>
    <row r="1055">
      <c r="A1055" s="6" t="n"/>
      <c r="B1055" s="112">
        <f>IF($C1055="","","GG"&amp;TEXT(ROW()-6,"00000"))</f>
        <v/>
      </c>
      <c r="C1055" s="114" t="n"/>
      <c r="D1055" s="107" t="n"/>
      <c r="E1055" s="108" t="n"/>
      <c r="F1055" s="108" t="n"/>
      <c r="G1055" s="115" t="n"/>
      <c r="H1055" s="107" t="n"/>
      <c r="I1055" s="107" t="n"/>
      <c r="J1055" s="108" t="n"/>
      <c r="K1055" s="108" t="n"/>
      <c r="L1055" s="119">
        <f>IF($C1055="","",DATE(YEAR($C1055),MONTH($C1055),1))</f>
        <v/>
      </c>
      <c r="M1055" s="112">
        <f>IF($C1055="","",IF(AND($D1055&lt;&gt;"",$E1055&lt;&gt;"",$G1055&gt;0,$H1055&lt;&gt;"",$I1055&lt;&gt;""),IF($C1055&gt;TODAY(),"İLERİ TARİH","UYGUN"),"EKSİK"))</f>
        <v/>
      </c>
      <c r="N1055" s="6" t="n"/>
      <c r="O1055" s="6" t="n"/>
    </row>
    <row r="1056">
      <c r="A1056" s="6" t="n"/>
      <c r="B1056" s="112">
        <f>IF($C1056="","","GG"&amp;TEXT(ROW()-6,"00000"))</f>
        <v/>
      </c>
      <c r="C1056" s="114" t="n"/>
      <c r="D1056" s="107" t="n"/>
      <c r="E1056" s="108" t="n"/>
      <c r="F1056" s="108" t="n"/>
      <c r="G1056" s="115" t="n"/>
      <c r="H1056" s="107" t="n"/>
      <c r="I1056" s="107" t="n"/>
      <c r="J1056" s="108" t="n"/>
      <c r="K1056" s="108" t="n"/>
      <c r="L1056" s="119">
        <f>IF($C1056="","",DATE(YEAR($C1056),MONTH($C1056),1))</f>
        <v/>
      </c>
      <c r="M1056" s="112">
        <f>IF($C1056="","",IF(AND($D1056&lt;&gt;"",$E1056&lt;&gt;"",$G1056&gt;0,$H1056&lt;&gt;"",$I1056&lt;&gt;""),IF($C1056&gt;TODAY(),"İLERİ TARİH","UYGUN"),"EKSİK"))</f>
        <v/>
      </c>
      <c r="N1056" s="6" t="n"/>
      <c r="O1056" s="6" t="n"/>
    </row>
    <row r="1057">
      <c r="A1057" s="6" t="n"/>
      <c r="B1057" s="112">
        <f>IF($C1057="","","GG"&amp;TEXT(ROW()-6,"00000"))</f>
        <v/>
      </c>
      <c r="C1057" s="114" t="n"/>
      <c r="D1057" s="107" t="n"/>
      <c r="E1057" s="108" t="n"/>
      <c r="F1057" s="108" t="n"/>
      <c r="G1057" s="115" t="n"/>
      <c r="H1057" s="107" t="n"/>
      <c r="I1057" s="107" t="n"/>
      <c r="J1057" s="108" t="n"/>
      <c r="K1057" s="108" t="n"/>
      <c r="L1057" s="119">
        <f>IF($C1057="","",DATE(YEAR($C1057),MONTH($C1057),1))</f>
        <v/>
      </c>
      <c r="M1057" s="112">
        <f>IF($C1057="","",IF(AND($D1057&lt;&gt;"",$E1057&lt;&gt;"",$G1057&gt;0,$H1057&lt;&gt;"",$I1057&lt;&gt;""),IF($C1057&gt;TODAY(),"İLERİ TARİH","UYGUN"),"EKSİK"))</f>
        <v/>
      </c>
      <c r="N1057" s="6" t="n"/>
      <c r="O1057" s="6" t="n"/>
    </row>
    <row r="1058">
      <c r="A1058" s="6" t="n"/>
      <c r="B1058" s="112">
        <f>IF($C1058="","","GG"&amp;TEXT(ROW()-6,"00000"))</f>
        <v/>
      </c>
      <c r="C1058" s="114" t="n"/>
      <c r="D1058" s="107" t="n"/>
      <c r="E1058" s="108" t="n"/>
      <c r="F1058" s="108" t="n"/>
      <c r="G1058" s="115" t="n"/>
      <c r="H1058" s="107" t="n"/>
      <c r="I1058" s="107" t="n"/>
      <c r="J1058" s="108" t="n"/>
      <c r="K1058" s="108" t="n"/>
      <c r="L1058" s="119">
        <f>IF($C1058="","",DATE(YEAR($C1058),MONTH($C1058),1))</f>
        <v/>
      </c>
      <c r="M1058" s="112">
        <f>IF($C1058="","",IF(AND($D1058&lt;&gt;"",$E1058&lt;&gt;"",$G1058&gt;0,$H1058&lt;&gt;"",$I1058&lt;&gt;""),IF($C1058&gt;TODAY(),"İLERİ TARİH","UYGUN"),"EKSİK"))</f>
        <v/>
      </c>
      <c r="N1058" s="6" t="n"/>
      <c r="O1058" s="6" t="n"/>
    </row>
    <row r="1059">
      <c r="A1059" s="6" t="n"/>
      <c r="B1059" s="112">
        <f>IF($C1059="","","GG"&amp;TEXT(ROW()-6,"00000"))</f>
        <v/>
      </c>
      <c r="C1059" s="114" t="n"/>
      <c r="D1059" s="107" t="n"/>
      <c r="E1059" s="108" t="n"/>
      <c r="F1059" s="108" t="n"/>
      <c r="G1059" s="115" t="n"/>
      <c r="H1059" s="107" t="n"/>
      <c r="I1059" s="107" t="n"/>
      <c r="J1059" s="108" t="n"/>
      <c r="K1059" s="108" t="n"/>
      <c r="L1059" s="119">
        <f>IF($C1059="","",DATE(YEAR($C1059),MONTH($C1059),1))</f>
        <v/>
      </c>
      <c r="M1059" s="112">
        <f>IF($C1059="","",IF(AND($D1059&lt;&gt;"",$E1059&lt;&gt;"",$G1059&gt;0,$H1059&lt;&gt;"",$I1059&lt;&gt;""),IF($C1059&gt;TODAY(),"İLERİ TARİH","UYGUN"),"EKSİK"))</f>
        <v/>
      </c>
      <c r="N1059" s="6" t="n"/>
      <c r="O1059" s="6" t="n"/>
    </row>
    <row r="1060">
      <c r="A1060" s="6" t="n"/>
      <c r="B1060" s="112">
        <f>IF($C1060="","","GG"&amp;TEXT(ROW()-6,"00000"))</f>
        <v/>
      </c>
      <c r="C1060" s="114" t="n"/>
      <c r="D1060" s="107" t="n"/>
      <c r="E1060" s="108" t="n"/>
      <c r="F1060" s="108" t="n"/>
      <c r="G1060" s="115" t="n"/>
      <c r="H1060" s="107" t="n"/>
      <c r="I1060" s="107" t="n"/>
      <c r="J1060" s="108" t="n"/>
      <c r="K1060" s="108" t="n"/>
      <c r="L1060" s="119">
        <f>IF($C1060="","",DATE(YEAR($C1060),MONTH($C1060),1))</f>
        <v/>
      </c>
      <c r="M1060" s="112">
        <f>IF($C1060="","",IF(AND($D1060&lt;&gt;"",$E1060&lt;&gt;"",$G1060&gt;0,$H1060&lt;&gt;"",$I1060&lt;&gt;""),IF($C1060&gt;TODAY(),"İLERİ TARİH","UYGUN"),"EKSİK"))</f>
        <v/>
      </c>
      <c r="N1060" s="6" t="n"/>
      <c r="O1060" s="6" t="n"/>
    </row>
    <row r="1061">
      <c r="A1061" s="6" t="n"/>
      <c r="B1061" s="112">
        <f>IF($C1061="","","GG"&amp;TEXT(ROW()-6,"00000"))</f>
        <v/>
      </c>
      <c r="C1061" s="114" t="n"/>
      <c r="D1061" s="107" t="n"/>
      <c r="E1061" s="108" t="n"/>
      <c r="F1061" s="108" t="n"/>
      <c r="G1061" s="115" t="n"/>
      <c r="H1061" s="107" t="n"/>
      <c r="I1061" s="107" t="n"/>
      <c r="J1061" s="108" t="n"/>
      <c r="K1061" s="108" t="n"/>
      <c r="L1061" s="119">
        <f>IF($C1061="","",DATE(YEAR($C1061),MONTH($C1061),1))</f>
        <v/>
      </c>
      <c r="M1061" s="112">
        <f>IF($C1061="","",IF(AND($D1061&lt;&gt;"",$E1061&lt;&gt;"",$G1061&gt;0,$H1061&lt;&gt;"",$I1061&lt;&gt;""),IF($C1061&gt;TODAY(),"İLERİ TARİH","UYGUN"),"EKSİK"))</f>
        <v/>
      </c>
      <c r="N1061" s="6" t="n"/>
      <c r="O1061" s="6" t="n"/>
    </row>
    <row r="1062">
      <c r="A1062" s="6" t="n"/>
      <c r="B1062" s="112">
        <f>IF($C1062="","","GG"&amp;TEXT(ROW()-6,"00000"))</f>
        <v/>
      </c>
      <c r="C1062" s="114" t="n"/>
      <c r="D1062" s="107" t="n"/>
      <c r="E1062" s="108" t="n"/>
      <c r="F1062" s="108" t="n"/>
      <c r="G1062" s="115" t="n"/>
      <c r="H1062" s="107" t="n"/>
      <c r="I1062" s="107" t="n"/>
      <c r="J1062" s="108" t="n"/>
      <c r="K1062" s="108" t="n"/>
      <c r="L1062" s="119">
        <f>IF($C1062="","",DATE(YEAR($C1062),MONTH($C1062),1))</f>
        <v/>
      </c>
      <c r="M1062" s="112">
        <f>IF($C1062="","",IF(AND($D1062&lt;&gt;"",$E1062&lt;&gt;"",$G1062&gt;0,$H1062&lt;&gt;"",$I1062&lt;&gt;""),IF($C1062&gt;TODAY(),"İLERİ TARİH","UYGUN"),"EKSİK"))</f>
        <v/>
      </c>
      <c r="N1062" s="6" t="n"/>
      <c r="O1062" s="6" t="n"/>
    </row>
    <row r="1063">
      <c r="A1063" s="6" t="n"/>
      <c r="B1063" s="112">
        <f>IF($C1063="","","GG"&amp;TEXT(ROW()-6,"00000"))</f>
        <v/>
      </c>
      <c r="C1063" s="114" t="n"/>
      <c r="D1063" s="107" t="n"/>
      <c r="E1063" s="108" t="n"/>
      <c r="F1063" s="108" t="n"/>
      <c r="G1063" s="115" t="n"/>
      <c r="H1063" s="107" t="n"/>
      <c r="I1063" s="107" t="n"/>
      <c r="J1063" s="108" t="n"/>
      <c r="K1063" s="108" t="n"/>
      <c r="L1063" s="119">
        <f>IF($C1063="","",DATE(YEAR($C1063),MONTH($C1063),1))</f>
        <v/>
      </c>
      <c r="M1063" s="112">
        <f>IF($C1063="","",IF(AND($D1063&lt;&gt;"",$E1063&lt;&gt;"",$G1063&gt;0,$H1063&lt;&gt;"",$I1063&lt;&gt;""),IF($C1063&gt;TODAY(),"İLERİ TARİH","UYGUN"),"EKSİK"))</f>
        <v/>
      </c>
      <c r="N1063" s="6" t="n"/>
      <c r="O1063" s="6" t="n"/>
    </row>
    <row r="1064">
      <c r="A1064" s="6" t="n"/>
      <c r="B1064" s="112">
        <f>IF($C1064="","","GG"&amp;TEXT(ROW()-6,"00000"))</f>
        <v/>
      </c>
      <c r="C1064" s="114" t="n"/>
      <c r="D1064" s="107" t="n"/>
      <c r="E1064" s="108" t="n"/>
      <c r="F1064" s="108" t="n"/>
      <c r="G1064" s="115" t="n"/>
      <c r="H1064" s="107" t="n"/>
      <c r="I1064" s="107" t="n"/>
      <c r="J1064" s="108" t="n"/>
      <c r="K1064" s="108" t="n"/>
      <c r="L1064" s="119">
        <f>IF($C1064="","",DATE(YEAR($C1064),MONTH($C1064),1))</f>
        <v/>
      </c>
      <c r="M1064" s="112">
        <f>IF($C1064="","",IF(AND($D1064&lt;&gt;"",$E1064&lt;&gt;"",$G1064&gt;0,$H1064&lt;&gt;"",$I1064&lt;&gt;""),IF($C1064&gt;TODAY(),"İLERİ TARİH","UYGUN"),"EKSİK"))</f>
        <v/>
      </c>
      <c r="N1064" s="6" t="n"/>
      <c r="O1064" s="6" t="n"/>
    </row>
    <row r="1065">
      <c r="A1065" s="6" t="n"/>
      <c r="B1065" s="112">
        <f>IF($C1065="","","GG"&amp;TEXT(ROW()-6,"00000"))</f>
        <v/>
      </c>
      <c r="C1065" s="114" t="n"/>
      <c r="D1065" s="107" t="n"/>
      <c r="E1065" s="108" t="n"/>
      <c r="F1065" s="108" t="n"/>
      <c r="G1065" s="115" t="n"/>
      <c r="H1065" s="107" t="n"/>
      <c r="I1065" s="107" t="n"/>
      <c r="J1065" s="108" t="n"/>
      <c r="K1065" s="108" t="n"/>
      <c r="L1065" s="119">
        <f>IF($C1065="","",DATE(YEAR($C1065),MONTH($C1065),1))</f>
        <v/>
      </c>
      <c r="M1065" s="112">
        <f>IF($C1065="","",IF(AND($D1065&lt;&gt;"",$E1065&lt;&gt;"",$G1065&gt;0,$H1065&lt;&gt;"",$I1065&lt;&gt;""),IF($C1065&gt;TODAY(),"İLERİ TARİH","UYGUN"),"EKSİK"))</f>
        <v/>
      </c>
      <c r="N1065" s="6" t="n"/>
      <c r="O1065" s="6" t="n"/>
    </row>
    <row r="1066">
      <c r="A1066" s="6" t="n"/>
      <c r="B1066" s="112">
        <f>IF($C1066="","","GG"&amp;TEXT(ROW()-6,"00000"))</f>
        <v/>
      </c>
      <c r="C1066" s="114" t="n"/>
      <c r="D1066" s="107" t="n"/>
      <c r="E1066" s="108" t="n"/>
      <c r="F1066" s="108" t="n"/>
      <c r="G1066" s="115" t="n"/>
      <c r="H1066" s="107" t="n"/>
      <c r="I1066" s="107" t="n"/>
      <c r="J1066" s="108" t="n"/>
      <c r="K1066" s="108" t="n"/>
      <c r="L1066" s="119">
        <f>IF($C1066="","",DATE(YEAR($C1066),MONTH($C1066),1))</f>
        <v/>
      </c>
      <c r="M1066" s="112">
        <f>IF($C1066="","",IF(AND($D1066&lt;&gt;"",$E1066&lt;&gt;"",$G1066&gt;0,$H1066&lt;&gt;"",$I1066&lt;&gt;""),IF($C1066&gt;TODAY(),"İLERİ TARİH","UYGUN"),"EKSİK"))</f>
        <v/>
      </c>
      <c r="N1066" s="6" t="n"/>
      <c r="O1066" s="6" t="n"/>
    </row>
    <row r="1067">
      <c r="A1067" s="6" t="n"/>
      <c r="B1067" s="112">
        <f>IF($C1067="","","GG"&amp;TEXT(ROW()-6,"00000"))</f>
        <v/>
      </c>
      <c r="C1067" s="114" t="n"/>
      <c r="D1067" s="107" t="n"/>
      <c r="E1067" s="108" t="n"/>
      <c r="F1067" s="108" t="n"/>
      <c r="G1067" s="115" t="n"/>
      <c r="H1067" s="107" t="n"/>
      <c r="I1067" s="107" t="n"/>
      <c r="J1067" s="108" t="n"/>
      <c r="K1067" s="108" t="n"/>
      <c r="L1067" s="119">
        <f>IF($C1067="","",DATE(YEAR($C1067),MONTH($C1067),1))</f>
        <v/>
      </c>
      <c r="M1067" s="112">
        <f>IF($C1067="","",IF(AND($D1067&lt;&gt;"",$E1067&lt;&gt;"",$G1067&gt;0,$H1067&lt;&gt;"",$I1067&lt;&gt;""),IF($C1067&gt;TODAY(),"İLERİ TARİH","UYGUN"),"EKSİK"))</f>
        <v/>
      </c>
      <c r="N1067" s="6" t="n"/>
      <c r="O1067" s="6" t="n"/>
    </row>
    <row r="1068">
      <c r="A1068" s="6" t="n"/>
      <c r="B1068" s="112">
        <f>IF($C1068="","","GG"&amp;TEXT(ROW()-6,"00000"))</f>
        <v/>
      </c>
      <c r="C1068" s="114" t="n"/>
      <c r="D1068" s="107" t="n"/>
      <c r="E1068" s="108" t="n"/>
      <c r="F1068" s="108" t="n"/>
      <c r="G1068" s="115" t="n"/>
      <c r="H1068" s="107" t="n"/>
      <c r="I1068" s="107" t="n"/>
      <c r="J1068" s="108" t="n"/>
      <c r="K1068" s="108" t="n"/>
      <c r="L1068" s="119">
        <f>IF($C1068="","",DATE(YEAR($C1068),MONTH($C1068),1))</f>
        <v/>
      </c>
      <c r="M1068" s="112">
        <f>IF($C1068="","",IF(AND($D1068&lt;&gt;"",$E1068&lt;&gt;"",$G1068&gt;0,$H1068&lt;&gt;"",$I1068&lt;&gt;""),IF($C1068&gt;TODAY(),"İLERİ TARİH","UYGUN"),"EKSİK"))</f>
        <v/>
      </c>
      <c r="N1068" s="6" t="n"/>
      <c r="O1068" s="6" t="n"/>
    </row>
    <row r="1069">
      <c r="A1069" s="6" t="n"/>
      <c r="B1069" s="112">
        <f>IF($C1069="","","GG"&amp;TEXT(ROW()-6,"00000"))</f>
        <v/>
      </c>
      <c r="C1069" s="114" t="n"/>
      <c r="D1069" s="107" t="n"/>
      <c r="E1069" s="108" t="n"/>
      <c r="F1069" s="108" t="n"/>
      <c r="G1069" s="115" t="n"/>
      <c r="H1069" s="107" t="n"/>
      <c r="I1069" s="107" t="n"/>
      <c r="J1069" s="108" t="n"/>
      <c r="K1069" s="108" t="n"/>
      <c r="L1069" s="119">
        <f>IF($C1069="","",DATE(YEAR($C1069),MONTH($C1069),1))</f>
        <v/>
      </c>
      <c r="M1069" s="112">
        <f>IF($C1069="","",IF(AND($D1069&lt;&gt;"",$E1069&lt;&gt;"",$G1069&gt;0,$H1069&lt;&gt;"",$I1069&lt;&gt;""),IF($C1069&gt;TODAY(),"İLERİ TARİH","UYGUN"),"EKSİK"))</f>
        <v/>
      </c>
      <c r="N1069" s="6" t="n"/>
      <c r="O1069" s="6" t="n"/>
    </row>
    <row r="1070">
      <c r="A1070" s="6" t="n"/>
      <c r="B1070" s="112">
        <f>IF($C1070="","","GG"&amp;TEXT(ROW()-6,"00000"))</f>
        <v/>
      </c>
      <c r="C1070" s="114" t="n"/>
      <c r="D1070" s="107" t="n"/>
      <c r="E1070" s="108" t="n"/>
      <c r="F1070" s="108" t="n"/>
      <c r="G1070" s="115" t="n"/>
      <c r="H1070" s="107" t="n"/>
      <c r="I1070" s="107" t="n"/>
      <c r="J1070" s="108" t="n"/>
      <c r="K1070" s="108" t="n"/>
      <c r="L1070" s="119">
        <f>IF($C1070="","",DATE(YEAR($C1070),MONTH($C1070),1))</f>
        <v/>
      </c>
      <c r="M1070" s="112">
        <f>IF($C1070="","",IF(AND($D1070&lt;&gt;"",$E1070&lt;&gt;"",$G1070&gt;0,$H1070&lt;&gt;"",$I1070&lt;&gt;""),IF($C1070&gt;TODAY(),"İLERİ TARİH","UYGUN"),"EKSİK"))</f>
        <v/>
      </c>
      <c r="N1070" s="6" t="n"/>
      <c r="O1070" s="6" t="n"/>
    </row>
    <row r="1071">
      <c r="A1071" s="6" t="n"/>
      <c r="B1071" s="112">
        <f>IF($C1071="","","GG"&amp;TEXT(ROW()-6,"00000"))</f>
        <v/>
      </c>
      <c r="C1071" s="114" t="n"/>
      <c r="D1071" s="107" t="n"/>
      <c r="E1071" s="108" t="n"/>
      <c r="F1071" s="108" t="n"/>
      <c r="G1071" s="115" t="n"/>
      <c r="H1071" s="107" t="n"/>
      <c r="I1071" s="107" t="n"/>
      <c r="J1071" s="108" t="n"/>
      <c r="K1071" s="108" t="n"/>
      <c r="L1071" s="119">
        <f>IF($C1071="","",DATE(YEAR($C1071),MONTH($C1071),1))</f>
        <v/>
      </c>
      <c r="M1071" s="112">
        <f>IF($C1071="","",IF(AND($D1071&lt;&gt;"",$E1071&lt;&gt;"",$G1071&gt;0,$H1071&lt;&gt;"",$I1071&lt;&gt;""),IF($C1071&gt;TODAY(),"İLERİ TARİH","UYGUN"),"EKSİK"))</f>
        <v/>
      </c>
      <c r="N1071" s="6" t="n"/>
      <c r="O1071" s="6" t="n"/>
    </row>
    <row r="1072">
      <c r="A1072" s="6" t="n"/>
      <c r="B1072" s="112">
        <f>IF($C1072="","","GG"&amp;TEXT(ROW()-6,"00000"))</f>
        <v/>
      </c>
      <c r="C1072" s="114" t="n"/>
      <c r="D1072" s="107" t="n"/>
      <c r="E1072" s="108" t="n"/>
      <c r="F1072" s="108" t="n"/>
      <c r="G1072" s="115" t="n"/>
      <c r="H1072" s="107" t="n"/>
      <c r="I1072" s="107" t="n"/>
      <c r="J1072" s="108" t="n"/>
      <c r="K1072" s="108" t="n"/>
      <c r="L1072" s="119">
        <f>IF($C1072="","",DATE(YEAR($C1072),MONTH($C1072),1))</f>
        <v/>
      </c>
      <c r="M1072" s="112">
        <f>IF($C1072="","",IF(AND($D1072&lt;&gt;"",$E1072&lt;&gt;"",$G1072&gt;0,$H1072&lt;&gt;"",$I1072&lt;&gt;""),IF($C1072&gt;TODAY(),"İLERİ TARİH","UYGUN"),"EKSİK"))</f>
        <v/>
      </c>
      <c r="N1072" s="6" t="n"/>
      <c r="O1072" s="6" t="n"/>
    </row>
    <row r="1073">
      <c r="A1073" s="6" t="n"/>
      <c r="B1073" s="112">
        <f>IF($C1073="","","GG"&amp;TEXT(ROW()-6,"00000"))</f>
        <v/>
      </c>
      <c r="C1073" s="114" t="n"/>
      <c r="D1073" s="107" t="n"/>
      <c r="E1073" s="108" t="n"/>
      <c r="F1073" s="108" t="n"/>
      <c r="G1073" s="115" t="n"/>
      <c r="H1073" s="107" t="n"/>
      <c r="I1073" s="107" t="n"/>
      <c r="J1073" s="108" t="n"/>
      <c r="K1073" s="108" t="n"/>
      <c r="L1073" s="119">
        <f>IF($C1073="","",DATE(YEAR($C1073),MONTH($C1073),1))</f>
        <v/>
      </c>
      <c r="M1073" s="112">
        <f>IF($C1073="","",IF(AND($D1073&lt;&gt;"",$E1073&lt;&gt;"",$G1073&gt;0,$H1073&lt;&gt;"",$I1073&lt;&gt;""),IF($C1073&gt;TODAY(),"İLERİ TARİH","UYGUN"),"EKSİK"))</f>
        <v/>
      </c>
      <c r="N1073" s="6" t="n"/>
      <c r="O1073" s="6" t="n"/>
    </row>
    <row r="1074">
      <c r="A1074" s="6" t="n"/>
      <c r="B1074" s="112">
        <f>IF($C1074="","","GG"&amp;TEXT(ROW()-6,"00000"))</f>
        <v/>
      </c>
      <c r="C1074" s="114" t="n"/>
      <c r="D1074" s="107" t="n"/>
      <c r="E1074" s="108" t="n"/>
      <c r="F1074" s="108" t="n"/>
      <c r="G1074" s="115" t="n"/>
      <c r="H1074" s="107" t="n"/>
      <c r="I1074" s="107" t="n"/>
      <c r="J1074" s="108" t="n"/>
      <c r="K1074" s="108" t="n"/>
      <c r="L1074" s="119">
        <f>IF($C1074="","",DATE(YEAR($C1074),MONTH($C1074),1))</f>
        <v/>
      </c>
      <c r="M1074" s="112">
        <f>IF($C1074="","",IF(AND($D1074&lt;&gt;"",$E1074&lt;&gt;"",$G1074&gt;0,$H1074&lt;&gt;"",$I1074&lt;&gt;""),IF($C1074&gt;TODAY(),"İLERİ TARİH","UYGUN"),"EKSİK"))</f>
        <v/>
      </c>
      <c r="N1074" s="6" t="n"/>
      <c r="O1074" s="6" t="n"/>
    </row>
    <row r="1075">
      <c r="A1075" s="6" t="n"/>
      <c r="B1075" s="112">
        <f>IF($C1075="","","GG"&amp;TEXT(ROW()-6,"00000"))</f>
        <v/>
      </c>
      <c r="C1075" s="114" t="n"/>
      <c r="D1075" s="107" t="n"/>
      <c r="E1075" s="108" t="n"/>
      <c r="F1075" s="108" t="n"/>
      <c r="G1075" s="115" t="n"/>
      <c r="H1075" s="107" t="n"/>
      <c r="I1075" s="107" t="n"/>
      <c r="J1075" s="108" t="n"/>
      <c r="K1075" s="108" t="n"/>
      <c r="L1075" s="119">
        <f>IF($C1075="","",DATE(YEAR($C1075),MONTH($C1075),1))</f>
        <v/>
      </c>
      <c r="M1075" s="112">
        <f>IF($C1075="","",IF(AND($D1075&lt;&gt;"",$E1075&lt;&gt;"",$G1075&gt;0,$H1075&lt;&gt;"",$I1075&lt;&gt;""),IF($C1075&gt;TODAY(),"İLERİ TARİH","UYGUN"),"EKSİK"))</f>
        <v/>
      </c>
      <c r="N1075" s="6" t="n"/>
      <c r="O1075" s="6" t="n"/>
    </row>
    <row r="1076">
      <c r="A1076" s="6" t="n"/>
      <c r="B1076" s="112">
        <f>IF($C1076="","","GG"&amp;TEXT(ROW()-6,"00000"))</f>
        <v/>
      </c>
      <c r="C1076" s="114" t="n"/>
      <c r="D1076" s="107" t="n"/>
      <c r="E1076" s="108" t="n"/>
      <c r="F1076" s="108" t="n"/>
      <c r="G1076" s="115" t="n"/>
      <c r="H1076" s="107" t="n"/>
      <c r="I1076" s="107" t="n"/>
      <c r="J1076" s="108" t="n"/>
      <c r="K1076" s="108" t="n"/>
      <c r="L1076" s="119">
        <f>IF($C1076="","",DATE(YEAR($C1076),MONTH($C1076),1))</f>
        <v/>
      </c>
      <c r="M1076" s="112">
        <f>IF($C1076="","",IF(AND($D1076&lt;&gt;"",$E1076&lt;&gt;"",$G1076&gt;0,$H1076&lt;&gt;"",$I1076&lt;&gt;""),IF($C1076&gt;TODAY(),"İLERİ TARİH","UYGUN"),"EKSİK"))</f>
        <v/>
      </c>
      <c r="N1076" s="6" t="n"/>
      <c r="O1076" s="6" t="n"/>
    </row>
    <row r="1077">
      <c r="A1077" s="6" t="n"/>
      <c r="B1077" s="112">
        <f>IF($C1077="","","GG"&amp;TEXT(ROW()-6,"00000"))</f>
        <v/>
      </c>
      <c r="C1077" s="114" t="n"/>
      <c r="D1077" s="107" t="n"/>
      <c r="E1077" s="108" t="n"/>
      <c r="F1077" s="108" t="n"/>
      <c r="G1077" s="115" t="n"/>
      <c r="H1077" s="107" t="n"/>
      <c r="I1077" s="107" t="n"/>
      <c r="J1077" s="108" t="n"/>
      <c r="K1077" s="108" t="n"/>
      <c r="L1077" s="119">
        <f>IF($C1077="","",DATE(YEAR($C1077),MONTH($C1077),1))</f>
        <v/>
      </c>
      <c r="M1077" s="112">
        <f>IF($C1077="","",IF(AND($D1077&lt;&gt;"",$E1077&lt;&gt;"",$G1077&gt;0,$H1077&lt;&gt;"",$I1077&lt;&gt;""),IF($C1077&gt;TODAY(),"İLERİ TARİH","UYGUN"),"EKSİK"))</f>
        <v/>
      </c>
      <c r="N1077" s="6" t="n"/>
      <c r="O1077" s="6" t="n"/>
    </row>
    <row r="1078">
      <c r="A1078" s="6" t="n"/>
      <c r="B1078" s="112">
        <f>IF($C1078="","","GG"&amp;TEXT(ROW()-6,"00000"))</f>
        <v/>
      </c>
      <c r="C1078" s="114" t="n"/>
      <c r="D1078" s="107" t="n"/>
      <c r="E1078" s="108" t="n"/>
      <c r="F1078" s="108" t="n"/>
      <c r="G1078" s="115" t="n"/>
      <c r="H1078" s="107" t="n"/>
      <c r="I1078" s="107" t="n"/>
      <c r="J1078" s="108" t="n"/>
      <c r="K1078" s="108" t="n"/>
      <c r="L1078" s="119">
        <f>IF($C1078="","",DATE(YEAR($C1078),MONTH($C1078),1))</f>
        <v/>
      </c>
      <c r="M1078" s="112">
        <f>IF($C1078="","",IF(AND($D1078&lt;&gt;"",$E1078&lt;&gt;"",$G1078&gt;0,$H1078&lt;&gt;"",$I1078&lt;&gt;""),IF($C1078&gt;TODAY(),"İLERİ TARİH","UYGUN"),"EKSİK"))</f>
        <v/>
      </c>
      <c r="N1078" s="6" t="n"/>
      <c r="O1078" s="6" t="n"/>
    </row>
    <row r="1079">
      <c r="A1079" s="6" t="n"/>
      <c r="B1079" s="112">
        <f>IF($C1079="","","GG"&amp;TEXT(ROW()-6,"00000"))</f>
        <v/>
      </c>
      <c r="C1079" s="114" t="n"/>
      <c r="D1079" s="107" t="n"/>
      <c r="E1079" s="108" t="n"/>
      <c r="F1079" s="108" t="n"/>
      <c r="G1079" s="115" t="n"/>
      <c r="H1079" s="107" t="n"/>
      <c r="I1079" s="107" t="n"/>
      <c r="J1079" s="108" t="n"/>
      <c r="K1079" s="108" t="n"/>
      <c r="L1079" s="119">
        <f>IF($C1079="","",DATE(YEAR($C1079),MONTH($C1079),1))</f>
        <v/>
      </c>
      <c r="M1079" s="112">
        <f>IF($C1079="","",IF(AND($D1079&lt;&gt;"",$E1079&lt;&gt;"",$G1079&gt;0,$H1079&lt;&gt;"",$I1079&lt;&gt;""),IF($C1079&gt;TODAY(),"İLERİ TARİH","UYGUN"),"EKSİK"))</f>
        <v/>
      </c>
      <c r="N1079" s="6" t="n"/>
      <c r="O1079" s="6" t="n"/>
    </row>
    <row r="1080">
      <c r="A1080" s="6" t="n"/>
      <c r="B1080" s="112">
        <f>IF($C1080="","","GG"&amp;TEXT(ROW()-6,"00000"))</f>
        <v/>
      </c>
      <c r="C1080" s="114" t="n"/>
      <c r="D1080" s="107" t="n"/>
      <c r="E1080" s="108" t="n"/>
      <c r="F1080" s="108" t="n"/>
      <c r="G1080" s="115" t="n"/>
      <c r="H1080" s="107" t="n"/>
      <c r="I1080" s="107" t="n"/>
      <c r="J1080" s="108" t="n"/>
      <c r="K1080" s="108" t="n"/>
      <c r="L1080" s="119">
        <f>IF($C1080="","",DATE(YEAR($C1080),MONTH($C1080),1))</f>
        <v/>
      </c>
      <c r="M1080" s="112">
        <f>IF($C1080="","",IF(AND($D1080&lt;&gt;"",$E1080&lt;&gt;"",$G1080&gt;0,$H1080&lt;&gt;"",$I1080&lt;&gt;""),IF($C1080&gt;TODAY(),"İLERİ TARİH","UYGUN"),"EKSİK"))</f>
        <v/>
      </c>
      <c r="N1080" s="6" t="n"/>
      <c r="O1080" s="6" t="n"/>
    </row>
    <row r="1081">
      <c r="A1081" s="6" t="n"/>
      <c r="B1081" s="112">
        <f>IF($C1081="","","GG"&amp;TEXT(ROW()-6,"00000"))</f>
        <v/>
      </c>
      <c r="C1081" s="114" t="n"/>
      <c r="D1081" s="107" t="n"/>
      <c r="E1081" s="108" t="n"/>
      <c r="F1081" s="108" t="n"/>
      <c r="G1081" s="115" t="n"/>
      <c r="H1081" s="107" t="n"/>
      <c r="I1081" s="107" t="n"/>
      <c r="J1081" s="108" t="n"/>
      <c r="K1081" s="108" t="n"/>
      <c r="L1081" s="119">
        <f>IF($C1081="","",DATE(YEAR($C1081),MONTH($C1081),1))</f>
        <v/>
      </c>
      <c r="M1081" s="112">
        <f>IF($C1081="","",IF(AND($D1081&lt;&gt;"",$E1081&lt;&gt;"",$G1081&gt;0,$H1081&lt;&gt;"",$I1081&lt;&gt;""),IF($C1081&gt;TODAY(),"İLERİ TARİH","UYGUN"),"EKSİK"))</f>
        <v/>
      </c>
      <c r="N1081" s="6" t="n"/>
      <c r="O1081" s="6" t="n"/>
    </row>
    <row r="1082">
      <c r="A1082" s="6" t="n"/>
      <c r="B1082" s="112">
        <f>IF($C1082="","","GG"&amp;TEXT(ROW()-6,"00000"))</f>
        <v/>
      </c>
      <c r="C1082" s="114" t="n"/>
      <c r="D1082" s="107" t="n"/>
      <c r="E1082" s="108" t="n"/>
      <c r="F1082" s="108" t="n"/>
      <c r="G1082" s="115" t="n"/>
      <c r="H1082" s="107" t="n"/>
      <c r="I1082" s="107" t="n"/>
      <c r="J1082" s="108" t="n"/>
      <c r="K1082" s="108" t="n"/>
      <c r="L1082" s="119">
        <f>IF($C1082="","",DATE(YEAR($C1082),MONTH($C1082),1))</f>
        <v/>
      </c>
      <c r="M1082" s="112">
        <f>IF($C1082="","",IF(AND($D1082&lt;&gt;"",$E1082&lt;&gt;"",$G1082&gt;0,$H1082&lt;&gt;"",$I1082&lt;&gt;""),IF($C1082&gt;TODAY(),"İLERİ TARİH","UYGUN"),"EKSİK"))</f>
        <v/>
      </c>
      <c r="N1082" s="6" t="n"/>
      <c r="O1082" s="6" t="n"/>
    </row>
    <row r="1083">
      <c r="A1083" s="6" t="n"/>
      <c r="B1083" s="112">
        <f>IF($C1083="","","GG"&amp;TEXT(ROW()-6,"00000"))</f>
        <v/>
      </c>
      <c r="C1083" s="114" t="n"/>
      <c r="D1083" s="107" t="n"/>
      <c r="E1083" s="108" t="n"/>
      <c r="F1083" s="108" t="n"/>
      <c r="G1083" s="115" t="n"/>
      <c r="H1083" s="107" t="n"/>
      <c r="I1083" s="107" t="n"/>
      <c r="J1083" s="108" t="n"/>
      <c r="K1083" s="108" t="n"/>
      <c r="L1083" s="119">
        <f>IF($C1083="","",DATE(YEAR($C1083),MONTH($C1083),1))</f>
        <v/>
      </c>
      <c r="M1083" s="112">
        <f>IF($C1083="","",IF(AND($D1083&lt;&gt;"",$E1083&lt;&gt;"",$G1083&gt;0,$H1083&lt;&gt;"",$I1083&lt;&gt;""),IF($C1083&gt;TODAY(),"İLERİ TARİH","UYGUN"),"EKSİK"))</f>
        <v/>
      </c>
      <c r="N1083" s="6" t="n"/>
      <c r="O1083" s="6" t="n"/>
    </row>
    <row r="1084">
      <c r="A1084" s="6" t="n"/>
      <c r="B1084" s="112">
        <f>IF($C1084="","","GG"&amp;TEXT(ROW()-6,"00000"))</f>
        <v/>
      </c>
      <c r="C1084" s="114" t="n"/>
      <c r="D1084" s="107" t="n"/>
      <c r="E1084" s="108" t="n"/>
      <c r="F1084" s="108" t="n"/>
      <c r="G1084" s="115" t="n"/>
      <c r="H1084" s="107" t="n"/>
      <c r="I1084" s="107" t="n"/>
      <c r="J1084" s="108" t="n"/>
      <c r="K1084" s="108" t="n"/>
      <c r="L1084" s="119">
        <f>IF($C1084="","",DATE(YEAR($C1084),MONTH($C1084),1))</f>
        <v/>
      </c>
      <c r="M1084" s="112">
        <f>IF($C1084="","",IF(AND($D1084&lt;&gt;"",$E1084&lt;&gt;"",$G1084&gt;0,$H1084&lt;&gt;"",$I1084&lt;&gt;""),IF($C1084&gt;TODAY(),"İLERİ TARİH","UYGUN"),"EKSİK"))</f>
        <v/>
      </c>
      <c r="N1084" s="6" t="n"/>
      <c r="O1084" s="6" t="n"/>
    </row>
    <row r="1085">
      <c r="A1085" s="6" t="n"/>
      <c r="B1085" s="112">
        <f>IF($C1085="","","GG"&amp;TEXT(ROW()-6,"00000"))</f>
        <v/>
      </c>
      <c r="C1085" s="114" t="n"/>
      <c r="D1085" s="107" t="n"/>
      <c r="E1085" s="108" t="n"/>
      <c r="F1085" s="108" t="n"/>
      <c r="G1085" s="115" t="n"/>
      <c r="H1085" s="107" t="n"/>
      <c r="I1085" s="107" t="n"/>
      <c r="J1085" s="108" t="n"/>
      <c r="K1085" s="108" t="n"/>
      <c r="L1085" s="119">
        <f>IF($C1085="","",DATE(YEAR($C1085),MONTH($C1085),1))</f>
        <v/>
      </c>
      <c r="M1085" s="112">
        <f>IF($C1085="","",IF(AND($D1085&lt;&gt;"",$E1085&lt;&gt;"",$G1085&gt;0,$H1085&lt;&gt;"",$I1085&lt;&gt;""),IF($C1085&gt;TODAY(),"İLERİ TARİH","UYGUN"),"EKSİK"))</f>
        <v/>
      </c>
      <c r="N1085" s="6" t="n"/>
      <c r="O1085" s="6" t="n"/>
    </row>
    <row r="1086">
      <c r="A1086" s="6" t="n"/>
      <c r="B1086" s="112">
        <f>IF($C1086="","","GG"&amp;TEXT(ROW()-6,"00000"))</f>
        <v/>
      </c>
      <c r="C1086" s="114" t="n"/>
      <c r="D1086" s="107" t="n"/>
      <c r="E1086" s="108" t="n"/>
      <c r="F1086" s="108" t="n"/>
      <c r="G1086" s="115" t="n"/>
      <c r="H1086" s="107" t="n"/>
      <c r="I1086" s="107" t="n"/>
      <c r="J1086" s="108" t="n"/>
      <c r="K1086" s="108" t="n"/>
      <c r="L1086" s="119">
        <f>IF($C1086="","",DATE(YEAR($C1086),MONTH($C1086),1))</f>
        <v/>
      </c>
      <c r="M1086" s="112">
        <f>IF($C1086="","",IF(AND($D1086&lt;&gt;"",$E1086&lt;&gt;"",$G1086&gt;0,$H1086&lt;&gt;"",$I1086&lt;&gt;""),IF($C1086&gt;TODAY(),"İLERİ TARİH","UYGUN"),"EKSİK"))</f>
        <v/>
      </c>
      <c r="N1086" s="6" t="n"/>
      <c r="O1086" s="6" t="n"/>
    </row>
    <row r="1087">
      <c r="A1087" s="6" t="n"/>
      <c r="B1087" s="112">
        <f>IF($C1087="","","GG"&amp;TEXT(ROW()-6,"00000"))</f>
        <v/>
      </c>
      <c r="C1087" s="114" t="n"/>
      <c r="D1087" s="107" t="n"/>
      <c r="E1087" s="108" t="n"/>
      <c r="F1087" s="108" t="n"/>
      <c r="G1087" s="115" t="n"/>
      <c r="H1087" s="107" t="n"/>
      <c r="I1087" s="107" t="n"/>
      <c r="J1087" s="108" t="n"/>
      <c r="K1087" s="108" t="n"/>
      <c r="L1087" s="119">
        <f>IF($C1087="","",DATE(YEAR($C1087),MONTH($C1087),1))</f>
        <v/>
      </c>
      <c r="M1087" s="112">
        <f>IF($C1087="","",IF(AND($D1087&lt;&gt;"",$E1087&lt;&gt;"",$G1087&gt;0,$H1087&lt;&gt;"",$I1087&lt;&gt;""),IF($C1087&gt;TODAY(),"İLERİ TARİH","UYGUN"),"EKSİK"))</f>
        <v/>
      </c>
      <c r="N1087" s="6" t="n"/>
      <c r="O1087" s="6" t="n"/>
    </row>
    <row r="1088">
      <c r="A1088" s="6" t="n"/>
      <c r="B1088" s="112">
        <f>IF($C1088="","","GG"&amp;TEXT(ROW()-6,"00000"))</f>
        <v/>
      </c>
      <c r="C1088" s="114" t="n"/>
      <c r="D1088" s="107" t="n"/>
      <c r="E1088" s="108" t="n"/>
      <c r="F1088" s="108" t="n"/>
      <c r="G1088" s="115" t="n"/>
      <c r="H1088" s="107" t="n"/>
      <c r="I1088" s="107" t="n"/>
      <c r="J1088" s="108" t="n"/>
      <c r="K1088" s="108" t="n"/>
      <c r="L1088" s="119">
        <f>IF($C1088="","",DATE(YEAR($C1088),MONTH($C1088),1))</f>
        <v/>
      </c>
      <c r="M1088" s="112">
        <f>IF($C1088="","",IF(AND($D1088&lt;&gt;"",$E1088&lt;&gt;"",$G1088&gt;0,$H1088&lt;&gt;"",$I1088&lt;&gt;""),IF($C1088&gt;TODAY(),"İLERİ TARİH","UYGUN"),"EKSİK"))</f>
        <v/>
      </c>
      <c r="N1088" s="6" t="n"/>
      <c r="O1088" s="6" t="n"/>
    </row>
    <row r="1089">
      <c r="A1089" s="6" t="n"/>
      <c r="B1089" s="112">
        <f>IF($C1089="","","GG"&amp;TEXT(ROW()-6,"00000"))</f>
        <v/>
      </c>
      <c r="C1089" s="114" t="n"/>
      <c r="D1089" s="107" t="n"/>
      <c r="E1089" s="108" t="n"/>
      <c r="F1089" s="108" t="n"/>
      <c r="G1089" s="115" t="n"/>
      <c r="H1089" s="107" t="n"/>
      <c r="I1089" s="107" t="n"/>
      <c r="J1089" s="108" t="n"/>
      <c r="K1089" s="108" t="n"/>
      <c r="L1089" s="119">
        <f>IF($C1089="","",DATE(YEAR($C1089),MONTH($C1089),1))</f>
        <v/>
      </c>
      <c r="M1089" s="112">
        <f>IF($C1089="","",IF(AND($D1089&lt;&gt;"",$E1089&lt;&gt;"",$G1089&gt;0,$H1089&lt;&gt;"",$I1089&lt;&gt;""),IF($C1089&gt;TODAY(),"İLERİ TARİH","UYGUN"),"EKSİK"))</f>
        <v/>
      </c>
      <c r="N1089" s="6" t="n"/>
      <c r="O1089" s="6" t="n"/>
    </row>
    <row r="1090">
      <c r="A1090" s="6" t="n"/>
      <c r="B1090" s="112">
        <f>IF($C1090="","","GG"&amp;TEXT(ROW()-6,"00000"))</f>
        <v/>
      </c>
      <c r="C1090" s="114" t="n"/>
      <c r="D1090" s="107" t="n"/>
      <c r="E1090" s="108" t="n"/>
      <c r="F1090" s="108" t="n"/>
      <c r="G1090" s="115" t="n"/>
      <c r="H1090" s="107" t="n"/>
      <c r="I1090" s="107" t="n"/>
      <c r="J1090" s="108" t="n"/>
      <c r="K1090" s="108" t="n"/>
      <c r="L1090" s="119">
        <f>IF($C1090="","",DATE(YEAR($C1090),MONTH($C1090),1))</f>
        <v/>
      </c>
      <c r="M1090" s="112">
        <f>IF($C1090="","",IF(AND($D1090&lt;&gt;"",$E1090&lt;&gt;"",$G1090&gt;0,$H1090&lt;&gt;"",$I1090&lt;&gt;""),IF($C1090&gt;TODAY(),"İLERİ TARİH","UYGUN"),"EKSİK"))</f>
        <v/>
      </c>
      <c r="N1090" s="6" t="n"/>
      <c r="O1090" s="6" t="n"/>
    </row>
    <row r="1091">
      <c r="A1091" s="6" t="n"/>
      <c r="B1091" s="112">
        <f>IF($C1091="","","GG"&amp;TEXT(ROW()-6,"00000"))</f>
        <v/>
      </c>
      <c r="C1091" s="114" t="n"/>
      <c r="D1091" s="107" t="n"/>
      <c r="E1091" s="108" t="n"/>
      <c r="F1091" s="108" t="n"/>
      <c r="G1091" s="115" t="n"/>
      <c r="H1091" s="107" t="n"/>
      <c r="I1091" s="107" t="n"/>
      <c r="J1091" s="108" t="n"/>
      <c r="K1091" s="108" t="n"/>
      <c r="L1091" s="119">
        <f>IF($C1091="","",DATE(YEAR($C1091),MONTH($C1091),1))</f>
        <v/>
      </c>
      <c r="M1091" s="112">
        <f>IF($C1091="","",IF(AND($D1091&lt;&gt;"",$E1091&lt;&gt;"",$G1091&gt;0,$H1091&lt;&gt;"",$I1091&lt;&gt;""),IF($C1091&gt;TODAY(),"İLERİ TARİH","UYGUN"),"EKSİK"))</f>
        <v/>
      </c>
      <c r="N1091" s="6" t="n"/>
      <c r="O1091" s="6" t="n"/>
    </row>
    <row r="1092">
      <c r="A1092" s="6" t="n"/>
      <c r="B1092" s="112">
        <f>IF($C1092="","","GG"&amp;TEXT(ROW()-6,"00000"))</f>
        <v/>
      </c>
      <c r="C1092" s="114" t="n"/>
      <c r="D1092" s="107" t="n"/>
      <c r="E1092" s="108" t="n"/>
      <c r="F1092" s="108" t="n"/>
      <c r="G1092" s="115" t="n"/>
      <c r="H1092" s="107" t="n"/>
      <c r="I1092" s="107" t="n"/>
      <c r="J1092" s="108" t="n"/>
      <c r="K1092" s="108" t="n"/>
      <c r="L1092" s="119">
        <f>IF($C1092="","",DATE(YEAR($C1092),MONTH($C1092),1))</f>
        <v/>
      </c>
      <c r="M1092" s="112">
        <f>IF($C1092="","",IF(AND($D1092&lt;&gt;"",$E1092&lt;&gt;"",$G1092&gt;0,$H1092&lt;&gt;"",$I1092&lt;&gt;""),IF($C1092&gt;TODAY(),"İLERİ TARİH","UYGUN"),"EKSİK"))</f>
        <v/>
      </c>
      <c r="N1092" s="6" t="n"/>
      <c r="O1092" s="6" t="n"/>
    </row>
    <row r="1093">
      <c r="A1093" s="6" t="n"/>
      <c r="B1093" s="112">
        <f>IF($C1093="","","GG"&amp;TEXT(ROW()-6,"00000"))</f>
        <v/>
      </c>
      <c r="C1093" s="114" t="n"/>
      <c r="D1093" s="107" t="n"/>
      <c r="E1093" s="108" t="n"/>
      <c r="F1093" s="108" t="n"/>
      <c r="G1093" s="115" t="n"/>
      <c r="H1093" s="107" t="n"/>
      <c r="I1093" s="107" t="n"/>
      <c r="J1093" s="108" t="n"/>
      <c r="K1093" s="108" t="n"/>
      <c r="L1093" s="119">
        <f>IF($C1093="","",DATE(YEAR($C1093),MONTH($C1093),1))</f>
        <v/>
      </c>
      <c r="M1093" s="112">
        <f>IF($C1093="","",IF(AND($D1093&lt;&gt;"",$E1093&lt;&gt;"",$G1093&gt;0,$H1093&lt;&gt;"",$I1093&lt;&gt;""),IF($C1093&gt;TODAY(),"İLERİ TARİH","UYGUN"),"EKSİK"))</f>
        <v/>
      </c>
      <c r="N1093" s="6" t="n"/>
      <c r="O1093" s="6" t="n"/>
    </row>
    <row r="1094">
      <c r="A1094" s="6" t="n"/>
      <c r="B1094" s="112">
        <f>IF($C1094="","","GG"&amp;TEXT(ROW()-6,"00000"))</f>
        <v/>
      </c>
      <c r="C1094" s="114" t="n"/>
      <c r="D1094" s="107" t="n"/>
      <c r="E1094" s="108" t="n"/>
      <c r="F1094" s="108" t="n"/>
      <c r="G1094" s="115" t="n"/>
      <c r="H1094" s="107" t="n"/>
      <c r="I1094" s="107" t="n"/>
      <c r="J1094" s="108" t="n"/>
      <c r="K1094" s="108" t="n"/>
      <c r="L1094" s="119">
        <f>IF($C1094="","",DATE(YEAR($C1094),MONTH($C1094),1))</f>
        <v/>
      </c>
      <c r="M1094" s="112">
        <f>IF($C1094="","",IF(AND($D1094&lt;&gt;"",$E1094&lt;&gt;"",$G1094&gt;0,$H1094&lt;&gt;"",$I1094&lt;&gt;""),IF($C1094&gt;TODAY(),"İLERİ TARİH","UYGUN"),"EKSİK"))</f>
        <v/>
      </c>
      <c r="N1094" s="6" t="n"/>
      <c r="O1094" s="6" t="n"/>
    </row>
    <row r="1095">
      <c r="A1095" s="6" t="n"/>
      <c r="B1095" s="112">
        <f>IF($C1095="","","GG"&amp;TEXT(ROW()-6,"00000"))</f>
        <v/>
      </c>
      <c r="C1095" s="114" t="n"/>
      <c r="D1095" s="107" t="n"/>
      <c r="E1095" s="108" t="n"/>
      <c r="F1095" s="108" t="n"/>
      <c r="G1095" s="115" t="n"/>
      <c r="H1095" s="107" t="n"/>
      <c r="I1095" s="107" t="n"/>
      <c r="J1095" s="108" t="n"/>
      <c r="K1095" s="108" t="n"/>
      <c r="L1095" s="119">
        <f>IF($C1095="","",DATE(YEAR($C1095),MONTH($C1095),1))</f>
        <v/>
      </c>
      <c r="M1095" s="112">
        <f>IF($C1095="","",IF(AND($D1095&lt;&gt;"",$E1095&lt;&gt;"",$G1095&gt;0,$H1095&lt;&gt;"",$I1095&lt;&gt;""),IF($C1095&gt;TODAY(),"İLERİ TARİH","UYGUN"),"EKSİK"))</f>
        <v/>
      </c>
      <c r="N1095" s="6" t="n"/>
      <c r="O1095" s="6" t="n"/>
    </row>
    <row r="1096">
      <c r="A1096" s="6" t="n"/>
      <c r="B1096" s="112">
        <f>IF($C1096="","","GG"&amp;TEXT(ROW()-6,"00000"))</f>
        <v/>
      </c>
      <c r="C1096" s="114" t="n"/>
      <c r="D1096" s="107" t="n"/>
      <c r="E1096" s="108" t="n"/>
      <c r="F1096" s="108" t="n"/>
      <c r="G1096" s="115" t="n"/>
      <c r="H1096" s="107" t="n"/>
      <c r="I1096" s="107" t="n"/>
      <c r="J1096" s="108" t="n"/>
      <c r="K1096" s="108" t="n"/>
      <c r="L1096" s="119">
        <f>IF($C1096="","",DATE(YEAR($C1096),MONTH($C1096),1))</f>
        <v/>
      </c>
      <c r="M1096" s="112">
        <f>IF($C1096="","",IF(AND($D1096&lt;&gt;"",$E1096&lt;&gt;"",$G1096&gt;0,$H1096&lt;&gt;"",$I1096&lt;&gt;""),IF($C1096&gt;TODAY(),"İLERİ TARİH","UYGUN"),"EKSİK"))</f>
        <v/>
      </c>
      <c r="N1096" s="6" t="n"/>
      <c r="O1096" s="6" t="n"/>
    </row>
    <row r="1097">
      <c r="A1097" s="6" t="n"/>
      <c r="B1097" s="112">
        <f>IF($C1097="","","GG"&amp;TEXT(ROW()-6,"00000"))</f>
        <v/>
      </c>
      <c r="C1097" s="114" t="n"/>
      <c r="D1097" s="107" t="n"/>
      <c r="E1097" s="108" t="n"/>
      <c r="F1097" s="108" t="n"/>
      <c r="G1097" s="115" t="n"/>
      <c r="H1097" s="107" t="n"/>
      <c r="I1097" s="107" t="n"/>
      <c r="J1097" s="108" t="n"/>
      <c r="K1097" s="108" t="n"/>
      <c r="L1097" s="119">
        <f>IF($C1097="","",DATE(YEAR($C1097),MONTH($C1097),1))</f>
        <v/>
      </c>
      <c r="M1097" s="112">
        <f>IF($C1097="","",IF(AND($D1097&lt;&gt;"",$E1097&lt;&gt;"",$G1097&gt;0,$H1097&lt;&gt;"",$I1097&lt;&gt;""),IF($C1097&gt;TODAY(),"İLERİ TARİH","UYGUN"),"EKSİK"))</f>
        <v/>
      </c>
      <c r="N1097" s="6" t="n"/>
      <c r="O1097" s="6" t="n"/>
    </row>
    <row r="1098">
      <c r="A1098" s="6" t="n"/>
      <c r="B1098" s="112">
        <f>IF($C1098="","","GG"&amp;TEXT(ROW()-6,"00000"))</f>
        <v/>
      </c>
      <c r="C1098" s="114" t="n"/>
      <c r="D1098" s="107" t="n"/>
      <c r="E1098" s="108" t="n"/>
      <c r="F1098" s="108" t="n"/>
      <c r="G1098" s="115" t="n"/>
      <c r="H1098" s="107" t="n"/>
      <c r="I1098" s="107" t="n"/>
      <c r="J1098" s="108" t="n"/>
      <c r="K1098" s="108" t="n"/>
      <c r="L1098" s="119">
        <f>IF($C1098="","",DATE(YEAR($C1098),MONTH($C1098),1))</f>
        <v/>
      </c>
      <c r="M1098" s="112">
        <f>IF($C1098="","",IF(AND($D1098&lt;&gt;"",$E1098&lt;&gt;"",$G1098&gt;0,$H1098&lt;&gt;"",$I1098&lt;&gt;""),IF($C1098&gt;TODAY(),"İLERİ TARİH","UYGUN"),"EKSİK"))</f>
        <v/>
      </c>
      <c r="N1098" s="6" t="n"/>
      <c r="O1098" s="6" t="n"/>
    </row>
    <row r="1099">
      <c r="A1099" s="6" t="n"/>
      <c r="B1099" s="112">
        <f>IF($C1099="","","GG"&amp;TEXT(ROW()-6,"00000"))</f>
        <v/>
      </c>
      <c r="C1099" s="114" t="n"/>
      <c r="D1099" s="107" t="n"/>
      <c r="E1099" s="108" t="n"/>
      <c r="F1099" s="108" t="n"/>
      <c r="G1099" s="115" t="n"/>
      <c r="H1099" s="107" t="n"/>
      <c r="I1099" s="107" t="n"/>
      <c r="J1099" s="108" t="n"/>
      <c r="K1099" s="108" t="n"/>
      <c r="L1099" s="119">
        <f>IF($C1099="","",DATE(YEAR($C1099),MONTH($C1099),1))</f>
        <v/>
      </c>
      <c r="M1099" s="112">
        <f>IF($C1099="","",IF(AND($D1099&lt;&gt;"",$E1099&lt;&gt;"",$G1099&gt;0,$H1099&lt;&gt;"",$I1099&lt;&gt;""),IF($C1099&gt;TODAY(),"İLERİ TARİH","UYGUN"),"EKSİK"))</f>
        <v/>
      </c>
      <c r="N1099" s="6" t="n"/>
      <c r="O1099" s="6" t="n"/>
    </row>
    <row r="1100">
      <c r="A1100" s="6" t="n"/>
      <c r="B1100" s="112">
        <f>IF($C1100="","","GG"&amp;TEXT(ROW()-6,"00000"))</f>
        <v/>
      </c>
      <c r="C1100" s="114" t="n"/>
      <c r="D1100" s="107" t="n"/>
      <c r="E1100" s="108" t="n"/>
      <c r="F1100" s="108" t="n"/>
      <c r="G1100" s="115" t="n"/>
      <c r="H1100" s="107" t="n"/>
      <c r="I1100" s="107" t="n"/>
      <c r="J1100" s="108" t="n"/>
      <c r="K1100" s="108" t="n"/>
      <c r="L1100" s="119">
        <f>IF($C1100="","",DATE(YEAR($C1100),MONTH($C1100),1))</f>
        <v/>
      </c>
      <c r="M1100" s="112">
        <f>IF($C1100="","",IF(AND($D1100&lt;&gt;"",$E1100&lt;&gt;"",$G1100&gt;0,$H1100&lt;&gt;"",$I1100&lt;&gt;""),IF($C1100&gt;TODAY(),"İLERİ TARİH","UYGUN"),"EKSİK"))</f>
        <v/>
      </c>
      <c r="N1100" s="6" t="n"/>
      <c r="O1100" s="6" t="n"/>
    </row>
    <row r="1101">
      <c r="A1101" s="6" t="n"/>
      <c r="B1101" s="112">
        <f>IF($C1101="","","GG"&amp;TEXT(ROW()-6,"00000"))</f>
        <v/>
      </c>
      <c r="C1101" s="114" t="n"/>
      <c r="D1101" s="107" t="n"/>
      <c r="E1101" s="108" t="n"/>
      <c r="F1101" s="108" t="n"/>
      <c r="G1101" s="115" t="n"/>
      <c r="H1101" s="107" t="n"/>
      <c r="I1101" s="107" t="n"/>
      <c r="J1101" s="108" t="n"/>
      <c r="K1101" s="108" t="n"/>
      <c r="L1101" s="119">
        <f>IF($C1101="","",DATE(YEAR($C1101),MONTH($C1101),1))</f>
        <v/>
      </c>
      <c r="M1101" s="112">
        <f>IF($C1101="","",IF(AND($D1101&lt;&gt;"",$E1101&lt;&gt;"",$G1101&gt;0,$H1101&lt;&gt;"",$I1101&lt;&gt;""),IF($C1101&gt;TODAY(),"İLERİ TARİH","UYGUN"),"EKSİK"))</f>
        <v/>
      </c>
      <c r="N1101" s="6" t="n"/>
      <c r="O1101" s="6" t="n"/>
    </row>
    <row r="1102">
      <c r="A1102" s="6" t="n"/>
      <c r="B1102" s="112">
        <f>IF($C1102="","","GG"&amp;TEXT(ROW()-6,"00000"))</f>
        <v/>
      </c>
      <c r="C1102" s="114" t="n"/>
      <c r="D1102" s="107" t="n"/>
      <c r="E1102" s="108" t="n"/>
      <c r="F1102" s="108" t="n"/>
      <c r="G1102" s="115" t="n"/>
      <c r="H1102" s="107" t="n"/>
      <c r="I1102" s="107" t="n"/>
      <c r="J1102" s="108" t="n"/>
      <c r="K1102" s="108" t="n"/>
      <c r="L1102" s="119">
        <f>IF($C1102="","",DATE(YEAR($C1102),MONTH($C1102),1))</f>
        <v/>
      </c>
      <c r="M1102" s="112">
        <f>IF($C1102="","",IF(AND($D1102&lt;&gt;"",$E1102&lt;&gt;"",$G1102&gt;0,$H1102&lt;&gt;"",$I1102&lt;&gt;""),IF($C1102&gt;TODAY(),"İLERİ TARİH","UYGUN"),"EKSİK"))</f>
        <v/>
      </c>
      <c r="N1102" s="6" t="n"/>
      <c r="O1102" s="6" t="n"/>
    </row>
    <row r="1103">
      <c r="A1103" s="6" t="n"/>
      <c r="B1103" s="112">
        <f>IF($C1103="","","GG"&amp;TEXT(ROW()-6,"00000"))</f>
        <v/>
      </c>
      <c r="C1103" s="114" t="n"/>
      <c r="D1103" s="107" t="n"/>
      <c r="E1103" s="108" t="n"/>
      <c r="F1103" s="108" t="n"/>
      <c r="G1103" s="115" t="n"/>
      <c r="H1103" s="107" t="n"/>
      <c r="I1103" s="107" t="n"/>
      <c r="J1103" s="108" t="n"/>
      <c r="K1103" s="108" t="n"/>
      <c r="L1103" s="119">
        <f>IF($C1103="","",DATE(YEAR($C1103),MONTH($C1103),1))</f>
        <v/>
      </c>
      <c r="M1103" s="112">
        <f>IF($C1103="","",IF(AND($D1103&lt;&gt;"",$E1103&lt;&gt;"",$G1103&gt;0,$H1103&lt;&gt;"",$I1103&lt;&gt;""),IF($C1103&gt;TODAY(),"İLERİ TARİH","UYGUN"),"EKSİK"))</f>
        <v/>
      </c>
      <c r="N1103" s="6" t="n"/>
      <c r="O1103" s="6" t="n"/>
    </row>
    <row r="1104">
      <c r="A1104" s="6" t="n"/>
      <c r="B1104" s="112">
        <f>IF($C1104="","","GG"&amp;TEXT(ROW()-6,"00000"))</f>
        <v/>
      </c>
      <c r="C1104" s="114" t="n"/>
      <c r="D1104" s="107" t="n"/>
      <c r="E1104" s="108" t="n"/>
      <c r="F1104" s="108" t="n"/>
      <c r="G1104" s="115" t="n"/>
      <c r="H1104" s="107" t="n"/>
      <c r="I1104" s="107" t="n"/>
      <c r="J1104" s="108" t="n"/>
      <c r="K1104" s="108" t="n"/>
      <c r="L1104" s="119">
        <f>IF($C1104="","",DATE(YEAR($C1104),MONTH($C1104),1))</f>
        <v/>
      </c>
      <c r="M1104" s="112">
        <f>IF($C1104="","",IF(AND($D1104&lt;&gt;"",$E1104&lt;&gt;"",$G1104&gt;0,$H1104&lt;&gt;"",$I1104&lt;&gt;""),IF($C1104&gt;TODAY(),"İLERİ TARİH","UYGUN"),"EKSİK"))</f>
        <v/>
      </c>
      <c r="N1104" s="6" t="n"/>
      <c r="O1104" s="6" t="n"/>
    </row>
    <row r="1105">
      <c r="A1105" s="6" t="n"/>
      <c r="B1105" s="112">
        <f>IF($C1105="","","GG"&amp;TEXT(ROW()-6,"00000"))</f>
        <v/>
      </c>
      <c r="C1105" s="114" t="n"/>
      <c r="D1105" s="107" t="n"/>
      <c r="E1105" s="108" t="n"/>
      <c r="F1105" s="108" t="n"/>
      <c r="G1105" s="115" t="n"/>
      <c r="H1105" s="107" t="n"/>
      <c r="I1105" s="107" t="n"/>
      <c r="J1105" s="108" t="n"/>
      <c r="K1105" s="108" t="n"/>
      <c r="L1105" s="119">
        <f>IF($C1105="","",DATE(YEAR($C1105),MONTH($C1105),1))</f>
        <v/>
      </c>
      <c r="M1105" s="112">
        <f>IF($C1105="","",IF(AND($D1105&lt;&gt;"",$E1105&lt;&gt;"",$G1105&gt;0,$H1105&lt;&gt;"",$I1105&lt;&gt;""),IF($C1105&gt;TODAY(),"İLERİ TARİH","UYGUN"),"EKSİK"))</f>
        <v/>
      </c>
      <c r="N1105" s="6" t="n"/>
      <c r="O1105" s="6" t="n"/>
    </row>
    <row r="1106">
      <c r="A1106" s="6" t="n"/>
      <c r="B1106" s="112">
        <f>IF($C1106="","","GG"&amp;TEXT(ROW()-6,"00000"))</f>
        <v/>
      </c>
      <c r="C1106" s="114" t="n"/>
      <c r="D1106" s="107" t="n"/>
      <c r="E1106" s="108" t="n"/>
      <c r="F1106" s="108" t="n"/>
      <c r="G1106" s="115" t="n"/>
      <c r="H1106" s="107" t="n"/>
      <c r="I1106" s="107" t="n"/>
      <c r="J1106" s="108" t="n"/>
      <c r="K1106" s="108" t="n"/>
      <c r="L1106" s="119">
        <f>IF($C1106="","",DATE(YEAR($C1106),MONTH($C1106),1))</f>
        <v/>
      </c>
      <c r="M1106" s="112">
        <f>IF($C1106="","",IF(AND($D1106&lt;&gt;"",$E1106&lt;&gt;"",$G1106&gt;0,$H1106&lt;&gt;"",$I1106&lt;&gt;""),IF($C1106&gt;TODAY(),"İLERİ TARİH","UYGUN"),"EKSİK"))</f>
        <v/>
      </c>
      <c r="N1106" s="6" t="n"/>
      <c r="O1106" s="6" t="n"/>
    </row>
    <row r="1107">
      <c r="A1107" s="6" t="n"/>
      <c r="B1107" s="112">
        <f>IF($C1107="","","GG"&amp;TEXT(ROW()-6,"00000"))</f>
        <v/>
      </c>
      <c r="C1107" s="114" t="n"/>
      <c r="D1107" s="107" t="n"/>
      <c r="E1107" s="108" t="n"/>
      <c r="F1107" s="108" t="n"/>
      <c r="G1107" s="115" t="n"/>
      <c r="H1107" s="107" t="n"/>
      <c r="I1107" s="107" t="n"/>
      <c r="J1107" s="108" t="n"/>
      <c r="K1107" s="108" t="n"/>
      <c r="L1107" s="119">
        <f>IF($C1107="","",DATE(YEAR($C1107),MONTH($C1107),1))</f>
        <v/>
      </c>
      <c r="M1107" s="112">
        <f>IF($C1107="","",IF(AND($D1107&lt;&gt;"",$E1107&lt;&gt;"",$G1107&gt;0,$H1107&lt;&gt;"",$I1107&lt;&gt;""),IF($C1107&gt;TODAY(),"İLERİ TARİH","UYGUN"),"EKSİK"))</f>
        <v/>
      </c>
      <c r="N1107" s="6" t="n"/>
      <c r="O1107" s="6" t="n"/>
    </row>
    <row r="1108">
      <c r="A1108" s="6" t="n"/>
      <c r="B1108" s="112">
        <f>IF($C1108="","","GG"&amp;TEXT(ROW()-6,"00000"))</f>
        <v/>
      </c>
      <c r="C1108" s="114" t="n"/>
      <c r="D1108" s="107" t="n"/>
      <c r="E1108" s="108" t="n"/>
      <c r="F1108" s="108" t="n"/>
      <c r="G1108" s="115" t="n"/>
      <c r="H1108" s="107" t="n"/>
      <c r="I1108" s="107" t="n"/>
      <c r="J1108" s="108" t="n"/>
      <c r="K1108" s="108" t="n"/>
      <c r="L1108" s="119">
        <f>IF($C1108="","",DATE(YEAR($C1108),MONTH($C1108),1))</f>
        <v/>
      </c>
      <c r="M1108" s="112">
        <f>IF($C1108="","",IF(AND($D1108&lt;&gt;"",$E1108&lt;&gt;"",$G1108&gt;0,$H1108&lt;&gt;"",$I1108&lt;&gt;""),IF($C1108&gt;TODAY(),"İLERİ TARİH","UYGUN"),"EKSİK"))</f>
        <v/>
      </c>
      <c r="N1108" s="6" t="n"/>
      <c r="O1108" s="6" t="n"/>
    </row>
    <row r="1109">
      <c r="A1109" s="6" t="n"/>
      <c r="B1109" s="112">
        <f>IF($C1109="","","GG"&amp;TEXT(ROW()-6,"00000"))</f>
        <v/>
      </c>
      <c r="C1109" s="114" t="n"/>
      <c r="D1109" s="107" t="n"/>
      <c r="E1109" s="108" t="n"/>
      <c r="F1109" s="108" t="n"/>
      <c r="G1109" s="115" t="n"/>
      <c r="H1109" s="107" t="n"/>
      <c r="I1109" s="107" t="n"/>
      <c r="J1109" s="108" t="n"/>
      <c r="K1109" s="108" t="n"/>
      <c r="L1109" s="119">
        <f>IF($C1109="","",DATE(YEAR($C1109),MONTH($C1109),1))</f>
        <v/>
      </c>
      <c r="M1109" s="112">
        <f>IF($C1109="","",IF(AND($D1109&lt;&gt;"",$E1109&lt;&gt;"",$G1109&gt;0,$H1109&lt;&gt;"",$I1109&lt;&gt;""),IF($C1109&gt;TODAY(),"İLERİ TARİH","UYGUN"),"EKSİK"))</f>
        <v/>
      </c>
      <c r="N1109" s="6" t="n"/>
      <c r="O1109" s="6" t="n"/>
    </row>
    <row r="1110">
      <c r="A1110" s="6" t="n"/>
      <c r="B1110" s="112">
        <f>IF($C1110="","","GG"&amp;TEXT(ROW()-6,"00000"))</f>
        <v/>
      </c>
      <c r="C1110" s="114" t="n"/>
      <c r="D1110" s="107" t="n"/>
      <c r="E1110" s="108" t="n"/>
      <c r="F1110" s="108" t="n"/>
      <c r="G1110" s="115" t="n"/>
      <c r="H1110" s="107" t="n"/>
      <c r="I1110" s="107" t="n"/>
      <c r="J1110" s="108" t="n"/>
      <c r="K1110" s="108" t="n"/>
      <c r="L1110" s="119">
        <f>IF($C1110="","",DATE(YEAR($C1110),MONTH($C1110),1))</f>
        <v/>
      </c>
      <c r="M1110" s="112">
        <f>IF($C1110="","",IF(AND($D1110&lt;&gt;"",$E1110&lt;&gt;"",$G1110&gt;0,$H1110&lt;&gt;"",$I1110&lt;&gt;""),IF($C1110&gt;TODAY(),"İLERİ TARİH","UYGUN"),"EKSİK"))</f>
        <v/>
      </c>
      <c r="N1110" s="6" t="n"/>
      <c r="O1110" s="6" t="n"/>
    </row>
    <row r="1111">
      <c r="A1111" s="6" t="n"/>
      <c r="B1111" s="112">
        <f>IF($C1111="","","GG"&amp;TEXT(ROW()-6,"00000"))</f>
        <v/>
      </c>
      <c r="C1111" s="114" t="n"/>
      <c r="D1111" s="107" t="n"/>
      <c r="E1111" s="108" t="n"/>
      <c r="F1111" s="108" t="n"/>
      <c r="G1111" s="115" t="n"/>
      <c r="H1111" s="107" t="n"/>
      <c r="I1111" s="107" t="n"/>
      <c r="J1111" s="108" t="n"/>
      <c r="K1111" s="108" t="n"/>
      <c r="L1111" s="119">
        <f>IF($C1111="","",DATE(YEAR($C1111),MONTH($C1111),1))</f>
        <v/>
      </c>
      <c r="M1111" s="112">
        <f>IF($C1111="","",IF(AND($D1111&lt;&gt;"",$E1111&lt;&gt;"",$G1111&gt;0,$H1111&lt;&gt;"",$I1111&lt;&gt;""),IF($C1111&gt;TODAY(),"İLERİ TARİH","UYGUN"),"EKSİK"))</f>
        <v/>
      </c>
      <c r="N1111" s="6" t="n"/>
      <c r="O1111" s="6" t="n"/>
    </row>
    <row r="1112">
      <c r="A1112" s="6" t="n"/>
      <c r="B1112" s="112">
        <f>IF($C1112="","","GG"&amp;TEXT(ROW()-6,"00000"))</f>
        <v/>
      </c>
      <c r="C1112" s="114" t="n"/>
      <c r="D1112" s="107" t="n"/>
      <c r="E1112" s="108" t="n"/>
      <c r="F1112" s="108" t="n"/>
      <c r="G1112" s="115" t="n"/>
      <c r="H1112" s="107" t="n"/>
      <c r="I1112" s="107" t="n"/>
      <c r="J1112" s="108" t="n"/>
      <c r="K1112" s="108" t="n"/>
      <c r="L1112" s="119">
        <f>IF($C1112="","",DATE(YEAR($C1112),MONTH($C1112),1))</f>
        <v/>
      </c>
      <c r="M1112" s="112">
        <f>IF($C1112="","",IF(AND($D1112&lt;&gt;"",$E1112&lt;&gt;"",$G1112&gt;0,$H1112&lt;&gt;"",$I1112&lt;&gt;""),IF($C1112&gt;TODAY(),"İLERİ TARİH","UYGUN"),"EKSİK"))</f>
        <v/>
      </c>
      <c r="N1112" s="6" t="n"/>
      <c r="O1112" s="6" t="n"/>
    </row>
    <row r="1113">
      <c r="A1113" s="6" t="n"/>
      <c r="B1113" s="112">
        <f>IF($C1113="","","GG"&amp;TEXT(ROW()-6,"00000"))</f>
        <v/>
      </c>
      <c r="C1113" s="114" t="n"/>
      <c r="D1113" s="107" t="n"/>
      <c r="E1113" s="108" t="n"/>
      <c r="F1113" s="108" t="n"/>
      <c r="G1113" s="115" t="n"/>
      <c r="H1113" s="107" t="n"/>
      <c r="I1113" s="107" t="n"/>
      <c r="J1113" s="108" t="n"/>
      <c r="K1113" s="108" t="n"/>
      <c r="L1113" s="119">
        <f>IF($C1113="","",DATE(YEAR($C1113),MONTH($C1113),1))</f>
        <v/>
      </c>
      <c r="M1113" s="112">
        <f>IF($C1113="","",IF(AND($D1113&lt;&gt;"",$E1113&lt;&gt;"",$G1113&gt;0,$H1113&lt;&gt;"",$I1113&lt;&gt;""),IF($C1113&gt;TODAY(),"İLERİ TARİH","UYGUN"),"EKSİK"))</f>
        <v/>
      </c>
      <c r="N1113" s="6" t="n"/>
      <c r="O1113" s="6" t="n"/>
    </row>
    <row r="1114">
      <c r="A1114" s="6" t="n"/>
      <c r="B1114" s="112">
        <f>IF($C1114="","","GG"&amp;TEXT(ROW()-6,"00000"))</f>
        <v/>
      </c>
      <c r="C1114" s="114" t="n"/>
      <c r="D1114" s="107" t="n"/>
      <c r="E1114" s="108" t="n"/>
      <c r="F1114" s="108" t="n"/>
      <c r="G1114" s="115" t="n"/>
      <c r="H1114" s="107" t="n"/>
      <c r="I1114" s="107" t="n"/>
      <c r="J1114" s="108" t="n"/>
      <c r="K1114" s="108" t="n"/>
      <c r="L1114" s="119">
        <f>IF($C1114="","",DATE(YEAR($C1114),MONTH($C1114),1))</f>
        <v/>
      </c>
      <c r="M1114" s="112">
        <f>IF($C1114="","",IF(AND($D1114&lt;&gt;"",$E1114&lt;&gt;"",$G1114&gt;0,$H1114&lt;&gt;"",$I1114&lt;&gt;""),IF($C1114&gt;TODAY(),"İLERİ TARİH","UYGUN"),"EKSİK"))</f>
        <v/>
      </c>
      <c r="N1114" s="6" t="n"/>
      <c r="O1114" s="6" t="n"/>
    </row>
    <row r="1115">
      <c r="A1115" s="6" t="n"/>
      <c r="B1115" s="112">
        <f>IF($C1115="","","GG"&amp;TEXT(ROW()-6,"00000"))</f>
        <v/>
      </c>
      <c r="C1115" s="114" t="n"/>
      <c r="D1115" s="107" t="n"/>
      <c r="E1115" s="108" t="n"/>
      <c r="F1115" s="108" t="n"/>
      <c r="G1115" s="115" t="n"/>
      <c r="H1115" s="107" t="n"/>
      <c r="I1115" s="107" t="n"/>
      <c r="J1115" s="108" t="n"/>
      <c r="K1115" s="108" t="n"/>
      <c r="L1115" s="119">
        <f>IF($C1115="","",DATE(YEAR($C1115),MONTH($C1115),1))</f>
        <v/>
      </c>
      <c r="M1115" s="112">
        <f>IF($C1115="","",IF(AND($D1115&lt;&gt;"",$E1115&lt;&gt;"",$G1115&gt;0,$H1115&lt;&gt;"",$I1115&lt;&gt;""),IF($C1115&gt;TODAY(),"İLERİ TARİH","UYGUN"),"EKSİK"))</f>
        <v/>
      </c>
      <c r="N1115" s="6" t="n"/>
      <c r="O1115" s="6" t="n"/>
    </row>
    <row r="1116">
      <c r="A1116" s="6" t="n"/>
      <c r="B1116" s="112">
        <f>IF($C1116="","","GG"&amp;TEXT(ROW()-6,"00000"))</f>
        <v/>
      </c>
      <c r="C1116" s="114" t="n"/>
      <c r="D1116" s="107" t="n"/>
      <c r="E1116" s="108" t="n"/>
      <c r="F1116" s="108" t="n"/>
      <c r="G1116" s="115" t="n"/>
      <c r="H1116" s="107" t="n"/>
      <c r="I1116" s="107" t="n"/>
      <c r="J1116" s="108" t="n"/>
      <c r="K1116" s="108" t="n"/>
      <c r="L1116" s="119">
        <f>IF($C1116="","",DATE(YEAR($C1116),MONTH($C1116),1))</f>
        <v/>
      </c>
      <c r="M1116" s="112">
        <f>IF($C1116="","",IF(AND($D1116&lt;&gt;"",$E1116&lt;&gt;"",$G1116&gt;0,$H1116&lt;&gt;"",$I1116&lt;&gt;""),IF($C1116&gt;TODAY(),"İLERİ TARİH","UYGUN"),"EKSİK"))</f>
        <v/>
      </c>
      <c r="N1116" s="6" t="n"/>
      <c r="O1116" s="6" t="n"/>
    </row>
    <row r="1117">
      <c r="A1117" s="6" t="n"/>
      <c r="B1117" s="112">
        <f>IF($C1117="","","GG"&amp;TEXT(ROW()-6,"00000"))</f>
        <v/>
      </c>
      <c r="C1117" s="114" t="n"/>
      <c r="D1117" s="107" t="n"/>
      <c r="E1117" s="108" t="n"/>
      <c r="F1117" s="108" t="n"/>
      <c r="G1117" s="115" t="n"/>
      <c r="H1117" s="107" t="n"/>
      <c r="I1117" s="107" t="n"/>
      <c r="J1117" s="108" t="n"/>
      <c r="K1117" s="108" t="n"/>
      <c r="L1117" s="119">
        <f>IF($C1117="","",DATE(YEAR($C1117),MONTH($C1117),1))</f>
        <v/>
      </c>
      <c r="M1117" s="112">
        <f>IF($C1117="","",IF(AND($D1117&lt;&gt;"",$E1117&lt;&gt;"",$G1117&gt;0,$H1117&lt;&gt;"",$I1117&lt;&gt;""),IF($C1117&gt;TODAY(),"İLERİ TARİH","UYGUN"),"EKSİK"))</f>
        <v/>
      </c>
      <c r="N1117" s="6" t="n"/>
      <c r="O1117" s="6" t="n"/>
    </row>
    <row r="1118">
      <c r="A1118" s="6" t="n"/>
      <c r="B1118" s="112">
        <f>IF($C1118="","","GG"&amp;TEXT(ROW()-6,"00000"))</f>
        <v/>
      </c>
      <c r="C1118" s="114" t="n"/>
      <c r="D1118" s="107" t="n"/>
      <c r="E1118" s="108" t="n"/>
      <c r="F1118" s="108" t="n"/>
      <c r="G1118" s="115" t="n"/>
      <c r="H1118" s="107" t="n"/>
      <c r="I1118" s="107" t="n"/>
      <c r="J1118" s="108" t="n"/>
      <c r="K1118" s="108" t="n"/>
      <c r="L1118" s="119">
        <f>IF($C1118="","",DATE(YEAR($C1118),MONTH($C1118),1))</f>
        <v/>
      </c>
      <c r="M1118" s="112">
        <f>IF($C1118="","",IF(AND($D1118&lt;&gt;"",$E1118&lt;&gt;"",$G1118&gt;0,$H1118&lt;&gt;"",$I1118&lt;&gt;""),IF($C1118&gt;TODAY(),"İLERİ TARİH","UYGUN"),"EKSİK"))</f>
        <v/>
      </c>
      <c r="N1118" s="6" t="n"/>
      <c r="O1118" s="6" t="n"/>
    </row>
    <row r="1119">
      <c r="A1119" s="6" t="n"/>
      <c r="B1119" s="112">
        <f>IF($C1119="","","GG"&amp;TEXT(ROW()-6,"00000"))</f>
        <v/>
      </c>
      <c r="C1119" s="114" t="n"/>
      <c r="D1119" s="107" t="n"/>
      <c r="E1119" s="108" t="n"/>
      <c r="F1119" s="108" t="n"/>
      <c r="G1119" s="115" t="n"/>
      <c r="H1119" s="107" t="n"/>
      <c r="I1119" s="107" t="n"/>
      <c r="J1119" s="108" t="n"/>
      <c r="K1119" s="108" t="n"/>
      <c r="L1119" s="119">
        <f>IF($C1119="","",DATE(YEAR($C1119),MONTH($C1119),1))</f>
        <v/>
      </c>
      <c r="M1119" s="112">
        <f>IF($C1119="","",IF(AND($D1119&lt;&gt;"",$E1119&lt;&gt;"",$G1119&gt;0,$H1119&lt;&gt;"",$I1119&lt;&gt;""),IF($C1119&gt;TODAY(),"İLERİ TARİH","UYGUN"),"EKSİK"))</f>
        <v/>
      </c>
      <c r="N1119" s="6" t="n"/>
      <c r="O1119" s="6" t="n"/>
    </row>
    <row r="1120">
      <c r="A1120" s="6" t="n"/>
      <c r="B1120" s="112">
        <f>IF($C1120="","","GG"&amp;TEXT(ROW()-6,"00000"))</f>
        <v/>
      </c>
      <c r="C1120" s="114" t="n"/>
      <c r="D1120" s="107" t="n"/>
      <c r="E1120" s="108" t="n"/>
      <c r="F1120" s="108" t="n"/>
      <c r="G1120" s="115" t="n"/>
      <c r="H1120" s="107" t="n"/>
      <c r="I1120" s="107" t="n"/>
      <c r="J1120" s="108" t="n"/>
      <c r="K1120" s="108" t="n"/>
      <c r="L1120" s="119">
        <f>IF($C1120="","",DATE(YEAR($C1120),MONTH($C1120),1))</f>
        <v/>
      </c>
      <c r="M1120" s="112">
        <f>IF($C1120="","",IF(AND($D1120&lt;&gt;"",$E1120&lt;&gt;"",$G1120&gt;0,$H1120&lt;&gt;"",$I1120&lt;&gt;""),IF($C1120&gt;TODAY(),"İLERİ TARİH","UYGUN"),"EKSİK"))</f>
        <v/>
      </c>
      <c r="N1120" s="6" t="n"/>
      <c r="O1120" s="6" t="n"/>
    </row>
    <row r="1121">
      <c r="A1121" s="6" t="n"/>
      <c r="B1121" s="112">
        <f>IF($C1121="","","GG"&amp;TEXT(ROW()-6,"00000"))</f>
        <v/>
      </c>
      <c r="C1121" s="114" t="n"/>
      <c r="D1121" s="107" t="n"/>
      <c r="E1121" s="108" t="n"/>
      <c r="F1121" s="108" t="n"/>
      <c r="G1121" s="115" t="n"/>
      <c r="H1121" s="107" t="n"/>
      <c r="I1121" s="107" t="n"/>
      <c r="J1121" s="108" t="n"/>
      <c r="K1121" s="108" t="n"/>
      <c r="L1121" s="119">
        <f>IF($C1121="","",DATE(YEAR($C1121),MONTH($C1121),1))</f>
        <v/>
      </c>
      <c r="M1121" s="112">
        <f>IF($C1121="","",IF(AND($D1121&lt;&gt;"",$E1121&lt;&gt;"",$G1121&gt;0,$H1121&lt;&gt;"",$I1121&lt;&gt;""),IF($C1121&gt;TODAY(),"İLERİ TARİH","UYGUN"),"EKSİK"))</f>
        <v/>
      </c>
      <c r="N1121" s="6" t="n"/>
      <c r="O1121" s="6" t="n"/>
    </row>
    <row r="1122">
      <c r="A1122" s="6" t="n"/>
      <c r="B1122" s="112">
        <f>IF($C1122="","","GG"&amp;TEXT(ROW()-6,"00000"))</f>
        <v/>
      </c>
      <c r="C1122" s="114" t="n"/>
      <c r="D1122" s="107" t="n"/>
      <c r="E1122" s="108" t="n"/>
      <c r="F1122" s="108" t="n"/>
      <c r="G1122" s="115" t="n"/>
      <c r="H1122" s="107" t="n"/>
      <c r="I1122" s="107" t="n"/>
      <c r="J1122" s="108" t="n"/>
      <c r="K1122" s="108" t="n"/>
      <c r="L1122" s="119">
        <f>IF($C1122="","",DATE(YEAR($C1122),MONTH($C1122),1))</f>
        <v/>
      </c>
      <c r="M1122" s="112">
        <f>IF($C1122="","",IF(AND($D1122&lt;&gt;"",$E1122&lt;&gt;"",$G1122&gt;0,$H1122&lt;&gt;"",$I1122&lt;&gt;""),IF($C1122&gt;TODAY(),"İLERİ TARİH","UYGUN"),"EKSİK"))</f>
        <v/>
      </c>
      <c r="N1122" s="6" t="n"/>
      <c r="O1122" s="6" t="n"/>
    </row>
    <row r="1123">
      <c r="A1123" s="6" t="n"/>
      <c r="B1123" s="112">
        <f>IF($C1123="","","GG"&amp;TEXT(ROW()-6,"00000"))</f>
        <v/>
      </c>
      <c r="C1123" s="114" t="n"/>
      <c r="D1123" s="107" t="n"/>
      <c r="E1123" s="108" t="n"/>
      <c r="F1123" s="108" t="n"/>
      <c r="G1123" s="115" t="n"/>
      <c r="H1123" s="107" t="n"/>
      <c r="I1123" s="107" t="n"/>
      <c r="J1123" s="108" t="n"/>
      <c r="K1123" s="108" t="n"/>
      <c r="L1123" s="119">
        <f>IF($C1123="","",DATE(YEAR($C1123),MONTH($C1123),1))</f>
        <v/>
      </c>
      <c r="M1123" s="112">
        <f>IF($C1123="","",IF(AND($D1123&lt;&gt;"",$E1123&lt;&gt;"",$G1123&gt;0,$H1123&lt;&gt;"",$I1123&lt;&gt;""),IF($C1123&gt;TODAY(),"İLERİ TARİH","UYGUN"),"EKSİK"))</f>
        <v/>
      </c>
      <c r="N1123" s="6" t="n"/>
      <c r="O1123" s="6" t="n"/>
    </row>
    <row r="1124">
      <c r="A1124" s="6" t="n"/>
      <c r="B1124" s="112">
        <f>IF($C1124="","","GG"&amp;TEXT(ROW()-6,"00000"))</f>
        <v/>
      </c>
      <c r="C1124" s="114" t="n"/>
      <c r="D1124" s="107" t="n"/>
      <c r="E1124" s="108" t="n"/>
      <c r="F1124" s="108" t="n"/>
      <c r="G1124" s="115" t="n"/>
      <c r="H1124" s="107" t="n"/>
      <c r="I1124" s="107" t="n"/>
      <c r="J1124" s="108" t="n"/>
      <c r="K1124" s="108" t="n"/>
      <c r="L1124" s="119">
        <f>IF($C1124="","",DATE(YEAR($C1124),MONTH($C1124),1))</f>
        <v/>
      </c>
      <c r="M1124" s="112">
        <f>IF($C1124="","",IF(AND($D1124&lt;&gt;"",$E1124&lt;&gt;"",$G1124&gt;0,$H1124&lt;&gt;"",$I1124&lt;&gt;""),IF($C1124&gt;TODAY(),"İLERİ TARİH","UYGUN"),"EKSİK"))</f>
        <v/>
      </c>
      <c r="N1124" s="6" t="n"/>
      <c r="O1124" s="6" t="n"/>
    </row>
    <row r="1125">
      <c r="A1125" s="6" t="n"/>
      <c r="B1125" s="112">
        <f>IF($C1125="","","GG"&amp;TEXT(ROW()-6,"00000"))</f>
        <v/>
      </c>
      <c r="C1125" s="114" t="n"/>
      <c r="D1125" s="107" t="n"/>
      <c r="E1125" s="108" t="n"/>
      <c r="F1125" s="108" t="n"/>
      <c r="G1125" s="115" t="n"/>
      <c r="H1125" s="107" t="n"/>
      <c r="I1125" s="107" t="n"/>
      <c r="J1125" s="108" t="n"/>
      <c r="K1125" s="108" t="n"/>
      <c r="L1125" s="119">
        <f>IF($C1125="","",DATE(YEAR($C1125),MONTH($C1125),1))</f>
        <v/>
      </c>
      <c r="M1125" s="112">
        <f>IF($C1125="","",IF(AND($D1125&lt;&gt;"",$E1125&lt;&gt;"",$G1125&gt;0,$H1125&lt;&gt;"",$I1125&lt;&gt;""),IF($C1125&gt;TODAY(),"İLERİ TARİH","UYGUN"),"EKSİK"))</f>
        <v/>
      </c>
      <c r="N1125" s="6" t="n"/>
      <c r="O1125" s="6" t="n"/>
    </row>
    <row r="1126">
      <c r="A1126" s="6" t="n"/>
      <c r="B1126" s="112">
        <f>IF($C1126="","","GG"&amp;TEXT(ROW()-6,"00000"))</f>
        <v/>
      </c>
      <c r="C1126" s="114" t="n"/>
      <c r="D1126" s="107" t="n"/>
      <c r="E1126" s="108" t="n"/>
      <c r="F1126" s="108" t="n"/>
      <c r="G1126" s="115" t="n"/>
      <c r="H1126" s="107" t="n"/>
      <c r="I1126" s="107" t="n"/>
      <c r="J1126" s="108" t="n"/>
      <c r="K1126" s="108" t="n"/>
      <c r="L1126" s="119">
        <f>IF($C1126="","",DATE(YEAR($C1126),MONTH($C1126),1))</f>
        <v/>
      </c>
      <c r="M1126" s="112">
        <f>IF($C1126="","",IF(AND($D1126&lt;&gt;"",$E1126&lt;&gt;"",$G1126&gt;0,$H1126&lt;&gt;"",$I1126&lt;&gt;""),IF($C1126&gt;TODAY(),"İLERİ TARİH","UYGUN"),"EKSİK"))</f>
        <v/>
      </c>
      <c r="N1126" s="6" t="n"/>
      <c r="O1126" s="6" t="n"/>
    </row>
    <row r="1127">
      <c r="A1127" s="6" t="n"/>
      <c r="B1127" s="112">
        <f>IF($C1127="","","GG"&amp;TEXT(ROW()-6,"00000"))</f>
        <v/>
      </c>
      <c r="C1127" s="114" t="n"/>
      <c r="D1127" s="107" t="n"/>
      <c r="E1127" s="108" t="n"/>
      <c r="F1127" s="108" t="n"/>
      <c r="G1127" s="115" t="n"/>
      <c r="H1127" s="107" t="n"/>
      <c r="I1127" s="107" t="n"/>
      <c r="J1127" s="108" t="n"/>
      <c r="K1127" s="108" t="n"/>
      <c r="L1127" s="119">
        <f>IF($C1127="","",DATE(YEAR($C1127),MONTH($C1127),1))</f>
        <v/>
      </c>
      <c r="M1127" s="112">
        <f>IF($C1127="","",IF(AND($D1127&lt;&gt;"",$E1127&lt;&gt;"",$G1127&gt;0,$H1127&lt;&gt;"",$I1127&lt;&gt;""),IF($C1127&gt;TODAY(),"İLERİ TARİH","UYGUN"),"EKSİK"))</f>
        <v/>
      </c>
      <c r="N1127" s="6" t="n"/>
      <c r="O1127" s="6" t="n"/>
    </row>
    <row r="1128">
      <c r="A1128" s="6" t="n"/>
      <c r="B1128" s="112">
        <f>IF($C1128="","","GG"&amp;TEXT(ROW()-6,"00000"))</f>
        <v/>
      </c>
      <c r="C1128" s="114" t="n"/>
      <c r="D1128" s="107" t="n"/>
      <c r="E1128" s="108" t="n"/>
      <c r="F1128" s="108" t="n"/>
      <c r="G1128" s="115" t="n"/>
      <c r="H1128" s="107" t="n"/>
      <c r="I1128" s="107" t="n"/>
      <c r="J1128" s="108" t="n"/>
      <c r="K1128" s="108" t="n"/>
      <c r="L1128" s="119">
        <f>IF($C1128="","",DATE(YEAR($C1128),MONTH($C1128),1))</f>
        <v/>
      </c>
      <c r="M1128" s="112">
        <f>IF($C1128="","",IF(AND($D1128&lt;&gt;"",$E1128&lt;&gt;"",$G1128&gt;0,$H1128&lt;&gt;"",$I1128&lt;&gt;""),IF($C1128&gt;TODAY(),"İLERİ TARİH","UYGUN"),"EKSİK"))</f>
        <v/>
      </c>
      <c r="N1128" s="6" t="n"/>
      <c r="O1128" s="6" t="n"/>
    </row>
    <row r="1129">
      <c r="A1129" s="6" t="n"/>
      <c r="B1129" s="112">
        <f>IF($C1129="","","GG"&amp;TEXT(ROW()-6,"00000"))</f>
        <v/>
      </c>
      <c r="C1129" s="114" t="n"/>
      <c r="D1129" s="107" t="n"/>
      <c r="E1129" s="108" t="n"/>
      <c r="F1129" s="108" t="n"/>
      <c r="G1129" s="115" t="n"/>
      <c r="H1129" s="107" t="n"/>
      <c r="I1129" s="107" t="n"/>
      <c r="J1129" s="108" t="n"/>
      <c r="K1129" s="108" t="n"/>
      <c r="L1129" s="119">
        <f>IF($C1129="","",DATE(YEAR($C1129),MONTH($C1129),1))</f>
        <v/>
      </c>
      <c r="M1129" s="112">
        <f>IF($C1129="","",IF(AND($D1129&lt;&gt;"",$E1129&lt;&gt;"",$G1129&gt;0,$H1129&lt;&gt;"",$I1129&lt;&gt;""),IF($C1129&gt;TODAY(),"İLERİ TARİH","UYGUN"),"EKSİK"))</f>
        <v/>
      </c>
      <c r="N1129" s="6" t="n"/>
      <c r="O1129" s="6" t="n"/>
    </row>
    <row r="1130">
      <c r="A1130" s="6" t="n"/>
      <c r="B1130" s="112">
        <f>IF($C1130="","","GG"&amp;TEXT(ROW()-6,"00000"))</f>
        <v/>
      </c>
      <c r="C1130" s="114" t="n"/>
      <c r="D1130" s="107" t="n"/>
      <c r="E1130" s="108" t="n"/>
      <c r="F1130" s="108" t="n"/>
      <c r="G1130" s="115" t="n"/>
      <c r="H1130" s="107" t="n"/>
      <c r="I1130" s="107" t="n"/>
      <c r="J1130" s="108" t="n"/>
      <c r="K1130" s="108" t="n"/>
      <c r="L1130" s="119">
        <f>IF($C1130="","",DATE(YEAR($C1130),MONTH($C1130),1))</f>
        <v/>
      </c>
      <c r="M1130" s="112">
        <f>IF($C1130="","",IF(AND($D1130&lt;&gt;"",$E1130&lt;&gt;"",$G1130&gt;0,$H1130&lt;&gt;"",$I1130&lt;&gt;""),IF($C1130&gt;TODAY(),"İLERİ TARİH","UYGUN"),"EKSİK"))</f>
        <v/>
      </c>
      <c r="N1130" s="6" t="n"/>
      <c r="O1130" s="6" t="n"/>
    </row>
    <row r="1131">
      <c r="A1131" s="6" t="n"/>
      <c r="B1131" s="112">
        <f>IF($C1131="","","GG"&amp;TEXT(ROW()-6,"00000"))</f>
        <v/>
      </c>
      <c r="C1131" s="114" t="n"/>
      <c r="D1131" s="107" t="n"/>
      <c r="E1131" s="108" t="n"/>
      <c r="F1131" s="108" t="n"/>
      <c r="G1131" s="115" t="n"/>
      <c r="H1131" s="107" t="n"/>
      <c r="I1131" s="107" t="n"/>
      <c r="J1131" s="108" t="n"/>
      <c r="K1131" s="108" t="n"/>
      <c r="L1131" s="119">
        <f>IF($C1131="","",DATE(YEAR($C1131),MONTH($C1131),1))</f>
        <v/>
      </c>
      <c r="M1131" s="112">
        <f>IF($C1131="","",IF(AND($D1131&lt;&gt;"",$E1131&lt;&gt;"",$G1131&gt;0,$H1131&lt;&gt;"",$I1131&lt;&gt;""),IF($C1131&gt;TODAY(),"İLERİ TARİH","UYGUN"),"EKSİK"))</f>
        <v/>
      </c>
      <c r="N1131" s="6" t="n"/>
      <c r="O1131" s="6" t="n"/>
    </row>
    <row r="1132">
      <c r="A1132" s="6" t="n"/>
      <c r="B1132" s="112">
        <f>IF($C1132="","","GG"&amp;TEXT(ROW()-6,"00000"))</f>
        <v/>
      </c>
      <c r="C1132" s="114" t="n"/>
      <c r="D1132" s="107" t="n"/>
      <c r="E1132" s="108" t="n"/>
      <c r="F1132" s="108" t="n"/>
      <c r="G1132" s="115" t="n"/>
      <c r="H1132" s="107" t="n"/>
      <c r="I1132" s="107" t="n"/>
      <c r="J1132" s="108" t="n"/>
      <c r="K1132" s="108" t="n"/>
      <c r="L1132" s="119">
        <f>IF($C1132="","",DATE(YEAR($C1132),MONTH($C1132),1))</f>
        <v/>
      </c>
      <c r="M1132" s="112">
        <f>IF($C1132="","",IF(AND($D1132&lt;&gt;"",$E1132&lt;&gt;"",$G1132&gt;0,$H1132&lt;&gt;"",$I1132&lt;&gt;""),IF($C1132&gt;TODAY(),"İLERİ TARİH","UYGUN"),"EKSİK"))</f>
        <v/>
      </c>
      <c r="N1132" s="6" t="n"/>
      <c r="O1132" s="6" t="n"/>
    </row>
    <row r="1133">
      <c r="A1133" s="6" t="n"/>
      <c r="B1133" s="112">
        <f>IF($C1133="","","GG"&amp;TEXT(ROW()-6,"00000"))</f>
        <v/>
      </c>
      <c r="C1133" s="114" t="n"/>
      <c r="D1133" s="107" t="n"/>
      <c r="E1133" s="108" t="n"/>
      <c r="F1133" s="108" t="n"/>
      <c r="G1133" s="115" t="n"/>
      <c r="H1133" s="107" t="n"/>
      <c r="I1133" s="107" t="n"/>
      <c r="J1133" s="108" t="n"/>
      <c r="K1133" s="108" t="n"/>
      <c r="L1133" s="119">
        <f>IF($C1133="","",DATE(YEAR($C1133),MONTH($C1133),1))</f>
        <v/>
      </c>
      <c r="M1133" s="112">
        <f>IF($C1133="","",IF(AND($D1133&lt;&gt;"",$E1133&lt;&gt;"",$G1133&gt;0,$H1133&lt;&gt;"",$I1133&lt;&gt;""),IF($C1133&gt;TODAY(),"İLERİ TARİH","UYGUN"),"EKSİK"))</f>
        <v/>
      </c>
      <c r="N1133" s="6" t="n"/>
      <c r="O1133" s="6" t="n"/>
    </row>
    <row r="1134">
      <c r="A1134" s="6" t="n"/>
      <c r="B1134" s="112">
        <f>IF($C1134="","","GG"&amp;TEXT(ROW()-6,"00000"))</f>
        <v/>
      </c>
      <c r="C1134" s="114" t="n"/>
      <c r="D1134" s="107" t="n"/>
      <c r="E1134" s="108" t="n"/>
      <c r="F1134" s="108" t="n"/>
      <c r="G1134" s="115" t="n"/>
      <c r="H1134" s="107" t="n"/>
      <c r="I1134" s="107" t="n"/>
      <c r="J1134" s="108" t="n"/>
      <c r="K1134" s="108" t="n"/>
      <c r="L1134" s="119">
        <f>IF($C1134="","",DATE(YEAR($C1134),MONTH($C1134),1))</f>
        <v/>
      </c>
      <c r="M1134" s="112">
        <f>IF($C1134="","",IF(AND($D1134&lt;&gt;"",$E1134&lt;&gt;"",$G1134&gt;0,$H1134&lt;&gt;"",$I1134&lt;&gt;""),IF($C1134&gt;TODAY(),"İLERİ TARİH","UYGUN"),"EKSİK"))</f>
        <v/>
      </c>
      <c r="N1134" s="6" t="n"/>
      <c r="O1134" s="6" t="n"/>
    </row>
    <row r="1135">
      <c r="A1135" s="6" t="n"/>
      <c r="B1135" s="112">
        <f>IF($C1135="","","GG"&amp;TEXT(ROW()-6,"00000"))</f>
        <v/>
      </c>
      <c r="C1135" s="114" t="n"/>
      <c r="D1135" s="107" t="n"/>
      <c r="E1135" s="108" t="n"/>
      <c r="F1135" s="108" t="n"/>
      <c r="G1135" s="115" t="n"/>
      <c r="H1135" s="107" t="n"/>
      <c r="I1135" s="107" t="n"/>
      <c r="J1135" s="108" t="n"/>
      <c r="K1135" s="108" t="n"/>
      <c r="L1135" s="119">
        <f>IF($C1135="","",DATE(YEAR($C1135),MONTH($C1135),1))</f>
        <v/>
      </c>
      <c r="M1135" s="112">
        <f>IF($C1135="","",IF(AND($D1135&lt;&gt;"",$E1135&lt;&gt;"",$G1135&gt;0,$H1135&lt;&gt;"",$I1135&lt;&gt;""),IF($C1135&gt;TODAY(),"İLERİ TARİH","UYGUN"),"EKSİK"))</f>
        <v/>
      </c>
      <c r="N1135" s="6" t="n"/>
      <c r="O1135" s="6" t="n"/>
    </row>
    <row r="1136">
      <c r="A1136" s="6" t="n"/>
      <c r="B1136" s="112">
        <f>IF($C1136="","","GG"&amp;TEXT(ROW()-6,"00000"))</f>
        <v/>
      </c>
      <c r="C1136" s="114" t="n"/>
      <c r="D1136" s="107" t="n"/>
      <c r="E1136" s="108" t="n"/>
      <c r="F1136" s="108" t="n"/>
      <c r="G1136" s="115" t="n"/>
      <c r="H1136" s="107" t="n"/>
      <c r="I1136" s="107" t="n"/>
      <c r="J1136" s="108" t="n"/>
      <c r="K1136" s="108" t="n"/>
      <c r="L1136" s="119">
        <f>IF($C1136="","",DATE(YEAR($C1136),MONTH($C1136),1))</f>
        <v/>
      </c>
      <c r="M1136" s="112">
        <f>IF($C1136="","",IF(AND($D1136&lt;&gt;"",$E1136&lt;&gt;"",$G1136&gt;0,$H1136&lt;&gt;"",$I1136&lt;&gt;""),IF($C1136&gt;TODAY(),"İLERİ TARİH","UYGUN"),"EKSİK"))</f>
        <v/>
      </c>
      <c r="N1136" s="6" t="n"/>
      <c r="O1136" s="6" t="n"/>
    </row>
    <row r="1137">
      <c r="A1137" s="6" t="n"/>
      <c r="B1137" s="112">
        <f>IF($C1137="","","GG"&amp;TEXT(ROW()-6,"00000"))</f>
        <v/>
      </c>
      <c r="C1137" s="114" t="n"/>
      <c r="D1137" s="107" t="n"/>
      <c r="E1137" s="108" t="n"/>
      <c r="F1137" s="108" t="n"/>
      <c r="G1137" s="115" t="n"/>
      <c r="H1137" s="107" t="n"/>
      <c r="I1137" s="107" t="n"/>
      <c r="J1137" s="108" t="n"/>
      <c r="K1137" s="108" t="n"/>
      <c r="L1137" s="119">
        <f>IF($C1137="","",DATE(YEAR($C1137),MONTH($C1137),1))</f>
        <v/>
      </c>
      <c r="M1137" s="112">
        <f>IF($C1137="","",IF(AND($D1137&lt;&gt;"",$E1137&lt;&gt;"",$G1137&gt;0,$H1137&lt;&gt;"",$I1137&lt;&gt;""),IF($C1137&gt;TODAY(),"İLERİ TARİH","UYGUN"),"EKSİK"))</f>
        <v/>
      </c>
      <c r="N1137" s="6" t="n"/>
      <c r="O1137" s="6" t="n"/>
    </row>
    <row r="1138">
      <c r="A1138" s="6" t="n"/>
      <c r="B1138" s="112">
        <f>IF($C1138="","","GG"&amp;TEXT(ROW()-6,"00000"))</f>
        <v/>
      </c>
      <c r="C1138" s="114" t="n"/>
      <c r="D1138" s="107" t="n"/>
      <c r="E1138" s="108" t="n"/>
      <c r="F1138" s="108" t="n"/>
      <c r="G1138" s="115" t="n"/>
      <c r="H1138" s="107" t="n"/>
      <c r="I1138" s="107" t="n"/>
      <c r="J1138" s="108" t="n"/>
      <c r="K1138" s="108" t="n"/>
      <c r="L1138" s="119">
        <f>IF($C1138="","",DATE(YEAR($C1138),MONTH($C1138),1))</f>
        <v/>
      </c>
      <c r="M1138" s="112">
        <f>IF($C1138="","",IF(AND($D1138&lt;&gt;"",$E1138&lt;&gt;"",$G1138&gt;0,$H1138&lt;&gt;"",$I1138&lt;&gt;""),IF($C1138&gt;TODAY(),"İLERİ TARİH","UYGUN"),"EKSİK"))</f>
        <v/>
      </c>
      <c r="N1138" s="6" t="n"/>
      <c r="O1138" s="6" t="n"/>
    </row>
    <row r="1139">
      <c r="A1139" s="6" t="n"/>
      <c r="B1139" s="112">
        <f>IF($C1139="","","GG"&amp;TEXT(ROW()-6,"00000"))</f>
        <v/>
      </c>
      <c r="C1139" s="114" t="n"/>
      <c r="D1139" s="107" t="n"/>
      <c r="E1139" s="108" t="n"/>
      <c r="F1139" s="108" t="n"/>
      <c r="G1139" s="115" t="n"/>
      <c r="H1139" s="107" t="n"/>
      <c r="I1139" s="107" t="n"/>
      <c r="J1139" s="108" t="n"/>
      <c r="K1139" s="108" t="n"/>
      <c r="L1139" s="119">
        <f>IF($C1139="","",DATE(YEAR($C1139),MONTH($C1139),1))</f>
        <v/>
      </c>
      <c r="M1139" s="112">
        <f>IF($C1139="","",IF(AND($D1139&lt;&gt;"",$E1139&lt;&gt;"",$G1139&gt;0,$H1139&lt;&gt;"",$I1139&lt;&gt;""),IF($C1139&gt;TODAY(),"İLERİ TARİH","UYGUN"),"EKSİK"))</f>
        <v/>
      </c>
      <c r="N1139" s="6" t="n"/>
      <c r="O1139" s="6" t="n"/>
    </row>
    <row r="1140">
      <c r="A1140" s="6" t="n"/>
      <c r="B1140" s="112">
        <f>IF($C1140="","","GG"&amp;TEXT(ROW()-6,"00000"))</f>
        <v/>
      </c>
      <c r="C1140" s="114" t="n"/>
      <c r="D1140" s="107" t="n"/>
      <c r="E1140" s="108" t="n"/>
      <c r="F1140" s="108" t="n"/>
      <c r="G1140" s="115" t="n"/>
      <c r="H1140" s="107" t="n"/>
      <c r="I1140" s="107" t="n"/>
      <c r="J1140" s="108" t="n"/>
      <c r="K1140" s="108" t="n"/>
      <c r="L1140" s="119">
        <f>IF($C1140="","",DATE(YEAR($C1140),MONTH($C1140),1))</f>
        <v/>
      </c>
      <c r="M1140" s="112">
        <f>IF($C1140="","",IF(AND($D1140&lt;&gt;"",$E1140&lt;&gt;"",$G1140&gt;0,$H1140&lt;&gt;"",$I1140&lt;&gt;""),IF($C1140&gt;TODAY(),"İLERİ TARİH","UYGUN"),"EKSİK"))</f>
        <v/>
      </c>
      <c r="N1140" s="6" t="n"/>
      <c r="O1140" s="6" t="n"/>
    </row>
    <row r="1141">
      <c r="A1141" s="6" t="n"/>
      <c r="B1141" s="112">
        <f>IF($C1141="","","GG"&amp;TEXT(ROW()-6,"00000"))</f>
        <v/>
      </c>
      <c r="C1141" s="114" t="n"/>
      <c r="D1141" s="107" t="n"/>
      <c r="E1141" s="108" t="n"/>
      <c r="F1141" s="108" t="n"/>
      <c r="G1141" s="115" t="n"/>
      <c r="H1141" s="107" t="n"/>
      <c r="I1141" s="107" t="n"/>
      <c r="J1141" s="108" t="n"/>
      <c r="K1141" s="108" t="n"/>
      <c r="L1141" s="119">
        <f>IF($C1141="","",DATE(YEAR($C1141),MONTH($C1141),1))</f>
        <v/>
      </c>
      <c r="M1141" s="112">
        <f>IF($C1141="","",IF(AND($D1141&lt;&gt;"",$E1141&lt;&gt;"",$G1141&gt;0,$H1141&lt;&gt;"",$I1141&lt;&gt;""),IF($C1141&gt;TODAY(),"İLERİ TARİH","UYGUN"),"EKSİK"))</f>
        <v/>
      </c>
      <c r="N1141" s="6" t="n"/>
      <c r="O1141" s="6" t="n"/>
    </row>
    <row r="1142">
      <c r="A1142" s="6" t="n"/>
      <c r="B1142" s="112">
        <f>IF($C1142="","","GG"&amp;TEXT(ROW()-6,"00000"))</f>
        <v/>
      </c>
      <c r="C1142" s="114" t="n"/>
      <c r="D1142" s="107" t="n"/>
      <c r="E1142" s="108" t="n"/>
      <c r="F1142" s="108" t="n"/>
      <c r="G1142" s="115" t="n"/>
      <c r="H1142" s="107" t="n"/>
      <c r="I1142" s="107" t="n"/>
      <c r="J1142" s="108" t="n"/>
      <c r="K1142" s="108" t="n"/>
      <c r="L1142" s="119">
        <f>IF($C1142="","",DATE(YEAR($C1142),MONTH($C1142),1))</f>
        <v/>
      </c>
      <c r="M1142" s="112">
        <f>IF($C1142="","",IF(AND($D1142&lt;&gt;"",$E1142&lt;&gt;"",$G1142&gt;0,$H1142&lt;&gt;"",$I1142&lt;&gt;""),IF($C1142&gt;TODAY(),"İLERİ TARİH","UYGUN"),"EKSİK"))</f>
        <v/>
      </c>
      <c r="N1142" s="6" t="n"/>
      <c r="O1142" s="6" t="n"/>
    </row>
    <row r="1143">
      <c r="A1143" s="6" t="n"/>
      <c r="B1143" s="112">
        <f>IF($C1143="","","GG"&amp;TEXT(ROW()-6,"00000"))</f>
        <v/>
      </c>
      <c r="C1143" s="114" t="n"/>
      <c r="D1143" s="107" t="n"/>
      <c r="E1143" s="108" t="n"/>
      <c r="F1143" s="108" t="n"/>
      <c r="G1143" s="115" t="n"/>
      <c r="H1143" s="107" t="n"/>
      <c r="I1143" s="107" t="n"/>
      <c r="J1143" s="108" t="n"/>
      <c r="K1143" s="108" t="n"/>
      <c r="L1143" s="119">
        <f>IF($C1143="","",DATE(YEAR($C1143),MONTH($C1143),1))</f>
        <v/>
      </c>
      <c r="M1143" s="112">
        <f>IF($C1143="","",IF(AND($D1143&lt;&gt;"",$E1143&lt;&gt;"",$G1143&gt;0,$H1143&lt;&gt;"",$I1143&lt;&gt;""),IF($C1143&gt;TODAY(),"İLERİ TARİH","UYGUN"),"EKSİK"))</f>
        <v/>
      </c>
      <c r="N1143" s="6" t="n"/>
      <c r="O1143" s="6" t="n"/>
    </row>
    <row r="1144">
      <c r="A1144" s="6" t="n"/>
      <c r="B1144" s="112">
        <f>IF($C1144="","","GG"&amp;TEXT(ROW()-6,"00000"))</f>
        <v/>
      </c>
      <c r="C1144" s="114" t="n"/>
      <c r="D1144" s="107" t="n"/>
      <c r="E1144" s="108" t="n"/>
      <c r="F1144" s="108" t="n"/>
      <c r="G1144" s="115" t="n"/>
      <c r="H1144" s="107" t="n"/>
      <c r="I1144" s="107" t="n"/>
      <c r="J1144" s="108" t="n"/>
      <c r="K1144" s="108" t="n"/>
      <c r="L1144" s="119">
        <f>IF($C1144="","",DATE(YEAR($C1144),MONTH($C1144),1))</f>
        <v/>
      </c>
      <c r="M1144" s="112">
        <f>IF($C1144="","",IF(AND($D1144&lt;&gt;"",$E1144&lt;&gt;"",$G1144&gt;0,$H1144&lt;&gt;"",$I1144&lt;&gt;""),IF($C1144&gt;TODAY(),"İLERİ TARİH","UYGUN"),"EKSİK"))</f>
        <v/>
      </c>
      <c r="N1144" s="6" t="n"/>
      <c r="O1144" s="6" t="n"/>
    </row>
    <row r="1145">
      <c r="A1145" s="6" t="n"/>
      <c r="B1145" s="112">
        <f>IF($C1145="","","GG"&amp;TEXT(ROW()-6,"00000"))</f>
        <v/>
      </c>
      <c r="C1145" s="114" t="n"/>
      <c r="D1145" s="107" t="n"/>
      <c r="E1145" s="108" t="n"/>
      <c r="F1145" s="108" t="n"/>
      <c r="G1145" s="115" t="n"/>
      <c r="H1145" s="107" t="n"/>
      <c r="I1145" s="107" t="n"/>
      <c r="J1145" s="108" t="n"/>
      <c r="K1145" s="108" t="n"/>
      <c r="L1145" s="119">
        <f>IF($C1145="","",DATE(YEAR($C1145),MONTH($C1145),1))</f>
        <v/>
      </c>
      <c r="M1145" s="112">
        <f>IF($C1145="","",IF(AND($D1145&lt;&gt;"",$E1145&lt;&gt;"",$G1145&gt;0,$H1145&lt;&gt;"",$I1145&lt;&gt;""),IF($C1145&gt;TODAY(),"İLERİ TARİH","UYGUN"),"EKSİK"))</f>
        <v/>
      </c>
      <c r="N1145" s="6" t="n"/>
      <c r="O1145" s="6" t="n"/>
    </row>
    <row r="1146">
      <c r="A1146" s="6" t="n"/>
      <c r="B1146" s="112">
        <f>IF($C1146="","","GG"&amp;TEXT(ROW()-6,"00000"))</f>
        <v/>
      </c>
      <c r="C1146" s="114" t="n"/>
      <c r="D1146" s="107" t="n"/>
      <c r="E1146" s="108" t="n"/>
      <c r="F1146" s="108" t="n"/>
      <c r="G1146" s="115" t="n"/>
      <c r="H1146" s="107" t="n"/>
      <c r="I1146" s="107" t="n"/>
      <c r="J1146" s="108" t="n"/>
      <c r="K1146" s="108" t="n"/>
      <c r="L1146" s="119">
        <f>IF($C1146="","",DATE(YEAR($C1146),MONTH($C1146),1))</f>
        <v/>
      </c>
      <c r="M1146" s="112">
        <f>IF($C1146="","",IF(AND($D1146&lt;&gt;"",$E1146&lt;&gt;"",$G1146&gt;0,$H1146&lt;&gt;"",$I1146&lt;&gt;""),IF($C1146&gt;TODAY(),"İLERİ TARİH","UYGUN"),"EKSİK"))</f>
        <v/>
      </c>
      <c r="N1146" s="6" t="n"/>
      <c r="O1146" s="6" t="n"/>
    </row>
    <row r="1147">
      <c r="A1147" s="6" t="n"/>
      <c r="B1147" s="112">
        <f>IF($C1147="","","GG"&amp;TEXT(ROW()-6,"00000"))</f>
        <v/>
      </c>
      <c r="C1147" s="114" t="n"/>
      <c r="D1147" s="107" t="n"/>
      <c r="E1147" s="108" t="n"/>
      <c r="F1147" s="108" t="n"/>
      <c r="G1147" s="115" t="n"/>
      <c r="H1147" s="107" t="n"/>
      <c r="I1147" s="107" t="n"/>
      <c r="J1147" s="108" t="n"/>
      <c r="K1147" s="108" t="n"/>
      <c r="L1147" s="119">
        <f>IF($C1147="","",DATE(YEAR($C1147),MONTH($C1147),1))</f>
        <v/>
      </c>
      <c r="M1147" s="112">
        <f>IF($C1147="","",IF(AND($D1147&lt;&gt;"",$E1147&lt;&gt;"",$G1147&gt;0,$H1147&lt;&gt;"",$I1147&lt;&gt;""),IF($C1147&gt;TODAY(),"İLERİ TARİH","UYGUN"),"EKSİK"))</f>
        <v/>
      </c>
      <c r="N1147" s="6" t="n"/>
      <c r="O1147" s="6" t="n"/>
    </row>
    <row r="1148">
      <c r="A1148" s="6" t="n"/>
      <c r="B1148" s="112">
        <f>IF($C1148="","","GG"&amp;TEXT(ROW()-6,"00000"))</f>
        <v/>
      </c>
      <c r="C1148" s="114" t="n"/>
      <c r="D1148" s="107" t="n"/>
      <c r="E1148" s="108" t="n"/>
      <c r="F1148" s="108" t="n"/>
      <c r="G1148" s="115" t="n"/>
      <c r="H1148" s="107" t="n"/>
      <c r="I1148" s="107" t="n"/>
      <c r="J1148" s="108" t="n"/>
      <c r="K1148" s="108" t="n"/>
      <c r="L1148" s="119">
        <f>IF($C1148="","",DATE(YEAR($C1148),MONTH($C1148),1))</f>
        <v/>
      </c>
      <c r="M1148" s="112">
        <f>IF($C1148="","",IF(AND($D1148&lt;&gt;"",$E1148&lt;&gt;"",$G1148&gt;0,$H1148&lt;&gt;"",$I1148&lt;&gt;""),IF($C1148&gt;TODAY(),"İLERİ TARİH","UYGUN"),"EKSİK"))</f>
        <v/>
      </c>
      <c r="N1148" s="6" t="n"/>
      <c r="O1148" s="6" t="n"/>
    </row>
    <row r="1149">
      <c r="A1149" s="6" t="n"/>
      <c r="B1149" s="112">
        <f>IF($C1149="","","GG"&amp;TEXT(ROW()-6,"00000"))</f>
        <v/>
      </c>
      <c r="C1149" s="114" t="n"/>
      <c r="D1149" s="107" t="n"/>
      <c r="E1149" s="108" t="n"/>
      <c r="F1149" s="108" t="n"/>
      <c r="G1149" s="115" t="n"/>
      <c r="H1149" s="107" t="n"/>
      <c r="I1149" s="107" t="n"/>
      <c r="J1149" s="108" t="n"/>
      <c r="K1149" s="108" t="n"/>
      <c r="L1149" s="119">
        <f>IF($C1149="","",DATE(YEAR($C1149),MONTH($C1149),1))</f>
        <v/>
      </c>
      <c r="M1149" s="112">
        <f>IF($C1149="","",IF(AND($D1149&lt;&gt;"",$E1149&lt;&gt;"",$G1149&gt;0,$H1149&lt;&gt;"",$I1149&lt;&gt;""),IF($C1149&gt;TODAY(),"İLERİ TARİH","UYGUN"),"EKSİK"))</f>
        <v/>
      </c>
      <c r="N1149" s="6" t="n"/>
      <c r="O1149" s="6" t="n"/>
    </row>
    <row r="1150">
      <c r="A1150" s="6" t="n"/>
      <c r="B1150" s="112">
        <f>IF($C1150="","","GG"&amp;TEXT(ROW()-6,"00000"))</f>
        <v/>
      </c>
      <c r="C1150" s="114" t="n"/>
      <c r="D1150" s="107" t="n"/>
      <c r="E1150" s="108" t="n"/>
      <c r="F1150" s="108" t="n"/>
      <c r="G1150" s="115" t="n"/>
      <c r="H1150" s="107" t="n"/>
      <c r="I1150" s="107" t="n"/>
      <c r="J1150" s="108" t="n"/>
      <c r="K1150" s="108" t="n"/>
      <c r="L1150" s="119">
        <f>IF($C1150="","",DATE(YEAR($C1150),MONTH($C1150),1))</f>
        <v/>
      </c>
      <c r="M1150" s="112">
        <f>IF($C1150="","",IF(AND($D1150&lt;&gt;"",$E1150&lt;&gt;"",$G1150&gt;0,$H1150&lt;&gt;"",$I1150&lt;&gt;""),IF($C1150&gt;TODAY(),"İLERİ TARİH","UYGUN"),"EKSİK"))</f>
        <v/>
      </c>
      <c r="N1150" s="6" t="n"/>
      <c r="O1150" s="6" t="n"/>
    </row>
    <row r="1151">
      <c r="A1151" s="6" t="n"/>
      <c r="B1151" s="112">
        <f>IF($C1151="","","GG"&amp;TEXT(ROW()-6,"00000"))</f>
        <v/>
      </c>
      <c r="C1151" s="114" t="n"/>
      <c r="D1151" s="107" t="n"/>
      <c r="E1151" s="108" t="n"/>
      <c r="F1151" s="108" t="n"/>
      <c r="G1151" s="115" t="n"/>
      <c r="H1151" s="107" t="n"/>
      <c r="I1151" s="107" t="n"/>
      <c r="J1151" s="108" t="n"/>
      <c r="K1151" s="108" t="n"/>
      <c r="L1151" s="119">
        <f>IF($C1151="","",DATE(YEAR($C1151),MONTH($C1151),1))</f>
        <v/>
      </c>
      <c r="M1151" s="112">
        <f>IF($C1151="","",IF(AND($D1151&lt;&gt;"",$E1151&lt;&gt;"",$G1151&gt;0,$H1151&lt;&gt;"",$I1151&lt;&gt;""),IF($C1151&gt;TODAY(),"İLERİ TARİH","UYGUN"),"EKSİK"))</f>
        <v/>
      </c>
      <c r="N1151" s="6" t="n"/>
      <c r="O1151" s="6" t="n"/>
    </row>
    <row r="1152">
      <c r="A1152" s="6" t="n"/>
      <c r="B1152" s="112">
        <f>IF($C1152="","","GG"&amp;TEXT(ROW()-6,"00000"))</f>
        <v/>
      </c>
      <c r="C1152" s="114" t="n"/>
      <c r="D1152" s="107" t="n"/>
      <c r="E1152" s="108" t="n"/>
      <c r="F1152" s="108" t="n"/>
      <c r="G1152" s="115" t="n"/>
      <c r="H1152" s="107" t="n"/>
      <c r="I1152" s="107" t="n"/>
      <c r="J1152" s="108" t="n"/>
      <c r="K1152" s="108" t="n"/>
      <c r="L1152" s="119">
        <f>IF($C1152="","",DATE(YEAR($C1152),MONTH($C1152),1))</f>
        <v/>
      </c>
      <c r="M1152" s="112">
        <f>IF($C1152="","",IF(AND($D1152&lt;&gt;"",$E1152&lt;&gt;"",$G1152&gt;0,$H1152&lt;&gt;"",$I1152&lt;&gt;""),IF($C1152&gt;TODAY(),"İLERİ TARİH","UYGUN"),"EKSİK"))</f>
        <v/>
      </c>
      <c r="N1152" s="6" t="n"/>
      <c r="O1152" s="6" t="n"/>
    </row>
    <row r="1153">
      <c r="A1153" s="6" t="n"/>
      <c r="B1153" s="112">
        <f>IF($C1153="","","GG"&amp;TEXT(ROW()-6,"00000"))</f>
        <v/>
      </c>
      <c r="C1153" s="114" t="n"/>
      <c r="D1153" s="107" t="n"/>
      <c r="E1153" s="108" t="n"/>
      <c r="F1153" s="108" t="n"/>
      <c r="G1153" s="115" t="n"/>
      <c r="H1153" s="107" t="n"/>
      <c r="I1153" s="107" t="n"/>
      <c r="J1153" s="108" t="n"/>
      <c r="K1153" s="108" t="n"/>
      <c r="L1153" s="119">
        <f>IF($C1153="","",DATE(YEAR($C1153),MONTH($C1153),1))</f>
        <v/>
      </c>
      <c r="M1153" s="112">
        <f>IF($C1153="","",IF(AND($D1153&lt;&gt;"",$E1153&lt;&gt;"",$G1153&gt;0,$H1153&lt;&gt;"",$I1153&lt;&gt;""),IF($C1153&gt;TODAY(),"İLERİ TARİH","UYGUN"),"EKSİK"))</f>
        <v/>
      </c>
      <c r="N1153" s="6" t="n"/>
      <c r="O1153" s="6" t="n"/>
    </row>
    <row r="1154">
      <c r="A1154" s="6" t="n"/>
      <c r="B1154" s="112">
        <f>IF($C1154="","","GG"&amp;TEXT(ROW()-6,"00000"))</f>
        <v/>
      </c>
      <c r="C1154" s="114" t="n"/>
      <c r="D1154" s="107" t="n"/>
      <c r="E1154" s="108" t="n"/>
      <c r="F1154" s="108" t="n"/>
      <c r="G1154" s="115" t="n"/>
      <c r="H1154" s="107" t="n"/>
      <c r="I1154" s="107" t="n"/>
      <c r="J1154" s="108" t="n"/>
      <c r="K1154" s="108" t="n"/>
      <c r="L1154" s="119">
        <f>IF($C1154="","",DATE(YEAR($C1154),MONTH($C1154),1))</f>
        <v/>
      </c>
      <c r="M1154" s="112">
        <f>IF($C1154="","",IF(AND($D1154&lt;&gt;"",$E1154&lt;&gt;"",$G1154&gt;0,$H1154&lt;&gt;"",$I1154&lt;&gt;""),IF($C1154&gt;TODAY(),"İLERİ TARİH","UYGUN"),"EKSİK"))</f>
        <v/>
      </c>
      <c r="N1154" s="6" t="n"/>
      <c r="O1154" s="6" t="n"/>
    </row>
    <row r="1155">
      <c r="A1155" s="6" t="n"/>
      <c r="B1155" s="112">
        <f>IF($C1155="","","GG"&amp;TEXT(ROW()-6,"00000"))</f>
        <v/>
      </c>
      <c r="C1155" s="114" t="n"/>
      <c r="D1155" s="107" t="n"/>
      <c r="E1155" s="108" t="n"/>
      <c r="F1155" s="108" t="n"/>
      <c r="G1155" s="115" t="n"/>
      <c r="H1155" s="107" t="n"/>
      <c r="I1155" s="107" t="n"/>
      <c r="J1155" s="108" t="n"/>
      <c r="K1155" s="108" t="n"/>
      <c r="L1155" s="119">
        <f>IF($C1155="","",DATE(YEAR($C1155),MONTH($C1155),1))</f>
        <v/>
      </c>
      <c r="M1155" s="112">
        <f>IF($C1155="","",IF(AND($D1155&lt;&gt;"",$E1155&lt;&gt;"",$G1155&gt;0,$H1155&lt;&gt;"",$I1155&lt;&gt;""),IF($C1155&gt;TODAY(),"İLERİ TARİH","UYGUN"),"EKSİK"))</f>
        <v/>
      </c>
      <c r="N1155" s="6" t="n"/>
      <c r="O1155" s="6" t="n"/>
    </row>
    <row r="1156">
      <c r="A1156" s="6" t="n"/>
      <c r="B1156" s="112">
        <f>IF($C1156="","","GG"&amp;TEXT(ROW()-6,"00000"))</f>
        <v/>
      </c>
      <c r="C1156" s="114" t="n"/>
      <c r="D1156" s="107" t="n"/>
      <c r="E1156" s="108" t="n"/>
      <c r="F1156" s="108" t="n"/>
      <c r="G1156" s="115" t="n"/>
      <c r="H1156" s="107" t="n"/>
      <c r="I1156" s="107" t="n"/>
      <c r="J1156" s="108" t="n"/>
      <c r="K1156" s="108" t="n"/>
      <c r="L1156" s="119">
        <f>IF($C1156="","",DATE(YEAR($C1156),MONTH($C1156),1))</f>
        <v/>
      </c>
      <c r="M1156" s="112">
        <f>IF($C1156="","",IF(AND($D1156&lt;&gt;"",$E1156&lt;&gt;"",$G1156&gt;0,$H1156&lt;&gt;"",$I1156&lt;&gt;""),IF($C1156&gt;TODAY(),"İLERİ TARİH","UYGUN"),"EKSİK"))</f>
        <v/>
      </c>
      <c r="N1156" s="6" t="n"/>
      <c r="O1156" s="6" t="n"/>
    </row>
    <row r="1157">
      <c r="A1157" s="6" t="n"/>
      <c r="B1157" s="112">
        <f>IF($C1157="","","GG"&amp;TEXT(ROW()-6,"00000"))</f>
        <v/>
      </c>
      <c r="C1157" s="114" t="n"/>
      <c r="D1157" s="107" t="n"/>
      <c r="E1157" s="108" t="n"/>
      <c r="F1157" s="108" t="n"/>
      <c r="G1157" s="115" t="n"/>
      <c r="H1157" s="107" t="n"/>
      <c r="I1157" s="107" t="n"/>
      <c r="J1157" s="108" t="n"/>
      <c r="K1157" s="108" t="n"/>
      <c r="L1157" s="119">
        <f>IF($C1157="","",DATE(YEAR($C1157),MONTH($C1157),1))</f>
        <v/>
      </c>
      <c r="M1157" s="112">
        <f>IF($C1157="","",IF(AND($D1157&lt;&gt;"",$E1157&lt;&gt;"",$G1157&gt;0,$H1157&lt;&gt;"",$I1157&lt;&gt;""),IF($C1157&gt;TODAY(),"İLERİ TARİH","UYGUN"),"EKSİK"))</f>
        <v/>
      </c>
      <c r="N1157" s="6" t="n"/>
      <c r="O1157" s="6" t="n"/>
    </row>
    <row r="1158">
      <c r="A1158" s="6" t="n"/>
      <c r="B1158" s="112">
        <f>IF($C1158="","","GG"&amp;TEXT(ROW()-6,"00000"))</f>
        <v/>
      </c>
      <c r="C1158" s="114" t="n"/>
      <c r="D1158" s="107" t="n"/>
      <c r="E1158" s="108" t="n"/>
      <c r="F1158" s="108" t="n"/>
      <c r="G1158" s="115" t="n"/>
      <c r="H1158" s="107" t="n"/>
      <c r="I1158" s="107" t="n"/>
      <c r="J1158" s="108" t="n"/>
      <c r="K1158" s="108" t="n"/>
      <c r="L1158" s="119">
        <f>IF($C1158="","",DATE(YEAR($C1158),MONTH($C1158),1))</f>
        <v/>
      </c>
      <c r="M1158" s="112">
        <f>IF($C1158="","",IF(AND($D1158&lt;&gt;"",$E1158&lt;&gt;"",$G1158&gt;0,$H1158&lt;&gt;"",$I1158&lt;&gt;""),IF($C1158&gt;TODAY(),"İLERİ TARİH","UYGUN"),"EKSİK"))</f>
        <v/>
      </c>
      <c r="N1158" s="6" t="n"/>
      <c r="O1158" s="6" t="n"/>
    </row>
    <row r="1159">
      <c r="A1159" s="6" t="n"/>
      <c r="B1159" s="112">
        <f>IF($C1159="","","GG"&amp;TEXT(ROW()-6,"00000"))</f>
        <v/>
      </c>
      <c r="C1159" s="114" t="n"/>
      <c r="D1159" s="107" t="n"/>
      <c r="E1159" s="108" t="n"/>
      <c r="F1159" s="108" t="n"/>
      <c r="G1159" s="115" t="n"/>
      <c r="H1159" s="107" t="n"/>
      <c r="I1159" s="107" t="n"/>
      <c r="J1159" s="108" t="n"/>
      <c r="K1159" s="108" t="n"/>
      <c r="L1159" s="119">
        <f>IF($C1159="","",DATE(YEAR($C1159),MONTH($C1159),1))</f>
        <v/>
      </c>
      <c r="M1159" s="112">
        <f>IF($C1159="","",IF(AND($D1159&lt;&gt;"",$E1159&lt;&gt;"",$G1159&gt;0,$H1159&lt;&gt;"",$I1159&lt;&gt;""),IF($C1159&gt;TODAY(),"İLERİ TARİH","UYGUN"),"EKSİK"))</f>
        <v/>
      </c>
      <c r="N1159" s="6" t="n"/>
      <c r="O1159" s="6" t="n"/>
    </row>
    <row r="1160">
      <c r="A1160" s="6" t="n"/>
      <c r="B1160" s="112">
        <f>IF($C1160="","","GG"&amp;TEXT(ROW()-6,"00000"))</f>
        <v/>
      </c>
      <c r="C1160" s="114" t="n"/>
      <c r="D1160" s="107" t="n"/>
      <c r="E1160" s="108" t="n"/>
      <c r="F1160" s="108" t="n"/>
      <c r="G1160" s="115" t="n"/>
      <c r="H1160" s="107" t="n"/>
      <c r="I1160" s="107" t="n"/>
      <c r="J1160" s="108" t="n"/>
      <c r="K1160" s="108" t="n"/>
      <c r="L1160" s="119">
        <f>IF($C1160="","",DATE(YEAR($C1160),MONTH($C1160),1))</f>
        <v/>
      </c>
      <c r="M1160" s="112">
        <f>IF($C1160="","",IF(AND($D1160&lt;&gt;"",$E1160&lt;&gt;"",$G1160&gt;0,$H1160&lt;&gt;"",$I1160&lt;&gt;""),IF($C1160&gt;TODAY(),"İLERİ TARİH","UYGUN"),"EKSİK"))</f>
        <v/>
      </c>
      <c r="N1160" s="6" t="n"/>
      <c r="O1160" s="6" t="n"/>
    </row>
    <row r="1161">
      <c r="A1161" s="6" t="n"/>
      <c r="B1161" s="112">
        <f>IF($C1161="","","GG"&amp;TEXT(ROW()-6,"00000"))</f>
        <v/>
      </c>
      <c r="C1161" s="114" t="n"/>
      <c r="D1161" s="107" t="n"/>
      <c r="E1161" s="108" t="n"/>
      <c r="F1161" s="108" t="n"/>
      <c r="G1161" s="115" t="n"/>
      <c r="H1161" s="107" t="n"/>
      <c r="I1161" s="107" t="n"/>
      <c r="J1161" s="108" t="n"/>
      <c r="K1161" s="108" t="n"/>
      <c r="L1161" s="119">
        <f>IF($C1161="","",DATE(YEAR($C1161),MONTH($C1161),1))</f>
        <v/>
      </c>
      <c r="M1161" s="112">
        <f>IF($C1161="","",IF(AND($D1161&lt;&gt;"",$E1161&lt;&gt;"",$G1161&gt;0,$H1161&lt;&gt;"",$I1161&lt;&gt;""),IF($C1161&gt;TODAY(),"İLERİ TARİH","UYGUN"),"EKSİK"))</f>
        <v/>
      </c>
      <c r="N1161" s="6" t="n"/>
      <c r="O1161" s="6" t="n"/>
    </row>
    <row r="1162">
      <c r="A1162" s="6" t="n"/>
      <c r="B1162" s="112">
        <f>IF($C1162="","","GG"&amp;TEXT(ROW()-6,"00000"))</f>
        <v/>
      </c>
      <c r="C1162" s="114" t="n"/>
      <c r="D1162" s="107" t="n"/>
      <c r="E1162" s="108" t="n"/>
      <c r="F1162" s="108" t="n"/>
      <c r="G1162" s="115" t="n"/>
      <c r="H1162" s="107" t="n"/>
      <c r="I1162" s="107" t="n"/>
      <c r="J1162" s="108" t="n"/>
      <c r="K1162" s="108" t="n"/>
      <c r="L1162" s="119">
        <f>IF($C1162="","",DATE(YEAR($C1162),MONTH($C1162),1))</f>
        <v/>
      </c>
      <c r="M1162" s="112">
        <f>IF($C1162="","",IF(AND($D1162&lt;&gt;"",$E1162&lt;&gt;"",$G1162&gt;0,$H1162&lt;&gt;"",$I1162&lt;&gt;""),IF($C1162&gt;TODAY(),"İLERİ TARİH","UYGUN"),"EKSİK"))</f>
        <v/>
      </c>
      <c r="N1162" s="6" t="n"/>
      <c r="O1162" s="6" t="n"/>
    </row>
    <row r="1163">
      <c r="A1163" s="6" t="n"/>
      <c r="B1163" s="112">
        <f>IF($C1163="","","GG"&amp;TEXT(ROW()-6,"00000"))</f>
        <v/>
      </c>
      <c r="C1163" s="114" t="n"/>
      <c r="D1163" s="107" t="n"/>
      <c r="E1163" s="108" t="n"/>
      <c r="F1163" s="108" t="n"/>
      <c r="G1163" s="115" t="n"/>
      <c r="H1163" s="107" t="n"/>
      <c r="I1163" s="107" t="n"/>
      <c r="J1163" s="108" t="n"/>
      <c r="K1163" s="108" t="n"/>
      <c r="L1163" s="119">
        <f>IF($C1163="","",DATE(YEAR($C1163),MONTH($C1163),1))</f>
        <v/>
      </c>
      <c r="M1163" s="112">
        <f>IF($C1163="","",IF(AND($D1163&lt;&gt;"",$E1163&lt;&gt;"",$G1163&gt;0,$H1163&lt;&gt;"",$I1163&lt;&gt;""),IF($C1163&gt;TODAY(),"İLERİ TARİH","UYGUN"),"EKSİK"))</f>
        <v/>
      </c>
      <c r="N1163" s="6" t="n"/>
      <c r="O1163" s="6" t="n"/>
    </row>
    <row r="1164">
      <c r="A1164" s="6" t="n"/>
      <c r="B1164" s="112">
        <f>IF($C1164="","","GG"&amp;TEXT(ROW()-6,"00000"))</f>
        <v/>
      </c>
      <c r="C1164" s="114" t="n"/>
      <c r="D1164" s="107" t="n"/>
      <c r="E1164" s="108" t="n"/>
      <c r="F1164" s="108" t="n"/>
      <c r="G1164" s="115" t="n"/>
      <c r="H1164" s="107" t="n"/>
      <c r="I1164" s="107" t="n"/>
      <c r="J1164" s="108" t="n"/>
      <c r="K1164" s="108" t="n"/>
      <c r="L1164" s="119">
        <f>IF($C1164="","",DATE(YEAR($C1164),MONTH($C1164),1))</f>
        <v/>
      </c>
      <c r="M1164" s="112">
        <f>IF($C1164="","",IF(AND($D1164&lt;&gt;"",$E1164&lt;&gt;"",$G1164&gt;0,$H1164&lt;&gt;"",$I1164&lt;&gt;""),IF($C1164&gt;TODAY(),"İLERİ TARİH","UYGUN"),"EKSİK"))</f>
        <v/>
      </c>
      <c r="N1164" s="6" t="n"/>
      <c r="O1164" s="6" t="n"/>
    </row>
    <row r="1165">
      <c r="A1165" s="6" t="n"/>
      <c r="B1165" s="112">
        <f>IF($C1165="","","GG"&amp;TEXT(ROW()-6,"00000"))</f>
        <v/>
      </c>
      <c r="C1165" s="114" t="n"/>
      <c r="D1165" s="107" t="n"/>
      <c r="E1165" s="108" t="n"/>
      <c r="F1165" s="108" t="n"/>
      <c r="G1165" s="115" t="n"/>
      <c r="H1165" s="107" t="n"/>
      <c r="I1165" s="107" t="n"/>
      <c r="J1165" s="108" t="n"/>
      <c r="K1165" s="108" t="n"/>
      <c r="L1165" s="119">
        <f>IF($C1165="","",DATE(YEAR($C1165),MONTH($C1165),1))</f>
        <v/>
      </c>
      <c r="M1165" s="112">
        <f>IF($C1165="","",IF(AND($D1165&lt;&gt;"",$E1165&lt;&gt;"",$G1165&gt;0,$H1165&lt;&gt;"",$I1165&lt;&gt;""),IF($C1165&gt;TODAY(),"İLERİ TARİH","UYGUN"),"EKSİK"))</f>
        <v/>
      </c>
      <c r="N1165" s="6" t="n"/>
      <c r="O1165" s="6" t="n"/>
    </row>
    <row r="1166">
      <c r="A1166" s="6" t="n"/>
      <c r="B1166" s="112">
        <f>IF($C1166="","","GG"&amp;TEXT(ROW()-6,"00000"))</f>
        <v/>
      </c>
      <c r="C1166" s="114" t="n"/>
      <c r="D1166" s="107" t="n"/>
      <c r="E1166" s="108" t="n"/>
      <c r="F1166" s="108" t="n"/>
      <c r="G1166" s="115" t="n"/>
      <c r="H1166" s="107" t="n"/>
      <c r="I1166" s="107" t="n"/>
      <c r="J1166" s="108" t="n"/>
      <c r="K1166" s="108" t="n"/>
      <c r="L1166" s="119">
        <f>IF($C1166="","",DATE(YEAR($C1166),MONTH($C1166),1))</f>
        <v/>
      </c>
      <c r="M1166" s="112">
        <f>IF($C1166="","",IF(AND($D1166&lt;&gt;"",$E1166&lt;&gt;"",$G1166&gt;0,$H1166&lt;&gt;"",$I1166&lt;&gt;""),IF($C1166&gt;TODAY(),"İLERİ TARİH","UYGUN"),"EKSİK"))</f>
        <v/>
      </c>
      <c r="N1166" s="6" t="n"/>
      <c r="O1166" s="6" t="n"/>
    </row>
    <row r="1167">
      <c r="A1167" s="6" t="n"/>
      <c r="B1167" s="112">
        <f>IF($C1167="","","GG"&amp;TEXT(ROW()-6,"00000"))</f>
        <v/>
      </c>
      <c r="C1167" s="114" t="n"/>
      <c r="D1167" s="107" t="n"/>
      <c r="E1167" s="108" t="n"/>
      <c r="F1167" s="108" t="n"/>
      <c r="G1167" s="115" t="n"/>
      <c r="H1167" s="107" t="n"/>
      <c r="I1167" s="107" t="n"/>
      <c r="J1167" s="108" t="n"/>
      <c r="K1167" s="108" t="n"/>
      <c r="L1167" s="119">
        <f>IF($C1167="","",DATE(YEAR($C1167),MONTH($C1167),1))</f>
        <v/>
      </c>
      <c r="M1167" s="112">
        <f>IF($C1167="","",IF(AND($D1167&lt;&gt;"",$E1167&lt;&gt;"",$G1167&gt;0,$H1167&lt;&gt;"",$I1167&lt;&gt;""),IF($C1167&gt;TODAY(),"İLERİ TARİH","UYGUN"),"EKSİK"))</f>
        <v/>
      </c>
      <c r="N1167" s="6" t="n"/>
      <c r="O1167" s="6" t="n"/>
    </row>
    <row r="1168">
      <c r="A1168" s="6" t="n"/>
      <c r="B1168" s="112">
        <f>IF($C1168="","","GG"&amp;TEXT(ROW()-6,"00000"))</f>
        <v/>
      </c>
      <c r="C1168" s="114" t="n"/>
      <c r="D1168" s="107" t="n"/>
      <c r="E1168" s="108" t="n"/>
      <c r="F1168" s="108" t="n"/>
      <c r="G1168" s="115" t="n"/>
      <c r="H1168" s="107" t="n"/>
      <c r="I1168" s="107" t="n"/>
      <c r="J1168" s="108" t="n"/>
      <c r="K1168" s="108" t="n"/>
      <c r="L1168" s="119">
        <f>IF($C1168="","",DATE(YEAR($C1168),MONTH($C1168),1))</f>
        <v/>
      </c>
      <c r="M1168" s="112">
        <f>IF($C1168="","",IF(AND($D1168&lt;&gt;"",$E1168&lt;&gt;"",$G1168&gt;0,$H1168&lt;&gt;"",$I1168&lt;&gt;""),IF($C1168&gt;TODAY(),"İLERİ TARİH","UYGUN"),"EKSİK"))</f>
        <v/>
      </c>
      <c r="N1168" s="6" t="n"/>
      <c r="O1168" s="6" t="n"/>
    </row>
    <row r="1169">
      <c r="A1169" s="6" t="n"/>
      <c r="B1169" s="112">
        <f>IF($C1169="","","GG"&amp;TEXT(ROW()-6,"00000"))</f>
        <v/>
      </c>
      <c r="C1169" s="114" t="n"/>
      <c r="D1169" s="107" t="n"/>
      <c r="E1169" s="108" t="n"/>
      <c r="F1169" s="108" t="n"/>
      <c r="G1169" s="115" t="n"/>
      <c r="H1169" s="107" t="n"/>
      <c r="I1169" s="107" t="n"/>
      <c r="J1169" s="108" t="n"/>
      <c r="K1169" s="108" t="n"/>
      <c r="L1169" s="119">
        <f>IF($C1169="","",DATE(YEAR($C1169),MONTH($C1169),1))</f>
        <v/>
      </c>
      <c r="M1169" s="112">
        <f>IF($C1169="","",IF(AND($D1169&lt;&gt;"",$E1169&lt;&gt;"",$G1169&gt;0,$H1169&lt;&gt;"",$I1169&lt;&gt;""),IF($C1169&gt;TODAY(),"İLERİ TARİH","UYGUN"),"EKSİK"))</f>
        <v/>
      </c>
      <c r="N1169" s="6" t="n"/>
      <c r="O1169" s="6" t="n"/>
    </row>
    <row r="1170">
      <c r="A1170" s="6" t="n"/>
      <c r="B1170" s="112">
        <f>IF($C1170="","","GG"&amp;TEXT(ROW()-6,"00000"))</f>
        <v/>
      </c>
      <c r="C1170" s="114" t="n"/>
      <c r="D1170" s="107" t="n"/>
      <c r="E1170" s="108" t="n"/>
      <c r="F1170" s="108" t="n"/>
      <c r="G1170" s="115" t="n"/>
      <c r="H1170" s="107" t="n"/>
      <c r="I1170" s="107" t="n"/>
      <c r="J1170" s="108" t="n"/>
      <c r="K1170" s="108" t="n"/>
      <c r="L1170" s="119">
        <f>IF($C1170="","",DATE(YEAR($C1170),MONTH($C1170),1))</f>
        <v/>
      </c>
      <c r="M1170" s="112">
        <f>IF($C1170="","",IF(AND($D1170&lt;&gt;"",$E1170&lt;&gt;"",$G1170&gt;0,$H1170&lt;&gt;"",$I1170&lt;&gt;""),IF($C1170&gt;TODAY(),"İLERİ TARİH","UYGUN"),"EKSİK"))</f>
        <v/>
      </c>
      <c r="N1170" s="6" t="n"/>
      <c r="O1170" s="6" t="n"/>
    </row>
    <row r="1171">
      <c r="A1171" s="6" t="n"/>
      <c r="B1171" s="112">
        <f>IF($C1171="","","GG"&amp;TEXT(ROW()-6,"00000"))</f>
        <v/>
      </c>
      <c r="C1171" s="114" t="n"/>
      <c r="D1171" s="107" t="n"/>
      <c r="E1171" s="108" t="n"/>
      <c r="F1171" s="108" t="n"/>
      <c r="G1171" s="115" t="n"/>
      <c r="H1171" s="107" t="n"/>
      <c r="I1171" s="107" t="n"/>
      <c r="J1171" s="108" t="n"/>
      <c r="K1171" s="108" t="n"/>
      <c r="L1171" s="119">
        <f>IF($C1171="","",DATE(YEAR($C1171),MONTH($C1171),1))</f>
        <v/>
      </c>
      <c r="M1171" s="112">
        <f>IF($C1171="","",IF(AND($D1171&lt;&gt;"",$E1171&lt;&gt;"",$G1171&gt;0,$H1171&lt;&gt;"",$I1171&lt;&gt;""),IF($C1171&gt;TODAY(),"İLERİ TARİH","UYGUN"),"EKSİK"))</f>
        <v/>
      </c>
      <c r="N1171" s="6" t="n"/>
      <c r="O1171" s="6" t="n"/>
    </row>
    <row r="1172">
      <c r="A1172" s="6" t="n"/>
      <c r="B1172" s="112">
        <f>IF($C1172="","","GG"&amp;TEXT(ROW()-6,"00000"))</f>
        <v/>
      </c>
      <c r="C1172" s="114" t="n"/>
      <c r="D1172" s="107" t="n"/>
      <c r="E1172" s="108" t="n"/>
      <c r="F1172" s="108" t="n"/>
      <c r="G1172" s="115" t="n"/>
      <c r="H1172" s="107" t="n"/>
      <c r="I1172" s="107" t="n"/>
      <c r="J1172" s="108" t="n"/>
      <c r="K1172" s="108" t="n"/>
      <c r="L1172" s="119">
        <f>IF($C1172="","",DATE(YEAR($C1172),MONTH($C1172),1))</f>
        <v/>
      </c>
      <c r="M1172" s="112">
        <f>IF($C1172="","",IF(AND($D1172&lt;&gt;"",$E1172&lt;&gt;"",$G1172&gt;0,$H1172&lt;&gt;"",$I1172&lt;&gt;""),IF($C1172&gt;TODAY(),"İLERİ TARİH","UYGUN"),"EKSİK"))</f>
        <v/>
      </c>
      <c r="N1172" s="6" t="n"/>
      <c r="O1172" s="6" t="n"/>
    </row>
    <row r="1173">
      <c r="A1173" s="6" t="n"/>
      <c r="B1173" s="112">
        <f>IF($C1173="","","GG"&amp;TEXT(ROW()-6,"00000"))</f>
        <v/>
      </c>
      <c r="C1173" s="114" t="n"/>
      <c r="D1173" s="107" t="n"/>
      <c r="E1173" s="108" t="n"/>
      <c r="F1173" s="108" t="n"/>
      <c r="G1173" s="115" t="n"/>
      <c r="H1173" s="107" t="n"/>
      <c r="I1173" s="107" t="n"/>
      <c r="J1173" s="108" t="n"/>
      <c r="K1173" s="108" t="n"/>
      <c r="L1173" s="119">
        <f>IF($C1173="","",DATE(YEAR($C1173),MONTH($C1173),1))</f>
        <v/>
      </c>
      <c r="M1173" s="112">
        <f>IF($C1173="","",IF(AND($D1173&lt;&gt;"",$E1173&lt;&gt;"",$G1173&gt;0,$H1173&lt;&gt;"",$I1173&lt;&gt;""),IF($C1173&gt;TODAY(),"İLERİ TARİH","UYGUN"),"EKSİK"))</f>
        <v/>
      </c>
      <c r="N1173" s="6" t="n"/>
      <c r="O1173" s="6" t="n"/>
    </row>
    <row r="1174">
      <c r="A1174" s="6" t="n"/>
      <c r="B1174" s="112">
        <f>IF($C1174="","","GG"&amp;TEXT(ROW()-6,"00000"))</f>
        <v/>
      </c>
      <c r="C1174" s="114" t="n"/>
      <c r="D1174" s="107" t="n"/>
      <c r="E1174" s="108" t="n"/>
      <c r="F1174" s="108" t="n"/>
      <c r="G1174" s="115" t="n"/>
      <c r="H1174" s="107" t="n"/>
      <c r="I1174" s="107" t="n"/>
      <c r="J1174" s="108" t="n"/>
      <c r="K1174" s="108" t="n"/>
      <c r="L1174" s="119">
        <f>IF($C1174="","",DATE(YEAR($C1174),MONTH($C1174),1))</f>
        <v/>
      </c>
      <c r="M1174" s="112">
        <f>IF($C1174="","",IF(AND($D1174&lt;&gt;"",$E1174&lt;&gt;"",$G1174&gt;0,$H1174&lt;&gt;"",$I1174&lt;&gt;""),IF($C1174&gt;TODAY(),"İLERİ TARİH","UYGUN"),"EKSİK"))</f>
        <v/>
      </c>
      <c r="N1174" s="6" t="n"/>
      <c r="O1174" s="6" t="n"/>
    </row>
    <row r="1175">
      <c r="A1175" s="6" t="n"/>
      <c r="B1175" s="112">
        <f>IF($C1175="","","GG"&amp;TEXT(ROW()-6,"00000"))</f>
        <v/>
      </c>
      <c r="C1175" s="114" t="n"/>
      <c r="D1175" s="107" t="n"/>
      <c r="E1175" s="108" t="n"/>
      <c r="F1175" s="108" t="n"/>
      <c r="G1175" s="115" t="n"/>
      <c r="H1175" s="107" t="n"/>
      <c r="I1175" s="107" t="n"/>
      <c r="J1175" s="108" t="n"/>
      <c r="K1175" s="108" t="n"/>
      <c r="L1175" s="119">
        <f>IF($C1175="","",DATE(YEAR($C1175),MONTH($C1175),1))</f>
        <v/>
      </c>
      <c r="M1175" s="112">
        <f>IF($C1175="","",IF(AND($D1175&lt;&gt;"",$E1175&lt;&gt;"",$G1175&gt;0,$H1175&lt;&gt;"",$I1175&lt;&gt;""),IF($C1175&gt;TODAY(),"İLERİ TARİH","UYGUN"),"EKSİK"))</f>
        <v/>
      </c>
      <c r="N1175" s="6" t="n"/>
      <c r="O1175" s="6" t="n"/>
    </row>
    <row r="1176">
      <c r="A1176" s="6" t="n"/>
      <c r="B1176" s="112">
        <f>IF($C1176="","","GG"&amp;TEXT(ROW()-6,"00000"))</f>
        <v/>
      </c>
      <c r="C1176" s="114" t="n"/>
      <c r="D1176" s="107" t="n"/>
      <c r="E1176" s="108" t="n"/>
      <c r="F1176" s="108" t="n"/>
      <c r="G1176" s="115" t="n"/>
      <c r="H1176" s="107" t="n"/>
      <c r="I1176" s="107" t="n"/>
      <c r="J1176" s="108" t="n"/>
      <c r="K1176" s="108" t="n"/>
      <c r="L1176" s="119">
        <f>IF($C1176="","",DATE(YEAR($C1176),MONTH($C1176),1))</f>
        <v/>
      </c>
      <c r="M1176" s="112">
        <f>IF($C1176="","",IF(AND($D1176&lt;&gt;"",$E1176&lt;&gt;"",$G1176&gt;0,$H1176&lt;&gt;"",$I1176&lt;&gt;""),IF($C1176&gt;TODAY(),"İLERİ TARİH","UYGUN"),"EKSİK"))</f>
        <v/>
      </c>
      <c r="N1176" s="6" t="n"/>
      <c r="O1176" s="6" t="n"/>
    </row>
    <row r="1177">
      <c r="A1177" s="6" t="n"/>
      <c r="B1177" s="112">
        <f>IF($C1177="","","GG"&amp;TEXT(ROW()-6,"00000"))</f>
        <v/>
      </c>
      <c r="C1177" s="114" t="n"/>
      <c r="D1177" s="107" t="n"/>
      <c r="E1177" s="108" t="n"/>
      <c r="F1177" s="108" t="n"/>
      <c r="G1177" s="115" t="n"/>
      <c r="H1177" s="107" t="n"/>
      <c r="I1177" s="107" t="n"/>
      <c r="J1177" s="108" t="n"/>
      <c r="K1177" s="108" t="n"/>
      <c r="L1177" s="119">
        <f>IF($C1177="","",DATE(YEAR($C1177),MONTH($C1177),1))</f>
        <v/>
      </c>
      <c r="M1177" s="112">
        <f>IF($C1177="","",IF(AND($D1177&lt;&gt;"",$E1177&lt;&gt;"",$G1177&gt;0,$H1177&lt;&gt;"",$I1177&lt;&gt;""),IF($C1177&gt;TODAY(),"İLERİ TARİH","UYGUN"),"EKSİK"))</f>
        <v/>
      </c>
      <c r="N1177" s="6" t="n"/>
      <c r="O1177" s="6" t="n"/>
    </row>
    <row r="1178">
      <c r="A1178" s="6" t="n"/>
      <c r="B1178" s="112">
        <f>IF($C1178="","","GG"&amp;TEXT(ROW()-6,"00000"))</f>
        <v/>
      </c>
      <c r="C1178" s="114" t="n"/>
      <c r="D1178" s="107" t="n"/>
      <c r="E1178" s="108" t="n"/>
      <c r="F1178" s="108" t="n"/>
      <c r="G1178" s="115" t="n"/>
      <c r="H1178" s="107" t="n"/>
      <c r="I1178" s="107" t="n"/>
      <c r="J1178" s="108" t="n"/>
      <c r="K1178" s="108" t="n"/>
      <c r="L1178" s="119">
        <f>IF($C1178="","",DATE(YEAR($C1178),MONTH($C1178),1))</f>
        <v/>
      </c>
      <c r="M1178" s="112">
        <f>IF($C1178="","",IF(AND($D1178&lt;&gt;"",$E1178&lt;&gt;"",$G1178&gt;0,$H1178&lt;&gt;"",$I1178&lt;&gt;""),IF($C1178&gt;TODAY(),"İLERİ TARİH","UYGUN"),"EKSİK"))</f>
        <v/>
      </c>
      <c r="N1178" s="6" t="n"/>
      <c r="O1178" s="6" t="n"/>
    </row>
    <row r="1179">
      <c r="A1179" s="6" t="n"/>
      <c r="B1179" s="112">
        <f>IF($C1179="","","GG"&amp;TEXT(ROW()-6,"00000"))</f>
        <v/>
      </c>
      <c r="C1179" s="114" t="n"/>
      <c r="D1179" s="107" t="n"/>
      <c r="E1179" s="108" t="n"/>
      <c r="F1179" s="108" t="n"/>
      <c r="G1179" s="115" t="n"/>
      <c r="H1179" s="107" t="n"/>
      <c r="I1179" s="107" t="n"/>
      <c r="J1179" s="108" t="n"/>
      <c r="K1179" s="108" t="n"/>
      <c r="L1179" s="119">
        <f>IF($C1179="","",DATE(YEAR($C1179),MONTH($C1179),1))</f>
        <v/>
      </c>
      <c r="M1179" s="112">
        <f>IF($C1179="","",IF(AND($D1179&lt;&gt;"",$E1179&lt;&gt;"",$G1179&gt;0,$H1179&lt;&gt;"",$I1179&lt;&gt;""),IF($C1179&gt;TODAY(),"İLERİ TARİH","UYGUN"),"EKSİK"))</f>
        <v/>
      </c>
      <c r="N1179" s="6" t="n"/>
      <c r="O1179" s="6" t="n"/>
    </row>
    <row r="1180">
      <c r="A1180" s="6" t="n"/>
      <c r="B1180" s="112">
        <f>IF($C1180="","","GG"&amp;TEXT(ROW()-6,"00000"))</f>
        <v/>
      </c>
      <c r="C1180" s="114" t="n"/>
      <c r="D1180" s="107" t="n"/>
      <c r="E1180" s="108" t="n"/>
      <c r="F1180" s="108" t="n"/>
      <c r="G1180" s="115" t="n"/>
      <c r="H1180" s="107" t="n"/>
      <c r="I1180" s="107" t="n"/>
      <c r="J1180" s="108" t="n"/>
      <c r="K1180" s="108" t="n"/>
      <c r="L1180" s="119">
        <f>IF($C1180="","",DATE(YEAR($C1180),MONTH($C1180),1))</f>
        <v/>
      </c>
      <c r="M1180" s="112">
        <f>IF($C1180="","",IF(AND($D1180&lt;&gt;"",$E1180&lt;&gt;"",$G1180&gt;0,$H1180&lt;&gt;"",$I1180&lt;&gt;""),IF($C1180&gt;TODAY(),"İLERİ TARİH","UYGUN"),"EKSİK"))</f>
        <v/>
      </c>
      <c r="N1180" s="6" t="n"/>
      <c r="O1180" s="6" t="n"/>
    </row>
    <row r="1181">
      <c r="A1181" s="6" t="n"/>
      <c r="B1181" s="112">
        <f>IF($C1181="","","GG"&amp;TEXT(ROW()-6,"00000"))</f>
        <v/>
      </c>
      <c r="C1181" s="114" t="n"/>
      <c r="D1181" s="107" t="n"/>
      <c r="E1181" s="108" t="n"/>
      <c r="F1181" s="108" t="n"/>
      <c r="G1181" s="115" t="n"/>
      <c r="H1181" s="107" t="n"/>
      <c r="I1181" s="107" t="n"/>
      <c r="J1181" s="108" t="n"/>
      <c r="K1181" s="108" t="n"/>
      <c r="L1181" s="119">
        <f>IF($C1181="","",DATE(YEAR($C1181),MONTH($C1181),1))</f>
        <v/>
      </c>
      <c r="M1181" s="112">
        <f>IF($C1181="","",IF(AND($D1181&lt;&gt;"",$E1181&lt;&gt;"",$G1181&gt;0,$H1181&lt;&gt;"",$I1181&lt;&gt;""),IF($C1181&gt;TODAY(),"İLERİ TARİH","UYGUN"),"EKSİK"))</f>
        <v/>
      </c>
      <c r="N1181" s="6" t="n"/>
      <c r="O1181" s="6" t="n"/>
    </row>
    <row r="1182">
      <c r="A1182" s="6" t="n"/>
      <c r="B1182" s="112">
        <f>IF($C1182="","","GG"&amp;TEXT(ROW()-6,"00000"))</f>
        <v/>
      </c>
      <c r="C1182" s="114" t="n"/>
      <c r="D1182" s="107" t="n"/>
      <c r="E1182" s="108" t="n"/>
      <c r="F1182" s="108" t="n"/>
      <c r="G1182" s="115" t="n"/>
      <c r="H1182" s="107" t="n"/>
      <c r="I1182" s="107" t="n"/>
      <c r="J1182" s="108" t="n"/>
      <c r="K1182" s="108" t="n"/>
      <c r="L1182" s="119">
        <f>IF($C1182="","",DATE(YEAR($C1182),MONTH($C1182),1))</f>
        <v/>
      </c>
      <c r="M1182" s="112">
        <f>IF($C1182="","",IF(AND($D1182&lt;&gt;"",$E1182&lt;&gt;"",$G1182&gt;0,$H1182&lt;&gt;"",$I1182&lt;&gt;""),IF($C1182&gt;TODAY(),"İLERİ TARİH","UYGUN"),"EKSİK"))</f>
        <v/>
      </c>
      <c r="N1182" s="6" t="n"/>
      <c r="O1182" s="6" t="n"/>
    </row>
    <row r="1183">
      <c r="A1183" s="6" t="n"/>
      <c r="B1183" s="112">
        <f>IF($C1183="","","GG"&amp;TEXT(ROW()-6,"00000"))</f>
        <v/>
      </c>
      <c r="C1183" s="114" t="n"/>
      <c r="D1183" s="107" t="n"/>
      <c r="E1183" s="108" t="n"/>
      <c r="F1183" s="108" t="n"/>
      <c r="G1183" s="115" t="n"/>
      <c r="H1183" s="107" t="n"/>
      <c r="I1183" s="107" t="n"/>
      <c r="J1183" s="108" t="n"/>
      <c r="K1183" s="108" t="n"/>
      <c r="L1183" s="119">
        <f>IF($C1183="","",DATE(YEAR($C1183),MONTH($C1183),1))</f>
        <v/>
      </c>
      <c r="M1183" s="112">
        <f>IF($C1183="","",IF(AND($D1183&lt;&gt;"",$E1183&lt;&gt;"",$G1183&gt;0,$H1183&lt;&gt;"",$I1183&lt;&gt;""),IF($C1183&gt;TODAY(),"İLERİ TARİH","UYGUN"),"EKSİK"))</f>
        <v/>
      </c>
      <c r="N1183" s="6" t="n"/>
      <c r="O1183" s="6" t="n"/>
    </row>
    <row r="1184">
      <c r="A1184" s="6" t="n"/>
      <c r="B1184" s="112">
        <f>IF($C1184="","","GG"&amp;TEXT(ROW()-6,"00000"))</f>
        <v/>
      </c>
      <c r="C1184" s="114" t="n"/>
      <c r="D1184" s="107" t="n"/>
      <c r="E1184" s="108" t="n"/>
      <c r="F1184" s="108" t="n"/>
      <c r="G1184" s="115" t="n"/>
      <c r="H1184" s="107" t="n"/>
      <c r="I1184" s="107" t="n"/>
      <c r="J1184" s="108" t="n"/>
      <c r="K1184" s="108" t="n"/>
      <c r="L1184" s="119">
        <f>IF($C1184="","",DATE(YEAR($C1184),MONTH($C1184),1))</f>
        <v/>
      </c>
      <c r="M1184" s="112">
        <f>IF($C1184="","",IF(AND($D1184&lt;&gt;"",$E1184&lt;&gt;"",$G1184&gt;0,$H1184&lt;&gt;"",$I1184&lt;&gt;""),IF($C1184&gt;TODAY(),"İLERİ TARİH","UYGUN"),"EKSİK"))</f>
        <v/>
      </c>
      <c r="N1184" s="6" t="n"/>
      <c r="O1184" s="6" t="n"/>
    </row>
    <row r="1185">
      <c r="A1185" s="6" t="n"/>
      <c r="B1185" s="112">
        <f>IF($C1185="","","GG"&amp;TEXT(ROW()-6,"00000"))</f>
        <v/>
      </c>
      <c r="C1185" s="114" t="n"/>
      <c r="D1185" s="107" t="n"/>
      <c r="E1185" s="108" t="n"/>
      <c r="F1185" s="108" t="n"/>
      <c r="G1185" s="115" t="n"/>
      <c r="H1185" s="107" t="n"/>
      <c r="I1185" s="107" t="n"/>
      <c r="J1185" s="108" t="n"/>
      <c r="K1185" s="108" t="n"/>
      <c r="L1185" s="119">
        <f>IF($C1185="","",DATE(YEAR($C1185),MONTH($C1185),1))</f>
        <v/>
      </c>
      <c r="M1185" s="112">
        <f>IF($C1185="","",IF(AND($D1185&lt;&gt;"",$E1185&lt;&gt;"",$G1185&gt;0,$H1185&lt;&gt;"",$I1185&lt;&gt;""),IF($C1185&gt;TODAY(),"İLERİ TARİH","UYGUN"),"EKSİK"))</f>
        <v/>
      </c>
      <c r="N1185" s="6" t="n"/>
      <c r="O1185" s="6" t="n"/>
    </row>
    <row r="1186">
      <c r="A1186" s="6" t="n"/>
      <c r="B1186" s="112">
        <f>IF($C1186="","","GG"&amp;TEXT(ROW()-6,"00000"))</f>
        <v/>
      </c>
      <c r="C1186" s="114" t="n"/>
      <c r="D1186" s="107" t="n"/>
      <c r="E1186" s="108" t="n"/>
      <c r="F1186" s="108" t="n"/>
      <c r="G1186" s="115" t="n"/>
      <c r="H1186" s="107" t="n"/>
      <c r="I1186" s="107" t="n"/>
      <c r="J1186" s="108" t="n"/>
      <c r="K1186" s="108" t="n"/>
      <c r="L1186" s="119">
        <f>IF($C1186="","",DATE(YEAR($C1186),MONTH($C1186),1))</f>
        <v/>
      </c>
      <c r="M1186" s="112">
        <f>IF($C1186="","",IF(AND($D1186&lt;&gt;"",$E1186&lt;&gt;"",$G1186&gt;0,$H1186&lt;&gt;"",$I1186&lt;&gt;""),IF($C1186&gt;TODAY(),"İLERİ TARİH","UYGUN"),"EKSİK"))</f>
        <v/>
      </c>
      <c r="N1186" s="6" t="n"/>
      <c r="O1186" s="6" t="n"/>
    </row>
    <row r="1187">
      <c r="A1187" s="6" t="n"/>
      <c r="B1187" s="112">
        <f>IF($C1187="","","GG"&amp;TEXT(ROW()-6,"00000"))</f>
        <v/>
      </c>
      <c r="C1187" s="114" t="n"/>
      <c r="D1187" s="107" t="n"/>
      <c r="E1187" s="108" t="n"/>
      <c r="F1187" s="108" t="n"/>
      <c r="G1187" s="115" t="n"/>
      <c r="H1187" s="107" t="n"/>
      <c r="I1187" s="107" t="n"/>
      <c r="J1187" s="108" t="n"/>
      <c r="K1187" s="108" t="n"/>
      <c r="L1187" s="119">
        <f>IF($C1187="","",DATE(YEAR($C1187),MONTH($C1187),1))</f>
        <v/>
      </c>
      <c r="M1187" s="112">
        <f>IF($C1187="","",IF(AND($D1187&lt;&gt;"",$E1187&lt;&gt;"",$G1187&gt;0,$H1187&lt;&gt;"",$I1187&lt;&gt;""),IF($C1187&gt;TODAY(),"İLERİ TARİH","UYGUN"),"EKSİK"))</f>
        <v/>
      </c>
      <c r="N1187" s="6" t="n"/>
      <c r="O1187" s="6" t="n"/>
    </row>
    <row r="1188">
      <c r="A1188" s="6" t="n"/>
      <c r="B1188" s="112">
        <f>IF($C1188="","","GG"&amp;TEXT(ROW()-6,"00000"))</f>
        <v/>
      </c>
      <c r="C1188" s="114" t="n"/>
      <c r="D1188" s="107" t="n"/>
      <c r="E1188" s="108" t="n"/>
      <c r="F1188" s="108" t="n"/>
      <c r="G1188" s="115" t="n"/>
      <c r="H1188" s="107" t="n"/>
      <c r="I1188" s="107" t="n"/>
      <c r="J1188" s="108" t="n"/>
      <c r="K1188" s="108" t="n"/>
      <c r="L1188" s="119">
        <f>IF($C1188="","",DATE(YEAR($C1188),MONTH($C1188),1))</f>
        <v/>
      </c>
      <c r="M1188" s="112">
        <f>IF($C1188="","",IF(AND($D1188&lt;&gt;"",$E1188&lt;&gt;"",$G1188&gt;0,$H1188&lt;&gt;"",$I1188&lt;&gt;""),IF($C1188&gt;TODAY(),"İLERİ TARİH","UYGUN"),"EKSİK"))</f>
        <v/>
      </c>
      <c r="N1188" s="6" t="n"/>
      <c r="O1188" s="6" t="n"/>
    </row>
    <row r="1189">
      <c r="A1189" s="6" t="n"/>
      <c r="B1189" s="112">
        <f>IF($C1189="","","GG"&amp;TEXT(ROW()-6,"00000"))</f>
        <v/>
      </c>
      <c r="C1189" s="114" t="n"/>
      <c r="D1189" s="107" t="n"/>
      <c r="E1189" s="108" t="n"/>
      <c r="F1189" s="108" t="n"/>
      <c r="G1189" s="115" t="n"/>
      <c r="H1189" s="107" t="n"/>
      <c r="I1189" s="107" t="n"/>
      <c r="J1189" s="108" t="n"/>
      <c r="K1189" s="108" t="n"/>
      <c r="L1189" s="119">
        <f>IF($C1189="","",DATE(YEAR($C1189),MONTH($C1189),1))</f>
        <v/>
      </c>
      <c r="M1189" s="112">
        <f>IF($C1189="","",IF(AND($D1189&lt;&gt;"",$E1189&lt;&gt;"",$G1189&gt;0,$H1189&lt;&gt;"",$I1189&lt;&gt;""),IF($C1189&gt;TODAY(),"İLERİ TARİH","UYGUN"),"EKSİK"))</f>
        <v/>
      </c>
      <c r="N1189" s="6" t="n"/>
      <c r="O1189" s="6" t="n"/>
    </row>
    <row r="1190">
      <c r="A1190" s="6" t="n"/>
      <c r="B1190" s="112">
        <f>IF($C1190="","","GG"&amp;TEXT(ROW()-6,"00000"))</f>
        <v/>
      </c>
      <c r="C1190" s="114" t="n"/>
      <c r="D1190" s="107" t="n"/>
      <c r="E1190" s="108" t="n"/>
      <c r="F1190" s="108" t="n"/>
      <c r="G1190" s="115" t="n"/>
      <c r="H1190" s="107" t="n"/>
      <c r="I1190" s="107" t="n"/>
      <c r="J1190" s="108" t="n"/>
      <c r="K1190" s="108" t="n"/>
      <c r="L1190" s="119">
        <f>IF($C1190="","",DATE(YEAR($C1190),MONTH($C1190),1))</f>
        <v/>
      </c>
      <c r="M1190" s="112">
        <f>IF($C1190="","",IF(AND($D1190&lt;&gt;"",$E1190&lt;&gt;"",$G1190&gt;0,$H1190&lt;&gt;"",$I1190&lt;&gt;""),IF($C1190&gt;TODAY(),"İLERİ TARİH","UYGUN"),"EKSİK"))</f>
        <v/>
      </c>
      <c r="N1190" s="6" t="n"/>
      <c r="O1190" s="6" t="n"/>
    </row>
    <row r="1191">
      <c r="A1191" s="6" t="n"/>
      <c r="B1191" s="112">
        <f>IF($C1191="","","GG"&amp;TEXT(ROW()-6,"00000"))</f>
        <v/>
      </c>
      <c r="C1191" s="114" t="n"/>
      <c r="D1191" s="107" t="n"/>
      <c r="E1191" s="108" t="n"/>
      <c r="F1191" s="108" t="n"/>
      <c r="G1191" s="115" t="n"/>
      <c r="H1191" s="107" t="n"/>
      <c r="I1191" s="107" t="n"/>
      <c r="J1191" s="108" t="n"/>
      <c r="K1191" s="108" t="n"/>
      <c r="L1191" s="119">
        <f>IF($C1191="","",DATE(YEAR($C1191),MONTH($C1191),1))</f>
        <v/>
      </c>
      <c r="M1191" s="112">
        <f>IF($C1191="","",IF(AND($D1191&lt;&gt;"",$E1191&lt;&gt;"",$G1191&gt;0,$H1191&lt;&gt;"",$I1191&lt;&gt;""),IF($C1191&gt;TODAY(),"İLERİ TARİH","UYGUN"),"EKSİK"))</f>
        <v/>
      </c>
      <c r="N1191" s="6" t="n"/>
      <c r="O1191" s="6" t="n"/>
    </row>
    <row r="1192">
      <c r="A1192" s="6" t="n"/>
      <c r="B1192" s="112">
        <f>IF($C1192="","","GG"&amp;TEXT(ROW()-6,"00000"))</f>
        <v/>
      </c>
      <c r="C1192" s="114" t="n"/>
      <c r="D1192" s="107" t="n"/>
      <c r="E1192" s="108" t="n"/>
      <c r="F1192" s="108" t="n"/>
      <c r="G1192" s="115" t="n"/>
      <c r="H1192" s="107" t="n"/>
      <c r="I1192" s="107" t="n"/>
      <c r="J1192" s="108" t="n"/>
      <c r="K1192" s="108" t="n"/>
      <c r="L1192" s="119">
        <f>IF($C1192="","",DATE(YEAR($C1192),MONTH($C1192),1))</f>
        <v/>
      </c>
      <c r="M1192" s="112">
        <f>IF($C1192="","",IF(AND($D1192&lt;&gt;"",$E1192&lt;&gt;"",$G1192&gt;0,$H1192&lt;&gt;"",$I1192&lt;&gt;""),IF($C1192&gt;TODAY(),"İLERİ TARİH","UYGUN"),"EKSİK"))</f>
        <v/>
      </c>
      <c r="N1192" s="6" t="n"/>
      <c r="O1192" s="6" t="n"/>
    </row>
    <row r="1193">
      <c r="A1193" s="6" t="n"/>
      <c r="B1193" s="112">
        <f>IF($C1193="","","GG"&amp;TEXT(ROW()-6,"00000"))</f>
        <v/>
      </c>
      <c r="C1193" s="114" t="n"/>
      <c r="D1193" s="107" t="n"/>
      <c r="E1193" s="108" t="n"/>
      <c r="F1193" s="108" t="n"/>
      <c r="G1193" s="115" t="n"/>
      <c r="H1193" s="107" t="n"/>
      <c r="I1193" s="107" t="n"/>
      <c r="J1193" s="108" t="n"/>
      <c r="K1193" s="108" t="n"/>
      <c r="L1193" s="119">
        <f>IF($C1193="","",DATE(YEAR($C1193),MONTH($C1193),1))</f>
        <v/>
      </c>
      <c r="M1193" s="112">
        <f>IF($C1193="","",IF(AND($D1193&lt;&gt;"",$E1193&lt;&gt;"",$G1193&gt;0,$H1193&lt;&gt;"",$I1193&lt;&gt;""),IF($C1193&gt;TODAY(),"İLERİ TARİH","UYGUN"),"EKSİK"))</f>
        <v/>
      </c>
      <c r="N1193" s="6" t="n"/>
      <c r="O1193" s="6" t="n"/>
    </row>
    <row r="1194">
      <c r="A1194" s="6" t="n"/>
      <c r="B1194" s="112">
        <f>IF($C1194="","","GG"&amp;TEXT(ROW()-6,"00000"))</f>
        <v/>
      </c>
      <c r="C1194" s="114" t="n"/>
      <c r="D1194" s="107" t="n"/>
      <c r="E1194" s="108" t="n"/>
      <c r="F1194" s="108" t="n"/>
      <c r="G1194" s="115" t="n"/>
      <c r="H1194" s="107" t="n"/>
      <c r="I1194" s="107" t="n"/>
      <c r="J1194" s="108" t="n"/>
      <c r="K1194" s="108" t="n"/>
      <c r="L1194" s="119">
        <f>IF($C1194="","",DATE(YEAR($C1194),MONTH($C1194),1))</f>
        <v/>
      </c>
      <c r="M1194" s="112">
        <f>IF($C1194="","",IF(AND($D1194&lt;&gt;"",$E1194&lt;&gt;"",$G1194&gt;0,$H1194&lt;&gt;"",$I1194&lt;&gt;""),IF($C1194&gt;TODAY(),"İLERİ TARİH","UYGUN"),"EKSİK"))</f>
        <v/>
      </c>
      <c r="N1194" s="6" t="n"/>
      <c r="O1194" s="6" t="n"/>
    </row>
    <row r="1195">
      <c r="A1195" s="6" t="n"/>
      <c r="B1195" s="112">
        <f>IF($C1195="","","GG"&amp;TEXT(ROW()-6,"00000"))</f>
        <v/>
      </c>
      <c r="C1195" s="114" t="n"/>
      <c r="D1195" s="107" t="n"/>
      <c r="E1195" s="108" t="n"/>
      <c r="F1195" s="108" t="n"/>
      <c r="G1195" s="115" t="n"/>
      <c r="H1195" s="107" t="n"/>
      <c r="I1195" s="107" t="n"/>
      <c r="J1195" s="108" t="n"/>
      <c r="K1195" s="108" t="n"/>
      <c r="L1195" s="119">
        <f>IF($C1195="","",DATE(YEAR($C1195),MONTH($C1195),1))</f>
        <v/>
      </c>
      <c r="M1195" s="112">
        <f>IF($C1195="","",IF(AND($D1195&lt;&gt;"",$E1195&lt;&gt;"",$G1195&gt;0,$H1195&lt;&gt;"",$I1195&lt;&gt;""),IF($C1195&gt;TODAY(),"İLERİ TARİH","UYGUN"),"EKSİK"))</f>
        <v/>
      </c>
      <c r="N1195" s="6" t="n"/>
      <c r="O1195" s="6" t="n"/>
    </row>
    <row r="1196">
      <c r="A1196" s="6" t="n"/>
      <c r="B1196" s="112">
        <f>IF($C1196="","","GG"&amp;TEXT(ROW()-6,"00000"))</f>
        <v/>
      </c>
      <c r="C1196" s="114" t="n"/>
      <c r="D1196" s="107" t="n"/>
      <c r="E1196" s="108" t="n"/>
      <c r="F1196" s="108" t="n"/>
      <c r="G1196" s="115" t="n"/>
      <c r="H1196" s="107" t="n"/>
      <c r="I1196" s="107" t="n"/>
      <c r="J1196" s="108" t="n"/>
      <c r="K1196" s="108" t="n"/>
      <c r="L1196" s="119">
        <f>IF($C1196="","",DATE(YEAR($C1196),MONTH($C1196),1))</f>
        <v/>
      </c>
      <c r="M1196" s="112">
        <f>IF($C1196="","",IF(AND($D1196&lt;&gt;"",$E1196&lt;&gt;"",$G1196&gt;0,$H1196&lt;&gt;"",$I1196&lt;&gt;""),IF($C1196&gt;TODAY(),"İLERİ TARİH","UYGUN"),"EKSİK"))</f>
        <v/>
      </c>
      <c r="N1196" s="6" t="n"/>
      <c r="O1196" s="6" t="n"/>
    </row>
    <row r="1197">
      <c r="A1197" s="6" t="n"/>
      <c r="B1197" s="112">
        <f>IF($C1197="","","GG"&amp;TEXT(ROW()-6,"00000"))</f>
        <v/>
      </c>
      <c r="C1197" s="114" t="n"/>
      <c r="D1197" s="107" t="n"/>
      <c r="E1197" s="108" t="n"/>
      <c r="F1197" s="108" t="n"/>
      <c r="G1197" s="115" t="n"/>
      <c r="H1197" s="107" t="n"/>
      <c r="I1197" s="107" t="n"/>
      <c r="J1197" s="108" t="n"/>
      <c r="K1197" s="108" t="n"/>
      <c r="L1197" s="119">
        <f>IF($C1197="","",DATE(YEAR($C1197),MONTH($C1197),1))</f>
        <v/>
      </c>
      <c r="M1197" s="112">
        <f>IF($C1197="","",IF(AND($D1197&lt;&gt;"",$E1197&lt;&gt;"",$G1197&gt;0,$H1197&lt;&gt;"",$I1197&lt;&gt;""),IF($C1197&gt;TODAY(),"İLERİ TARİH","UYGUN"),"EKSİK"))</f>
        <v/>
      </c>
      <c r="N1197" s="6" t="n"/>
      <c r="O1197" s="6" t="n"/>
    </row>
    <row r="1198">
      <c r="A1198" s="6" t="n"/>
      <c r="B1198" s="112">
        <f>IF($C1198="","","GG"&amp;TEXT(ROW()-6,"00000"))</f>
        <v/>
      </c>
      <c r="C1198" s="114" t="n"/>
      <c r="D1198" s="107" t="n"/>
      <c r="E1198" s="108" t="n"/>
      <c r="F1198" s="108" t="n"/>
      <c r="G1198" s="115" t="n"/>
      <c r="H1198" s="107" t="n"/>
      <c r="I1198" s="107" t="n"/>
      <c r="J1198" s="108" t="n"/>
      <c r="K1198" s="108" t="n"/>
      <c r="L1198" s="119">
        <f>IF($C1198="","",DATE(YEAR($C1198),MONTH($C1198),1))</f>
        <v/>
      </c>
      <c r="M1198" s="112">
        <f>IF($C1198="","",IF(AND($D1198&lt;&gt;"",$E1198&lt;&gt;"",$G1198&gt;0,$H1198&lt;&gt;"",$I1198&lt;&gt;""),IF($C1198&gt;TODAY(),"İLERİ TARİH","UYGUN"),"EKSİK"))</f>
        <v/>
      </c>
      <c r="N1198" s="6" t="n"/>
      <c r="O1198" s="6" t="n"/>
    </row>
    <row r="1199">
      <c r="A1199" s="6" t="n"/>
      <c r="B1199" s="112">
        <f>IF($C1199="","","GG"&amp;TEXT(ROW()-6,"00000"))</f>
        <v/>
      </c>
      <c r="C1199" s="114" t="n"/>
      <c r="D1199" s="107" t="n"/>
      <c r="E1199" s="108" t="n"/>
      <c r="F1199" s="108" t="n"/>
      <c r="G1199" s="115" t="n"/>
      <c r="H1199" s="107" t="n"/>
      <c r="I1199" s="107" t="n"/>
      <c r="J1199" s="108" t="n"/>
      <c r="K1199" s="108" t="n"/>
      <c r="L1199" s="119">
        <f>IF($C1199="","",DATE(YEAR($C1199),MONTH($C1199),1))</f>
        <v/>
      </c>
      <c r="M1199" s="112">
        <f>IF($C1199="","",IF(AND($D1199&lt;&gt;"",$E1199&lt;&gt;"",$G1199&gt;0,$H1199&lt;&gt;"",$I1199&lt;&gt;""),IF($C1199&gt;TODAY(),"İLERİ TARİH","UYGUN"),"EKSİK"))</f>
        <v/>
      </c>
      <c r="N1199" s="6" t="n"/>
      <c r="O1199" s="6" t="n"/>
    </row>
    <row r="1200">
      <c r="A1200" s="6" t="n"/>
      <c r="B1200" s="112">
        <f>IF($C1200="","","GG"&amp;TEXT(ROW()-6,"00000"))</f>
        <v/>
      </c>
      <c r="C1200" s="114" t="n"/>
      <c r="D1200" s="107" t="n"/>
      <c r="E1200" s="108" t="n"/>
      <c r="F1200" s="108" t="n"/>
      <c r="G1200" s="115" t="n"/>
      <c r="H1200" s="107" t="n"/>
      <c r="I1200" s="107" t="n"/>
      <c r="J1200" s="108" t="n"/>
      <c r="K1200" s="108" t="n"/>
      <c r="L1200" s="119">
        <f>IF($C1200="","",DATE(YEAR($C1200),MONTH($C1200),1))</f>
        <v/>
      </c>
      <c r="M1200" s="112">
        <f>IF($C1200="","",IF(AND($D1200&lt;&gt;"",$E1200&lt;&gt;"",$G1200&gt;0,$H1200&lt;&gt;"",$I1200&lt;&gt;""),IF($C1200&gt;TODAY(),"İLERİ TARİH","UYGUN"),"EKSİK"))</f>
        <v/>
      </c>
      <c r="N1200" s="6" t="n"/>
      <c r="O1200" s="6" t="n"/>
    </row>
    <row r="1201">
      <c r="A1201" s="6" t="n"/>
      <c r="B1201" s="112">
        <f>IF($C1201="","","GG"&amp;TEXT(ROW()-6,"00000"))</f>
        <v/>
      </c>
      <c r="C1201" s="114" t="n"/>
      <c r="D1201" s="107" t="n"/>
      <c r="E1201" s="108" t="n"/>
      <c r="F1201" s="108" t="n"/>
      <c r="G1201" s="115" t="n"/>
      <c r="H1201" s="107" t="n"/>
      <c r="I1201" s="107" t="n"/>
      <c r="J1201" s="108" t="n"/>
      <c r="K1201" s="108" t="n"/>
      <c r="L1201" s="119">
        <f>IF($C1201="","",DATE(YEAR($C1201),MONTH($C1201),1))</f>
        <v/>
      </c>
      <c r="M1201" s="112">
        <f>IF($C1201="","",IF(AND($D1201&lt;&gt;"",$E1201&lt;&gt;"",$G1201&gt;0,$H1201&lt;&gt;"",$I1201&lt;&gt;""),IF($C1201&gt;TODAY(),"İLERİ TARİH","UYGUN"),"EKSİK"))</f>
        <v/>
      </c>
      <c r="N1201" s="6" t="n"/>
      <c r="O1201" s="6" t="n"/>
    </row>
    <row r="1202">
      <c r="A1202" s="6" t="n"/>
      <c r="B1202" s="112">
        <f>IF($C1202="","","GG"&amp;TEXT(ROW()-6,"00000"))</f>
        <v/>
      </c>
      <c r="C1202" s="114" t="n"/>
      <c r="D1202" s="107" t="n"/>
      <c r="E1202" s="108" t="n"/>
      <c r="F1202" s="108" t="n"/>
      <c r="G1202" s="115" t="n"/>
      <c r="H1202" s="107" t="n"/>
      <c r="I1202" s="107" t="n"/>
      <c r="J1202" s="108" t="n"/>
      <c r="K1202" s="108" t="n"/>
      <c r="L1202" s="119">
        <f>IF($C1202="","",DATE(YEAR($C1202),MONTH($C1202),1))</f>
        <v/>
      </c>
      <c r="M1202" s="112">
        <f>IF($C1202="","",IF(AND($D1202&lt;&gt;"",$E1202&lt;&gt;"",$G1202&gt;0,$H1202&lt;&gt;"",$I1202&lt;&gt;""),IF($C1202&gt;TODAY(),"İLERİ TARİH","UYGUN"),"EKSİK"))</f>
        <v/>
      </c>
      <c r="N1202" s="6" t="n"/>
      <c r="O1202" s="6" t="n"/>
    </row>
    <row r="1203">
      <c r="A1203" s="6" t="n"/>
      <c r="B1203" s="112">
        <f>IF($C1203="","","GG"&amp;TEXT(ROW()-6,"00000"))</f>
        <v/>
      </c>
      <c r="C1203" s="114" t="n"/>
      <c r="D1203" s="107" t="n"/>
      <c r="E1203" s="108" t="n"/>
      <c r="F1203" s="108" t="n"/>
      <c r="G1203" s="115" t="n"/>
      <c r="H1203" s="107" t="n"/>
      <c r="I1203" s="107" t="n"/>
      <c r="J1203" s="108" t="n"/>
      <c r="K1203" s="108" t="n"/>
      <c r="L1203" s="119">
        <f>IF($C1203="","",DATE(YEAR($C1203),MONTH($C1203),1))</f>
        <v/>
      </c>
      <c r="M1203" s="112">
        <f>IF($C1203="","",IF(AND($D1203&lt;&gt;"",$E1203&lt;&gt;"",$G1203&gt;0,$H1203&lt;&gt;"",$I1203&lt;&gt;""),IF($C1203&gt;TODAY(),"İLERİ TARİH","UYGUN"),"EKSİK"))</f>
        <v/>
      </c>
      <c r="N1203" s="6" t="n"/>
      <c r="O1203" s="6" t="n"/>
    </row>
    <row r="1204">
      <c r="A1204" s="6" t="n"/>
      <c r="B1204" s="112">
        <f>IF($C1204="","","GG"&amp;TEXT(ROW()-6,"00000"))</f>
        <v/>
      </c>
      <c r="C1204" s="114" t="n"/>
      <c r="D1204" s="107" t="n"/>
      <c r="E1204" s="108" t="n"/>
      <c r="F1204" s="108" t="n"/>
      <c r="G1204" s="115" t="n"/>
      <c r="H1204" s="107" t="n"/>
      <c r="I1204" s="107" t="n"/>
      <c r="J1204" s="108" t="n"/>
      <c r="K1204" s="108" t="n"/>
      <c r="L1204" s="119">
        <f>IF($C1204="","",DATE(YEAR($C1204),MONTH($C1204),1))</f>
        <v/>
      </c>
      <c r="M1204" s="112">
        <f>IF($C1204="","",IF(AND($D1204&lt;&gt;"",$E1204&lt;&gt;"",$G1204&gt;0,$H1204&lt;&gt;"",$I1204&lt;&gt;""),IF($C1204&gt;TODAY(),"İLERİ TARİH","UYGUN"),"EKSİK"))</f>
        <v/>
      </c>
      <c r="N1204" s="6" t="n"/>
      <c r="O1204" s="6" t="n"/>
    </row>
    <row r="1205">
      <c r="A1205" s="6" t="n"/>
      <c r="B1205" s="112">
        <f>IF($C1205="","","GG"&amp;TEXT(ROW()-6,"00000"))</f>
        <v/>
      </c>
      <c r="C1205" s="114" t="n"/>
      <c r="D1205" s="107" t="n"/>
      <c r="E1205" s="108" t="n"/>
      <c r="F1205" s="108" t="n"/>
      <c r="G1205" s="115" t="n"/>
      <c r="H1205" s="107" t="n"/>
      <c r="I1205" s="107" t="n"/>
      <c r="J1205" s="108" t="n"/>
      <c r="K1205" s="108" t="n"/>
      <c r="L1205" s="119">
        <f>IF($C1205="","",DATE(YEAR($C1205),MONTH($C1205),1))</f>
        <v/>
      </c>
      <c r="M1205" s="112">
        <f>IF($C1205="","",IF(AND($D1205&lt;&gt;"",$E1205&lt;&gt;"",$G1205&gt;0,$H1205&lt;&gt;"",$I1205&lt;&gt;""),IF($C1205&gt;TODAY(),"İLERİ TARİH","UYGUN"),"EKSİK"))</f>
        <v/>
      </c>
      <c r="N1205" s="6" t="n"/>
      <c r="O1205" s="6" t="n"/>
    </row>
    <row r="1206">
      <c r="A1206" s="6" t="n"/>
      <c r="B1206" s="112">
        <f>IF($C1206="","","GG"&amp;TEXT(ROW()-6,"00000"))</f>
        <v/>
      </c>
      <c r="C1206" s="114" t="n"/>
      <c r="D1206" s="107" t="n"/>
      <c r="E1206" s="108" t="n"/>
      <c r="F1206" s="108" t="n"/>
      <c r="G1206" s="115" t="n"/>
      <c r="H1206" s="107" t="n"/>
      <c r="I1206" s="107" t="n"/>
      <c r="J1206" s="108" t="n"/>
      <c r="K1206" s="108" t="n"/>
      <c r="L1206" s="119">
        <f>IF($C1206="","",DATE(YEAR($C1206),MONTH($C1206),1))</f>
        <v/>
      </c>
      <c r="M1206" s="112">
        <f>IF($C1206="","",IF(AND($D1206&lt;&gt;"",$E1206&lt;&gt;"",$G1206&gt;0,$H1206&lt;&gt;"",$I1206&lt;&gt;""),IF($C1206&gt;TODAY(),"İLERİ TARİH","UYGUN"),"EKSİK"))</f>
        <v/>
      </c>
      <c r="N1206" s="6" t="n"/>
      <c r="O1206" s="6" t="n"/>
    </row>
    <row r="1207">
      <c r="A1207" s="6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6" t="n"/>
      <c r="O1207" s="6" t="n"/>
    </row>
    <row r="1208">
      <c r="A1208" s="6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6" t="n"/>
      <c r="O12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M1206"/>
  <mergeCells count="2">
    <mergeCell ref="A2:N2"/>
    <mergeCell ref="A1:N1"/>
  </mergeCells>
  <conditionalFormatting sqref="M7:M1206">
    <cfRule type="expression" priority="1" dxfId="3" stopIfTrue="1">
      <formula>EXACT($M7,"UYGUN")</formula>
    </cfRule>
    <cfRule type="expression" priority="2" dxfId="4" stopIfTrue="1">
      <formula>EXACT($M7,"EKSİK")</formula>
    </cfRule>
    <cfRule type="expression" priority="3" dxfId="5" stopIfTrue="1">
      <formula>EXACT($M7,"HATA")</formula>
    </cfRule>
    <cfRule type="expression" priority="4" dxfId="5" stopIfTrue="1">
      <formula>EXACT($M7,"İLERİ TARİH")</formula>
    </cfRule>
    <cfRule type="expression" priority="5" dxfId="6" stopIfTrue="1">
      <formula>EXACT($M7,"PASİF")</formula>
    </cfRule>
  </conditionalFormatting>
  <dataValidations count="4">
    <dataValidation sqref="D7:D1206" showDropDown="0" showInputMessage="0" showErrorMessage="1" allowBlank="1" errorTitle="Geçersiz tür" error="Gelir veya Gider seçin." type="list">
      <formula1>"Gelir,Gider"</formula1>
    </dataValidation>
    <dataValidation sqref="E7:E1206" showDropDown="0" showInputMessage="0" showErrorMessage="1" allowBlank="1" errorTitle="Tanımsız kategori" error="SISTEM ekranındaki kategori listesinden seçin." type="list">
      <formula1>LST_KATEGORI</formula1>
    </dataValidation>
    <dataValidation sqref="H7:H1206" showDropDown="0" showInputMessage="0" showErrorMessage="1" allowBlank="1" errorTitle="Tanımsız hesap" error="HESAPLAR ekranındaki bir hesabı seçin." type="list">
      <formula1>LST_HESAP</formula1>
    </dataValidation>
    <dataValidation sqref="I7:I1206" showDropDown="0" showInputMessage="0" showErrorMessage="1" allowBlank="1" errorTitle="Geçersiz değer" error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L408"/>
  <sheetViews>
    <sheetView showGridLines="0" tabSelected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22" customWidth="1" min="4" max="4"/>
    <col width="22" customWidth="1" min="5" max="5"/>
    <col width="16" customWidth="1" min="6" max="6"/>
    <col width="34" customWidth="1" min="7" max="7"/>
    <col width="14" customWidth="1" min="8" max="8"/>
    <col width="16" customWidth="1" min="9" max="9"/>
    <col width="15" customWidth="1" min="10" max="10"/>
    <col width="2.4" customWidth="1" min="11" max="11"/>
    <col width="2.4" customWidth="1" min="12" max="12"/>
  </cols>
  <sheetData>
    <row r="1" ht="38" customHeight="1">
      <c r="A1" s="1" t="inlineStr">
        <is>
          <t>NECATİBEY OFİS YÖNETİM SİSTEMİ   │   KASA / BANKA ARASI VİRMAN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5" t="n"/>
    </row>
    <row r="2" ht="22" customHeight="1">
      <c r="A2" s="4" t="inlineStr">
        <is>
          <t>Hesaplar arası para geçişi gelir veya gider değildir │ Toplam nakit değişmez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20" customHeight="1">
      <c r="A4" s="6" t="n"/>
      <c r="B4" s="47">
        <f>HYPERLINK("#PANO!A1","←  PANO")</f>
        <v/>
      </c>
      <c r="C4" s="6" t="n"/>
      <c r="D4" s="98">
        <f>HYPERLINK("#HESAPLAR!A1","Hesaplar")</f>
        <v/>
      </c>
      <c r="E4" s="6" t="n"/>
      <c r="F4" s="99" t="inlineStr">
        <is>
          <t>Sarı hücreler veri girişidir. Beyaz hücreler sistem tarafından hesaplanır ve kilitlidir. Çıkan ve giren hesap aynı olamaz.</t>
        </is>
      </c>
      <c r="G4" s="6" t="n"/>
      <c r="H4" s="6" t="n"/>
      <c r="I4" s="6" t="n"/>
      <c r="J4" s="6" t="n"/>
      <c r="K4" s="6" t="n"/>
      <c r="L4" s="6" t="n"/>
    </row>
    <row r="5" ht="26" customHeight="1">
      <c r="A5" s="6" t="n"/>
      <c r="B5" s="100" t="n"/>
      <c r="C5" s="101" t="inlineStr">
        <is>
          <t>TOPLAM  │  Virman hacmi</t>
        </is>
      </c>
      <c r="D5" s="100" t="n"/>
      <c r="E5" s="100" t="n"/>
      <c r="F5" s="103">
        <f>SUM($F$7:$F$406)</f>
        <v/>
      </c>
      <c r="G5" s="100" t="n"/>
      <c r="H5" s="100" t="n"/>
      <c r="I5" s="100" t="n"/>
      <c r="J5" s="100" t="n"/>
      <c r="K5" s="6" t="n"/>
      <c r="L5" s="6" t="n"/>
    </row>
    <row r="6" ht="40" customHeight="1">
      <c r="A6" s="6" t="n"/>
      <c r="B6" s="104" t="inlineStr">
        <is>
          <t>İşlem No</t>
        </is>
      </c>
      <c r="C6" s="104" t="inlineStr">
        <is>
          <t>Tarih</t>
        </is>
      </c>
      <c r="D6" s="104" t="inlineStr">
        <is>
          <t>Para Çıkan Hesap</t>
        </is>
      </c>
      <c r="E6" s="104" t="inlineStr">
        <is>
          <t>Para Giren Hesap</t>
        </is>
      </c>
      <c r="F6" s="106" t="inlineStr">
        <is>
          <t>Tutar</t>
        </is>
      </c>
      <c r="G6" s="105" t="inlineStr">
        <is>
          <t>Açıklama</t>
        </is>
      </c>
      <c r="H6" s="105" t="inlineStr">
        <is>
          <t>Belge No</t>
        </is>
      </c>
      <c r="I6" s="105" t="inlineStr">
        <is>
          <t>İşlemi Giren</t>
        </is>
      </c>
      <c r="J6" s="104" t="inlineStr">
        <is>
          <t>Sistem Kontrolü</t>
        </is>
      </c>
      <c r="K6" s="6" t="n"/>
      <c r="L6" s="6" t="n"/>
    </row>
    <row r="7">
      <c r="A7" s="6" t="n"/>
      <c r="B7" s="112">
        <f>IF($C7="","","V"&amp;TEXT(ROW()-6,"00000"))</f>
        <v/>
      </c>
      <c r="C7" s="114" t="n"/>
      <c r="D7" s="107" t="n"/>
      <c r="E7" s="107" t="n"/>
      <c r="F7" s="115" t="n"/>
      <c r="G7" s="108" t="n"/>
      <c r="H7" s="108" t="n"/>
      <c r="I7" s="108" t="n"/>
      <c r="J7" s="112">
        <f>IF($C7="","",IF(AND($D7&lt;&gt;"",$E7&lt;&gt;"",$D7&lt;&gt;$E7,$F7&gt;0),"UYGUN","HATA"))</f>
        <v/>
      </c>
      <c r="K7" s="6" t="n"/>
      <c r="L7" s="6" t="n"/>
    </row>
    <row r="8">
      <c r="A8" s="6" t="n"/>
      <c r="B8" s="112">
        <f>IF($C8="","","V"&amp;TEXT(ROW()-6,"00000"))</f>
        <v/>
      </c>
      <c r="C8" s="114" t="n"/>
      <c r="D8" s="107" t="n"/>
      <c r="E8" s="107" t="n"/>
      <c r="F8" s="115" t="n"/>
      <c r="G8" s="108" t="n"/>
      <c r="H8" s="108" t="n"/>
      <c r="I8" s="108" t="n"/>
      <c r="J8" s="112">
        <f>IF($C8="","",IF(AND($D8&lt;&gt;"",$E8&lt;&gt;"",$D8&lt;&gt;$E8,$F8&gt;0),"UYGUN","HATA"))</f>
        <v/>
      </c>
      <c r="K8" s="6" t="n"/>
      <c r="L8" s="6" t="n"/>
    </row>
    <row r="9">
      <c r="A9" s="6" t="n"/>
      <c r="B9" s="112">
        <f>IF($C9="","","V"&amp;TEXT(ROW()-6,"00000"))</f>
        <v/>
      </c>
      <c r="C9" s="114" t="n"/>
      <c r="D9" s="107" t="n"/>
      <c r="E9" s="107" t="n"/>
      <c r="F9" s="115" t="n"/>
      <c r="G9" s="108" t="n"/>
      <c r="H9" s="108" t="n"/>
      <c r="I9" s="108" t="n"/>
      <c r="J9" s="112">
        <f>IF($C9="","",IF(AND($D9&lt;&gt;"",$E9&lt;&gt;"",$D9&lt;&gt;$E9,$F9&gt;0),"UYGUN","HATA"))</f>
        <v/>
      </c>
      <c r="K9" s="6" t="n"/>
      <c r="L9" s="6" t="n"/>
    </row>
    <row r="10">
      <c r="A10" s="6" t="n"/>
      <c r="B10" s="112">
        <f>IF($C10="","","V"&amp;TEXT(ROW()-6,"00000"))</f>
        <v/>
      </c>
      <c r="C10" s="114" t="n"/>
      <c r="D10" s="107" t="n"/>
      <c r="E10" s="107" t="n"/>
      <c r="F10" s="115" t="n"/>
      <c r="G10" s="108" t="n"/>
      <c r="H10" s="108" t="n"/>
      <c r="I10" s="108" t="n"/>
      <c r="J10" s="112">
        <f>IF($C10="","",IF(AND($D10&lt;&gt;"",$E10&lt;&gt;"",$D10&lt;&gt;$E10,$F10&gt;0),"UYGUN","HATA"))</f>
        <v/>
      </c>
      <c r="K10" s="6" t="n"/>
      <c r="L10" s="6" t="n"/>
    </row>
    <row r="11">
      <c r="A11" s="6" t="n"/>
      <c r="B11" s="112">
        <f>IF($C11="","","V"&amp;TEXT(ROW()-6,"00000"))</f>
        <v/>
      </c>
      <c r="C11" s="114" t="n"/>
      <c r="D11" s="107" t="n"/>
      <c r="E11" s="107" t="n"/>
      <c r="F11" s="115" t="n"/>
      <c r="G11" s="108" t="n"/>
      <c r="H11" s="108" t="n"/>
      <c r="I11" s="108" t="n"/>
      <c r="J11" s="112">
        <f>IF($C11="","",IF(AND($D11&lt;&gt;"",$E11&lt;&gt;"",$D11&lt;&gt;$E11,$F11&gt;0),"UYGUN","HATA"))</f>
        <v/>
      </c>
      <c r="K11" s="6" t="n"/>
      <c r="L11" s="6" t="n"/>
    </row>
    <row r="12">
      <c r="A12" s="6" t="n"/>
      <c r="B12" s="112">
        <f>IF($C12="","","V"&amp;TEXT(ROW()-6,"00000"))</f>
        <v/>
      </c>
      <c r="C12" s="114" t="n"/>
      <c r="D12" s="107" t="n"/>
      <c r="E12" s="107" t="n"/>
      <c r="F12" s="115" t="n"/>
      <c r="G12" s="108" t="n"/>
      <c r="H12" s="108" t="n"/>
      <c r="I12" s="108" t="n"/>
      <c r="J12" s="112">
        <f>IF($C12="","",IF(AND($D12&lt;&gt;"",$E12&lt;&gt;"",$D12&lt;&gt;$E12,$F12&gt;0),"UYGUN","HATA"))</f>
        <v/>
      </c>
      <c r="K12" s="6" t="n"/>
      <c r="L12" s="6" t="n"/>
    </row>
    <row r="13">
      <c r="A13" s="6" t="n"/>
      <c r="B13" s="112">
        <f>IF($C13="","","V"&amp;TEXT(ROW()-6,"00000"))</f>
        <v/>
      </c>
      <c r="C13" s="114" t="n"/>
      <c r="D13" s="107" t="n"/>
      <c r="E13" s="107" t="n"/>
      <c r="F13" s="115" t="n"/>
      <c r="G13" s="108" t="n"/>
      <c r="H13" s="108" t="n"/>
      <c r="I13" s="108" t="n"/>
      <c r="J13" s="112">
        <f>IF($C13="","",IF(AND($D13&lt;&gt;"",$E13&lt;&gt;"",$D13&lt;&gt;$E13,$F13&gt;0),"UYGUN","HATA"))</f>
        <v/>
      </c>
      <c r="K13" s="6" t="n"/>
      <c r="L13" s="6" t="n"/>
    </row>
    <row r="14">
      <c r="A14" s="6" t="n"/>
      <c r="B14" s="112">
        <f>IF($C14="","","V"&amp;TEXT(ROW()-6,"00000"))</f>
        <v/>
      </c>
      <c r="C14" s="114" t="n"/>
      <c r="D14" s="107" t="n"/>
      <c r="E14" s="107" t="n"/>
      <c r="F14" s="115" t="n"/>
      <c r="G14" s="108" t="n"/>
      <c r="H14" s="108" t="n"/>
      <c r="I14" s="108" t="n"/>
      <c r="J14" s="112">
        <f>IF($C14="","",IF(AND($D14&lt;&gt;"",$E14&lt;&gt;"",$D14&lt;&gt;$E14,$F14&gt;0),"UYGUN","HATA"))</f>
        <v/>
      </c>
      <c r="K14" s="6" t="n"/>
      <c r="L14" s="6" t="n"/>
    </row>
    <row r="15">
      <c r="A15" s="6" t="n"/>
      <c r="B15" s="112">
        <f>IF($C15="","","V"&amp;TEXT(ROW()-6,"00000"))</f>
        <v/>
      </c>
      <c r="C15" s="114" t="n"/>
      <c r="D15" s="107" t="n"/>
      <c r="E15" s="107" t="n"/>
      <c r="F15" s="115" t="n"/>
      <c r="G15" s="108" t="n"/>
      <c r="H15" s="108" t="n"/>
      <c r="I15" s="108" t="n"/>
      <c r="J15" s="112">
        <f>IF($C15="","",IF(AND($D15&lt;&gt;"",$E15&lt;&gt;"",$D15&lt;&gt;$E15,$F15&gt;0),"UYGUN","HATA"))</f>
        <v/>
      </c>
      <c r="K15" s="6" t="n"/>
      <c r="L15" s="6" t="n"/>
    </row>
    <row r="16">
      <c r="A16" s="6" t="n"/>
      <c r="B16" s="112">
        <f>IF($C16="","","V"&amp;TEXT(ROW()-6,"00000"))</f>
        <v/>
      </c>
      <c r="C16" s="114" t="n"/>
      <c r="D16" s="107" t="n"/>
      <c r="E16" s="107" t="n"/>
      <c r="F16" s="115" t="n"/>
      <c r="G16" s="108" t="n"/>
      <c r="H16" s="108" t="n"/>
      <c r="I16" s="108" t="n"/>
      <c r="J16" s="112">
        <f>IF($C16="","",IF(AND($D16&lt;&gt;"",$E16&lt;&gt;"",$D16&lt;&gt;$E16,$F16&gt;0),"UYGUN","HATA"))</f>
        <v/>
      </c>
      <c r="K16" s="6" t="n"/>
      <c r="L16" s="6" t="n"/>
    </row>
    <row r="17">
      <c r="A17" s="6" t="n"/>
      <c r="B17" s="112">
        <f>IF($C17="","","V"&amp;TEXT(ROW()-6,"00000"))</f>
        <v/>
      </c>
      <c r="C17" s="114" t="n"/>
      <c r="D17" s="107" t="n"/>
      <c r="E17" s="107" t="n"/>
      <c r="F17" s="115" t="n"/>
      <c r="G17" s="108" t="n"/>
      <c r="H17" s="108" t="n"/>
      <c r="I17" s="108" t="n"/>
      <c r="J17" s="112">
        <f>IF($C17="","",IF(AND($D17&lt;&gt;"",$E17&lt;&gt;"",$D17&lt;&gt;$E17,$F17&gt;0),"UYGUN","HATA"))</f>
        <v/>
      </c>
      <c r="K17" s="6" t="n"/>
      <c r="L17" s="6" t="n"/>
    </row>
    <row r="18">
      <c r="A18" s="6" t="n"/>
      <c r="B18" s="112">
        <f>IF($C18="","","V"&amp;TEXT(ROW()-6,"00000"))</f>
        <v/>
      </c>
      <c r="C18" s="114" t="n"/>
      <c r="D18" s="107" t="n"/>
      <c r="E18" s="107" t="n"/>
      <c r="F18" s="115" t="n"/>
      <c r="G18" s="108" t="n"/>
      <c r="H18" s="108" t="n"/>
      <c r="I18" s="108" t="n"/>
      <c r="J18" s="112">
        <f>IF($C18="","",IF(AND($D18&lt;&gt;"",$E18&lt;&gt;"",$D18&lt;&gt;$E18,$F18&gt;0),"UYGUN","HATA"))</f>
        <v/>
      </c>
      <c r="K18" s="6" t="n"/>
      <c r="L18" s="6" t="n"/>
    </row>
    <row r="19">
      <c r="A19" s="6" t="n"/>
      <c r="B19" s="112">
        <f>IF($C19="","","V"&amp;TEXT(ROW()-6,"00000"))</f>
        <v/>
      </c>
      <c r="C19" s="114" t="n"/>
      <c r="D19" s="107" t="n"/>
      <c r="E19" s="107" t="n"/>
      <c r="F19" s="115" t="n"/>
      <c r="G19" s="108" t="n"/>
      <c r="H19" s="108" t="n"/>
      <c r="I19" s="108" t="n"/>
      <c r="J19" s="112">
        <f>IF($C19="","",IF(AND($D19&lt;&gt;"",$E19&lt;&gt;"",$D19&lt;&gt;$E19,$F19&gt;0),"UYGUN","HATA"))</f>
        <v/>
      </c>
      <c r="K19" s="6" t="n"/>
      <c r="L19" s="6" t="n"/>
    </row>
    <row r="20">
      <c r="A20" s="6" t="n"/>
      <c r="B20" s="112">
        <f>IF($C20="","","V"&amp;TEXT(ROW()-6,"00000"))</f>
        <v/>
      </c>
      <c r="C20" s="114" t="n"/>
      <c r="D20" s="107" t="n"/>
      <c r="E20" s="107" t="n"/>
      <c r="F20" s="115" t="n"/>
      <c r="G20" s="108" t="n"/>
      <c r="H20" s="108" t="n"/>
      <c r="I20" s="108" t="n"/>
      <c r="J20" s="112">
        <f>IF($C20="","",IF(AND($D20&lt;&gt;"",$E20&lt;&gt;"",$D20&lt;&gt;$E20,$F20&gt;0),"UYGUN","HATA"))</f>
        <v/>
      </c>
      <c r="K20" s="6" t="n"/>
      <c r="L20" s="6" t="n"/>
    </row>
    <row r="21">
      <c r="A21" s="6" t="n"/>
      <c r="B21" s="112">
        <f>IF($C21="","","V"&amp;TEXT(ROW()-6,"00000"))</f>
        <v/>
      </c>
      <c r="C21" s="114" t="n"/>
      <c r="D21" s="107" t="n"/>
      <c r="E21" s="107" t="n"/>
      <c r="F21" s="115" t="n"/>
      <c r="G21" s="108" t="n"/>
      <c r="H21" s="108" t="n"/>
      <c r="I21" s="108" t="n"/>
      <c r="J21" s="112">
        <f>IF($C21="","",IF(AND($D21&lt;&gt;"",$E21&lt;&gt;"",$D21&lt;&gt;$E21,$F21&gt;0),"UYGUN","HATA"))</f>
        <v/>
      </c>
      <c r="K21" s="6" t="n"/>
      <c r="L21" s="6" t="n"/>
    </row>
    <row r="22">
      <c r="A22" s="6" t="n"/>
      <c r="B22" s="112">
        <f>IF($C22="","","V"&amp;TEXT(ROW()-6,"00000"))</f>
        <v/>
      </c>
      <c r="C22" s="114" t="n"/>
      <c r="D22" s="107" t="n"/>
      <c r="E22" s="107" t="n"/>
      <c r="F22" s="115" t="n"/>
      <c r="G22" s="108" t="n"/>
      <c r="H22" s="108" t="n"/>
      <c r="I22" s="108" t="n"/>
      <c r="J22" s="112">
        <f>IF($C22="","",IF(AND($D22&lt;&gt;"",$E22&lt;&gt;"",$D22&lt;&gt;$E22,$F22&gt;0),"UYGUN","HATA"))</f>
        <v/>
      </c>
      <c r="K22" s="6" t="n"/>
      <c r="L22" s="6" t="n"/>
    </row>
    <row r="23">
      <c r="A23" s="6" t="n"/>
      <c r="B23" s="112">
        <f>IF($C23="","","V"&amp;TEXT(ROW()-6,"00000"))</f>
        <v/>
      </c>
      <c r="C23" s="114" t="n"/>
      <c r="D23" s="107" t="n"/>
      <c r="E23" s="107" t="n"/>
      <c r="F23" s="115" t="n"/>
      <c r="G23" s="108" t="n"/>
      <c r="H23" s="108" t="n"/>
      <c r="I23" s="108" t="n"/>
      <c r="J23" s="112">
        <f>IF($C23="","",IF(AND($D23&lt;&gt;"",$E23&lt;&gt;"",$D23&lt;&gt;$E23,$F23&gt;0),"UYGUN","HATA"))</f>
        <v/>
      </c>
      <c r="K23" s="6" t="n"/>
      <c r="L23" s="6" t="n"/>
    </row>
    <row r="24">
      <c r="A24" s="6" t="n"/>
      <c r="B24" s="112">
        <f>IF($C24="","","V"&amp;TEXT(ROW()-6,"00000"))</f>
        <v/>
      </c>
      <c r="C24" s="114" t="n"/>
      <c r="D24" s="107" t="n"/>
      <c r="E24" s="107" t="n"/>
      <c r="F24" s="115" t="n"/>
      <c r="G24" s="108" t="n"/>
      <c r="H24" s="108" t="n"/>
      <c r="I24" s="108" t="n"/>
      <c r="J24" s="112">
        <f>IF($C24="","",IF(AND($D24&lt;&gt;"",$E24&lt;&gt;"",$D24&lt;&gt;$E24,$F24&gt;0),"UYGUN","HATA"))</f>
        <v/>
      </c>
      <c r="K24" s="6" t="n"/>
      <c r="L24" s="6" t="n"/>
    </row>
    <row r="25">
      <c r="A25" s="6" t="n"/>
      <c r="B25" s="112">
        <f>IF($C25="","","V"&amp;TEXT(ROW()-6,"00000"))</f>
        <v/>
      </c>
      <c r="C25" s="114" t="n"/>
      <c r="D25" s="107" t="n"/>
      <c r="E25" s="107" t="n"/>
      <c r="F25" s="115" t="n"/>
      <c r="G25" s="108" t="n"/>
      <c r="H25" s="108" t="n"/>
      <c r="I25" s="108" t="n"/>
      <c r="J25" s="112">
        <f>IF($C25="","",IF(AND($D25&lt;&gt;"",$E25&lt;&gt;"",$D25&lt;&gt;$E25,$F25&gt;0),"UYGUN","HATA"))</f>
        <v/>
      </c>
      <c r="K25" s="6" t="n"/>
      <c r="L25" s="6" t="n"/>
    </row>
    <row r="26">
      <c r="A26" s="6" t="n"/>
      <c r="B26" s="112">
        <f>IF($C26="","","V"&amp;TEXT(ROW()-6,"00000"))</f>
        <v/>
      </c>
      <c r="C26" s="114" t="n"/>
      <c r="D26" s="107" t="n"/>
      <c r="E26" s="107" t="n"/>
      <c r="F26" s="115" t="n"/>
      <c r="G26" s="108" t="n"/>
      <c r="H26" s="108" t="n"/>
      <c r="I26" s="108" t="n"/>
      <c r="J26" s="112">
        <f>IF($C26="","",IF(AND($D26&lt;&gt;"",$E26&lt;&gt;"",$D26&lt;&gt;$E26,$F26&gt;0),"UYGUN","HATA"))</f>
        <v/>
      </c>
      <c r="K26" s="6" t="n"/>
      <c r="L26" s="6" t="n"/>
    </row>
    <row r="27">
      <c r="A27" s="6" t="n"/>
      <c r="B27" s="112">
        <f>IF($C27="","","V"&amp;TEXT(ROW()-6,"00000"))</f>
        <v/>
      </c>
      <c r="C27" s="114" t="n"/>
      <c r="D27" s="107" t="n"/>
      <c r="E27" s="107" t="n"/>
      <c r="F27" s="115" t="n"/>
      <c r="G27" s="108" t="n"/>
      <c r="H27" s="108" t="n"/>
      <c r="I27" s="108" t="n"/>
      <c r="J27" s="112">
        <f>IF($C27="","",IF(AND($D27&lt;&gt;"",$E27&lt;&gt;"",$D27&lt;&gt;$E27,$F27&gt;0),"UYGUN","HATA"))</f>
        <v/>
      </c>
      <c r="K27" s="6" t="n"/>
      <c r="L27" s="6" t="n"/>
    </row>
    <row r="28">
      <c r="A28" s="6" t="n"/>
      <c r="B28" s="112">
        <f>IF($C28="","","V"&amp;TEXT(ROW()-6,"00000"))</f>
        <v/>
      </c>
      <c r="C28" s="114" t="n"/>
      <c r="D28" s="107" t="n"/>
      <c r="E28" s="107" t="n"/>
      <c r="F28" s="115" t="n"/>
      <c r="G28" s="108" t="n"/>
      <c r="H28" s="108" t="n"/>
      <c r="I28" s="108" t="n"/>
      <c r="J28" s="112">
        <f>IF($C28="","",IF(AND($D28&lt;&gt;"",$E28&lt;&gt;"",$D28&lt;&gt;$E28,$F28&gt;0),"UYGUN","HATA"))</f>
        <v/>
      </c>
      <c r="K28" s="6" t="n"/>
      <c r="L28" s="6" t="n"/>
    </row>
    <row r="29">
      <c r="A29" s="6" t="n"/>
      <c r="B29" s="112">
        <f>IF($C29="","","V"&amp;TEXT(ROW()-6,"00000"))</f>
        <v/>
      </c>
      <c r="C29" s="114" t="n"/>
      <c r="D29" s="107" t="n"/>
      <c r="E29" s="107" t="n"/>
      <c r="F29" s="115" t="n"/>
      <c r="G29" s="108" t="n"/>
      <c r="H29" s="108" t="n"/>
      <c r="I29" s="108" t="n"/>
      <c r="J29" s="112">
        <f>IF($C29="","",IF(AND($D29&lt;&gt;"",$E29&lt;&gt;"",$D29&lt;&gt;$E29,$F29&gt;0),"UYGUN","HATA"))</f>
        <v/>
      </c>
      <c r="K29" s="6" t="n"/>
      <c r="L29" s="6" t="n"/>
    </row>
    <row r="30">
      <c r="A30" s="6" t="n"/>
      <c r="B30" s="112">
        <f>IF($C30="","","V"&amp;TEXT(ROW()-6,"00000"))</f>
        <v/>
      </c>
      <c r="C30" s="114" t="n"/>
      <c r="D30" s="107" t="n"/>
      <c r="E30" s="107" t="n"/>
      <c r="F30" s="115" t="n"/>
      <c r="G30" s="108" t="n"/>
      <c r="H30" s="108" t="n"/>
      <c r="I30" s="108" t="n"/>
      <c r="J30" s="112">
        <f>IF($C30="","",IF(AND($D30&lt;&gt;"",$E30&lt;&gt;"",$D30&lt;&gt;$E30,$F30&gt;0),"UYGUN","HATA"))</f>
        <v/>
      </c>
      <c r="K30" s="6" t="n"/>
      <c r="L30" s="6" t="n"/>
    </row>
    <row r="31">
      <c r="A31" s="6" t="n"/>
      <c r="B31" s="112">
        <f>IF($C31="","","V"&amp;TEXT(ROW()-6,"00000"))</f>
        <v/>
      </c>
      <c r="C31" s="114" t="n"/>
      <c r="D31" s="107" t="n"/>
      <c r="E31" s="107" t="n"/>
      <c r="F31" s="115" t="n"/>
      <c r="G31" s="108" t="n"/>
      <c r="H31" s="108" t="n"/>
      <c r="I31" s="108" t="n"/>
      <c r="J31" s="112">
        <f>IF($C31="","",IF(AND($D31&lt;&gt;"",$E31&lt;&gt;"",$D31&lt;&gt;$E31,$F31&gt;0),"UYGUN","HATA"))</f>
        <v/>
      </c>
      <c r="K31" s="6" t="n"/>
      <c r="L31" s="6" t="n"/>
    </row>
    <row r="32">
      <c r="A32" s="6" t="n"/>
      <c r="B32" s="112">
        <f>IF($C32="","","V"&amp;TEXT(ROW()-6,"00000"))</f>
        <v/>
      </c>
      <c r="C32" s="114" t="n"/>
      <c r="D32" s="107" t="n"/>
      <c r="E32" s="107" t="n"/>
      <c r="F32" s="115" t="n"/>
      <c r="G32" s="108" t="n"/>
      <c r="H32" s="108" t="n"/>
      <c r="I32" s="108" t="n"/>
      <c r="J32" s="112">
        <f>IF($C32="","",IF(AND($D32&lt;&gt;"",$E32&lt;&gt;"",$D32&lt;&gt;$E32,$F32&gt;0),"UYGUN","HATA"))</f>
        <v/>
      </c>
      <c r="K32" s="6" t="n"/>
      <c r="L32" s="6" t="n"/>
    </row>
    <row r="33">
      <c r="A33" s="6" t="n"/>
      <c r="B33" s="112">
        <f>IF($C33="","","V"&amp;TEXT(ROW()-6,"00000"))</f>
        <v/>
      </c>
      <c r="C33" s="114" t="n"/>
      <c r="D33" s="107" t="n"/>
      <c r="E33" s="107" t="n"/>
      <c r="F33" s="115" t="n"/>
      <c r="G33" s="108" t="n"/>
      <c r="H33" s="108" t="n"/>
      <c r="I33" s="108" t="n"/>
      <c r="J33" s="112">
        <f>IF($C33="","",IF(AND($D33&lt;&gt;"",$E33&lt;&gt;"",$D33&lt;&gt;$E33,$F33&gt;0),"UYGUN","HATA"))</f>
        <v/>
      </c>
      <c r="K33" s="6" t="n"/>
      <c r="L33" s="6" t="n"/>
    </row>
    <row r="34">
      <c r="A34" s="6" t="n"/>
      <c r="B34" s="112">
        <f>IF($C34="","","V"&amp;TEXT(ROW()-6,"00000"))</f>
        <v/>
      </c>
      <c r="C34" s="114" t="n"/>
      <c r="D34" s="107" t="n"/>
      <c r="E34" s="107" t="n"/>
      <c r="F34" s="115" t="n"/>
      <c r="G34" s="108" t="n"/>
      <c r="H34" s="108" t="n"/>
      <c r="I34" s="108" t="n"/>
      <c r="J34" s="112">
        <f>IF($C34="","",IF(AND($D34&lt;&gt;"",$E34&lt;&gt;"",$D34&lt;&gt;$E34,$F34&gt;0),"UYGUN","HATA"))</f>
        <v/>
      </c>
      <c r="K34" s="6" t="n"/>
      <c r="L34" s="6" t="n"/>
    </row>
    <row r="35">
      <c r="A35" s="6" t="n"/>
      <c r="B35" s="112">
        <f>IF($C35="","","V"&amp;TEXT(ROW()-6,"00000"))</f>
        <v/>
      </c>
      <c r="C35" s="114" t="n"/>
      <c r="D35" s="107" t="n"/>
      <c r="E35" s="107" t="n"/>
      <c r="F35" s="115" t="n"/>
      <c r="G35" s="108" t="n"/>
      <c r="H35" s="108" t="n"/>
      <c r="I35" s="108" t="n"/>
      <c r="J35" s="112">
        <f>IF($C35="","",IF(AND($D35&lt;&gt;"",$E35&lt;&gt;"",$D35&lt;&gt;$E35,$F35&gt;0),"UYGUN","HATA"))</f>
        <v/>
      </c>
      <c r="K35" s="6" t="n"/>
      <c r="L35" s="6" t="n"/>
    </row>
    <row r="36">
      <c r="A36" s="6" t="n"/>
      <c r="B36" s="112">
        <f>IF($C36="","","V"&amp;TEXT(ROW()-6,"00000"))</f>
        <v/>
      </c>
      <c r="C36" s="114" t="n"/>
      <c r="D36" s="107" t="n"/>
      <c r="E36" s="107" t="n"/>
      <c r="F36" s="115" t="n"/>
      <c r="G36" s="108" t="n"/>
      <c r="H36" s="108" t="n"/>
      <c r="I36" s="108" t="n"/>
      <c r="J36" s="112">
        <f>IF($C36="","",IF(AND($D36&lt;&gt;"",$E36&lt;&gt;"",$D36&lt;&gt;$E36,$F36&gt;0),"UYGUN","HATA"))</f>
        <v/>
      </c>
      <c r="K36" s="6" t="n"/>
      <c r="L36" s="6" t="n"/>
    </row>
    <row r="37">
      <c r="A37" s="6" t="n"/>
      <c r="B37" s="112">
        <f>IF($C37="","","V"&amp;TEXT(ROW()-6,"00000"))</f>
        <v/>
      </c>
      <c r="C37" s="114" t="n"/>
      <c r="D37" s="107" t="n"/>
      <c r="E37" s="107" t="n"/>
      <c r="F37" s="115" t="n"/>
      <c r="G37" s="108" t="n"/>
      <c r="H37" s="108" t="n"/>
      <c r="I37" s="108" t="n"/>
      <c r="J37" s="112">
        <f>IF($C37="","",IF(AND($D37&lt;&gt;"",$E37&lt;&gt;"",$D37&lt;&gt;$E37,$F37&gt;0),"UYGUN","HATA"))</f>
        <v/>
      </c>
      <c r="K37" s="6" t="n"/>
      <c r="L37" s="6" t="n"/>
    </row>
    <row r="38">
      <c r="A38" s="6" t="n"/>
      <c r="B38" s="112">
        <f>IF($C38="","","V"&amp;TEXT(ROW()-6,"00000"))</f>
        <v/>
      </c>
      <c r="C38" s="114" t="n"/>
      <c r="D38" s="107" t="n"/>
      <c r="E38" s="107" t="n"/>
      <c r="F38" s="115" t="n"/>
      <c r="G38" s="108" t="n"/>
      <c r="H38" s="108" t="n"/>
      <c r="I38" s="108" t="n"/>
      <c r="J38" s="112">
        <f>IF($C38="","",IF(AND($D38&lt;&gt;"",$E38&lt;&gt;"",$D38&lt;&gt;$E38,$F38&gt;0),"UYGUN","HATA"))</f>
        <v/>
      </c>
      <c r="K38" s="6" t="n"/>
      <c r="L38" s="6" t="n"/>
    </row>
    <row r="39">
      <c r="A39" s="6" t="n"/>
      <c r="B39" s="112">
        <f>IF($C39="","","V"&amp;TEXT(ROW()-6,"00000"))</f>
        <v/>
      </c>
      <c r="C39" s="114" t="n"/>
      <c r="D39" s="107" t="n"/>
      <c r="E39" s="107" t="n"/>
      <c r="F39" s="115" t="n"/>
      <c r="G39" s="108" t="n"/>
      <c r="H39" s="108" t="n"/>
      <c r="I39" s="108" t="n"/>
      <c r="J39" s="112">
        <f>IF($C39="","",IF(AND($D39&lt;&gt;"",$E39&lt;&gt;"",$D39&lt;&gt;$E39,$F39&gt;0),"UYGUN","HATA"))</f>
        <v/>
      </c>
      <c r="K39" s="6" t="n"/>
      <c r="L39" s="6" t="n"/>
    </row>
    <row r="40">
      <c r="A40" s="6" t="n"/>
      <c r="B40" s="112">
        <f>IF($C40="","","V"&amp;TEXT(ROW()-6,"00000"))</f>
        <v/>
      </c>
      <c r="C40" s="114" t="n"/>
      <c r="D40" s="107" t="n"/>
      <c r="E40" s="107" t="n"/>
      <c r="F40" s="115" t="n"/>
      <c r="G40" s="108" t="n"/>
      <c r="H40" s="108" t="n"/>
      <c r="I40" s="108" t="n"/>
      <c r="J40" s="112">
        <f>IF($C40="","",IF(AND($D40&lt;&gt;"",$E40&lt;&gt;"",$D40&lt;&gt;$E40,$F40&gt;0),"UYGUN","HATA"))</f>
        <v/>
      </c>
      <c r="K40" s="6" t="n"/>
      <c r="L40" s="6" t="n"/>
    </row>
    <row r="41">
      <c r="A41" s="6" t="n"/>
      <c r="B41" s="112">
        <f>IF($C41="","","V"&amp;TEXT(ROW()-6,"00000"))</f>
        <v/>
      </c>
      <c r="C41" s="114" t="n"/>
      <c r="D41" s="107" t="n"/>
      <c r="E41" s="107" t="n"/>
      <c r="F41" s="115" t="n"/>
      <c r="G41" s="108" t="n"/>
      <c r="H41" s="108" t="n"/>
      <c r="I41" s="108" t="n"/>
      <c r="J41" s="112">
        <f>IF($C41="","",IF(AND($D41&lt;&gt;"",$E41&lt;&gt;"",$D41&lt;&gt;$E41,$F41&gt;0),"UYGUN","HATA"))</f>
        <v/>
      </c>
      <c r="K41" s="6" t="n"/>
      <c r="L41" s="6" t="n"/>
    </row>
    <row r="42">
      <c r="A42" s="6" t="n"/>
      <c r="B42" s="112">
        <f>IF($C42="","","V"&amp;TEXT(ROW()-6,"00000"))</f>
        <v/>
      </c>
      <c r="C42" s="114" t="n"/>
      <c r="D42" s="107" t="n"/>
      <c r="E42" s="107" t="n"/>
      <c r="F42" s="115" t="n"/>
      <c r="G42" s="108" t="n"/>
      <c r="H42" s="108" t="n"/>
      <c r="I42" s="108" t="n"/>
      <c r="J42" s="112">
        <f>IF($C42="","",IF(AND($D42&lt;&gt;"",$E42&lt;&gt;"",$D42&lt;&gt;$E42,$F42&gt;0),"UYGUN","HATA"))</f>
        <v/>
      </c>
      <c r="K42" s="6" t="n"/>
      <c r="L42" s="6" t="n"/>
    </row>
    <row r="43">
      <c r="A43" s="6" t="n"/>
      <c r="B43" s="112">
        <f>IF($C43="","","V"&amp;TEXT(ROW()-6,"00000"))</f>
        <v/>
      </c>
      <c r="C43" s="114" t="n"/>
      <c r="D43" s="107" t="n"/>
      <c r="E43" s="107" t="n"/>
      <c r="F43" s="115" t="n"/>
      <c r="G43" s="108" t="n"/>
      <c r="H43" s="108" t="n"/>
      <c r="I43" s="108" t="n"/>
      <c r="J43" s="112">
        <f>IF($C43="","",IF(AND($D43&lt;&gt;"",$E43&lt;&gt;"",$D43&lt;&gt;$E43,$F43&gt;0),"UYGUN","HATA"))</f>
        <v/>
      </c>
      <c r="K43" s="6" t="n"/>
      <c r="L43" s="6" t="n"/>
    </row>
    <row r="44">
      <c r="A44" s="6" t="n"/>
      <c r="B44" s="112">
        <f>IF($C44="","","V"&amp;TEXT(ROW()-6,"00000"))</f>
        <v/>
      </c>
      <c r="C44" s="114" t="n"/>
      <c r="D44" s="107" t="n"/>
      <c r="E44" s="107" t="n"/>
      <c r="F44" s="115" t="n"/>
      <c r="G44" s="108" t="n"/>
      <c r="H44" s="108" t="n"/>
      <c r="I44" s="108" t="n"/>
      <c r="J44" s="112">
        <f>IF($C44="","",IF(AND($D44&lt;&gt;"",$E44&lt;&gt;"",$D44&lt;&gt;$E44,$F44&gt;0),"UYGUN","HATA"))</f>
        <v/>
      </c>
      <c r="K44" s="6" t="n"/>
      <c r="L44" s="6" t="n"/>
    </row>
    <row r="45">
      <c r="A45" s="6" t="n"/>
      <c r="B45" s="112">
        <f>IF($C45="","","V"&amp;TEXT(ROW()-6,"00000"))</f>
        <v/>
      </c>
      <c r="C45" s="114" t="n"/>
      <c r="D45" s="107" t="n"/>
      <c r="E45" s="107" t="n"/>
      <c r="F45" s="115" t="n"/>
      <c r="G45" s="108" t="n"/>
      <c r="H45" s="108" t="n"/>
      <c r="I45" s="108" t="n"/>
      <c r="J45" s="112">
        <f>IF($C45="","",IF(AND($D45&lt;&gt;"",$E45&lt;&gt;"",$D45&lt;&gt;$E45,$F45&gt;0),"UYGUN","HATA"))</f>
        <v/>
      </c>
      <c r="K45" s="6" t="n"/>
      <c r="L45" s="6" t="n"/>
    </row>
    <row r="46">
      <c r="A46" s="6" t="n"/>
      <c r="B46" s="112">
        <f>IF($C46="","","V"&amp;TEXT(ROW()-6,"00000"))</f>
        <v/>
      </c>
      <c r="C46" s="114" t="n"/>
      <c r="D46" s="107" t="n"/>
      <c r="E46" s="107" t="n"/>
      <c r="F46" s="115" t="n"/>
      <c r="G46" s="108" t="n"/>
      <c r="H46" s="108" t="n"/>
      <c r="I46" s="108" t="n"/>
      <c r="J46" s="112">
        <f>IF($C46="","",IF(AND($D46&lt;&gt;"",$E46&lt;&gt;"",$D46&lt;&gt;$E46,$F46&gt;0),"UYGUN","HATA"))</f>
        <v/>
      </c>
      <c r="K46" s="6" t="n"/>
      <c r="L46" s="6" t="n"/>
    </row>
    <row r="47">
      <c r="A47" s="6" t="n"/>
      <c r="B47" s="112">
        <f>IF($C47="","","V"&amp;TEXT(ROW()-6,"00000"))</f>
        <v/>
      </c>
      <c r="C47" s="114" t="n"/>
      <c r="D47" s="107" t="n"/>
      <c r="E47" s="107" t="n"/>
      <c r="F47" s="115" t="n"/>
      <c r="G47" s="108" t="n"/>
      <c r="H47" s="108" t="n"/>
      <c r="I47" s="108" t="n"/>
      <c r="J47" s="112">
        <f>IF($C47="","",IF(AND($D47&lt;&gt;"",$E47&lt;&gt;"",$D47&lt;&gt;$E47,$F47&gt;0),"UYGUN","HATA"))</f>
        <v/>
      </c>
      <c r="K47" s="6" t="n"/>
      <c r="L47" s="6" t="n"/>
    </row>
    <row r="48">
      <c r="A48" s="6" t="n"/>
      <c r="B48" s="112">
        <f>IF($C48="","","V"&amp;TEXT(ROW()-6,"00000"))</f>
        <v/>
      </c>
      <c r="C48" s="114" t="n"/>
      <c r="D48" s="107" t="n"/>
      <c r="E48" s="107" t="n"/>
      <c r="F48" s="115" t="n"/>
      <c r="G48" s="108" t="n"/>
      <c r="H48" s="108" t="n"/>
      <c r="I48" s="108" t="n"/>
      <c r="J48" s="112">
        <f>IF($C48="","",IF(AND($D48&lt;&gt;"",$E48&lt;&gt;"",$D48&lt;&gt;$E48,$F48&gt;0),"UYGUN","HATA"))</f>
        <v/>
      </c>
      <c r="K48" s="6" t="n"/>
      <c r="L48" s="6" t="n"/>
    </row>
    <row r="49">
      <c r="A49" s="6" t="n"/>
      <c r="B49" s="112">
        <f>IF($C49="","","V"&amp;TEXT(ROW()-6,"00000"))</f>
        <v/>
      </c>
      <c r="C49" s="114" t="n"/>
      <c r="D49" s="107" t="n"/>
      <c r="E49" s="107" t="n"/>
      <c r="F49" s="115" t="n"/>
      <c r="G49" s="108" t="n"/>
      <c r="H49" s="108" t="n"/>
      <c r="I49" s="108" t="n"/>
      <c r="J49" s="112">
        <f>IF($C49="","",IF(AND($D49&lt;&gt;"",$E49&lt;&gt;"",$D49&lt;&gt;$E49,$F49&gt;0),"UYGUN","HATA"))</f>
        <v/>
      </c>
      <c r="K49" s="6" t="n"/>
      <c r="L49" s="6" t="n"/>
    </row>
    <row r="50">
      <c r="A50" s="6" t="n"/>
      <c r="B50" s="112">
        <f>IF($C50="","","V"&amp;TEXT(ROW()-6,"00000"))</f>
        <v/>
      </c>
      <c r="C50" s="114" t="n"/>
      <c r="D50" s="107" t="n"/>
      <c r="E50" s="107" t="n"/>
      <c r="F50" s="115" t="n"/>
      <c r="G50" s="108" t="n"/>
      <c r="H50" s="108" t="n"/>
      <c r="I50" s="108" t="n"/>
      <c r="J50" s="112">
        <f>IF($C50="","",IF(AND($D50&lt;&gt;"",$E50&lt;&gt;"",$D50&lt;&gt;$E50,$F50&gt;0),"UYGUN","HATA"))</f>
        <v/>
      </c>
      <c r="K50" s="6" t="n"/>
      <c r="L50" s="6" t="n"/>
    </row>
    <row r="51">
      <c r="A51" s="6" t="n"/>
      <c r="B51" s="112">
        <f>IF($C51="","","V"&amp;TEXT(ROW()-6,"00000"))</f>
        <v/>
      </c>
      <c r="C51" s="114" t="n"/>
      <c r="D51" s="107" t="n"/>
      <c r="E51" s="107" t="n"/>
      <c r="F51" s="115" t="n"/>
      <c r="G51" s="108" t="n"/>
      <c r="H51" s="108" t="n"/>
      <c r="I51" s="108" t="n"/>
      <c r="J51" s="112">
        <f>IF($C51="","",IF(AND($D51&lt;&gt;"",$E51&lt;&gt;"",$D51&lt;&gt;$E51,$F51&gt;0),"UYGUN","HATA"))</f>
        <v/>
      </c>
      <c r="K51" s="6" t="n"/>
      <c r="L51" s="6" t="n"/>
    </row>
    <row r="52">
      <c r="A52" s="6" t="n"/>
      <c r="B52" s="112">
        <f>IF($C52="","","V"&amp;TEXT(ROW()-6,"00000"))</f>
        <v/>
      </c>
      <c r="C52" s="114" t="n"/>
      <c r="D52" s="107" t="n"/>
      <c r="E52" s="107" t="n"/>
      <c r="F52" s="115" t="n"/>
      <c r="G52" s="108" t="n"/>
      <c r="H52" s="108" t="n"/>
      <c r="I52" s="108" t="n"/>
      <c r="J52" s="112">
        <f>IF($C52="","",IF(AND($D52&lt;&gt;"",$E52&lt;&gt;"",$D52&lt;&gt;$E52,$F52&gt;0),"UYGUN","HATA"))</f>
        <v/>
      </c>
      <c r="K52" s="6" t="n"/>
      <c r="L52" s="6" t="n"/>
    </row>
    <row r="53">
      <c r="A53" s="6" t="n"/>
      <c r="B53" s="112">
        <f>IF($C53="","","V"&amp;TEXT(ROW()-6,"00000"))</f>
        <v/>
      </c>
      <c r="C53" s="114" t="n"/>
      <c r="D53" s="107" t="n"/>
      <c r="E53" s="107" t="n"/>
      <c r="F53" s="115" t="n"/>
      <c r="G53" s="108" t="n"/>
      <c r="H53" s="108" t="n"/>
      <c r="I53" s="108" t="n"/>
      <c r="J53" s="112">
        <f>IF($C53="","",IF(AND($D53&lt;&gt;"",$E53&lt;&gt;"",$D53&lt;&gt;$E53,$F53&gt;0),"UYGUN","HATA"))</f>
        <v/>
      </c>
      <c r="K53" s="6" t="n"/>
      <c r="L53" s="6" t="n"/>
    </row>
    <row r="54">
      <c r="A54" s="6" t="n"/>
      <c r="B54" s="112">
        <f>IF($C54="","","V"&amp;TEXT(ROW()-6,"00000"))</f>
        <v/>
      </c>
      <c r="C54" s="114" t="n"/>
      <c r="D54" s="107" t="n"/>
      <c r="E54" s="107" t="n"/>
      <c r="F54" s="115" t="n"/>
      <c r="G54" s="108" t="n"/>
      <c r="H54" s="108" t="n"/>
      <c r="I54" s="108" t="n"/>
      <c r="J54" s="112">
        <f>IF($C54="","",IF(AND($D54&lt;&gt;"",$E54&lt;&gt;"",$D54&lt;&gt;$E54,$F54&gt;0),"UYGUN","HATA"))</f>
        <v/>
      </c>
      <c r="K54" s="6" t="n"/>
      <c r="L54" s="6" t="n"/>
    </row>
    <row r="55">
      <c r="A55" s="6" t="n"/>
      <c r="B55" s="112">
        <f>IF($C55="","","V"&amp;TEXT(ROW()-6,"00000"))</f>
        <v/>
      </c>
      <c r="C55" s="114" t="n"/>
      <c r="D55" s="107" t="n"/>
      <c r="E55" s="107" t="n"/>
      <c r="F55" s="115" t="n"/>
      <c r="G55" s="108" t="n"/>
      <c r="H55" s="108" t="n"/>
      <c r="I55" s="108" t="n"/>
      <c r="J55" s="112">
        <f>IF($C55="","",IF(AND($D55&lt;&gt;"",$E55&lt;&gt;"",$D55&lt;&gt;$E55,$F55&gt;0),"UYGUN","HATA"))</f>
        <v/>
      </c>
      <c r="K55" s="6" t="n"/>
      <c r="L55" s="6" t="n"/>
    </row>
    <row r="56">
      <c r="A56" s="6" t="n"/>
      <c r="B56" s="112">
        <f>IF($C56="","","V"&amp;TEXT(ROW()-6,"00000"))</f>
        <v/>
      </c>
      <c r="C56" s="114" t="n"/>
      <c r="D56" s="107" t="n"/>
      <c r="E56" s="107" t="n"/>
      <c r="F56" s="115" t="n"/>
      <c r="G56" s="108" t="n"/>
      <c r="H56" s="108" t="n"/>
      <c r="I56" s="108" t="n"/>
      <c r="J56" s="112">
        <f>IF($C56="","",IF(AND($D56&lt;&gt;"",$E56&lt;&gt;"",$D56&lt;&gt;$E56,$F56&gt;0),"UYGUN","HATA"))</f>
        <v/>
      </c>
      <c r="K56" s="6" t="n"/>
      <c r="L56" s="6" t="n"/>
    </row>
    <row r="57">
      <c r="A57" s="6" t="n"/>
      <c r="B57" s="112">
        <f>IF($C57="","","V"&amp;TEXT(ROW()-6,"00000"))</f>
        <v/>
      </c>
      <c r="C57" s="114" t="n"/>
      <c r="D57" s="107" t="n"/>
      <c r="E57" s="107" t="n"/>
      <c r="F57" s="115" t="n"/>
      <c r="G57" s="108" t="n"/>
      <c r="H57" s="108" t="n"/>
      <c r="I57" s="108" t="n"/>
      <c r="J57" s="112">
        <f>IF($C57="","",IF(AND($D57&lt;&gt;"",$E57&lt;&gt;"",$D57&lt;&gt;$E57,$F57&gt;0),"UYGUN","HATA"))</f>
        <v/>
      </c>
      <c r="K57" s="6" t="n"/>
      <c r="L57" s="6" t="n"/>
    </row>
    <row r="58">
      <c r="A58" s="6" t="n"/>
      <c r="B58" s="112">
        <f>IF($C58="","","V"&amp;TEXT(ROW()-6,"00000"))</f>
        <v/>
      </c>
      <c r="C58" s="114" t="n"/>
      <c r="D58" s="107" t="n"/>
      <c r="E58" s="107" t="n"/>
      <c r="F58" s="115" t="n"/>
      <c r="G58" s="108" t="n"/>
      <c r="H58" s="108" t="n"/>
      <c r="I58" s="108" t="n"/>
      <c r="J58" s="112">
        <f>IF($C58="","",IF(AND($D58&lt;&gt;"",$E58&lt;&gt;"",$D58&lt;&gt;$E58,$F58&gt;0),"UYGUN","HATA"))</f>
        <v/>
      </c>
      <c r="K58" s="6" t="n"/>
      <c r="L58" s="6" t="n"/>
    </row>
    <row r="59">
      <c r="A59" s="6" t="n"/>
      <c r="B59" s="112">
        <f>IF($C59="","","V"&amp;TEXT(ROW()-6,"00000"))</f>
        <v/>
      </c>
      <c r="C59" s="114" t="n"/>
      <c r="D59" s="107" t="n"/>
      <c r="E59" s="107" t="n"/>
      <c r="F59" s="115" t="n"/>
      <c r="G59" s="108" t="n"/>
      <c r="H59" s="108" t="n"/>
      <c r="I59" s="108" t="n"/>
      <c r="J59" s="112">
        <f>IF($C59="","",IF(AND($D59&lt;&gt;"",$E59&lt;&gt;"",$D59&lt;&gt;$E59,$F59&gt;0),"UYGUN","HATA"))</f>
        <v/>
      </c>
      <c r="K59" s="6" t="n"/>
      <c r="L59" s="6" t="n"/>
    </row>
    <row r="60">
      <c r="A60" s="6" t="n"/>
      <c r="B60" s="112">
        <f>IF($C60="","","V"&amp;TEXT(ROW()-6,"00000"))</f>
        <v/>
      </c>
      <c r="C60" s="114" t="n"/>
      <c r="D60" s="107" t="n"/>
      <c r="E60" s="107" t="n"/>
      <c r="F60" s="115" t="n"/>
      <c r="G60" s="108" t="n"/>
      <c r="H60" s="108" t="n"/>
      <c r="I60" s="108" t="n"/>
      <c r="J60" s="112">
        <f>IF($C60="","",IF(AND($D60&lt;&gt;"",$E60&lt;&gt;"",$D60&lt;&gt;$E60,$F60&gt;0),"UYGUN","HATA"))</f>
        <v/>
      </c>
      <c r="K60" s="6" t="n"/>
      <c r="L60" s="6" t="n"/>
    </row>
    <row r="61">
      <c r="A61" s="6" t="n"/>
      <c r="B61" s="112">
        <f>IF($C61="","","V"&amp;TEXT(ROW()-6,"00000"))</f>
        <v/>
      </c>
      <c r="C61" s="114" t="n"/>
      <c r="D61" s="107" t="n"/>
      <c r="E61" s="107" t="n"/>
      <c r="F61" s="115" t="n"/>
      <c r="G61" s="108" t="n"/>
      <c r="H61" s="108" t="n"/>
      <c r="I61" s="108" t="n"/>
      <c r="J61" s="112">
        <f>IF($C61="","",IF(AND($D61&lt;&gt;"",$E61&lt;&gt;"",$D61&lt;&gt;$E61,$F61&gt;0),"UYGUN","HATA"))</f>
        <v/>
      </c>
      <c r="K61" s="6" t="n"/>
      <c r="L61" s="6" t="n"/>
    </row>
    <row r="62">
      <c r="A62" s="6" t="n"/>
      <c r="B62" s="112">
        <f>IF($C62="","","V"&amp;TEXT(ROW()-6,"00000"))</f>
        <v/>
      </c>
      <c r="C62" s="114" t="n"/>
      <c r="D62" s="107" t="n"/>
      <c r="E62" s="107" t="n"/>
      <c r="F62" s="115" t="n"/>
      <c r="G62" s="108" t="n"/>
      <c r="H62" s="108" t="n"/>
      <c r="I62" s="108" t="n"/>
      <c r="J62" s="112">
        <f>IF($C62="","",IF(AND($D62&lt;&gt;"",$E62&lt;&gt;"",$D62&lt;&gt;$E62,$F62&gt;0),"UYGUN","HATA"))</f>
        <v/>
      </c>
      <c r="K62" s="6" t="n"/>
      <c r="L62" s="6" t="n"/>
    </row>
    <row r="63">
      <c r="A63" s="6" t="n"/>
      <c r="B63" s="112">
        <f>IF($C63="","","V"&amp;TEXT(ROW()-6,"00000"))</f>
        <v/>
      </c>
      <c r="C63" s="114" t="n"/>
      <c r="D63" s="107" t="n"/>
      <c r="E63" s="107" t="n"/>
      <c r="F63" s="115" t="n"/>
      <c r="G63" s="108" t="n"/>
      <c r="H63" s="108" t="n"/>
      <c r="I63" s="108" t="n"/>
      <c r="J63" s="112">
        <f>IF($C63="","",IF(AND($D63&lt;&gt;"",$E63&lt;&gt;"",$D63&lt;&gt;$E63,$F63&gt;0),"UYGUN","HATA"))</f>
        <v/>
      </c>
      <c r="K63" s="6" t="n"/>
      <c r="L63" s="6" t="n"/>
    </row>
    <row r="64">
      <c r="A64" s="6" t="n"/>
      <c r="B64" s="112">
        <f>IF($C64="","","V"&amp;TEXT(ROW()-6,"00000"))</f>
        <v/>
      </c>
      <c r="C64" s="114" t="n"/>
      <c r="D64" s="107" t="n"/>
      <c r="E64" s="107" t="n"/>
      <c r="F64" s="115" t="n"/>
      <c r="G64" s="108" t="n"/>
      <c r="H64" s="108" t="n"/>
      <c r="I64" s="108" t="n"/>
      <c r="J64" s="112">
        <f>IF($C64="","",IF(AND($D64&lt;&gt;"",$E64&lt;&gt;"",$D64&lt;&gt;$E64,$F64&gt;0),"UYGUN","HATA"))</f>
        <v/>
      </c>
      <c r="K64" s="6" t="n"/>
      <c r="L64" s="6" t="n"/>
    </row>
    <row r="65">
      <c r="A65" s="6" t="n"/>
      <c r="B65" s="112">
        <f>IF($C65="","","V"&amp;TEXT(ROW()-6,"00000"))</f>
        <v/>
      </c>
      <c r="C65" s="114" t="n"/>
      <c r="D65" s="107" t="n"/>
      <c r="E65" s="107" t="n"/>
      <c r="F65" s="115" t="n"/>
      <c r="G65" s="108" t="n"/>
      <c r="H65" s="108" t="n"/>
      <c r="I65" s="108" t="n"/>
      <c r="J65" s="112">
        <f>IF($C65="","",IF(AND($D65&lt;&gt;"",$E65&lt;&gt;"",$D65&lt;&gt;$E65,$F65&gt;0),"UYGUN","HATA"))</f>
        <v/>
      </c>
      <c r="K65" s="6" t="n"/>
      <c r="L65" s="6" t="n"/>
    </row>
    <row r="66">
      <c r="A66" s="6" t="n"/>
      <c r="B66" s="112">
        <f>IF($C66="","","V"&amp;TEXT(ROW()-6,"00000"))</f>
        <v/>
      </c>
      <c r="C66" s="114" t="n"/>
      <c r="D66" s="107" t="n"/>
      <c r="E66" s="107" t="n"/>
      <c r="F66" s="115" t="n"/>
      <c r="G66" s="108" t="n"/>
      <c r="H66" s="108" t="n"/>
      <c r="I66" s="108" t="n"/>
      <c r="J66" s="112">
        <f>IF($C66="","",IF(AND($D66&lt;&gt;"",$E66&lt;&gt;"",$D66&lt;&gt;$E66,$F66&gt;0),"UYGUN","HATA"))</f>
        <v/>
      </c>
      <c r="K66" s="6" t="n"/>
      <c r="L66" s="6" t="n"/>
    </row>
    <row r="67">
      <c r="A67" s="6" t="n"/>
      <c r="B67" s="112">
        <f>IF($C67="","","V"&amp;TEXT(ROW()-6,"00000"))</f>
        <v/>
      </c>
      <c r="C67" s="114" t="n"/>
      <c r="D67" s="107" t="n"/>
      <c r="E67" s="107" t="n"/>
      <c r="F67" s="115" t="n"/>
      <c r="G67" s="108" t="n"/>
      <c r="H67" s="108" t="n"/>
      <c r="I67" s="108" t="n"/>
      <c r="J67" s="112">
        <f>IF($C67="","",IF(AND($D67&lt;&gt;"",$E67&lt;&gt;"",$D67&lt;&gt;$E67,$F67&gt;0),"UYGUN","HATA"))</f>
        <v/>
      </c>
      <c r="K67" s="6" t="n"/>
      <c r="L67" s="6" t="n"/>
    </row>
    <row r="68">
      <c r="A68" s="6" t="n"/>
      <c r="B68" s="112">
        <f>IF($C68="","","V"&amp;TEXT(ROW()-6,"00000"))</f>
        <v/>
      </c>
      <c r="C68" s="114" t="n"/>
      <c r="D68" s="107" t="n"/>
      <c r="E68" s="107" t="n"/>
      <c r="F68" s="115" t="n"/>
      <c r="G68" s="108" t="n"/>
      <c r="H68" s="108" t="n"/>
      <c r="I68" s="108" t="n"/>
      <c r="J68" s="112">
        <f>IF($C68="","",IF(AND($D68&lt;&gt;"",$E68&lt;&gt;"",$D68&lt;&gt;$E68,$F68&gt;0),"UYGUN","HATA"))</f>
        <v/>
      </c>
      <c r="K68" s="6" t="n"/>
      <c r="L68" s="6" t="n"/>
    </row>
    <row r="69">
      <c r="A69" s="6" t="n"/>
      <c r="B69" s="112">
        <f>IF($C69="","","V"&amp;TEXT(ROW()-6,"00000"))</f>
        <v/>
      </c>
      <c r="C69" s="114" t="n"/>
      <c r="D69" s="107" t="n"/>
      <c r="E69" s="107" t="n"/>
      <c r="F69" s="115" t="n"/>
      <c r="G69" s="108" t="n"/>
      <c r="H69" s="108" t="n"/>
      <c r="I69" s="108" t="n"/>
      <c r="J69" s="112">
        <f>IF($C69="","",IF(AND($D69&lt;&gt;"",$E69&lt;&gt;"",$D69&lt;&gt;$E69,$F69&gt;0),"UYGUN","HATA"))</f>
        <v/>
      </c>
      <c r="K69" s="6" t="n"/>
      <c r="L69" s="6" t="n"/>
    </row>
    <row r="70">
      <c r="A70" s="6" t="n"/>
      <c r="B70" s="112">
        <f>IF($C70="","","V"&amp;TEXT(ROW()-6,"00000"))</f>
        <v/>
      </c>
      <c r="C70" s="114" t="n"/>
      <c r="D70" s="107" t="n"/>
      <c r="E70" s="107" t="n"/>
      <c r="F70" s="115" t="n"/>
      <c r="G70" s="108" t="n"/>
      <c r="H70" s="108" t="n"/>
      <c r="I70" s="108" t="n"/>
      <c r="J70" s="112">
        <f>IF($C70="","",IF(AND($D70&lt;&gt;"",$E70&lt;&gt;"",$D70&lt;&gt;$E70,$F70&gt;0),"UYGUN","HATA"))</f>
        <v/>
      </c>
      <c r="K70" s="6" t="n"/>
      <c r="L70" s="6" t="n"/>
    </row>
    <row r="71">
      <c r="A71" s="6" t="n"/>
      <c r="B71" s="112">
        <f>IF($C71="","","V"&amp;TEXT(ROW()-6,"00000"))</f>
        <v/>
      </c>
      <c r="C71" s="114" t="n"/>
      <c r="D71" s="107" t="n"/>
      <c r="E71" s="107" t="n"/>
      <c r="F71" s="115" t="n"/>
      <c r="G71" s="108" t="n"/>
      <c r="H71" s="108" t="n"/>
      <c r="I71" s="108" t="n"/>
      <c r="J71" s="112">
        <f>IF($C71="","",IF(AND($D71&lt;&gt;"",$E71&lt;&gt;"",$D71&lt;&gt;$E71,$F71&gt;0),"UYGUN","HATA"))</f>
        <v/>
      </c>
      <c r="K71" s="6" t="n"/>
      <c r="L71" s="6" t="n"/>
    </row>
    <row r="72">
      <c r="A72" s="6" t="n"/>
      <c r="B72" s="112">
        <f>IF($C72="","","V"&amp;TEXT(ROW()-6,"00000"))</f>
        <v/>
      </c>
      <c r="C72" s="114" t="n"/>
      <c r="D72" s="107" t="n"/>
      <c r="E72" s="107" t="n"/>
      <c r="F72" s="115" t="n"/>
      <c r="G72" s="108" t="n"/>
      <c r="H72" s="108" t="n"/>
      <c r="I72" s="108" t="n"/>
      <c r="J72" s="112">
        <f>IF($C72="","",IF(AND($D72&lt;&gt;"",$E72&lt;&gt;"",$D72&lt;&gt;$E72,$F72&gt;0),"UYGUN","HATA"))</f>
        <v/>
      </c>
      <c r="K72" s="6" t="n"/>
      <c r="L72" s="6" t="n"/>
    </row>
    <row r="73">
      <c r="A73" s="6" t="n"/>
      <c r="B73" s="112">
        <f>IF($C73="","","V"&amp;TEXT(ROW()-6,"00000"))</f>
        <v/>
      </c>
      <c r="C73" s="114" t="n"/>
      <c r="D73" s="107" t="n"/>
      <c r="E73" s="107" t="n"/>
      <c r="F73" s="115" t="n"/>
      <c r="G73" s="108" t="n"/>
      <c r="H73" s="108" t="n"/>
      <c r="I73" s="108" t="n"/>
      <c r="J73" s="112">
        <f>IF($C73="","",IF(AND($D73&lt;&gt;"",$E73&lt;&gt;"",$D73&lt;&gt;$E73,$F73&gt;0),"UYGUN","HATA"))</f>
        <v/>
      </c>
      <c r="K73" s="6" t="n"/>
      <c r="L73" s="6" t="n"/>
    </row>
    <row r="74">
      <c r="A74" s="6" t="n"/>
      <c r="B74" s="112">
        <f>IF($C74="","","V"&amp;TEXT(ROW()-6,"00000"))</f>
        <v/>
      </c>
      <c r="C74" s="114" t="n"/>
      <c r="D74" s="107" t="n"/>
      <c r="E74" s="107" t="n"/>
      <c r="F74" s="115" t="n"/>
      <c r="G74" s="108" t="n"/>
      <c r="H74" s="108" t="n"/>
      <c r="I74" s="108" t="n"/>
      <c r="J74" s="112">
        <f>IF($C74="","",IF(AND($D74&lt;&gt;"",$E74&lt;&gt;"",$D74&lt;&gt;$E74,$F74&gt;0),"UYGUN","HATA"))</f>
        <v/>
      </c>
      <c r="K74" s="6" t="n"/>
      <c r="L74" s="6" t="n"/>
    </row>
    <row r="75">
      <c r="A75" s="6" t="n"/>
      <c r="B75" s="112">
        <f>IF($C75="","","V"&amp;TEXT(ROW()-6,"00000"))</f>
        <v/>
      </c>
      <c r="C75" s="114" t="n"/>
      <c r="D75" s="107" t="n"/>
      <c r="E75" s="107" t="n"/>
      <c r="F75" s="115" t="n"/>
      <c r="G75" s="108" t="n"/>
      <c r="H75" s="108" t="n"/>
      <c r="I75" s="108" t="n"/>
      <c r="J75" s="112">
        <f>IF($C75="","",IF(AND($D75&lt;&gt;"",$E75&lt;&gt;"",$D75&lt;&gt;$E75,$F75&gt;0),"UYGUN","HATA"))</f>
        <v/>
      </c>
      <c r="K75" s="6" t="n"/>
      <c r="L75" s="6" t="n"/>
    </row>
    <row r="76">
      <c r="A76" s="6" t="n"/>
      <c r="B76" s="112">
        <f>IF($C76="","","V"&amp;TEXT(ROW()-6,"00000"))</f>
        <v/>
      </c>
      <c r="C76" s="114" t="n"/>
      <c r="D76" s="107" t="n"/>
      <c r="E76" s="107" t="n"/>
      <c r="F76" s="115" t="n"/>
      <c r="G76" s="108" t="n"/>
      <c r="H76" s="108" t="n"/>
      <c r="I76" s="108" t="n"/>
      <c r="J76" s="112">
        <f>IF($C76="","",IF(AND($D76&lt;&gt;"",$E76&lt;&gt;"",$D76&lt;&gt;$E76,$F76&gt;0),"UYGUN","HATA"))</f>
        <v/>
      </c>
      <c r="K76" s="6" t="n"/>
      <c r="L76" s="6" t="n"/>
    </row>
    <row r="77">
      <c r="A77" s="6" t="n"/>
      <c r="B77" s="112">
        <f>IF($C77="","","V"&amp;TEXT(ROW()-6,"00000"))</f>
        <v/>
      </c>
      <c r="C77" s="114" t="n"/>
      <c r="D77" s="107" t="n"/>
      <c r="E77" s="107" t="n"/>
      <c r="F77" s="115" t="n"/>
      <c r="G77" s="108" t="n"/>
      <c r="H77" s="108" t="n"/>
      <c r="I77" s="108" t="n"/>
      <c r="J77" s="112">
        <f>IF($C77="","",IF(AND($D77&lt;&gt;"",$E77&lt;&gt;"",$D77&lt;&gt;$E77,$F77&gt;0),"UYGUN","HATA"))</f>
        <v/>
      </c>
      <c r="K77" s="6" t="n"/>
      <c r="L77" s="6" t="n"/>
    </row>
    <row r="78">
      <c r="A78" s="6" t="n"/>
      <c r="B78" s="112">
        <f>IF($C78="","","V"&amp;TEXT(ROW()-6,"00000"))</f>
        <v/>
      </c>
      <c r="C78" s="114" t="n"/>
      <c r="D78" s="107" t="n"/>
      <c r="E78" s="107" t="n"/>
      <c r="F78" s="115" t="n"/>
      <c r="G78" s="108" t="n"/>
      <c r="H78" s="108" t="n"/>
      <c r="I78" s="108" t="n"/>
      <c r="J78" s="112">
        <f>IF($C78="","",IF(AND($D78&lt;&gt;"",$E78&lt;&gt;"",$D78&lt;&gt;$E78,$F78&gt;0),"UYGUN","HATA"))</f>
        <v/>
      </c>
      <c r="K78" s="6" t="n"/>
      <c r="L78" s="6" t="n"/>
    </row>
    <row r="79">
      <c r="A79" s="6" t="n"/>
      <c r="B79" s="112">
        <f>IF($C79="","","V"&amp;TEXT(ROW()-6,"00000"))</f>
        <v/>
      </c>
      <c r="C79" s="114" t="n"/>
      <c r="D79" s="107" t="n"/>
      <c r="E79" s="107" t="n"/>
      <c r="F79" s="115" t="n"/>
      <c r="G79" s="108" t="n"/>
      <c r="H79" s="108" t="n"/>
      <c r="I79" s="108" t="n"/>
      <c r="J79" s="112">
        <f>IF($C79="","",IF(AND($D79&lt;&gt;"",$E79&lt;&gt;"",$D79&lt;&gt;$E79,$F79&gt;0),"UYGUN","HATA"))</f>
        <v/>
      </c>
      <c r="K79" s="6" t="n"/>
      <c r="L79" s="6" t="n"/>
    </row>
    <row r="80">
      <c r="A80" s="6" t="n"/>
      <c r="B80" s="112">
        <f>IF($C80="","","V"&amp;TEXT(ROW()-6,"00000"))</f>
        <v/>
      </c>
      <c r="C80" s="114" t="n"/>
      <c r="D80" s="107" t="n"/>
      <c r="E80" s="107" t="n"/>
      <c r="F80" s="115" t="n"/>
      <c r="G80" s="108" t="n"/>
      <c r="H80" s="108" t="n"/>
      <c r="I80" s="108" t="n"/>
      <c r="J80" s="112">
        <f>IF($C80="","",IF(AND($D80&lt;&gt;"",$E80&lt;&gt;"",$D80&lt;&gt;$E80,$F80&gt;0),"UYGUN","HATA"))</f>
        <v/>
      </c>
      <c r="K80" s="6" t="n"/>
      <c r="L80" s="6" t="n"/>
    </row>
    <row r="81">
      <c r="A81" s="6" t="n"/>
      <c r="B81" s="112">
        <f>IF($C81="","","V"&amp;TEXT(ROW()-6,"00000"))</f>
        <v/>
      </c>
      <c r="C81" s="114" t="n"/>
      <c r="D81" s="107" t="n"/>
      <c r="E81" s="107" t="n"/>
      <c r="F81" s="115" t="n"/>
      <c r="G81" s="108" t="n"/>
      <c r="H81" s="108" t="n"/>
      <c r="I81" s="108" t="n"/>
      <c r="J81" s="112">
        <f>IF($C81="","",IF(AND($D81&lt;&gt;"",$E81&lt;&gt;"",$D81&lt;&gt;$E81,$F81&gt;0),"UYGUN","HATA"))</f>
        <v/>
      </c>
      <c r="K81" s="6" t="n"/>
      <c r="L81" s="6" t="n"/>
    </row>
    <row r="82">
      <c r="A82" s="6" t="n"/>
      <c r="B82" s="112">
        <f>IF($C82="","","V"&amp;TEXT(ROW()-6,"00000"))</f>
        <v/>
      </c>
      <c r="C82" s="114" t="n"/>
      <c r="D82" s="107" t="n"/>
      <c r="E82" s="107" t="n"/>
      <c r="F82" s="115" t="n"/>
      <c r="G82" s="108" t="n"/>
      <c r="H82" s="108" t="n"/>
      <c r="I82" s="108" t="n"/>
      <c r="J82" s="112">
        <f>IF($C82="","",IF(AND($D82&lt;&gt;"",$E82&lt;&gt;"",$D82&lt;&gt;$E82,$F82&gt;0),"UYGUN","HATA"))</f>
        <v/>
      </c>
      <c r="K82" s="6" t="n"/>
      <c r="L82" s="6" t="n"/>
    </row>
    <row r="83">
      <c r="A83" s="6" t="n"/>
      <c r="B83" s="112">
        <f>IF($C83="","","V"&amp;TEXT(ROW()-6,"00000"))</f>
        <v/>
      </c>
      <c r="C83" s="114" t="n"/>
      <c r="D83" s="107" t="n"/>
      <c r="E83" s="107" t="n"/>
      <c r="F83" s="115" t="n"/>
      <c r="G83" s="108" t="n"/>
      <c r="H83" s="108" t="n"/>
      <c r="I83" s="108" t="n"/>
      <c r="J83" s="112">
        <f>IF($C83="","",IF(AND($D83&lt;&gt;"",$E83&lt;&gt;"",$D83&lt;&gt;$E83,$F83&gt;0),"UYGUN","HATA"))</f>
        <v/>
      </c>
      <c r="K83" s="6" t="n"/>
      <c r="L83" s="6" t="n"/>
    </row>
    <row r="84">
      <c r="A84" s="6" t="n"/>
      <c r="B84" s="112">
        <f>IF($C84="","","V"&amp;TEXT(ROW()-6,"00000"))</f>
        <v/>
      </c>
      <c r="C84" s="114" t="n"/>
      <c r="D84" s="107" t="n"/>
      <c r="E84" s="107" t="n"/>
      <c r="F84" s="115" t="n"/>
      <c r="G84" s="108" t="n"/>
      <c r="H84" s="108" t="n"/>
      <c r="I84" s="108" t="n"/>
      <c r="J84" s="112">
        <f>IF($C84="","",IF(AND($D84&lt;&gt;"",$E84&lt;&gt;"",$D84&lt;&gt;$E84,$F84&gt;0),"UYGUN","HATA"))</f>
        <v/>
      </c>
      <c r="K84" s="6" t="n"/>
      <c r="L84" s="6" t="n"/>
    </row>
    <row r="85">
      <c r="A85" s="6" t="n"/>
      <c r="B85" s="112">
        <f>IF($C85="","","V"&amp;TEXT(ROW()-6,"00000"))</f>
        <v/>
      </c>
      <c r="C85" s="114" t="n"/>
      <c r="D85" s="107" t="n"/>
      <c r="E85" s="107" t="n"/>
      <c r="F85" s="115" t="n"/>
      <c r="G85" s="108" t="n"/>
      <c r="H85" s="108" t="n"/>
      <c r="I85" s="108" t="n"/>
      <c r="J85" s="112">
        <f>IF($C85="","",IF(AND($D85&lt;&gt;"",$E85&lt;&gt;"",$D85&lt;&gt;$E85,$F85&gt;0),"UYGUN","HATA"))</f>
        <v/>
      </c>
      <c r="K85" s="6" t="n"/>
      <c r="L85" s="6" t="n"/>
    </row>
    <row r="86">
      <c r="A86" s="6" t="n"/>
      <c r="B86" s="112">
        <f>IF($C86="","","V"&amp;TEXT(ROW()-6,"00000"))</f>
        <v/>
      </c>
      <c r="C86" s="114" t="n"/>
      <c r="D86" s="107" t="n"/>
      <c r="E86" s="107" t="n"/>
      <c r="F86" s="115" t="n"/>
      <c r="G86" s="108" t="n"/>
      <c r="H86" s="108" t="n"/>
      <c r="I86" s="108" t="n"/>
      <c r="J86" s="112">
        <f>IF($C86="","",IF(AND($D86&lt;&gt;"",$E86&lt;&gt;"",$D86&lt;&gt;$E86,$F86&gt;0),"UYGUN","HATA"))</f>
        <v/>
      </c>
      <c r="K86" s="6" t="n"/>
      <c r="L86" s="6" t="n"/>
    </row>
    <row r="87">
      <c r="A87" s="6" t="n"/>
      <c r="B87" s="112">
        <f>IF($C87="","","V"&amp;TEXT(ROW()-6,"00000"))</f>
        <v/>
      </c>
      <c r="C87" s="114" t="n"/>
      <c r="D87" s="107" t="n"/>
      <c r="E87" s="107" t="n"/>
      <c r="F87" s="115" t="n"/>
      <c r="G87" s="108" t="n"/>
      <c r="H87" s="108" t="n"/>
      <c r="I87" s="108" t="n"/>
      <c r="J87" s="112">
        <f>IF($C87="","",IF(AND($D87&lt;&gt;"",$E87&lt;&gt;"",$D87&lt;&gt;$E87,$F87&gt;0),"UYGUN","HATA"))</f>
        <v/>
      </c>
      <c r="K87" s="6" t="n"/>
      <c r="L87" s="6" t="n"/>
    </row>
    <row r="88">
      <c r="A88" s="6" t="n"/>
      <c r="B88" s="112">
        <f>IF($C88="","","V"&amp;TEXT(ROW()-6,"00000"))</f>
        <v/>
      </c>
      <c r="C88" s="114" t="n"/>
      <c r="D88" s="107" t="n"/>
      <c r="E88" s="107" t="n"/>
      <c r="F88" s="115" t="n"/>
      <c r="G88" s="108" t="n"/>
      <c r="H88" s="108" t="n"/>
      <c r="I88" s="108" t="n"/>
      <c r="J88" s="112">
        <f>IF($C88="","",IF(AND($D88&lt;&gt;"",$E88&lt;&gt;"",$D88&lt;&gt;$E88,$F88&gt;0),"UYGUN","HATA"))</f>
        <v/>
      </c>
      <c r="K88" s="6" t="n"/>
      <c r="L88" s="6" t="n"/>
    </row>
    <row r="89">
      <c r="A89" s="6" t="n"/>
      <c r="B89" s="112">
        <f>IF($C89="","","V"&amp;TEXT(ROW()-6,"00000"))</f>
        <v/>
      </c>
      <c r="C89" s="114" t="n"/>
      <c r="D89" s="107" t="n"/>
      <c r="E89" s="107" t="n"/>
      <c r="F89" s="115" t="n"/>
      <c r="G89" s="108" t="n"/>
      <c r="H89" s="108" t="n"/>
      <c r="I89" s="108" t="n"/>
      <c r="J89" s="112">
        <f>IF($C89="","",IF(AND($D89&lt;&gt;"",$E89&lt;&gt;"",$D89&lt;&gt;$E89,$F89&gt;0),"UYGUN","HATA"))</f>
        <v/>
      </c>
      <c r="K89" s="6" t="n"/>
      <c r="L89" s="6" t="n"/>
    </row>
    <row r="90">
      <c r="A90" s="6" t="n"/>
      <c r="B90" s="112">
        <f>IF($C90="","","V"&amp;TEXT(ROW()-6,"00000"))</f>
        <v/>
      </c>
      <c r="C90" s="114" t="n"/>
      <c r="D90" s="107" t="n"/>
      <c r="E90" s="107" t="n"/>
      <c r="F90" s="115" t="n"/>
      <c r="G90" s="108" t="n"/>
      <c r="H90" s="108" t="n"/>
      <c r="I90" s="108" t="n"/>
      <c r="J90" s="112">
        <f>IF($C90="","",IF(AND($D90&lt;&gt;"",$E90&lt;&gt;"",$D90&lt;&gt;$E90,$F90&gt;0),"UYGUN","HATA"))</f>
        <v/>
      </c>
      <c r="K90" s="6" t="n"/>
      <c r="L90" s="6" t="n"/>
    </row>
    <row r="91">
      <c r="A91" s="6" t="n"/>
      <c r="B91" s="112">
        <f>IF($C91="","","V"&amp;TEXT(ROW()-6,"00000"))</f>
        <v/>
      </c>
      <c r="C91" s="114" t="n"/>
      <c r="D91" s="107" t="n"/>
      <c r="E91" s="107" t="n"/>
      <c r="F91" s="115" t="n"/>
      <c r="G91" s="108" t="n"/>
      <c r="H91" s="108" t="n"/>
      <c r="I91" s="108" t="n"/>
      <c r="J91" s="112">
        <f>IF($C91="","",IF(AND($D91&lt;&gt;"",$E91&lt;&gt;"",$D91&lt;&gt;$E91,$F91&gt;0),"UYGUN","HATA"))</f>
        <v/>
      </c>
      <c r="K91" s="6" t="n"/>
      <c r="L91" s="6" t="n"/>
    </row>
    <row r="92">
      <c r="A92" s="6" t="n"/>
      <c r="B92" s="112">
        <f>IF($C92="","","V"&amp;TEXT(ROW()-6,"00000"))</f>
        <v/>
      </c>
      <c r="C92" s="114" t="n"/>
      <c r="D92" s="107" t="n"/>
      <c r="E92" s="107" t="n"/>
      <c r="F92" s="115" t="n"/>
      <c r="G92" s="108" t="n"/>
      <c r="H92" s="108" t="n"/>
      <c r="I92" s="108" t="n"/>
      <c r="J92" s="112">
        <f>IF($C92="","",IF(AND($D92&lt;&gt;"",$E92&lt;&gt;"",$D92&lt;&gt;$E92,$F92&gt;0),"UYGUN","HATA"))</f>
        <v/>
      </c>
      <c r="K92" s="6" t="n"/>
      <c r="L92" s="6" t="n"/>
    </row>
    <row r="93">
      <c r="A93" s="6" t="n"/>
      <c r="B93" s="112">
        <f>IF($C93="","","V"&amp;TEXT(ROW()-6,"00000"))</f>
        <v/>
      </c>
      <c r="C93" s="114" t="n"/>
      <c r="D93" s="107" t="n"/>
      <c r="E93" s="107" t="n"/>
      <c r="F93" s="115" t="n"/>
      <c r="G93" s="108" t="n"/>
      <c r="H93" s="108" t="n"/>
      <c r="I93" s="108" t="n"/>
      <c r="J93" s="112">
        <f>IF($C93="","",IF(AND($D93&lt;&gt;"",$E93&lt;&gt;"",$D93&lt;&gt;$E93,$F93&gt;0),"UYGUN","HATA"))</f>
        <v/>
      </c>
      <c r="K93" s="6" t="n"/>
      <c r="L93" s="6" t="n"/>
    </row>
    <row r="94">
      <c r="A94" s="6" t="n"/>
      <c r="B94" s="112">
        <f>IF($C94="","","V"&amp;TEXT(ROW()-6,"00000"))</f>
        <v/>
      </c>
      <c r="C94" s="114" t="n"/>
      <c r="D94" s="107" t="n"/>
      <c r="E94" s="107" t="n"/>
      <c r="F94" s="115" t="n"/>
      <c r="G94" s="108" t="n"/>
      <c r="H94" s="108" t="n"/>
      <c r="I94" s="108" t="n"/>
      <c r="J94" s="112">
        <f>IF($C94="","",IF(AND($D94&lt;&gt;"",$E94&lt;&gt;"",$D94&lt;&gt;$E94,$F94&gt;0),"UYGUN","HATA"))</f>
        <v/>
      </c>
      <c r="K94" s="6" t="n"/>
      <c r="L94" s="6" t="n"/>
    </row>
    <row r="95">
      <c r="A95" s="6" t="n"/>
      <c r="B95" s="112">
        <f>IF($C95="","","V"&amp;TEXT(ROW()-6,"00000"))</f>
        <v/>
      </c>
      <c r="C95" s="114" t="n"/>
      <c r="D95" s="107" t="n"/>
      <c r="E95" s="107" t="n"/>
      <c r="F95" s="115" t="n"/>
      <c r="G95" s="108" t="n"/>
      <c r="H95" s="108" t="n"/>
      <c r="I95" s="108" t="n"/>
      <c r="J95" s="112">
        <f>IF($C95="","",IF(AND($D95&lt;&gt;"",$E95&lt;&gt;"",$D95&lt;&gt;$E95,$F95&gt;0),"UYGUN","HATA"))</f>
        <v/>
      </c>
      <c r="K95" s="6" t="n"/>
      <c r="L95" s="6" t="n"/>
    </row>
    <row r="96">
      <c r="A96" s="6" t="n"/>
      <c r="B96" s="112">
        <f>IF($C96="","","V"&amp;TEXT(ROW()-6,"00000"))</f>
        <v/>
      </c>
      <c r="C96" s="114" t="n"/>
      <c r="D96" s="107" t="n"/>
      <c r="E96" s="107" t="n"/>
      <c r="F96" s="115" t="n"/>
      <c r="G96" s="108" t="n"/>
      <c r="H96" s="108" t="n"/>
      <c r="I96" s="108" t="n"/>
      <c r="J96" s="112">
        <f>IF($C96="","",IF(AND($D96&lt;&gt;"",$E96&lt;&gt;"",$D96&lt;&gt;$E96,$F96&gt;0),"UYGUN","HATA"))</f>
        <v/>
      </c>
      <c r="K96" s="6" t="n"/>
      <c r="L96" s="6" t="n"/>
    </row>
    <row r="97">
      <c r="A97" s="6" t="n"/>
      <c r="B97" s="112">
        <f>IF($C97="","","V"&amp;TEXT(ROW()-6,"00000"))</f>
        <v/>
      </c>
      <c r="C97" s="114" t="n"/>
      <c r="D97" s="107" t="n"/>
      <c r="E97" s="107" t="n"/>
      <c r="F97" s="115" t="n"/>
      <c r="G97" s="108" t="n"/>
      <c r="H97" s="108" t="n"/>
      <c r="I97" s="108" t="n"/>
      <c r="J97" s="112">
        <f>IF($C97="","",IF(AND($D97&lt;&gt;"",$E97&lt;&gt;"",$D97&lt;&gt;$E97,$F97&gt;0),"UYGUN","HATA"))</f>
        <v/>
      </c>
      <c r="K97" s="6" t="n"/>
      <c r="L97" s="6" t="n"/>
    </row>
    <row r="98">
      <c r="A98" s="6" t="n"/>
      <c r="B98" s="112">
        <f>IF($C98="","","V"&amp;TEXT(ROW()-6,"00000"))</f>
        <v/>
      </c>
      <c r="C98" s="114" t="n"/>
      <c r="D98" s="107" t="n"/>
      <c r="E98" s="107" t="n"/>
      <c r="F98" s="115" t="n"/>
      <c r="G98" s="108" t="n"/>
      <c r="H98" s="108" t="n"/>
      <c r="I98" s="108" t="n"/>
      <c r="J98" s="112">
        <f>IF($C98="","",IF(AND($D98&lt;&gt;"",$E98&lt;&gt;"",$D98&lt;&gt;$E98,$F98&gt;0),"UYGUN","HATA"))</f>
        <v/>
      </c>
      <c r="K98" s="6" t="n"/>
      <c r="L98" s="6" t="n"/>
    </row>
    <row r="99">
      <c r="A99" s="6" t="n"/>
      <c r="B99" s="112">
        <f>IF($C99="","","V"&amp;TEXT(ROW()-6,"00000"))</f>
        <v/>
      </c>
      <c r="C99" s="114" t="n"/>
      <c r="D99" s="107" t="n"/>
      <c r="E99" s="107" t="n"/>
      <c r="F99" s="115" t="n"/>
      <c r="G99" s="108" t="n"/>
      <c r="H99" s="108" t="n"/>
      <c r="I99" s="108" t="n"/>
      <c r="J99" s="112">
        <f>IF($C99="","",IF(AND($D99&lt;&gt;"",$E99&lt;&gt;"",$D99&lt;&gt;$E99,$F99&gt;0),"UYGUN","HATA"))</f>
        <v/>
      </c>
      <c r="K99" s="6" t="n"/>
      <c r="L99" s="6" t="n"/>
    </row>
    <row r="100">
      <c r="A100" s="6" t="n"/>
      <c r="B100" s="112">
        <f>IF($C100="","","V"&amp;TEXT(ROW()-6,"00000"))</f>
        <v/>
      </c>
      <c r="C100" s="114" t="n"/>
      <c r="D100" s="107" t="n"/>
      <c r="E100" s="107" t="n"/>
      <c r="F100" s="115" t="n"/>
      <c r="G100" s="108" t="n"/>
      <c r="H100" s="108" t="n"/>
      <c r="I100" s="108" t="n"/>
      <c r="J100" s="112">
        <f>IF($C100="","",IF(AND($D100&lt;&gt;"",$E100&lt;&gt;"",$D100&lt;&gt;$E100,$F100&gt;0),"UYGUN","HATA"))</f>
        <v/>
      </c>
      <c r="K100" s="6" t="n"/>
      <c r="L100" s="6" t="n"/>
    </row>
    <row r="101">
      <c r="A101" s="6" t="n"/>
      <c r="B101" s="112">
        <f>IF($C101="","","V"&amp;TEXT(ROW()-6,"00000"))</f>
        <v/>
      </c>
      <c r="C101" s="114" t="n"/>
      <c r="D101" s="107" t="n"/>
      <c r="E101" s="107" t="n"/>
      <c r="F101" s="115" t="n"/>
      <c r="G101" s="108" t="n"/>
      <c r="H101" s="108" t="n"/>
      <c r="I101" s="108" t="n"/>
      <c r="J101" s="112">
        <f>IF($C101="","",IF(AND($D101&lt;&gt;"",$E101&lt;&gt;"",$D101&lt;&gt;$E101,$F101&gt;0),"UYGUN","HATA"))</f>
        <v/>
      </c>
      <c r="K101" s="6" t="n"/>
      <c r="L101" s="6" t="n"/>
    </row>
    <row r="102">
      <c r="A102" s="6" t="n"/>
      <c r="B102" s="112">
        <f>IF($C102="","","V"&amp;TEXT(ROW()-6,"00000"))</f>
        <v/>
      </c>
      <c r="C102" s="114" t="n"/>
      <c r="D102" s="107" t="n"/>
      <c r="E102" s="107" t="n"/>
      <c r="F102" s="115" t="n"/>
      <c r="G102" s="108" t="n"/>
      <c r="H102" s="108" t="n"/>
      <c r="I102" s="108" t="n"/>
      <c r="J102" s="112">
        <f>IF($C102="","",IF(AND($D102&lt;&gt;"",$E102&lt;&gt;"",$D102&lt;&gt;$E102,$F102&gt;0),"UYGUN","HATA"))</f>
        <v/>
      </c>
      <c r="K102" s="6" t="n"/>
      <c r="L102" s="6" t="n"/>
    </row>
    <row r="103">
      <c r="A103" s="6" t="n"/>
      <c r="B103" s="112">
        <f>IF($C103="","","V"&amp;TEXT(ROW()-6,"00000"))</f>
        <v/>
      </c>
      <c r="C103" s="114" t="n"/>
      <c r="D103" s="107" t="n"/>
      <c r="E103" s="107" t="n"/>
      <c r="F103" s="115" t="n"/>
      <c r="G103" s="108" t="n"/>
      <c r="H103" s="108" t="n"/>
      <c r="I103" s="108" t="n"/>
      <c r="J103" s="112">
        <f>IF($C103="","",IF(AND($D103&lt;&gt;"",$E103&lt;&gt;"",$D103&lt;&gt;$E103,$F103&gt;0),"UYGUN","HATA"))</f>
        <v/>
      </c>
      <c r="K103" s="6" t="n"/>
      <c r="L103" s="6" t="n"/>
    </row>
    <row r="104">
      <c r="A104" s="6" t="n"/>
      <c r="B104" s="112">
        <f>IF($C104="","","V"&amp;TEXT(ROW()-6,"00000"))</f>
        <v/>
      </c>
      <c r="C104" s="114" t="n"/>
      <c r="D104" s="107" t="n"/>
      <c r="E104" s="107" t="n"/>
      <c r="F104" s="115" t="n"/>
      <c r="G104" s="108" t="n"/>
      <c r="H104" s="108" t="n"/>
      <c r="I104" s="108" t="n"/>
      <c r="J104" s="112">
        <f>IF($C104="","",IF(AND($D104&lt;&gt;"",$E104&lt;&gt;"",$D104&lt;&gt;$E104,$F104&gt;0),"UYGUN","HATA"))</f>
        <v/>
      </c>
      <c r="K104" s="6" t="n"/>
      <c r="L104" s="6" t="n"/>
    </row>
    <row r="105">
      <c r="A105" s="6" t="n"/>
      <c r="B105" s="112">
        <f>IF($C105="","","V"&amp;TEXT(ROW()-6,"00000"))</f>
        <v/>
      </c>
      <c r="C105" s="114" t="n"/>
      <c r="D105" s="107" t="n"/>
      <c r="E105" s="107" t="n"/>
      <c r="F105" s="115" t="n"/>
      <c r="G105" s="108" t="n"/>
      <c r="H105" s="108" t="n"/>
      <c r="I105" s="108" t="n"/>
      <c r="J105" s="112">
        <f>IF($C105="","",IF(AND($D105&lt;&gt;"",$E105&lt;&gt;"",$D105&lt;&gt;$E105,$F105&gt;0),"UYGUN","HATA"))</f>
        <v/>
      </c>
      <c r="K105" s="6" t="n"/>
      <c r="L105" s="6" t="n"/>
    </row>
    <row r="106">
      <c r="A106" s="6" t="n"/>
      <c r="B106" s="112">
        <f>IF($C106="","","V"&amp;TEXT(ROW()-6,"00000"))</f>
        <v/>
      </c>
      <c r="C106" s="114" t="n"/>
      <c r="D106" s="107" t="n"/>
      <c r="E106" s="107" t="n"/>
      <c r="F106" s="115" t="n"/>
      <c r="G106" s="108" t="n"/>
      <c r="H106" s="108" t="n"/>
      <c r="I106" s="108" t="n"/>
      <c r="J106" s="112">
        <f>IF($C106="","",IF(AND($D106&lt;&gt;"",$E106&lt;&gt;"",$D106&lt;&gt;$E106,$F106&gt;0),"UYGUN","HATA"))</f>
        <v/>
      </c>
      <c r="K106" s="6" t="n"/>
      <c r="L106" s="6" t="n"/>
    </row>
    <row r="107">
      <c r="A107" s="6" t="n"/>
      <c r="B107" s="112">
        <f>IF($C107="","","V"&amp;TEXT(ROW()-6,"00000"))</f>
        <v/>
      </c>
      <c r="C107" s="114" t="n"/>
      <c r="D107" s="107" t="n"/>
      <c r="E107" s="107" t="n"/>
      <c r="F107" s="115" t="n"/>
      <c r="G107" s="108" t="n"/>
      <c r="H107" s="108" t="n"/>
      <c r="I107" s="108" t="n"/>
      <c r="J107" s="112">
        <f>IF($C107="","",IF(AND($D107&lt;&gt;"",$E107&lt;&gt;"",$D107&lt;&gt;$E107,$F107&gt;0),"UYGUN","HATA"))</f>
        <v/>
      </c>
      <c r="K107" s="6" t="n"/>
      <c r="L107" s="6" t="n"/>
    </row>
    <row r="108">
      <c r="A108" s="6" t="n"/>
      <c r="B108" s="112">
        <f>IF($C108="","","V"&amp;TEXT(ROW()-6,"00000"))</f>
        <v/>
      </c>
      <c r="C108" s="114" t="n"/>
      <c r="D108" s="107" t="n"/>
      <c r="E108" s="107" t="n"/>
      <c r="F108" s="115" t="n"/>
      <c r="G108" s="108" t="n"/>
      <c r="H108" s="108" t="n"/>
      <c r="I108" s="108" t="n"/>
      <c r="J108" s="112">
        <f>IF($C108="","",IF(AND($D108&lt;&gt;"",$E108&lt;&gt;"",$D108&lt;&gt;$E108,$F108&gt;0),"UYGUN","HATA"))</f>
        <v/>
      </c>
      <c r="K108" s="6" t="n"/>
      <c r="L108" s="6" t="n"/>
    </row>
    <row r="109">
      <c r="A109" s="6" t="n"/>
      <c r="B109" s="112">
        <f>IF($C109="","","V"&amp;TEXT(ROW()-6,"00000"))</f>
        <v/>
      </c>
      <c r="C109" s="114" t="n"/>
      <c r="D109" s="107" t="n"/>
      <c r="E109" s="107" t="n"/>
      <c r="F109" s="115" t="n"/>
      <c r="G109" s="108" t="n"/>
      <c r="H109" s="108" t="n"/>
      <c r="I109" s="108" t="n"/>
      <c r="J109" s="112">
        <f>IF($C109="","",IF(AND($D109&lt;&gt;"",$E109&lt;&gt;"",$D109&lt;&gt;$E109,$F109&gt;0),"UYGUN","HATA"))</f>
        <v/>
      </c>
      <c r="K109" s="6" t="n"/>
      <c r="L109" s="6" t="n"/>
    </row>
    <row r="110">
      <c r="A110" s="6" t="n"/>
      <c r="B110" s="112">
        <f>IF($C110="","","V"&amp;TEXT(ROW()-6,"00000"))</f>
        <v/>
      </c>
      <c r="C110" s="114" t="n"/>
      <c r="D110" s="107" t="n"/>
      <c r="E110" s="107" t="n"/>
      <c r="F110" s="115" t="n"/>
      <c r="G110" s="108" t="n"/>
      <c r="H110" s="108" t="n"/>
      <c r="I110" s="108" t="n"/>
      <c r="J110" s="112">
        <f>IF($C110="","",IF(AND($D110&lt;&gt;"",$E110&lt;&gt;"",$D110&lt;&gt;$E110,$F110&gt;0),"UYGUN","HATA"))</f>
        <v/>
      </c>
      <c r="K110" s="6" t="n"/>
      <c r="L110" s="6" t="n"/>
    </row>
    <row r="111">
      <c r="A111" s="6" t="n"/>
      <c r="B111" s="112">
        <f>IF($C111="","","V"&amp;TEXT(ROW()-6,"00000"))</f>
        <v/>
      </c>
      <c r="C111" s="114" t="n"/>
      <c r="D111" s="107" t="n"/>
      <c r="E111" s="107" t="n"/>
      <c r="F111" s="115" t="n"/>
      <c r="G111" s="108" t="n"/>
      <c r="H111" s="108" t="n"/>
      <c r="I111" s="108" t="n"/>
      <c r="J111" s="112">
        <f>IF($C111="","",IF(AND($D111&lt;&gt;"",$E111&lt;&gt;"",$D111&lt;&gt;$E111,$F111&gt;0),"UYGUN","HATA"))</f>
        <v/>
      </c>
      <c r="K111" s="6" t="n"/>
      <c r="L111" s="6" t="n"/>
    </row>
    <row r="112">
      <c r="A112" s="6" t="n"/>
      <c r="B112" s="112">
        <f>IF($C112="","","V"&amp;TEXT(ROW()-6,"00000"))</f>
        <v/>
      </c>
      <c r="C112" s="114" t="n"/>
      <c r="D112" s="107" t="n"/>
      <c r="E112" s="107" t="n"/>
      <c r="F112" s="115" t="n"/>
      <c r="G112" s="108" t="n"/>
      <c r="H112" s="108" t="n"/>
      <c r="I112" s="108" t="n"/>
      <c r="J112" s="112">
        <f>IF($C112="","",IF(AND($D112&lt;&gt;"",$E112&lt;&gt;"",$D112&lt;&gt;$E112,$F112&gt;0),"UYGUN","HATA"))</f>
        <v/>
      </c>
      <c r="K112" s="6" t="n"/>
      <c r="L112" s="6" t="n"/>
    </row>
    <row r="113">
      <c r="A113" s="6" t="n"/>
      <c r="B113" s="112">
        <f>IF($C113="","","V"&amp;TEXT(ROW()-6,"00000"))</f>
        <v/>
      </c>
      <c r="C113" s="114" t="n"/>
      <c r="D113" s="107" t="n"/>
      <c r="E113" s="107" t="n"/>
      <c r="F113" s="115" t="n"/>
      <c r="G113" s="108" t="n"/>
      <c r="H113" s="108" t="n"/>
      <c r="I113" s="108" t="n"/>
      <c r="J113" s="112">
        <f>IF($C113="","",IF(AND($D113&lt;&gt;"",$E113&lt;&gt;"",$D113&lt;&gt;$E113,$F113&gt;0),"UYGUN","HATA"))</f>
        <v/>
      </c>
      <c r="K113" s="6" t="n"/>
      <c r="L113" s="6" t="n"/>
    </row>
    <row r="114">
      <c r="A114" s="6" t="n"/>
      <c r="B114" s="112">
        <f>IF($C114="","","V"&amp;TEXT(ROW()-6,"00000"))</f>
        <v/>
      </c>
      <c r="C114" s="114" t="n"/>
      <c r="D114" s="107" t="n"/>
      <c r="E114" s="107" t="n"/>
      <c r="F114" s="115" t="n"/>
      <c r="G114" s="108" t="n"/>
      <c r="H114" s="108" t="n"/>
      <c r="I114" s="108" t="n"/>
      <c r="J114" s="112">
        <f>IF($C114="","",IF(AND($D114&lt;&gt;"",$E114&lt;&gt;"",$D114&lt;&gt;$E114,$F114&gt;0),"UYGUN","HATA"))</f>
        <v/>
      </c>
      <c r="K114" s="6" t="n"/>
      <c r="L114" s="6" t="n"/>
    </row>
    <row r="115">
      <c r="A115" s="6" t="n"/>
      <c r="B115" s="112">
        <f>IF($C115="","","V"&amp;TEXT(ROW()-6,"00000"))</f>
        <v/>
      </c>
      <c r="C115" s="114" t="n"/>
      <c r="D115" s="107" t="n"/>
      <c r="E115" s="107" t="n"/>
      <c r="F115" s="115" t="n"/>
      <c r="G115" s="108" t="n"/>
      <c r="H115" s="108" t="n"/>
      <c r="I115" s="108" t="n"/>
      <c r="J115" s="112">
        <f>IF($C115="","",IF(AND($D115&lt;&gt;"",$E115&lt;&gt;"",$D115&lt;&gt;$E115,$F115&gt;0),"UYGUN","HATA"))</f>
        <v/>
      </c>
      <c r="K115" s="6" t="n"/>
      <c r="L115" s="6" t="n"/>
    </row>
    <row r="116">
      <c r="A116" s="6" t="n"/>
      <c r="B116" s="112">
        <f>IF($C116="","","V"&amp;TEXT(ROW()-6,"00000"))</f>
        <v/>
      </c>
      <c r="C116" s="114" t="n"/>
      <c r="D116" s="107" t="n"/>
      <c r="E116" s="107" t="n"/>
      <c r="F116" s="115" t="n"/>
      <c r="G116" s="108" t="n"/>
      <c r="H116" s="108" t="n"/>
      <c r="I116" s="108" t="n"/>
      <c r="J116" s="112">
        <f>IF($C116="","",IF(AND($D116&lt;&gt;"",$E116&lt;&gt;"",$D116&lt;&gt;$E116,$F116&gt;0),"UYGUN","HATA"))</f>
        <v/>
      </c>
      <c r="K116" s="6" t="n"/>
      <c r="L116" s="6" t="n"/>
    </row>
    <row r="117">
      <c r="A117" s="6" t="n"/>
      <c r="B117" s="112">
        <f>IF($C117="","","V"&amp;TEXT(ROW()-6,"00000"))</f>
        <v/>
      </c>
      <c r="C117" s="114" t="n"/>
      <c r="D117" s="107" t="n"/>
      <c r="E117" s="107" t="n"/>
      <c r="F117" s="115" t="n"/>
      <c r="G117" s="108" t="n"/>
      <c r="H117" s="108" t="n"/>
      <c r="I117" s="108" t="n"/>
      <c r="J117" s="112">
        <f>IF($C117="","",IF(AND($D117&lt;&gt;"",$E117&lt;&gt;"",$D117&lt;&gt;$E117,$F117&gt;0),"UYGUN","HATA"))</f>
        <v/>
      </c>
      <c r="K117" s="6" t="n"/>
      <c r="L117" s="6" t="n"/>
    </row>
    <row r="118">
      <c r="A118" s="6" t="n"/>
      <c r="B118" s="112">
        <f>IF($C118="","","V"&amp;TEXT(ROW()-6,"00000"))</f>
        <v/>
      </c>
      <c r="C118" s="114" t="n"/>
      <c r="D118" s="107" t="n"/>
      <c r="E118" s="107" t="n"/>
      <c r="F118" s="115" t="n"/>
      <c r="G118" s="108" t="n"/>
      <c r="H118" s="108" t="n"/>
      <c r="I118" s="108" t="n"/>
      <c r="J118" s="112">
        <f>IF($C118="","",IF(AND($D118&lt;&gt;"",$E118&lt;&gt;"",$D118&lt;&gt;$E118,$F118&gt;0),"UYGUN","HATA"))</f>
        <v/>
      </c>
      <c r="K118" s="6" t="n"/>
      <c r="L118" s="6" t="n"/>
    </row>
    <row r="119">
      <c r="A119" s="6" t="n"/>
      <c r="B119" s="112">
        <f>IF($C119="","","V"&amp;TEXT(ROW()-6,"00000"))</f>
        <v/>
      </c>
      <c r="C119" s="114" t="n"/>
      <c r="D119" s="107" t="n"/>
      <c r="E119" s="107" t="n"/>
      <c r="F119" s="115" t="n"/>
      <c r="G119" s="108" t="n"/>
      <c r="H119" s="108" t="n"/>
      <c r="I119" s="108" t="n"/>
      <c r="J119" s="112">
        <f>IF($C119="","",IF(AND($D119&lt;&gt;"",$E119&lt;&gt;"",$D119&lt;&gt;$E119,$F119&gt;0),"UYGUN","HATA"))</f>
        <v/>
      </c>
      <c r="K119" s="6" t="n"/>
      <c r="L119" s="6" t="n"/>
    </row>
    <row r="120">
      <c r="A120" s="6" t="n"/>
      <c r="B120" s="112">
        <f>IF($C120="","","V"&amp;TEXT(ROW()-6,"00000"))</f>
        <v/>
      </c>
      <c r="C120" s="114" t="n"/>
      <c r="D120" s="107" t="n"/>
      <c r="E120" s="107" t="n"/>
      <c r="F120" s="115" t="n"/>
      <c r="G120" s="108" t="n"/>
      <c r="H120" s="108" t="n"/>
      <c r="I120" s="108" t="n"/>
      <c r="J120" s="112">
        <f>IF($C120="","",IF(AND($D120&lt;&gt;"",$E120&lt;&gt;"",$D120&lt;&gt;$E120,$F120&gt;0),"UYGUN","HATA"))</f>
        <v/>
      </c>
      <c r="K120" s="6" t="n"/>
      <c r="L120" s="6" t="n"/>
    </row>
    <row r="121">
      <c r="A121" s="6" t="n"/>
      <c r="B121" s="112">
        <f>IF($C121="","","V"&amp;TEXT(ROW()-6,"00000"))</f>
        <v/>
      </c>
      <c r="C121" s="114" t="n"/>
      <c r="D121" s="107" t="n"/>
      <c r="E121" s="107" t="n"/>
      <c r="F121" s="115" t="n"/>
      <c r="G121" s="108" t="n"/>
      <c r="H121" s="108" t="n"/>
      <c r="I121" s="108" t="n"/>
      <c r="J121" s="112">
        <f>IF($C121="","",IF(AND($D121&lt;&gt;"",$E121&lt;&gt;"",$D121&lt;&gt;$E121,$F121&gt;0),"UYGUN","HATA"))</f>
        <v/>
      </c>
      <c r="K121" s="6" t="n"/>
      <c r="L121" s="6" t="n"/>
    </row>
    <row r="122">
      <c r="A122" s="6" t="n"/>
      <c r="B122" s="112">
        <f>IF($C122="","","V"&amp;TEXT(ROW()-6,"00000"))</f>
        <v/>
      </c>
      <c r="C122" s="114" t="n"/>
      <c r="D122" s="107" t="n"/>
      <c r="E122" s="107" t="n"/>
      <c r="F122" s="115" t="n"/>
      <c r="G122" s="108" t="n"/>
      <c r="H122" s="108" t="n"/>
      <c r="I122" s="108" t="n"/>
      <c r="J122" s="112">
        <f>IF($C122="","",IF(AND($D122&lt;&gt;"",$E122&lt;&gt;"",$D122&lt;&gt;$E122,$F122&gt;0),"UYGUN","HATA"))</f>
        <v/>
      </c>
      <c r="K122" s="6" t="n"/>
      <c r="L122" s="6" t="n"/>
    </row>
    <row r="123">
      <c r="A123" s="6" t="n"/>
      <c r="B123" s="112">
        <f>IF($C123="","","V"&amp;TEXT(ROW()-6,"00000"))</f>
        <v/>
      </c>
      <c r="C123" s="114" t="n"/>
      <c r="D123" s="107" t="n"/>
      <c r="E123" s="107" t="n"/>
      <c r="F123" s="115" t="n"/>
      <c r="G123" s="108" t="n"/>
      <c r="H123" s="108" t="n"/>
      <c r="I123" s="108" t="n"/>
      <c r="J123" s="112">
        <f>IF($C123="","",IF(AND($D123&lt;&gt;"",$E123&lt;&gt;"",$D123&lt;&gt;$E123,$F123&gt;0),"UYGUN","HATA"))</f>
        <v/>
      </c>
      <c r="K123" s="6" t="n"/>
      <c r="L123" s="6" t="n"/>
    </row>
    <row r="124">
      <c r="A124" s="6" t="n"/>
      <c r="B124" s="112">
        <f>IF($C124="","","V"&amp;TEXT(ROW()-6,"00000"))</f>
        <v/>
      </c>
      <c r="C124" s="114" t="n"/>
      <c r="D124" s="107" t="n"/>
      <c r="E124" s="107" t="n"/>
      <c r="F124" s="115" t="n"/>
      <c r="G124" s="108" t="n"/>
      <c r="H124" s="108" t="n"/>
      <c r="I124" s="108" t="n"/>
      <c r="J124" s="112">
        <f>IF($C124="","",IF(AND($D124&lt;&gt;"",$E124&lt;&gt;"",$D124&lt;&gt;$E124,$F124&gt;0),"UYGUN","HATA"))</f>
        <v/>
      </c>
      <c r="K124" s="6" t="n"/>
      <c r="L124" s="6" t="n"/>
    </row>
    <row r="125">
      <c r="A125" s="6" t="n"/>
      <c r="B125" s="112">
        <f>IF($C125="","","V"&amp;TEXT(ROW()-6,"00000"))</f>
        <v/>
      </c>
      <c r="C125" s="114" t="n"/>
      <c r="D125" s="107" t="n"/>
      <c r="E125" s="107" t="n"/>
      <c r="F125" s="115" t="n"/>
      <c r="G125" s="108" t="n"/>
      <c r="H125" s="108" t="n"/>
      <c r="I125" s="108" t="n"/>
      <c r="J125" s="112">
        <f>IF($C125="","",IF(AND($D125&lt;&gt;"",$E125&lt;&gt;"",$D125&lt;&gt;$E125,$F125&gt;0),"UYGUN","HATA"))</f>
        <v/>
      </c>
      <c r="K125" s="6" t="n"/>
      <c r="L125" s="6" t="n"/>
    </row>
    <row r="126">
      <c r="A126" s="6" t="n"/>
      <c r="B126" s="112">
        <f>IF($C126="","","V"&amp;TEXT(ROW()-6,"00000"))</f>
        <v/>
      </c>
      <c r="C126" s="114" t="n"/>
      <c r="D126" s="107" t="n"/>
      <c r="E126" s="107" t="n"/>
      <c r="F126" s="115" t="n"/>
      <c r="G126" s="108" t="n"/>
      <c r="H126" s="108" t="n"/>
      <c r="I126" s="108" t="n"/>
      <c r="J126" s="112">
        <f>IF($C126="","",IF(AND($D126&lt;&gt;"",$E126&lt;&gt;"",$D126&lt;&gt;$E126,$F126&gt;0),"UYGUN","HATA"))</f>
        <v/>
      </c>
      <c r="K126" s="6" t="n"/>
      <c r="L126" s="6" t="n"/>
    </row>
    <row r="127">
      <c r="A127" s="6" t="n"/>
      <c r="B127" s="112">
        <f>IF($C127="","","V"&amp;TEXT(ROW()-6,"00000"))</f>
        <v/>
      </c>
      <c r="C127" s="114" t="n"/>
      <c r="D127" s="107" t="n"/>
      <c r="E127" s="107" t="n"/>
      <c r="F127" s="115" t="n"/>
      <c r="G127" s="108" t="n"/>
      <c r="H127" s="108" t="n"/>
      <c r="I127" s="108" t="n"/>
      <c r="J127" s="112">
        <f>IF($C127="","",IF(AND($D127&lt;&gt;"",$E127&lt;&gt;"",$D127&lt;&gt;$E127,$F127&gt;0),"UYGUN","HATA"))</f>
        <v/>
      </c>
      <c r="K127" s="6" t="n"/>
      <c r="L127" s="6" t="n"/>
    </row>
    <row r="128">
      <c r="A128" s="6" t="n"/>
      <c r="B128" s="112">
        <f>IF($C128="","","V"&amp;TEXT(ROW()-6,"00000"))</f>
        <v/>
      </c>
      <c r="C128" s="114" t="n"/>
      <c r="D128" s="107" t="n"/>
      <c r="E128" s="107" t="n"/>
      <c r="F128" s="115" t="n"/>
      <c r="G128" s="108" t="n"/>
      <c r="H128" s="108" t="n"/>
      <c r="I128" s="108" t="n"/>
      <c r="J128" s="112">
        <f>IF($C128="","",IF(AND($D128&lt;&gt;"",$E128&lt;&gt;"",$D128&lt;&gt;$E128,$F128&gt;0),"UYGUN","HATA"))</f>
        <v/>
      </c>
      <c r="K128" s="6" t="n"/>
      <c r="L128" s="6" t="n"/>
    </row>
    <row r="129">
      <c r="A129" s="6" t="n"/>
      <c r="B129" s="112">
        <f>IF($C129="","","V"&amp;TEXT(ROW()-6,"00000"))</f>
        <v/>
      </c>
      <c r="C129" s="114" t="n"/>
      <c r="D129" s="107" t="n"/>
      <c r="E129" s="107" t="n"/>
      <c r="F129" s="115" t="n"/>
      <c r="G129" s="108" t="n"/>
      <c r="H129" s="108" t="n"/>
      <c r="I129" s="108" t="n"/>
      <c r="J129" s="112">
        <f>IF($C129="","",IF(AND($D129&lt;&gt;"",$E129&lt;&gt;"",$D129&lt;&gt;$E129,$F129&gt;0),"UYGUN","HATA"))</f>
        <v/>
      </c>
      <c r="K129" s="6" t="n"/>
      <c r="L129" s="6" t="n"/>
    </row>
    <row r="130">
      <c r="A130" s="6" t="n"/>
      <c r="B130" s="112">
        <f>IF($C130="","","V"&amp;TEXT(ROW()-6,"00000"))</f>
        <v/>
      </c>
      <c r="C130" s="114" t="n"/>
      <c r="D130" s="107" t="n"/>
      <c r="E130" s="107" t="n"/>
      <c r="F130" s="115" t="n"/>
      <c r="G130" s="108" t="n"/>
      <c r="H130" s="108" t="n"/>
      <c r="I130" s="108" t="n"/>
      <c r="J130" s="112">
        <f>IF($C130="","",IF(AND($D130&lt;&gt;"",$E130&lt;&gt;"",$D130&lt;&gt;$E130,$F130&gt;0),"UYGUN","HATA"))</f>
        <v/>
      </c>
      <c r="K130" s="6" t="n"/>
      <c r="L130" s="6" t="n"/>
    </row>
    <row r="131">
      <c r="A131" s="6" t="n"/>
      <c r="B131" s="112">
        <f>IF($C131="","","V"&amp;TEXT(ROW()-6,"00000"))</f>
        <v/>
      </c>
      <c r="C131" s="114" t="n"/>
      <c r="D131" s="107" t="n"/>
      <c r="E131" s="107" t="n"/>
      <c r="F131" s="115" t="n"/>
      <c r="G131" s="108" t="n"/>
      <c r="H131" s="108" t="n"/>
      <c r="I131" s="108" t="n"/>
      <c r="J131" s="112">
        <f>IF($C131="","",IF(AND($D131&lt;&gt;"",$E131&lt;&gt;"",$D131&lt;&gt;$E131,$F131&gt;0),"UYGUN","HATA"))</f>
        <v/>
      </c>
      <c r="K131" s="6" t="n"/>
      <c r="L131" s="6" t="n"/>
    </row>
    <row r="132">
      <c r="A132" s="6" t="n"/>
      <c r="B132" s="112">
        <f>IF($C132="","","V"&amp;TEXT(ROW()-6,"00000"))</f>
        <v/>
      </c>
      <c r="C132" s="114" t="n"/>
      <c r="D132" s="107" t="n"/>
      <c r="E132" s="107" t="n"/>
      <c r="F132" s="115" t="n"/>
      <c r="G132" s="108" t="n"/>
      <c r="H132" s="108" t="n"/>
      <c r="I132" s="108" t="n"/>
      <c r="J132" s="112">
        <f>IF($C132="","",IF(AND($D132&lt;&gt;"",$E132&lt;&gt;"",$D132&lt;&gt;$E132,$F132&gt;0),"UYGUN","HATA"))</f>
        <v/>
      </c>
      <c r="K132" s="6" t="n"/>
      <c r="L132" s="6" t="n"/>
    </row>
    <row r="133">
      <c r="A133" s="6" t="n"/>
      <c r="B133" s="112">
        <f>IF($C133="","","V"&amp;TEXT(ROW()-6,"00000"))</f>
        <v/>
      </c>
      <c r="C133" s="114" t="n"/>
      <c r="D133" s="107" t="n"/>
      <c r="E133" s="107" t="n"/>
      <c r="F133" s="115" t="n"/>
      <c r="G133" s="108" t="n"/>
      <c r="H133" s="108" t="n"/>
      <c r="I133" s="108" t="n"/>
      <c r="J133" s="112">
        <f>IF($C133="","",IF(AND($D133&lt;&gt;"",$E133&lt;&gt;"",$D133&lt;&gt;$E133,$F133&gt;0),"UYGUN","HATA"))</f>
        <v/>
      </c>
      <c r="K133" s="6" t="n"/>
      <c r="L133" s="6" t="n"/>
    </row>
    <row r="134">
      <c r="A134" s="6" t="n"/>
      <c r="B134" s="112">
        <f>IF($C134="","","V"&amp;TEXT(ROW()-6,"00000"))</f>
        <v/>
      </c>
      <c r="C134" s="114" t="n"/>
      <c r="D134" s="107" t="n"/>
      <c r="E134" s="107" t="n"/>
      <c r="F134" s="115" t="n"/>
      <c r="G134" s="108" t="n"/>
      <c r="H134" s="108" t="n"/>
      <c r="I134" s="108" t="n"/>
      <c r="J134" s="112">
        <f>IF($C134="","",IF(AND($D134&lt;&gt;"",$E134&lt;&gt;"",$D134&lt;&gt;$E134,$F134&gt;0),"UYGUN","HATA"))</f>
        <v/>
      </c>
      <c r="K134" s="6" t="n"/>
      <c r="L134" s="6" t="n"/>
    </row>
    <row r="135">
      <c r="A135" s="6" t="n"/>
      <c r="B135" s="112">
        <f>IF($C135="","","V"&amp;TEXT(ROW()-6,"00000"))</f>
        <v/>
      </c>
      <c r="C135" s="114" t="n"/>
      <c r="D135" s="107" t="n"/>
      <c r="E135" s="107" t="n"/>
      <c r="F135" s="115" t="n"/>
      <c r="G135" s="108" t="n"/>
      <c r="H135" s="108" t="n"/>
      <c r="I135" s="108" t="n"/>
      <c r="J135" s="112">
        <f>IF($C135="","",IF(AND($D135&lt;&gt;"",$E135&lt;&gt;"",$D135&lt;&gt;$E135,$F135&gt;0),"UYGUN","HATA"))</f>
        <v/>
      </c>
      <c r="K135" s="6" t="n"/>
      <c r="L135" s="6" t="n"/>
    </row>
    <row r="136">
      <c r="A136" s="6" t="n"/>
      <c r="B136" s="112">
        <f>IF($C136="","","V"&amp;TEXT(ROW()-6,"00000"))</f>
        <v/>
      </c>
      <c r="C136" s="114" t="n"/>
      <c r="D136" s="107" t="n"/>
      <c r="E136" s="107" t="n"/>
      <c r="F136" s="115" t="n"/>
      <c r="G136" s="108" t="n"/>
      <c r="H136" s="108" t="n"/>
      <c r="I136" s="108" t="n"/>
      <c r="J136" s="112">
        <f>IF($C136="","",IF(AND($D136&lt;&gt;"",$E136&lt;&gt;"",$D136&lt;&gt;$E136,$F136&gt;0),"UYGUN","HATA"))</f>
        <v/>
      </c>
      <c r="K136" s="6" t="n"/>
      <c r="L136" s="6" t="n"/>
    </row>
    <row r="137">
      <c r="A137" s="6" t="n"/>
      <c r="B137" s="112">
        <f>IF($C137="","","V"&amp;TEXT(ROW()-6,"00000"))</f>
        <v/>
      </c>
      <c r="C137" s="114" t="n"/>
      <c r="D137" s="107" t="n"/>
      <c r="E137" s="107" t="n"/>
      <c r="F137" s="115" t="n"/>
      <c r="G137" s="108" t="n"/>
      <c r="H137" s="108" t="n"/>
      <c r="I137" s="108" t="n"/>
      <c r="J137" s="112">
        <f>IF($C137="","",IF(AND($D137&lt;&gt;"",$E137&lt;&gt;"",$D137&lt;&gt;$E137,$F137&gt;0),"UYGUN","HATA"))</f>
        <v/>
      </c>
      <c r="K137" s="6" t="n"/>
      <c r="L137" s="6" t="n"/>
    </row>
    <row r="138">
      <c r="A138" s="6" t="n"/>
      <c r="B138" s="112">
        <f>IF($C138="","","V"&amp;TEXT(ROW()-6,"00000"))</f>
        <v/>
      </c>
      <c r="C138" s="114" t="n"/>
      <c r="D138" s="107" t="n"/>
      <c r="E138" s="107" t="n"/>
      <c r="F138" s="115" t="n"/>
      <c r="G138" s="108" t="n"/>
      <c r="H138" s="108" t="n"/>
      <c r="I138" s="108" t="n"/>
      <c r="J138" s="112">
        <f>IF($C138="","",IF(AND($D138&lt;&gt;"",$E138&lt;&gt;"",$D138&lt;&gt;$E138,$F138&gt;0),"UYGUN","HATA"))</f>
        <v/>
      </c>
      <c r="K138" s="6" t="n"/>
      <c r="L138" s="6" t="n"/>
    </row>
    <row r="139">
      <c r="A139" s="6" t="n"/>
      <c r="B139" s="112">
        <f>IF($C139="","","V"&amp;TEXT(ROW()-6,"00000"))</f>
        <v/>
      </c>
      <c r="C139" s="114" t="n"/>
      <c r="D139" s="107" t="n"/>
      <c r="E139" s="107" t="n"/>
      <c r="F139" s="115" t="n"/>
      <c r="G139" s="108" t="n"/>
      <c r="H139" s="108" t="n"/>
      <c r="I139" s="108" t="n"/>
      <c r="J139" s="112">
        <f>IF($C139="","",IF(AND($D139&lt;&gt;"",$E139&lt;&gt;"",$D139&lt;&gt;$E139,$F139&gt;0),"UYGUN","HATA"))</f>
        <v/>
      </c>
      <c r="K139" s="6" t="n"/>
      <c r="L139" s="6" t="n"/>
    </row>
    <row r="140">
      <c r="A140" s="6" t="n"/>
      <c r="B140" s="112">
        <f>IF($C140="","","V"&amp;TEXT(ROW()-6,"00000"))</f>
        <v/>
      </c>
      <c r="C140" s="114" t="n"/>
      <c r="D140" s="107" t="n"/>
      <c r="E140" s="107" t="n"/>
      <c r="F140" s="115" t="n"/>
      <c r="G140" s="108" t="n"/>
      <c r="H140" s="108" t="n"/>
      <c r="I140" s="108" t="n"/>
      <c r="J140" s="112">
        <f>IF($C140="","",IF(AND($D140&lt;&gt;"",$E140&lt;&gt;"",$D140&lt;&gt;$E140,$F140&gt;0),"UYGUN","HATA"))</f>
        <v/>
      </c>
      <c r="K140" s="6" t="n"/>
      <c r="L140" s="6" t="n"/>
    </row>
    <row r="141">
      <c r="A141" s="6" t="n"/>
      <c r="B141" s="112">
        <f>IF($C141="","","V"&amp;TEXT(ROW()-6,"00000"))</f>
        <v/>
      </c>
      <c r="C141" s="114" t="n"/>
      <c r="D141" s="107" t="n"/>
      <c r="E141" s="107" t="n"/>
      <c r="F141" s="115" t="n"/>
      <c r="G141" s="108" t="n"/>
      <c r="H141" s="108" t="n"/>
      <c r="I141" s="108" t="n"/>
      <c r="J141" s="112">
        <f>IF($C141="","",IF(AND($D141&lt;&gt;"",$E141&lt;&gt;"",$D141&lt;&gt;$E141,$F141&gt;0),"UYGUN","HATA"))</f>
        <v/>
      </c>
      <c r="K141" s="6" t="n"/>
      <c r="L141" s="6" t="n"/>
    </row>
    <row r="142">
      <c r="A142" s="6" t="n"/>
      <c r="B142" s="112">
        <f>IF($C142="","","V"&amp;TEXT(ROW()-6,"00000"))</f>
        <v/>
      </c>
      <c r="C142" s="114" t="n"/>
      <c r="D142" s="107" t="n"/>
      <c r="E142" s="107" t="n"/>
      <c r="F142" s="115" t="n"/>
      <c r="G142" s="108" t="n"/>
      <c r="H142" s="108" t="n"/>
      <c r="I142" s="108" t="n"/>
      <c r="J142" s="112">
        <f>IF($C142="","",IF(AND($D142&lt;&gt;"",$E142&lt;&gt;"",$D142&lt;&gt;$E142,$F142&gt;0),"UYGUN","HATA"))</f>
        <v/>
      </c>
      <c r="K142" s="6" t="n"/>
      <c r="L142" s="6" t="n"/>
    </row>
    <row r="143">
      <c r="A143" s="6" t="n"/>
      <c r="B143" s="112">
        <f>IF($C143="","","V"&amp;TEXT(ROW()-6,"00000"))</f>
        <v/>
      </c>
      <c r="C143" s="114" t="n"/>
      <c r="D143" s="107" t="n"/>
      <c r="E143" s="107" t="n"/>
      <c r="F143" s="115" t="n"/>
      <c r="G143" s="108" t="n"/>
      <c r="H143" s="108" t="n"/>
      <c r="I143" s="108" t="n"/>
      <c r="J143" s="112">
        <f>IF($C143="","",IF(AND($D143&lt;&gt;"",$E143&lt;&gt;"",$D143&lt;&gt;$E143,$F143&gt;0),"UYGUN","HATA"))</f>
        <v/>
      </c>
      <c r="K143" s="6" t="n"/>
      <c r="L143" s="6" t="n"/>
    </row>
    <row r="144">
      <c r="A144" s="6" t="n"/>
      <c r="B144" s="112">
        <f>IF($C144="","","V"&amp;TEXT(ROW()-6,"00000"))</f>
        <v/>
      </c>
      <c r="C144" s="114" t="n"/>
      <c r="D144" s="107" t="n"/>
      <c r="E144" s="107" t="n"/>
      <c r="F144" s="115" t="n"/>
      <c r="G144" s="108" t="n"/>
      <c r="H144" s="108" t="n"/>
      <c r="I144" s="108" t="n"/>
      <c r="J144" s="112">
        <f>IF($C144="","",IF(AND($D144&lt;&gt;"",$E144&lt;&gt;"",$D144&lt;&gt;$E144,$F144&gt;0),"UYGUN","HATA"))</f>
        <v/>
      </c>
      <c r="K144" s="6" t="n"/>
      <c r="L144" s="6" t="n"/>
    </row>
    <row r="145">
      <c r="A145" s="6" t="n"/>
      <c r="B145" s="112">
        <f>IF($C145="","","V"&amp;TEXT(ROW()-6,"00000"))</f>
        <v/>
      </c>
      <c r="C145" s="114" t="n"/>
      <c r="D145" s="107" t="n"/>
      <c r="E145" s="107" t="n"/>
      <c r="F145" s="115" t="n"/>
      <c r="G145" s="108" t="n"/>
      <c r="H145" s="108" t="n"/>
      <c r="I145" s="108" t="n"/>
      <c r="J145" s="112">
        <f>IF($C145="","",IF(AND($D145&lt;&gt;"",$E145&lt;&gt;"",$D145&lt;&gt;$E145,$F145&gt;0),"UYGUN","HATA"))</f>
        <v/>
      </c>
      <c r="K145" s="6" t="n"/>
      <c r="L145" s="6" t="n"/>
    </row>
    <row r="146">
      <c r="A146" s="6" t="n"/>
      <c r="B146" s="112">
        <f>IF($C146="","","V"&amp;TEXT(ROW()-6,"00000"))</f>
        <v/>
      </c>
      <c r="C146" s="114" t="n"/>
      <c r="D146" s="107" t="n"/>
      <c r="E146" s="107" t="n"/>
      <c r="F146" s="115" t="n"/>
      <c r="G146" s="108" t="n"/>
      <c r="H146" s="108" t="n"/>
      <c r="I146" s="108" t="n"/>
      <c r="J146" s="112">
        <f>IF($C146="","",IF(AND($D146&lt;&gt;"",$E146&lt;&gt;"",$D146&lt;&gt;$E146,$F146&gt;0),"UYGUN","HATA"))</f>
        <v/>
      </c>
      <c r="K146" s="6" t="n"/>
      <c r="L146" s="6" t="n"/>
    </row>
    <row r="147">
      <c r="A147" s="6" t="n"/>
      <c r="B147" s="112">
        <f>IF($C147="","","V"&amp;TEXT(ROW()-6,"00000"))</f>
        <v/>
      </c>
      <c r="C147" s="114" t="n"/>
      <c r="D147" s="107" t="n"/>
      <c r="E147" s="107" t="n"/>
      <c r="F147" s="115" t="n"/>
      <c r="G147" s="108" t="n"/>
      <c r="H147" s="108" t="n"/>
      <c r="I147" s="108" t="n"/>
      <c r="J147" s="112">
        <f>IF($C147="","",IF(AND($D147&lt;&gt;"",$E147&lt;&gt;"",$D147&lt;&gt;$E147,$F147&gt;0),"UYGUN","HATA"))</f>
        <v/>
      </c>
      <c r="K147" s="6" t="n"/>
      <c r="L147" s="6" t="n"/>
    </row>
    <row r="148">
      <c r="A148" s="6" t="n"/>
      <c r="B148" s="112">
        <f>IF($C148="","","V"&amp;TEXT(ROW()-6,"00000"))</f>
        <v/>
      </c>
      <c r="C148" s="114" t="n"/>
      <c r="D148" s="107" t="n"/>
      <c r="E148" s="107" t="n"/>
      <c r="F148" s="115" t="n"/>
      <c r="G148" s="108" t="n"/>
      <c r="H148" s="108" t="n"/>
      <c r="I148" s="108" t="n"/>
      <c r="J148" s="112">
        <f>IF($C148="","",IF(AND($D148&lt;&gt;"",$E148&lt;&gt;"",$D148&lt;&gt;$E148,$F148&gt;0),"UYGUN","HATA"))</f>
        <v/>
      </c>
      <c r="K148" s="6" t="n"/>
      <c r="L148" s="6" t="n"/>
    </row>
    <row r="149">
      <c r="A149" s="6" t="n"/>
      <c r="B149" s="112">
        <f>IF($C149="","","V"&amp;TEXT(ROW()-6,"00000"))</f>
        <v/>
      </c>
      <c r="C149" s="114" t="n"/>
      <c r="D149" s="107" t="n"/>
      <c r="E149" s="107" t="n"/>
      <c r="F149" s="115" t="n"/>
      <c r="G149" s="108" t="n"/>
      <c r="H149" s="108" t="n"/>
      <c r="I149" s="108" t="n"/>
      <c r="J149" s="112">
        <f>IF($C149="","",IF(AND($D149&lt;&gt;"",$E149&lt;&gt;"",$D149&lt;&gt;$E149,$F149&gt;0),"UYGUN","HATA"))</f>
        <v/>
      </c>
      <c r="K149" s="6" t="n"/>
      <c r="L149" s="6" t="n"/>
    </row>
    <row r="150">
      <c r="A150" s="6" t="n"/>
      <c r="B150" s="112">
        <f>IF($C150="","","V"&amp;TEXT(ROW()-6,"00000"))</f>
        <v/>
      </c>
      <c r="C150" s="114" t="n"/>
      <c r="D150" s="107" t="n"/>
      <c r="E150" s="107" t="n"/>
      <c r="F150" s="115" t="n"/>
      <c r="G150" s="108" t="n"/>
      <c r="H150" s="108" t="n"/>
      <c r="I150" s="108" t="n"/>
      <c r="J150" s="112">
        <f>IF($C150="","",IF(AND($D150&lt;&gt;"",$E150&lt;&gt;"",$D150&lt;&gt;$E150,$F150&gt;0),"UYGUN","HATA"))</f>
        <v/>
      </c>
      <c r="K150" s="6" t="n"/>
      <c r="L150" s="6" t="n"/>
    </row>
    <row r="151">
      <c r="A151" s="6" t="n"/>
      <c r="B151" s="112">
        <f>IF($C151="","","V"&amp;TEXT(ROW()-6,"00000"))</f>
        <v/>
      </c>
      <c r="C151" s="114" t="n"/>
      <c r="D151" s="107" t="n"/>
      <c r="E151" s="107" t="n"/>
      <c r="F151" s="115" t="n"/>
      <c r="G151" s="108" t="n"/>
      <c r="H151" s="108" t="n"/>
      <c r="I151" s="108" t="n"/>
      <c r="J151" s="112">
        <f>IF($C151="","",IF(AND($D151&lt;&gt;"",$E151&lt;&gt;"",$D151&lt;&gt;$E151,$F151&gt;0),"UYGUN","HATA"))</f>
        <v/>
      </c>
      <c r="K151" s="6" t="n"/>
      <c r="L151" s="6" t="n"/>
    </row>
    <row r="152">
      <c r="A152" s="6" t="n"/>
      <c r="B152" s="112">
        <f>IF($C152="","","V"&amp;TEXT(ROW()-6,"00000"))</f>
        <v/>
      </c>
      <c r="C152" s="114" t="n"/>
      <c r="D152" s="107" t="n"/>
      <c r="E152" s="107" t="n"/>
      <c r="F152" s="115" t="n"/>
      <c r="G152" s="108" t="n"/>
      <c r="H152" s="108" t="n"/>
      <c r="I152" s="108" t="n"/>
      <c r="J152" s="112">
        <f>IF($C152="","",IF(AND($D152&lt;&gt;"",$E152&lt;&gt;"",$D152&lt;&gt;$E152,$F152&gt;0),"UYGUN","HATA"))</f>
        <v/>
      </c>
      <c r="K152" s="6" t="n"/>
      <c r="L152" s="6" t="n"/>
    </row>
    <row r="153">
      <c r="A153" s="6" t="n"/>
      <c r="B153" s="112">
        <f>IF($C153="","","V"&amp;TEXT(ROW()-6,"00000"))</f>
        <v/>
      </c>
      <c r="C153" s="114" t="n"/>
      <c r="D153" s="107" t="n"/>
      <c r="E153" s="107" t="n"/>
      <c r="F153" s="115" t="n"/>
      <c r="G153" s="108" t="n"/>
      <c r="H153" s="108" t="n"/>
      <c r="I153" s="108" t="n"/>
      <c r="J153" s="112">
        <f>IF($C153="","",IF(AND($D153&lt;&gt;"",$E153&lt;&gt;"",$D153&lt;&gt;$E153,$F153&gt;0),"UYGUN","HATA"))</f>
        <v/>
      </c>
      <c r="K153" s="6" t="n"/>
      <c r="L153" s="6" t="n"/>
    </row>
    <row r="154">
      <c r="A154" s="6" t="n"/>
      <c r="B154" s="112">
        <f>IF($C154="","","V"&amp;TEXT(ROW()-6,"00000"))</f>
        <v/>
      </c>
      <c r="C154" s="114" t="n"/>
      <c r="D154" s="107" t="n"/>
      <c r="E154" s="107" t="n"/>
      <c r="F154" s="115" t="n"/>
      <c r="G154" s="108" t="n"/>
      <c r="H154" s="108" t="n"/>
      <c r="I154" s="108" t="n"/>
      <c r="J154" s="112">
        <f>IF($C154="","",IF(AND($D154&lt;&gt;"",$E154&lt;&gt;"",$D154&lt;&gt;$E154,$F154&gt;0),"UYGUN","HATA"))</f>
        <v/>
      </c>
      <c r="K154" s="6" t="n"/>
      <c r="L154" s="6" t="n"/>
    </row>
    <row r="155">
      <c r="A155" s="6" t="n"/>
      <c r="B155" s="112">
        <f>IF($C155="","","V"&amp;TEXT(ROW()-6,"00000"))</f>
        <v/>
      </c>
      <c r="C155" s="114" t="n"/>
      <c r="D155" s="107" t="n"/>
      <c r="E155" s="107" t="n"/>
      <c r="F155" s="115" t="n"/>
      <c r="G155" s="108" t="n"/>
      <c r="H155" s="108" t="n"/>
      <c r="I155" s="108" t="n"/>
      <c r="J155" s="112">
        <f>IF($C155="","",IF(AND($D155&lt;&gt;"",$E155&lt;&gt;"",$D155&lt;&gt;$E155,$F155&gt;0),"UYGUN","HATA"))</f>
        <v/>
      </c>
      <c r="K155" s="6" t="n"/>
      <c r="L155" s="6" t="n"/>
    </row>
    <row r="156">
      <c r="A156" s="6" t="n"/>
      <c r="B156" s="112">
        <f>IF($C156="","","V"&amp;TEXT(ROW()-6,"00000"))</f>
        <v/>
      </c>
      <c r="C156" s="114" t="n"/>
      <c r="D156" s="107" t="n"/>
      <c r="E156" s="107" t="n"/>
      <c r="F156" s="115" t="n"/>
      <c r="G156" s="108" t="n"/>
      <c r="H156" s="108" t="n"/>
      <c r="I156" s="108" t="n"/>
      <c r="J156" s="112">
        <f>IF($C156="","",IF(AND($D156&lt;&gt;"",$E156&lt;&gt;"",$D156&lt;&gt;$E156,$F156&gt;0),"UYGUN","HATA"))</f>
        <v/>
      </c>
      <c r="K156" s="6" t="n"/>
      <c r="L156" s="6" t="n"/>
    </row>
    <row r="157">
      <c r="A157" s="6" t="n"/>
      <c r="B157" s="112">
        <f>IF($C157="","","V"&amp;TEXT(ROW()-6,"00000"))</f>
        <v/>
      </c>
      <c r="C157" s="114" t="n"/>
      <c r="D157" s="107" t="n"/>
      <c r="E157" s="107" t="n"/>
      <c r="F157" s="115" t="n"/>
      <c r="G157" s="108" t="n"/>
      <c r="H157" s="108" t="n"/>
      <c r="I157" s="108" t="n"/>
      <c r="J157" s="112">
        <f>IF($C157="","",IF(AND($D157&lt;&gt;"",$E157&lt;&gt;"",$D157&lt;&gt;$E157,$F157&gt;0),"UYGUN","HATA"))</f>
        <v/>
      </c>
      <c r="K157" s="6" t="n"/>
      <c r="L157" s="6" t="n"/>
    </row>
    <row r="158">
      <c r="A158" s="6" t="n"/>
      <c r="B158" s="112">
        <f>IF($C158="","","V"&amp;TEXT(ROW()-6,"00000"))</f>
        <v/>
      </c>
      <c r="C158" s="114" t="n"/>
      <c r="D158" s="107" t="n"/>
      <c r="E158" s="107" t="n"/>
      <c r="F158" s="115" t="n"/>
      <c r="G158" s="108" t="n"/>
      <c r="H158" s="108" t="n"/>
      <c r="I158" s="108" t="n"/>
      <c r="J158" s="112">
        <f>IF($C158="","",IF(AND($D158&lt;&gt;"",$E158&lt;&gt;"",$D158&lt;&gt;$E158,$F158&gt;0),"UYGUN","HATA"))</f>
        <v/>
      </c>
      <c r="K158" s="6" t="n"/>
      <c r="L158" s="6" t="n"/>
    </row>
    <row r="159">
      <c r="A159" s="6" t="n"/>
      <c r="B159" s="112">
        <f>IF($C159="","","V"&amp;TEXT(ROW()-6,"00000"))</f>
        <v/>
      </c>
      <c r="C159" s="114" t="n"/>
      <c r="D159" s="107" t="n"/>
      <c r="E159" s="107" t="n"/>
      <c r="F159" s="115" t="n"/>
      <c r="G159" s="108" t="n"/>
      <c r="H159" s="108" t="n"/>
      <c r="I159" s="108" t="n"/>
      <c r="J159" s="112">
        <f>IF($C159="","",IF(AND($D159&lt;&gt;"",$E159&lt;&gt;"",$D159&lt;&gt;$E159,$F159&gt;0),"UYGUN","HATA"))</f>
        <v/>
      </c>
      <c r="K159" s="6" t="n"/>
      <c r="L159" s="6" t="n"/>
    </row>
    <row r="160">
      <c r="A160" s="6" t="n"/>
      <c r="B160" s="112">
        <f>IF($C160="","","V"&amp;TEXT(ROW()-6,"00000"))</f>
        <v/>
      </c>
      <c r="C160" s="114" t="n"/>
      <c r="D160" s="107" t="n"/>
      <c r="E160" s="107" t="n"/>
      <c r="F160" s="115" t="n"/>
      <c r="G160" s="108" t="n"/>
      <c r="H160" s="108" t="n"/>
      <c r="I160" s="108" t="n"/>
      <c r="J160" s="112">
        <f>IF($C160="","",IF(AND($D160&lt;&gt;"",$E160&lt;&gt;"",$D160&lt;&gt;$E160,$F160&gt;0),"UYGUN","HATA"))</f>
        <v/>
      </c>
      <c r="K160" s="6" t="n"/>
      <c r="L160" s="6" t="n"/>
    </row>
    <row r="161">
      <c r="A161" s="6" t="n"/>
      <c r="B161" s="112">
        <f>IF($C161="","","V"&amp;TEXT(ROW()-6,"00000"))</f>
        <v/>
      </c>
      <c r="C161" s="114" t="n"/>
      <c r="D161" s="107" t="n"/>
      <c r="E161" s="107" t="n"/>
      <c r="F161" s="115" t="n"/>
      <c r="G161" s="108" t="n"/>
      <c r="H161" s="108" t="n"/>
      <c r="I161" s="108" t="n"/>
      <c r="J161" s="112">
        <f>IF($C161="","",IF(AND($D161&lt;&gt;"",$E161&lt;&gt;"",$D161&lt;&gt;$E161,$F161&gt;0),"UYGUN","HATA"))</f>
        <v/>
      </c>
      <c r="K161" s="6" t="n"/>
      <c r="L161" s="6" t="n"/>
    </row>
    <row r="162">
      <c r="A162" s="6" t="n"/>
      <c r="B162" s="112">
        <f>IF($C162="","","V"&amp;TEXT(ROW()-6,"00000"))</f>
        <v/>
      </c>
      <c r="C162" s="114" t="n"/>
      <c r="D162" s="107" t="n"/>
      <c r="E162" s="107" t="n"/>
      <c r="F162" s="115" t="n"/>
      <c r="G162" s="108" t="n"/>
      <c r="H162" s="108" t="n"/>
      <c r="I162" s="108" t="n"/>
      <c r="J162" s="112">
        <f>IF($C162="","",IF(AND($D162&lt;&gt;"",$E162&lt;&gt;"",$D162&lt;&gt;$E162,$F162&gt;0),"UYGUN","HATA"))</f>
        <v/>
      </c>
      <c r="K162" s="6" t="n"/>
      <c r="L162" s="6" t="n"/>
    </row>
    <row r="163">
      <c r="A163" s="6" t="n"/>
      <c r="B163" s="112">
        <f>IF($C163="","","V"&amp;TEXT(ROW()-6,"00000"))</f>
        <v/>
      </c>
      <c r="C163" s="114" t="n"/>
      <c r="D163" s="107" t="n"/>
      <c r="E163" s="107" t="n"/>
      <c r="F163" s="115" t="n"/>
      <c r="G163" s="108" t="n"/>
      <c r="H163" s="108" t="n"/>
      <c r="I163" s="108" t="n"/>
      <c r="J163" s="112">
        <f>IF($C163="","",IF(AND($D163&lt;&gt;"",$E163&lt;&gt;"",$D163&lt;&gt;$E163,$F163&gt;0),"UYGUN","HATA"))</f>
        <v/>
      </c>
      <c r="K163" s="6" t="n"/>
      <c r="L163" s="6" t="n"/>
    </row>
    <row r="164">
      <c r="A164" s="6" t="n"/>
      <c r="B164" s="112">
        <f>IF($C164="","","V"&amp;TEXT(ROW()-6,"00000"))</f>
        <v/>
      </c>
      <c r="C164" s="114" t="n"/>
      <c r="D164" s="107" t="n"/>
      <c r="E164" s="107" t="n"/>
      <c r="F164" s="115" t="n"/>
      <c r="G164" s="108" t="n"/>
      <c r="H164" s="108" t="n"/>
      <c r="I164" s="108" t="n"/>
      <c r="J164" s="112">
        <f>IF($C164="","",IF(AND($D164&lt;&gt;"",$E164&lt;&gt;"",$D164&lt;&gt;$E164,$F164&gt;0),"UYGUN","HATA"))</f>
        <v/>
      </c>
      <c r="K164" s="6" t="n"/>
      <c r="L164" s="6" t="n"/>
    </row>
    <row r="165">
      <c r="A165" s="6" t="n"/>
      <c r="B165" s="112">
        <f>IF($C165="","","V"&amp;TEXT(ROW()-6,"00000"))</f>
        <v/>
      </c>
      <c r="C165" s="114" t="n"/>
      <c r="D165" s="107" t="n"/>
      <c r="E165" s="107" t="n"/>
      <c r="F165" s="115" t="n"/>
      <c r="G165" s="108" t="n"/>
      <c r="H165" s="108" t="n"/>
      <c r="I165" s="108" t="n"/>
      <c r="J165" s="112">
        <f>IF($C165="","",IF(AND($D165&lt;&gt;"",$E165&lt;&gt;"",$D165&lt;&gt;$E165,$F165&gt;0),"UYGUN","HATA"))</f>
        <v/>
      </c>
      <c r="K165" s="6" t="n"/>
      <c r="L165" s="6" t="n"/>
    </row>
    <row r="166">
      <c r="A166" s="6" t="n"/>
      <c r="B166" s="112">
        <f>IF($C166="","","V"&amp;TEXT(ROW()-6,"00000"))</f>
        <v/>
      </c>
      <c r="C166" s="114" t="n"/>
      <c r="D166" s="107" t="n"/>
      <c r="E166" s="107" t="n"/>
      <c r="F166" s="115" t="n"/>
      <c r="G166" s="108" t="n"/>
      <c r="H166" s="108" t="n"/>
      <c r="I166" s="108" t="n"/>
      <c r="J166" s="112">
        <f>IF($C166="","",IF(AND($D166&lt;&gt;"",$E166&lt;&gt;"",$D166&lt;&gt;$E166,$F166&gt;0),"UYGUN","HATA"))</f>
        <v/>
      </c>
      <c r="K166" s="6" t="n"/>
      <c r="L166" s="6" t="n"/>
    </row>
    <row r="167">
      <c r="A167" s="6" t="n"/>
      <c r="B167" s="112">
        <f>IF($C167="","","V"&amp;TEXT(ROW()-6,"00000"))</f>
        <v/>
      </c>
      <c r="C167" s="114" t="n"/>
      <c r="D167" s="107" t="n"/>
      <c r="E167" s="107" t="n"/>
      <c r="F167" s="115" t="n"/>
      <c r="G167" s="108" t="n"/>
      <c r="H167" s="108" t="n"/>
      <c r="I167" s="108" t="n"/>
      <c r="J167" s="112">
        <f>IF($C167="","",IF(AND($D167&lt;&gt;"",$E167&lt;&gt;"",$D167&lt;&gt;$E167,$F167&gt;0),"UYGUN","HATA"))</f>
        <v/>
      </c>
      <c r="K167" s="6" t="n"/>
      <c r="L167" s="6" t="n"/>
    </row>
    <row r="168">
      <c r="A168" s="6" t="n"/>
      <c r="B168" s="112">
        <f>IF($C168="","","V"&amp;TEXT(ROW()-6,"00000"))</f>
        <v/>
      </c>
      <c r="C168" s="114" t="n"/>
      <c r="D168" s="107" t="n"/>
      <c r="E168" s="107" t="n"/>
      <c r="F168" s="115" t="n"/>
      <c r="G168" s="108" t="n"/>
      <c r="H168" s="108" t="n"/>
      <c r="I168" s="108" t="n"/>
      <c r="J168" s="112">
        <f>IF($C168="","",IF(AND($D168&lt;&gt;"",$E168&lt;&gt;"",$D168&lt;&gt;$E168,$F168&gt;0),"UYGUN","HATA"))</f>
        <v/>
      </c>
      <c r="K168" s="6" t="n"/>
      <c r="L168" s="6" t="n"/>
    </row>
    <row r="169">
      <c r="A169" s="6" t="n"/>
      <c r="B169" s="112">
        <f>IF($C169="","","V"&amp;TEXT(ROW()-6,"00000"))</f>
        <v/>
      </c>
      <c r="C169" s="114" t="n"/>
      <c r="D169" s="107" t="n"/>
      <c r="E169" s="107" t="n"/>
      <c r="F169" s="115" t="n"/>
      <c r="G169" s="108" t="n"/>
      <c r="H169" s="108" t="n"/>
      <c r="I169" s="108" t="n"/>
      <c r="J169" s="112">
        <f>IF($C169="","",IF(AND($D169&lt;&gt;"",$E169&lt;&gt;"",$D169&lt;&gt;$E169,$F169&gt;0),"UYGUN","HATA"))</f>
        <v/>
      </c>
      <c r="K169" s="6" t="n"/>
      <c r="L169" s="6" t="n"/>
    </row>
    <row r="170">
      <c r="A170" s="6" t="n"/>
      <c r="B170" s="112">
        <f>IF($C170="","","V"&amp;TEXT(ROW()-6,"00000"))</f>
        <v/>
      </c>
      <c r="C170" s="114" t="n"/>
      <c r="D170" s="107" t="n"/>
      <c r="E170" s="107" t="n"/>
      <c r="F170" s="115" t="n"/>
      <c r="G170" s="108" t="n"/>
      <c r="H170" s="108" t="n"/>
      <c r="I170" s="108" t="n"/>
      <c r="J170" s="112">
        <f>IF($C170="","",IF(AND($D170&lt;&gt;"",$E170&lt;&gt;"",$D170&lt;&gt;$E170,$F170&gt;0),"UYGUN","HATA"))</f>
        <v/>
      </c>
      <c r="K170" s="6" t="n"/>
      <c r="L170" s="6" t="n"/>
    </row>
    <row r="171">
      <c r="A171" s="6" t="n"/>
      <c r="B171" s="112">
        <f>IF($C171="","","V"&amp;TEXT(ROW()-6,"00000"))</f>
        <v/>
      </c>
      <c r="C171" s="114" t="n"/>
      <c r="D171" s="107" t="n"/>
      <c r="E171" s="107" t="n"/>
      <c r="F171" s="115" t="n"/>
      <c r="G171" s="108" t="n"/>
      <c r="H171" s="108" t="n"/>
      <c r="I171" s="108" t="n"/>
      <c r="J171" s="112">
        <f>IF($C171="","",IF(AND($D171&lt;&gt;"",$E171&lt;&gt;"",$D171&lt;&gt;$E171,$F171&gt;0),"UYGUN","HATA"))</f>
        <v/>
      </c>
      <c r="K171" s="6" t="n"/>
      <c r="L171" s="6" t="n"/>
    </row>
    <row r="172">
      <c r="A172" s="6" t="n"/>
      <c r="B172" s="112">
        <f>IF($C172="","","V"&amp;TEXT(ROW()-6,"00000"))</f>
        <v/>
      </c>
      <c r="C172" s="114" t="n"/>
      <c r="D172" s="107" t="n"/>
      <c r="E172" s="107" t="n"/>
      <c r="F172" s="115" t="n"/>
      <c r="G172" s="108" t="n"/>
      <c r="H172" s="108" t="n"/>
      <c r="I172" s="108" t="n"/>
      <c r="J172" s="112">
        <f>IF($C172="","",IF(AND($D172&lt;&gt;"",$E172&lt;&gt;"",$D172&lt;&gt;$E172,$F172&gt;0),"UYGUN","HATA"))</f>
        <v/>
      </c>
      <c r="K172" s="6" t="n"/>
      <c r="L172" s="6" t="n"/>
    </row>
    <row r="173">
      <c r="A173" s="6" t="n"/>
      <c r="B173" s="112">
        <f>IF($C173="","","V"&amp;TEXT(ROW()-6,"00000"))</f>
        <v/>
      </c>
      <c r="C173" s="114" t="n"/>
      <c r="D173" s="107" t="n"/>
      <c r="E173" s="107" t="n"/>
      <c r="F173" s="115" t="n"/>
      <c r="G173" s="108" t="n"/>
      <c r="H173" s="108" t="n"/>
      <c r="I173" s="108" t="n"/>
      <c r="J173" s="112">
        <f>IF($C173="","",IF(AND($D173&lt;&gt;"",$E173&lt;&gt;"",$D173&lt;&gt;$E173,$F173&gt;0),"UYGUN","HATA"))</f>
        <v/>
      </c>
      <c r="K173" s="6" t="n"/>
      <c r="L173" s="6" t="n"/>
    </row>
    <row r="174">
      <c r="A174" s="6" t="n"/>
      <c r="B174" s="112">
        <f>IF($C174="","","V"&amp;TEXT(ROW()-6,"00000"))</f>
        <v/>
      </c>
      <c r="C174" s="114" t="n"/>
      <c r="D174" s="107" t="n"/>
      <c r="E174" s="107" t="n"/>
      <c r="F174" s="115" t="n"/>
      <c r="G174" s="108" t="n"/>
      <c r="H174" s="108" t="n"/>
      <c r="I174" s="108" t="n"/>
      <c r="J174" s="112">
        <f>IF($C174="","",IF(AND($D174&lt;&gt;"",$E174&lt;&gt;"",$D174&lt;&gt;$E174,$F174&gt;0),"UYGUN","HATA"))</f>
        <v/>
      </c>
      <c r="K174" s="6" t="n"/>
      <c r="L174" s="6" t="n"/>
    </row>
    <row r="175">
      <c r="A175" s="6" t="n"/>
      <c r="B175" s="112">
        <f>IF($C175="","","V"&amp;TEXT(ROW()-6,"00000"))</f>
        <v/>
      </c>
      <c r="C175" s="114" t="n"/>
      <c r="D175" s="107" t="n"/>
      <c r="E175" s="107" t="n"/>
      <c r="F175" s="115" t="n"/>
      <c r="G175" s="108" t="n"/>
      <c r="H175" s="108" t="n"/>
      <c r="I175" s="108" t="n"/>
      <c r="J175" s="112">
        <f>IF($C175="","",IF(AND($D175&lt;&gt;"",$E175&lt;&gt;"",$D175&lt;&gt;$E175,$F175&gt;0),"UYGUN","HATA"))</f>
        <v/>
      </c>
      <c r="K175" s="6" t="n"/>
      <c r="L175" s="6" t="n"/>
    </row>
    <row r="176">
      <c r="A176" s="6" t="n"/>
      <c r="B176" s="112">
        <f>IF($C176="","","V"&amp;TEXT(ROW()-6,"00000"))</f>
        <v/>
      </c>
      <c r="C176" s="114" t="n"/>
      <c r="D176" s="107" t="n"/>
      <c r="E176" s="107" t="n"/>
      <c r="F176" s="115" t="n"/>
      <c r="G176" s="108" t="n"/>
      <c r="H176" s="108" t="n"/>
      <c r="I176" s="108" t="n"/>
      <c r="J176" s="112">
        <f>IF($C176="","",IF(AND($D176&lt;&gt;"",$E176&lt;&gt;"",$D176&lt;&gt;$E176,$F176&gt;0),"UYGUN","HATA"))</f>
        <v/>
      </c>
      <c r="K176" s="6" t="n"/>
      <c r="L176" s="6" t="n"/>
    </row>
    <row r="177">
      <c r="A177" s="6" t="n"/>
      <c r="B177" s="112">
        <f>IF($C177="","","V"&amp;TEXT(ROW()-6,"00000"))</f>
        <v/>
      </c>
      <c r="C177" s="114" t="n"/>
      <c r="D177" s="107" t="n"/>
      <c r="E177" s="107" t="n"/>
      <c r="F177" s="115" t="n"/>
      <c r="G177" s="108" t="n"/>
      <c r="H177" s="108" t="n"/>
      <c r="I177" s="108" t="n"/>
      <c r="J177" s="112">
        <f>IF($C177="","",IF(AND($D177&lt;&gt;"",$E177&lt;&gt;"",$D177&lt;&gt;$E177,$F177&gt;0),"UYGUN","HATA"))</f>
        <v/>
      </c>
      <c r="K177" s="6" t="n"/>
      <c r="L177" s="6" t="n"/>
    </row>
    <row r="178">
      <c r="A178" s="6" t="n"/>
      <c r="B178" s="112">
        <f>IF($C178="","","V"&amp;TEXT(ROW()-6,"00000"))</f>
        <v/>
      </c>
      <c r="C178" s="114" t="n"/>
      <c r="D178" s="107" t="n"/>
      <c r="E178" s="107" t="n"/>
      <c r="F178" s="115" t="n"/>
      <c r="G178" s="108" t="n"/>
      <c r="H178" s="108" t="n"/>
      <c r="I178" s="108" t="n"/>
      <c r="J178" s="112">
        <f>IF($C178="","",IF(AND($D178&lt;&gt;"",$E178&lt;&gt;"",$D178&lt;&gt;$E178,$F178&gt;0),"UYGUN","HATA"))</f>
        <v/>
      </c>
      <c r="K178" s="6" t="n"/>
      <c r="L178" s="6" t="n"/>
    </row>
    <row r="179">
      <c r="A179" s="6" t="n"/>
      <c r="B179" s="112">
        <f>IF($C179="","","V"&amp;TEXT(ROW()-6,"00000"))</f>
        <v/>
      </c>
      <c r="C179" s="114" t="n"/>
      <c r="D179" s="107" t="n"/>
      <c r="E179" s="107" t="n"/>
      <c r="F179" s="115" t="n"/>
      <c r="G179" s="108" t="n"/>
      <c r="H179" s="108" t="n"/>
      <c r="I179" s="108" t="n"/>
      <c r="J179" s="112">
        <f>IF($C179="","",IF(AND($D179&lt;&gt;"",$E179&lt;&gt;"",$D179&lt;&gt;$E179,$F179&gt;0),"UYGUN","HATA"))</f>
        <v/>
      </c>
      <c r="K179" s="6" t="n"/>
      <c r="L179" s="6" t="n"/>
    </row>
    <row r="180">
      <c r="A180" s="6" t="n"/>
      <c r="B180" s="112">
        <f>IF($C180="","","V"&amp;TEXT(ROW()-6,"00000"))</f>
        <v/>
      </c>
      <c r="C180" s="114" t="n"/>
      <c r="D180" s="107" t="n"/>
      <c r="E180" s="107" t="n"/>
      <c r="F180" s="115" t="n"/>
      <c r="G180" s="108" t="n"/>
      <c r="H180" s="108" t="n"/>
      <c r="I180" s="108" t="n"/>
      <c r="J180" s="112">
        <f>IF($C180="","",IF(AND($D180&lt;&gt;"",$E180&lt;&gt;"",$D180&lt;&gt;$E180,$F180&gt;0),"UYGUN","HATA"))</f>
        <v/>
      </c>
      <c r="K180" s="6" t="n"/>
      <c r="L180" s="6" t="n"/>
    </row>
    <row r="181">
      <c r="A181" s="6" t="n"/>
      <c r="B181" s="112">
        <f>IF($C181="","","V"&amp;TEXT(ROW()-6,"00000"))</f>
        <v/>
      </c>
      <c r="C181" s="114" t="n"/>
      <c r="D181" s="107" t="n"/>
      <c r="E181" s="107" t="n"/>
      <c r="F181" s="115" t="n"/>
      <c r="G181" s="108" t="n"/>
      <c r="H181" s="108" t="n"/>
      <c r="I181" s="108" t="n"/>
      <c r="J181" s="112">
        <f>IF($C181="","",IF(AND($D181&lt;&gt;"",$E181&lt;&gt;"",$D181&lt;&gt;$E181,$F181&gt;0),"UYGUN","HATA"))</f>
        <v/>
      </c>
      <c r="K181" s="6" t="n"/>
      <c r="L181" s="6" t="n"/>
    </row>
    <row r="182">
      <c r="A182" s="6" t="n"/>
      <c r="B182" s="112">
        <f>IF($C182="","","V"&amp;TEXT(ROW()-6,"00000"))</f>
        <v/>
      </c>
      <c r="C182" s="114" t="n"/>
      <c r="D182" s="107" t="n"/>
      <c r="E182" s="107" t="n"/>
      <c r="F182" s="115" t="n"/>
      <c r="G182" s="108" t="n"/>
      <c r="H182" s="108" t="n"/>
      <c r="I182" s="108" t="n"/>
      <c r="J182" s="112">
        <f>IF($C182="","",IF(AND($D182&lt;&gt;"",$E182&lt;&gt;"",$D182&lt;&gt;$E182,$F182&gt;0),"UYGUN","HATA"))</f>
        <v/>
      </c>
      <c r="K182" s="6" t="n"/>
      <c r="L182" s="6" t="n"/>
    </row>
    <row r="183">
      <c r="A183" s="6" t="n"/>
      <c r="B183" s="112">
        <f>IF($C183="","","V"&amp;TEXT(ROW()-6,"00000"))</f>
        <v/>
      </c>
      <c r="C183" s="114" t="n"/>
      <c r="D183" s="107" t="n"/>
      <c r="E183" s="107" t="n"/>
      <c r="F183" s="115" t="n"/>
      <c r="G183" s="108" t="n"/>
      <c r="H183" s="108" t="n"/>
      <c r="I183" s="108" t="n"/>
      <c r="J183" s="112">
        <f>IF($C183="","",IF(AND($D183&lt;&gt;"",$E183&lt;&gt;"",$D183&lt;&gt;$E183,$F183&gt;0),"UYGUN","HATA"))</f>
        <v/>
      </c>
      <c r="K183" s="6" t="n"/>
      <c r="L183" s="6" t="n"/>
    </row>
    <row r="184">
      <c r="A184" s="6" t="n"/>
      <c r="B184" s="112">
        <f>IF($C184="","","V"&amp;TEXT(ROW()-6,"00000"))</f>
        <v/>
      </c>
      <c r="C184" s="114" t="n"/>
      <c r="D184" s="107" t="n"/>
      <c r="E184" s="107" t="n"/>
      <c r="F184" s="115" t="n"/>
      <c r="G184" s="108" t="n"/>
      <c r="H184" s="108" t="n"/>
      <c r="I184" s="108" t="n"/>
      <c r="J184" s="112">
        <f>IF($C184="","",IF(AND($D184&lt;&gt;"",$E184&lt;&gt;"",$D184&lt;&gt;$E184,$F184&gt;0),"UYGUN","HATA"))</f>
        <v/>
      </c>
      <c r="K184" s="6" t="n"/>
      <c r="L184" s="6" t="n"/>
    </row>
    <row r="185">
      <c r="A185" s="6" t="n"/>
      <c r="B185" s="112">
        <f>IF($C185="","","V"&amp;TEXT(ROW()-6,"00000"))</f>
        <v/>
      </c>
      <c r="C185" s="114" t="n"/>
      <c r="D185" s="107" t="n"/>
      <c r="E185" s="107" t="n"/>
      <c r="F185" s="115" t="n"/>
      <c r="G185" s="108" t="n"/>
      <c r="H185" s="108" t="n"/>
      <c r="I185" s="108" t="n"/>
      <c r="J185" s="112">
        <f>IF($C185="","",IF(AND($D185&lt;&gt;"",$E185&lt;&gt;"",$D185&lt;&gt;$E185,$F185&gt;0),"UYGUN","HATA"))</f>
        <v/>
      </c>
      <c r="K185" s="6" t="n"/>
      <c r="L185" s="6" t="n"/>
    </row>
    <row r="186">
      <c r="A186" s="6" t="n"/>
      <c r="B186" s="112">
        <f>IF($C186="","","V"&amp;TEXT(ROW()-6,"00000"))</f>
        <v/>
      </c>
      <c r="C186" s="114" t="n"/>
      <c r="D186" s="107" t="n"/>
      <c r="E186" s="107" t="n"/>
      <c r="F186" s="115" t="n"/>
      <c r="G186" s="108" t="n"/>
      <c r="H186" s="108" t="n"/>
      <c r="I186" s="108" t="n"/>
      <c r="J186" s="112">
        <f>IF($C186="","",IF(AND($D186&lt;&gt;"",$E186&lt;&gt;"",$D186&lt;&gt;$E186,$F186&gt;0),"UYGUN","HATA"))</f>
        <v/>
      </c>
      <c r="K186" s="6" t="n"/>
      <c r="L186" s="6" t="n"/>
    </row>
    <row r="187">
      <c r="A187" s="6" t="n"/>
      <c r="B187" s="112">
        <f>IF($C187="","","V"&amp;TEXT(ROW()-6,"00000"))</f>
        <v/>
      </c>
      <c r="C187" s="114" t="n"/>
      <c r="D187" s="107" t="n"/>
      <c r="E187" s="107" t="n"/>
      <c r="F187" s="115" t="n"/>
      <c r="G187" s="108" t="n"/>
      <c r="H187" s="108" t="n"/>
      <c r="I187" s="108" t="n"/>
      <c r="J187" s="112">
        <f>IF($C187="","",IF(AND($D187&lt;&gt;"",$E187&lt;&gt;"",$D187&lt;&gt;$E187,$F187&gt;0),"UYGUN","HATA"))</f>
        <v/>
      </c>
      <c r="K187" s="6" t="n"/>
      <c r="L187" s="6" t="n"/>
    </row>
    <row r="188">
      <c r="A188" s="6" t="n"/>
      <c r="B188" s="112">
        <f>IF($C188="","","V"&amp;TEXT(ROW()-6,"00000"))</f>
        <v/>
      </c>
      <c r="C188" s="114" t="n"/>
      <c r="D188" s="107" t="n"/>
      <c r="E188" s="107" t="n"/>
      <c r="F188" s="115" t="n"/>
      <c r="G188" s="108" t="n"/>
      <c r="H188" s="108" t="n"/>
      <c r="I188" s="108" t="n"/>
      <c r="J188" s="112">
        <f>IF($C188="","",IF(AND($D188&lt;&gt;"",$E188&lt;&gt;"",$D188&lt;&gt;$E188,$F188&gt;0),"UYGUN","HATA"))</f>
        <v/>
      </c>
      <c r="K188" s="6" t="n"/>
      <c r="L188" s="6" t="n"/>
    </row>
    <row r="189">
      <c r="A189" s="6" t="n"/>
      <c r="B189" s="112">
        <f>IF($C189="","","V"&amp;TEXT(ROW()-6,"00000"))</f>
        <v/>
      </c>
      <c r="C189" s="114" t="n"/>
      <c r="D189" s="107" t="n"/>
      <c r="E189" s="107" t="n"/>
      <c r="F189" s="115" t="n"/>
      <c r="G189" s="108" t="n"/>
      <c r="H189" s="108" t="n"/>
      <c r="I189" s="108" t="n"/>
      <c r="J189" s="112">
        <f>IF($C189="","",IF(AND($D189&lt;&gt;"",$E189&lt;&gt;"",$D189&lt;&gt;$E189,$F189&gt;0),"UYGUN","HATA"))</f>
        <v/>
      </c>
      <c r="K189" s="6" t="n"/>
      <c r="L189" s="6" t="n"/>
    </row>
    <row r="190">
      <c r="A190" s="6" t="n"/>
      <c r="B190" s="112">
        <f>IF($C190="","","V"&amp;TEXT(ROW()-6,"00000"))</f>
        <v/>
      </c>
      <c r="C190" s="114" t="n"/>
      <c r="D190" s="107" t="n"/>
      <c r="E190" s="107" t="n"/>
      <c r="F190" s="115" t="n"/>
      <c r="G190" s="108" t="n"/>
      <c r="H190" s="108" t="n"/>
      <c r="I190" s="108" t="n"/>
      <c r="J190" s="112">
        <f>IF($C190="","",IF(AND($D190&lt;&gt;"",$E190&lt;&gt;"",$D190&lt;&gt;$E190,$F190&gt;0),"UYGUN","HATA"))</f>
        <v/>
      </c>
      <c r="K190" s="6" t="n"/>
      <c r="L190" s="6" t="n"/>
    </row>
    <row r="191">
      <c r="A191" s="6" t="n"/>
      <c r="B191" s="112">
        <f>IF($C191="","","V"&amp;TEXT(ROW()-6,"00000"))</f>
        <v/>
      </c>
      <c r="C191" s="114" t="n"/>
      <c r="D191" s="107" t="n"/>
      <c r="E191" s="107" t="n"/>
      <c r="F191" s="115" t="n"/>
      <c r="G191" s="108" t="n"/>
      <c r="H191" s="108" t="n"/>
      <c r="I191" s="108" t="n"/>
      <c r="J191" s="112">
        <f>IF($C191="","",IF(AND($D191&lt;&gt;"",$E191&lt;&gt;"",$D191&lt;&gt;$E191,$F191&gt;0),"UYGUN","HATA"))</f>
        <v/>
      </c>
      <c r="K191" s="6" t="n"/>
      <c r="L191" s="6" t="n"/>
    </row>
    <row r="192">
      <c r="A192" s="6" t="n"/>
      <c r="B192" s="112">
        <f>IF($C192="","","V"&amp;TEXT(ROW()-6,"00000"))</f>
        <v/>
      </c>
      <c r="C192" s="114" t="n"/>
      <c r="D192" s="107" t="n"/>
      <c r="E192" s="107" t="n"/>
      <c r="F192" s="115" t="n"/>
      <c r="G192" s="108" t="n"/>
      <c r="H192" s="108" t="n"/>
      <c r="I192" s="108" t="n"/>
      <c r="J192" s="112">
        <f>IF($C192="","",IF(AND($D192&lt;&gt;"",$E192&lt;&gt;"",$D192&lt;&gt;$E192,$F192&gt;0),"UYGUN","HATA"))</f>
        <v/>
      </c>
      <c r="K192" s="6" t="n"/>
      <c r="L192" s="6" t="n"/>
    </row>
    <row r="193">
      <c r="A193" s="6" t="n"/>
      <c r="B193" s="112">
        <f>IF($C193="","","V"&amp;TEXT(ROW()-6,"00000"))</f>
        <v/>
      </c>
      <c r="C193" s="114" t="n"/>
      <c r="D193" s="107" t="n"/>
      <c r="E193" s="107" t="n"/>
      <c r="F193" s="115" t="n"/>
      <c r="G193" s="108" t="n"/>
      <c r="H193" s="108" t="n"/>
      <c r="I193" s="108" t="n"/>
      <c r="J193" s="112">
        <f>IF($C193="","",IF(AND($D193&lt;&gt;"",$E193&lt;&gt;"",$D193&lt;&gt;$E193,$F193&gt;0),"UYGUN","HATA"))</f>
        <v/>
      </c>
      <c r="K193" s="6" t="n"/>
      <c r="L193" s="6" t="n"/>
    </row>
    <row r="194">
      <c r="A194" s="6" t="n"/>
      <c r="B194" s="112">
        <f>IF($C194="","","V"&amp;TEXT(ROW()-6,"00000"))</f>
        <v/>
      </c>
      <c r="C194" s="114" t="n"/>
      <c r="D194" s="107" t="n"/>
      <c r="E194" s="107" t="n"/>
      <c r="F194" s="115" t="n"/>
      <c r="G194" s="108" t="n"/>
      <c r="H194" s="108" t="n"/>
      <c r="I194" s="108" t="n"/>
      <c r="J194" s="112">
        <f>IF($C194="","",IF(AND($D194&lt;&gt;"",$E194&lt;&gt;"",$D194&lt;&gt;$E194,$F194&gt;0),"UYGUN","HATA"))</f>
        <v/>
      </c>
      <c r="K194" s="6" t="n"/>
      <c r="L194" s="6" t="n"/>
    </row>
    <row r="195">
      <c r="A195" s="6" t="n"/>
      <c r="B195" s="112">
        <f>IF($C195="","","V"&amp;TEXT(ROW()-6,"00000"))</f>
        <v/>
      </c>
      <c r="C195" s="114" t="n"/>
      <c r="D195" s="107" t="n"/>
      <c r="E195" s="107" t="n"/>
      <c r="F195" s="115" t="n"/>
      <c r="G195" s="108" t="n"/>
      <c r="H195" s="108" t="n"/>
      <c r="I195" s="108" t="n"/>
      <c r="J195" s="112">
        <f>IF($C195="","",IF(AND($D195&lt;&gt;"",$E195&lt;&gt;"",$D195&lt;&gt;$E195,$F195&gt;0),"UYGUN","HATA"))</f>
        <v/>
      </c>
      <c r="K195" s="6" t="n"/>
      <c r="L195" s="6" t="n"/>
    </row>
    <row r="196">
      <c r="A196" s="6" t="n"/>
      <c r="B196" s="112">
        <f>IF($C196="","","V"&amp;TEXT(ROW()-6,"00000"))</f>
        <v/>
      </c>
      <c r="C196" s="114" t="n"/>
      <c r="D196" s="107" t="n"/>
      <c r="E196" s="107" t="n"/>
      <c r="F196" s="115" t="n"/>
      <c r="G196" s="108" t="n"/>
      <c r="H196" s="108" t="n"/>
      <c r="I196" s="108" t="n"/>
      <c r="J196" s="112">
        <f>IF($C196="","",IF(AND($D196&lt;&gt;"",$E196&lt;&gt;"",$D196&lt;&gt;$E196,$F196&gt;0),"UYGUN","HATA"))</f>
        <v/>
      </c>
      <c r="K196" s="6" t="n"/>
      <c r="L196" s="6" t="n"/>
    </row>
    <row r="197">
      <c r="A197" s="6" t="n"/>
      <c r="B197" s="112">
        <f>IF($C197="","","V"&amp;TEXT(ROW()-6,"00000"))</f>
        <v/>
      </c>
      <c r="C197" s="114" t="n"/>
      <c r="D197" s="107" t="n"/>
      <c r="E197" s="107" t="n"/>
      <c r="F197" s="115" t="n"/>
      <c r="G197" s="108" t="n"/>
      <c r="H197" s="108" t="n"/>
      <c r="I197" s="108" t="n"/>
      <c r="J197" s="112">
        <f>IF($C197="","",IF(AND($D197&lt;&gt;"",$E197&lt;&gt;"",$D197&lt;&gt;$E197,$F197&gt;0),"UYGUN","HATA"))</f>
        <v/>
      </c>
      <c r="K197" s="6" t="n"/>
      <c r="L197" s="6" t="n"/>
    </row>
    <row r="198">
      <c r="A198" s="6" t="n"/>
      <c r="B198" s="112">
        <f>IF($C198="","","V"&amp;TEXT(ROW()-6,"00000"))</f>
        <v/>
      </c>
      <c r="C198" s="114" t="n"/>
      <c r="D198" s="107" t="n"/>
      <c r="E198" s="107" t="n"/>
      <c r="F198" s="115" t="n"/>
      <c r="G198" s="108" t="n"/>
      <c r="H198" s="108" t="n"/>
      <c r="I198" s="108" t="n"/>
      <c r="J198" s="112">
        <f>IF($C198="","",IF(AND($D198&lt;&gt;"",$E198&lt;&gt;"",$D198&lt;&gt;$E198,$F198&gt;0),"UYGUN","HATA"))</f>
        <v/>
      </c>
      <c r="K198" s="6" t="n"/>
      <c r="L198" s="6" t="n"/>
    </row>
    <row r="199">
      <c r="A199" s="6" t="n"/>
      <c r="B199" s="112">
        <f>IF($C199="","","V"&amp;TEXT(ROW()-6,"00000"))</f>
        <v/>
      </c>
      <c r="C199" s="114" t="n"/>
      <c r="D199" s="107" t="n"/>
      <c r="E199" s="107" t="n"/>
      <c r="F199" s="115" t="n"/>
      <c r="G199" s="108" t="n"/>
      <c r="H199" s="108" t="n"/>
      <c r="I199" s="108" t="n"/>
      <c r="J199" s="112">
        <f>IF($C199="","",IF(AND($D199&lt;&gt;"",$E199&lt;&gt;"",$D199&lt;&gt;$E199,$F199&gt;0),"UYGUN","HATA"))</f>
        <v/>
      </c>
      <c r="K199" s="6" t="n"/>
      <c r="L199" s="6" t="n"/>
    </row>
    <row r="200">
      <c r="A200" s="6" t="n"/>
      <c r="B200" s="112">
        <f>IF($C200="","","V"&amp;TEXT(ROW()-6,"00000"))</f>
        <v/>
      </c>
      <c r="C200" s="114" t="n"/>
      <c r="D200" s="107" t="n"/>
      <c r="E200" s="107" t="n"/>
      <c r="F200" s="115" t="n"/>
      <c r="G200" s="108" t="n"/>
      <c r="H200" s="108" t="n"/>
      <c r="I200" s="108" t="n"/>
      <c r="J200" s="112">
        <f>IF($C200="","",IF(AND($D200&lt;&gt;"",$E200&lt;&gt;"",$D200&lt;&gt;$E200,$F200&gt;0),"UYGUN","HATA"))</f>
        <v/>
      </c>
      <c r="K200" s="6" t="n"/>
      <c r="L200" s="6" t="n"/>
    </row>
    <row r="201">
      <c r="A201" s="6" t="n"/>
      <c r="B201" s="112">
        <f>IF($C201="","","V"&amp;TEXT(ROW()-6,"00000"))</f>
        <v/>
      </c>
      <c r="C201" s="114" t="n"/>
      <c r="D201" s="107" t="n"/>
      <c r="E201" s="107" t="n"/>
      <c r="F201" s="115" t="n"/>
      <c r="G201" s="108" t="n"/>
      <c r="H201" s="108" t="n"/>
      <c r="I201" s="108" t="n"/>
      <c r="J201" s="112">
        <f>IF($C201="","",IF(AND($D201&lt;&gt;"",$E201&lt;&gt;"",$D201&lt;&gt;$E201,$F201&gt;0),"UYGUN","HATA"))</f>
        <v/>
      </c>
      <c r="K201" s="6" t="n"/>
      <c r="L201" s="6" t="n"/>
    </row>
    <row r="202">
      <c r="A202" s="6" t="n"/>
      <c r="B202" s="112">
        <f>IF($C202="","","V"&amp;TEXT(ROW()-6,"00000"))</f>
        <v/>
      </c>
      <c r="C202" s="114" t="n"/>
      <c r="D202" s="107" t="n"/>
      <c r="E202" s="107" t="n"/>
      <c r="F202" s="115" t="n"/>
      <c r="G202" s="108" t="n"/>
      <c r="H202" s="108" t="n"/>
      <c r="I202" s="108" t="n"/>
      <c r="J202" s="112">
        <f>IF($C202="","",IF(AND($D202&lt;&gt;"",$E202&lt;&gt;"",$D202&lt;&gt;$E202,$F202&gt;0),"UYGUN","HATA"))</f>
        <v/>
      </c>
      <c r="K202" s="6" t="n"/>
      <c r="L202" s="6" t="n"/>
    </row>
    <row r="203">
      <c r="A203" s="6" t="n"/>
      <c r="B203" s="112">
        <f>IF($C203="","","V"&amp;TEXT(ROW()-6,"00000"))</f>
        <v/>
      </c>
      <c r="C203" s="114" t="n"/>
      <c r="D203" s="107" t="n"/>
      <c r="E203" s="107" t="n"/>
      <c r="F203" s="115" t="n"/>
      <c r="G203" s="108" t="n"/>
      <c r="H203" s="108" t="n"/>
      <c r="I203" s="108" t="n"/>
      <c r="J203" s="112">
        <f>IF($C203="","",IF(AND($D203&lt;&gt;"",$E203&lt;&gt;"",$D203&lt;&gt;$E203,$F203&gt;0),"UYGUN","HATA"))</f>
        <v/>
      </c>
      <c r="K203" s="6" t="n"/>
      <c r="L203" s="6" t="n"/>
    </row>
    <row r="204">
      <c r="A204" s="6" t="n"/>
      <c r="B204" s="112">
        <f>IF($C204="","","V"&amp;TEXT(ROW()-6,"00000"))</f>
        <v/>
      </c>
      <c r="C204" s="114" t="n"/>
      <c r="D204" s="107" t="n"/>
      <c r="E204" s="107" t="n"/>
      <c r="F204" s="115" t="n"/>
      <c r="G204" s="108" t="n"/>
      <c r="H204" s="108" t="n"/>
      <c r="I204" s="108" t="n"/>
      <c r="J204" s="112">
        <f>IF($C204="","",IF(AND($D204&lt;&gt;"",$E204&lt;&gt;"",$D204&lt;&gt;$E204,$F204&gt;0),"UYGUN","HATA"))</f>
        <v/>
      </c>
      <c r="K204" s="6" t="n"/>
      <c r="L204" s="6" t="n"/>
    </row>
    <row r="205">
      <c r="A205" s="6" t="n"/>
      <c r="B205" s="112">
        <f>IF($C205="","","V"&amp;TEXT(ROW()-6,"00000"))</f>
        <v/>
      </c>
      <c r="C205" s="114" t="n"/>
      <c r="D205" s="107" t="n"/>
      <c r="E205" s="107" t="n"/>
      <c r="F205" s="115" t="n"/>
      <c r="G205" s="108" t="n"/>
      <c r="H205" s="108" t="n"/>
      <c r="I205" s="108" t="n"/>
      <c r="J205" s="112">
        <f>IF($C205="","",IF(AND($D205&lt;&gt;"",$E205&lt;&gt;"",$D205&lt;&gt;$E205,$F205&gt;0),"UYGUN","HATA"))</f>
        <v/>
      </c>
      <c r="K205" s="6" t="n"/>
      <c r="L205" s="6" t="n"/>
    </row>
    <row r="206">
      <c r="A206" s="6" t="n"/>
      <c r="B206" s="112">
        <f>IF($C206="","","V"&amp;TEXT(ROW()-6,"00000"))</f>
        <v/>
      </c>
      <c r="C206" s="114" t="n"/>
      <c r="D206" s="107" t="n"/>
      <c r="E206" s="107" t="n"/>
      <c r="F206" s="115" t="n"/>
      <c r="G206" s="108" t="n"/>
      <c r="H206" s="108" t="n"/>
      <c r="I206" s="108" t="n"/>
      <c r="J206" s="112">
        <f>IF($C206="","",IF(AND($D206&lt;&gt;"",$E206&lt;&gt;"",$D206&lt;&gt;$E206,$F206&gt;0),"UYGUN","HATA"))</f>
        <v/>
      </c>
      <c r="K206" s="6" t="n"/>
      <c r="L206" s="6" t="n"/>
    </row>
    <row r="207">
      <c r="A207" s="6" t="n"/>
      <c r="B207" s="112">
        <f>IF($C207="","","V"&amp;TEXT(ROW()-6,"00000"))</f>
        <v/>
      </c>
      <c r="C207" s="114" t="n"/>
      <c r="D207" s="107" t="n"/>
      <c r="E207" s="107" t="n"/>
      <c r="F207" s="115" t="n"/>
      <c r="G207" s="108" t="n"/>
      <c r="H207" s="108" t="n"/>
      <c r="I207" s="108" t="n"/>
      <c r="J207" s="112">
        <f>IF($C207="","",IF(AND($D207&lt;&gt;"",$E207&lt;&gt;"",$D207&lt;&gt;$E207,$F207&gt;0),"UYGUN","HATA"))</f>
        <v/>
      </c>
      <c r="K207" s="6" t="n"/>
      <c r="L207" s="6" t="n"/>
    </row>
    <row r="208">
      <c r="A208" s="6" t="n"/>
      <c r="B208" s="112">
        <f>IF($C208="","","V"&amp;TEXT(ROW()-6,"00000"))</f>
        <v/>
      </c>
      <c r="C208" s="114" t="n"/>
      <c r="D208" s="107" t="n"/>
      <c r="E208" s="107" t="n"/>
      <c r="F208" s="115" t="n"/>
      <c r="G208" s="108" t="n"/>
      <c r="H208" s="108" t="n"/>
      <c r="I208" s="108" t="n"/>
      <c r="J208" s="112">
        <f>IF($C208="","",IF(AND($D208&lt;&gt;"",$E208&lt;&gt;"",$D208&lt;&gt;$E208,$F208&gt;0),"UYGUN","HATA"))</f>
        <v/>
      </c>
      <c r="K208" s="6" t="n"/>
      <c r="L208" s="6" t="n"/>
    </row>
    <row r="209">
      <c r="A209" s="6" t="n"/>
      <c r="B209" s="112">
        <f>IF($C209="","","V"&amp;TEXT(ROW()-6,"00000"))</f>
        <v/>
      </c>
      <c r="C209" s="114" t="n"/>
      <c r="D209" s="107" t="n"/>
      <c r="E209" s="107" t="n"/>
      <c r="F209" s="115" t="n"/>
      <c r="G209" s="108" t="n"/>
      <c r="H209" s="108" t="n"/>
      <c r="I209" s="108" t="n"/>
      <c r="J209" s="112">
        <f>IF($C209="","",IF(AND($D209&lt;&gt;"",$E209&lt;&gt;"",$D209&lt;&gt;$E209,$F209&gt;0),"UYGUN","HATA"))</f>
        <v/>
      </c>
      <c r="K209" s="6" t="n"/>
      <c r="L209" s="6" t="n"/>
    </row>
    <row r="210">
      <c r="A210" s="6" t="n"/>
      <c r="B210" s="112">
        <f>IF($C210="","","V"&amp;TEXT(ROW()-6,"00000"))</f>
        <v/>
      </c>
      <c r="C210" s="114" t="n"/>
      <c r="D210" s="107" t="n"/>
      <c r="E210" s="107" t="n"/>
      <c r="F210" s="115" t="n"/>
      <c r="G210" s="108" t="n"/>
      <c r="H210" s="108" t="n"/>
      <c r="I210" s="108" t="n"/>
      <c r="J210" s="112">
        <f>IF($C210="","",IF(AND($D210&lt;&gt;"",$E210&lt;&gt;"",$D210&lt;&gt;$E210,$F210&gt;0),"UYGUN","HATA"))</f>
        <v/>
      </c>
      <c r="K210" s="6" t="n"/>
      <c r="L210" s="6" t="n"/>
    </row>
    <row r="211">
      <c r="A211" s="6" t="n"/>
      <c r="B211" s="112">
        <f>IF($C211="","","V"&amp;TEXT(ROW()-6,"00000"))</f>
        <v/>
      </c>
      <c r="C211" s="114" t="n"/>
      <c r="D211" s="107" t="n"/>
      <c r="E211" s="107" t="n"/>
      <c r="F211" s="115" t="n"/>
      <c r="G211" s="108" t="n"/>
      <c r="H211" s="108" t="n"/>
      <c r="I211" s="108" t="n"/>
      <c r="J211" s="112">
        <f>IF($C211="","",IF(AND($D211&lt;&gt;"",$E211&lt;&gt;"",$D211&lt;&gt;$E211,$F211&gt;0),"UYGUN","HATA"))</f>
        <v/>
      </c>
      <c r="K211" s="6" t="n"/>
      <c r="L211" s="6" t="n"/>
    </row>
    <row r="212">
      <c r="A212" s="6" t="n"/>
      <c r="B212" s="112">
        <f>IF($C212="","","V"&amp;TEXT(ROW()-6,"00000"))</f>
        <v/>
      </c>
      <c r="C212" s="114" t="n"/>
      <c r="D212" s="107" t="n"/>
      <c r="E212" s="107" t="n"/>
      <c r="F212" s="115" t="n"/>
      <c r="G212" s="108" t="n"/>
      <c r="H212" s="108" t="n"/>
      <c r="I212" s="108" t="n"/>
      <c r="J212" s="112">
        <f>IF($C212="","",IF(AND($D212&lt;&gt;"",$E212&lt;&gt;"",$D212&lt;&gt;$E212,$F212&gt;0),"UYGUN","HATA"))</f>
        <v/>
      </c>
      <c r="K212" s="6" t="n"/>
      <c r="L212" s="6" t="n"/>
    </row>
    <row r="213">
      <c r="A213" s="6" t="n"/>
      <c r="B213" s="112">
        <f>IF($C213="","","V"&amp;TEXT(ROW()-6,"00000"))</f>
        <v/>
      </c>
      <c r="C213" s="114" t="n"/>
      <c r="D213" s="107" t="n"/>
      <c r="E213" s="107" t="n"/>
      <c r="F213" s="115" t="n"/>
      <c r="G213" s="108" t="n"/>
      <c r="H213" s="108" t="n"/>
      <c r="I213" s="108" t="n"/>
      <c r="J213" s="112">
        <f>IF($C213="","",IF(AND($D213&lt;&gt;"",$E213&lt;&gt;"",$D213&lt;&gt;$E213,$F213&gt;0),"UYGUN","HATA"))</f>
        <v/>
      </c>
      <c r="K213" s="6" t="n"/>
      <c r="L213" s="6" t="n"/>
    </row>
    <row r="214">
      <c r="A214" s="6" t="n"/>
      <c r="B214" s="112">
        <f>IF($C214="","","V"&amp;TEXT(ROW()-6,"00000"))</f>
        <v/>
      </c>
      <c r="C214" s="114" t="n"/>
      <c r="D214" s="107" t="n"/>
      <c r="E214" s="107" t="n"/>
      <c r="F214" s="115" t="n"/>
      <c r="G214" s="108" t="n"/>
      <c r="H214" s="108" t="n"/>
      <c r="I214" s="108" t="n"/>
      <c r="J214" s="112">
        <f>IF($C214="","",IF(AND($D214&lt;&gt;"",$E214&lt;&gt;"",$D214&lt;&gt;$E214,$F214&gt;0),"UYGUN","HATA"))</f>
        <v/>
      </c>
      <c r="K214" s="6" t="n"/>
      <c r="L214" s="6" t="n"/>
    </row>
    <row r="215">
      <c r="A215" s="6" t="n"/>
      <c r="B215" s="112">
        <f>IF($C215="","","V"&amp;TEXT(ROW()-6,"00000"))</f>
        <v/>
      </c>
      <c r="C215" s="114" t="n"/>
      <c r="D215" s="107" t="n"/>
      <c r="E215" s="107" t="n"/>
      <c r="F215" s="115" t="n"/>
      <c r="G215" s="108" t="n"/>
      <c r="H215" s="108" t="n"/>
      <c r="I215" s="108" t="n"/>
      <c r="J215" s="112">
        <f>IF($C215="","",IF(AND($D215&lt;&gt;"",$E215&lt;&gt;"",$D215&lt;&gt;$E215,$F215&gt;0),"UYGUN","HATA"))</f>
        <v/>
      </c>
      <c r="K215" s="6" t="n"/>
      <c r="L215" s="6" t="n"/>
    </row>
    <row r="216">
      <c r="A216" s="6" t="n"/>
      <c r="B216" s="112">
        <f>IF($C216="","","V"&amp;TEXT(ROW()-6,"00000"))</f>
        <v/>
      </c>
      <c r="C216" s="114" t="n"/>
      <c r="D216" s="107" t="n"/>
      <c r="E216" s="107" t="n"/>
      <c r="F216" s="115" t="n"/>
      <c r="G216" s="108" t="n"/>
      <c r="H216" s="108" t="n"/>
      <c r="I216" s="108" t="n"/>
      <c r="J216" s="112">
        <f>IF($C216="","",IF(AND($D216&lt;&gt;"",$E216&lt;&gt;"",$D216&lt;&gt;$E216,$F216&gt;0),"UYGUN","HATA"))</f>
        <v/>
      </c>
      <c r="K216" s="6" t="n"/>
      <c r="L216" s="6" t="n"/>
    </row>
    <row r="217">
      <c r="A217" s="6" t="n"/>
      <c r="B217" s="112">
        <f>IF($C217="","","V"&amp;TEXT(ROW()-6,"00000"))</f>
        <v/>
      </c>
      <c r="C217" s="114" t="n"/>
      <c r="D217" s="107" t="n"/>
      <c r="E217" s="107" t="n"/>
      <c r="F217" s="115" t="n"/>
      <c r="G217" s="108" t="n"/>
      <c r="H217" s="108" t="n"/>
      <c r="I217" s="108" t="n"/>
      <c r="J217" s="112">
        <f>IF($C217="","",IF(AND($D217&lt;&gt;"",$E217&lt;&gt;"",$D217&lt;&gt;$E217,$F217&gt;0),"UYGUN","HATA"))</f>
        <v/>
      </c>
      <c r="K217" s="6" t="n"/>
      <c r="L217" s="6" t="n"/>
    </row>
    <row r="218">
      <c r="A218" s="6" t="n"/>
      <c r="B218" s="112">
        <f>IF($C218="","","V"&amp;TEXT(ROW()-6,"00000"))</f>
        <v/>
      </c>
      <c r="C218" s="114" t="n"/>
      <c r="D218" s="107" t="n"/>
      <c r="E218" s="107" t="n"/>
      <c r="F218" s="115" t="n"/>
      <c r="G218" s="108" t="n"/>
      <c r="H218" s="108" t="n"/>
      <c r="I218" s="108" t="n"/>
      <c r="J218" s="112">
        <f>IF($C218="","",IF(AND($D218&lt;&gt;"",$E218&lt;&gt;"",$D218&lt;&gt;$E218,$F218&gt;0),"UYGUN","HATA"))</f>
        <v/>
      </c>
      <c r="K218" s="6" t="n"/>
      <c r="L218" s="6" t="n"/>
    </row>
    <row r="219">
      <c r="A219" s="6" t="n"/>
      <c r="B219" s="112">
        <f>IF($C219="","","V"&amp;TEXT(ROW()-6,"00000"))</f>
        <v/>
      </c>
      <c r="C219" s="114" t="n"/>
      <c r="D219" s="107" t="n"/>
      <c r="E219" s="107" t="n"/>
      <c r="F219" s="115" t="n"/>
      <c r="G219" s="108" t="n"/>
      <c r="H219" s="108" t="n"/>
      <c r="I219" s="108" t="n"/>
      <c r="J219" s="112">
        <f>IF($C219="","",IF(AND($D219&lt;&gt;"",$E219&lt;&gt;"",$D219&lt;&gt;$E219,$F219&gt;0),"UYGUN","HATA"))</f>
        <v/>
      </c>
      <c r="K219" s="6" t="n"/>
      <c r="L219" s="6" t="n"/>
    </row>
    <row r="220">
      <c r="A220" s="6" t="n"/>
      <c r="B220" s="112">
        <f>IF($C220="","","V"&amp;TEXT(ROW()-6,"00000"))</f>
        <v/>
      </c>
      <c r="C220" s="114" t="n"/>
      <c r="D220" s="107" t="n"/>
      <c r="E220" s="107" t="n"/>
      <c r="F220" s="115" t="n"/>
      <c r="G220" s="108" t="n"/>
      <c r="H220" s="108" t="n"/>
      <c r="I220" s="108" t="n"/>
      <c r="J220" s="112">
        <f>IF($C220="","",IF(AND($D220&lt;&gt;"",$E220&lt;&gt;"",$D220&lt;&gt;$E220,$F220&gt;0),"UYGUN","HATA"))</f>
        <v/>
      </c>
      <c r="K220" s="6" t="n"/>
      <c r="L220" s="6" t="n"/>
    </row>
    <row r="221">
      <c r="A221" s="6" t="n"/>
      <c r="B221" s="112">
        <f>IF($C221="","","V"&amp;TEXT(ROW()-6,"00000"))</f>
        <v/>
      </c>
      <c r="C221" s="114" t="n"/>
      <c r="D221" s="107" t="n"/>
      <c r="E221" s="107" t="n"/>
      <c r="F221" s="115" t="n"/>
      <c r="G221" s="108" t="n"/>
      <c r="H221" s="108" t="n"/>
      <c r="I221" s="108" t="n"/>
      <c r="J221" s="112">
        <f>IF($C221="","",IF(AND($D221&lt;&gt;"",$E221&lt;&gt;"",$D221&lt;&gt;$E221,$F221&gt;0),"UYGUN","HATA"))</f>
        <v/>
      </c>
      <c r="K221" s="6" t="n"/>
      <c r="L221" s="6" t="n"/>
    </row>
    <row r="222">
      <c r="A222" s="6" t="n"/>
      <c r="B222" s="112">
        <f>IF($C222="","","V"&amp;TEXT(ROW()-6,"00000"))</f>
        <v/>
      </c>
      <c r="C222" s="114" t="n"/>
      <c r="D222" s="107" t="n"/>
      <c r="E222" s="107" t="n"/>
      <c r="F222" s="115" t="n"/>
      <c r="G222" s="108" t="n"/>
      <c r="H222" s="108" t="n"/>
      <c r="I222" s="108" t="n"/>
      <c r="J222" s="112">
        <f>IF($C222="","",IF(AND($D222&lt;&gt;"",$E222&lt;&gt;"",$D222&lt;&gt;$E222,$F222&gt;0),"UYGUN","HATA"))</f>
        <v/>
      </c>
      <c r="K222" s="6" t="n"/>
      <c r="L222" s="6" t="n"/>
    </row>
    <row r="223">
      <c r="A223" s="6" t="n"/>
      <c r="B223" s="112">
        <f>IF($C223="","","V"&amp;TEXT(ROW()-6,"00000"))</f>
        <v/>
      </c>
      <c r="C223" s="114" t="n"/>
      <c r="D223" s="107" t="n"/>
      <c r="E223" s="107" t="n"/>
      <c r="F223" s="115" t="n"/>
      <c r="G223" s="108" t="n"/>
      <c r="H223" s="108" t="n"/>
      <c r="I223" s="108" t="n"/>
      <c r="J223" s="112">
        <f>IF($C223="","",IF(AND($D223&lt;&gt;"",$E223&lt;&gt;"",$D223&lt;&gt;$E223,$F223&gt;0),"UYGUN","HATA"))</f>
        <v/>
      </c>
      <c r="K223" s="6" t="n"/>
      <c r="L223" s="6" t="n"/>
    </row>
    <row r="224">
      <c r="A224" s="6" t="n"/>
      <c r="B224" s="112">
        <f>IF($C224="","","V"&amp;TEXT(ROW()-6,"00000"))</f>
        <v/>
      </c>
      <c r="C224" s="114" t="n"/>
      <c r="D224" s="107" t="n"/>
      <c r="E224" s="107" t="n"/>
      <c r="F224" s="115" t="n"/>
      <c r="G224" s="108" t="n"/>
      <c r="H224" s="108" t="n"/>
      <c r="I224" s="108" t="n"/>
      <c r="J224" s="112">
        <f>IF($C224="","",IF(AND($D224&lt;&gt;"",$E224&lt;&gt;"",$D224&lt;&gt;$E224,$F224&gt;0),"UYGUN","HATA"))</f>
        <v/>
      </c>
      <c r="K224" s="6" t="n"/>
      <c r="L224" s="6" t="n"/>
    </row>
    <row r="225">
      <c r="A225" s="6" t="n"/>
      <c r="B225" s="112">
        <f>IF($C225="","","V"&amp;TEXT(ROW()-6,"00000"))</f>
        <v/>
      </c>
      <c r="C225" s="114" t="n"/>
      <c r="D225" s="107" t="n"/>
      <c r="E225" s="107" t="n"/>
      <c r="F225" s="115" t="n"/>
      <c r="G225" s="108" t="n"/>
      <c r="H225" s="108" t="n"/>
      <c r="I225" s="108" t="n"/>
      <c r="J225" s="112">
        <f>IF($C225="","",IF(AND($D225&lt;&gt;"",$E225&lt;&gt;"",$D225&lt;&gt;$E225,$F225&gt;0),"UYGUN","HATA"))</f>
        <v/>
      </c>
      <c r="K225" s="6" t="n"/>
      <c r="L225" s="6" t="n"/>
    </row>
    <row r="226">
      <c r="A226" s="6" t="n"/>
      <c r="B226" s="112">
        <f>IF($C226="","","V"&amp;TEXT(ROW()-6,"00000"))</f>
        <v/>
      </c>
      <c r="C226" s="114" t="n"/>
      <c r="D226" s="107" t="n"/>
      <c r="E226" s="107" t="n"/>
      <c r="F226" s="115" t="n"/>
      <c r="G226" s="108" t="n"/>
      <c r="H226" s="108" t="n"/>
      <c r="I226" s="108" t="n"/>
      <c r="J226" s="112">
        <f>IF($C226="","",IF(AND($D226&lt;&gt;"",$E226&lt;&gt;"",$D226&lt;&gt;$E226,$F226&gt;0),"UYGUN","HATA"))</f>
        <v/>
      </c>
      <c r="K226" s="6" t="n"/>
      <c r="L226" s="6" t="n"/>
    </row>
    <row r="227">
      <c r="A227" s="6" t="n"/>
      <c r="B227" s="112">
        <f>IF($C227="","","V"&amp;TEXT(ROW()-6,"00000"))</f>
        <v/>
      </c>
      <c r="C227" s="114" t="n"/>
      <c r="D227" s="107" t="n"/>
      <c r="E227" s="107" t="n"/>
      <c r="F227" s="115" t="n"/>
      <c r="G227" s="108" t="n"/>
      <c r="H227" s="108" t="n"/>
      <c r="I227" s="108" t="n"/>
      <c r="J227" s="112">
        <f>IF($C227="","",IF(AND($D227&lt;&gt;"",$E227&lt;&gt;"",$D227&lt;&gt;$E227,$F227&gt;0),"UYGUN","HATA"))</f>
        <v/>
      </c>
      <c r="K227" s="6" t="n"/>
      <c r="L227" s="6" t="n"/>
    </row>
    <row r="228">
      <c r="A228" s="6" t="n"/>
      <c r="B228" s="112">
        <f>IF($C228="","","V"&amp;TEXT(ROW()-6,"00000"))</f>
        <v/>
      </c>
      <c r="C228" s="114" t="n"/>
      <c r="D228" s="107" t="n"/>
      <c r="E228" s="107" t="n"/>
      <c r="F228" s="115" t="n"/>
      <c r="G228" s="108" t="n"/>
      <c r="H228" s="108" t="n"/>
      <c r="I228" s="108" t="n"/>
      <c r="J228" s="112">
        <f>IF($C228="","",IF(AND($D228&lt;&gt;"",$E228&lt;&gt;"",$D228&lt;&gt;$E228,$F228&gt;0),"UYGUN","HATA"))</f>
        <v/>
      </c>
      <c r="K228" s="6" t="n"/>
      <c r="L228" s="6" t="n"/>
    </row>
    <row r="229">
      <c r="A229" s="6" t="n"/>
      <c r="B229" s="112">
        <f>IF($C229="","","V"&amp;TEXT(ROW()-6,"00000"))</f>
        <v/>
      </c>
      <c r="C229" s="114" t="n"/>
      <c r="D229" s="107" t="n"/>
      <c r="E229" s="107" t="n"/>
      <c r="F229" s="115" t="n"/>
      <c r="G229" s="108" t="n"/>
      <c r="H229" s="108" t="n"/>
      <c r="I229" s="108" t="n"/>
      <c r="J229" s="112">
        <f>IF($C229="","",IF(AND($D229&lt;&gt;"",$E229&lt;&gt;"",$D229&lt;&gt;$E229,$F229&gt;0),"UYGUN","HATA"))</f>
        <v/>
      </c>
      <c r="K229" s="6" t="n"/>
      <c r="L229" s="6" t="n"/>
    </row>
    <row r="230">
      <c r="A230" s="6" t="n"/>
      <c r="B230" s="112">
        <f>IF($C230="","","V"&amp;TEXT(ROW()-6,"00000"))</f>
        <v/>
      </c>
      <c r="C230" s="114" t="n"/>
      <c r="D230" s="107" t="n"/>
      <c r="E230" s="107" t="n"/>
      <c r="F230" s="115" t="n"/>
      <c r="G230" s="108" t="n"/>
      <c r="H230" s="108" t="n"/>
      <c r="I230" s="108" t="n"/>
      <c r="J230" s="112">
        <f>IF($C230="","",IF(AND($D230&lt;&gt;"",$E230&lt;&gt;"",$D230&lt;&gt;$E230,$F230&gt;0),"UYGUN","HATA"))</f>
        <v/>
      </c>
      <c r="K230" s="6" t="n"/>
      <c r="L230" s="6" t="n"/>
    </row>
    <row r="231">
      <c r="A231" s="6" t="n"/>
      <c r="B231" s="112">
        <f>IF($C231="","","V"&amp;TEXT(ROW()-6,"00000"))</f>
        <v/>
      </c>
      <c r="C231" s="114" t="n"/>
      <c r="D231" s="107" t="n"/>
      <c r="E231" s="107" t="n"/>
      <c r="F231" s="115" t="n"/>
      <c r="G231" s="108" t="n"/>
      <c r="H231" s="108" t="n"/>
      <c r="I231" s="108" t="n"/>
      <c r="J231" s="112">
        <f>IF($C231="","",IF(AND($D231&lt;&gt;"",$E231&lt;&gt;"",$D231&lt;&gt;$E231,$F231&gt;0),"UYGUN","HATA"))</f>
        <v/>
      </c>
      <c r="K231" s="6" t="n"/>
      <c r="L231" s="6" t="n"/>
    </row>
    <row r="232">
      <c r="A232" s="6" t="n"/>
      <c r="B232" s="112">
        <f>IF($C232="","","V"&amp;TEXT(ROW()-6,"00000"))</f>
        <v/>
      </c>
      <c r="C232" s="114" t="n"/>
      <c r="D232" s="107" t="n"/>
      <c r="E232" s="107" t="n"/>
      <c r="F232" s="115" t="n"/>
      <c r="G232" s="108" t="n"/>
      <c r="H232" s="108" t="n"/>
      <c r="I232" s="108" t="n"/>
      <c r="J232" s="112">
        <f>IF($C232="","",IF(AND($D232&lt;&gt;"",$E232&lt;&gt;"",$D232&lt;&gt;$E232,$F232&gt;0),"UYGUN","HATA"))</f>
        <v/>
      </c>
      <c r="K232" s="6" t="n"/>
      <c r="L232" s="6" t="n"/>
    </row>
    <row r="233">
      <c r="A233" s="6" t="n"/>
      <c r="B233" s="112">
        <f>IF($C233="","","V"&amp;TEXT(ROW()-6,"00000"))</f>
        <v/>
      </c>
      <c r="C233" s="114" t="n"/>
      <c r="D233" s="107" t="n"/>
      <c r="E233" s="107" t="n"/>
      <c r="F233" s="115" t="n"/>
      <c r="G233" s="108" t="n"/>
      <c r="H233" s="108" t="n"/>
      <c r="I233" s="108" t="n"/>
      <c r="J233" s="112">
        <f>IF($C233="","",IF(AND($D233&lt;&gt;"",$E233&lt;&gt;"",$D233&lt;&gt;$E233,$F233&gt;0),"UYGUN","HATA"))</f>
        <v/>
      </c>
      <c r="K233" s="6" t="n"/>
      <c r="L233" s="6" t="n"/>
    </row>
    <row r="234">
      <c r="A234" s="6" t="n"/>
      <c r="B234" s="112">
        <f>IF($C234="","","V"&amp;TEXT(ROW()-6,"00000"))</f>
        <v/>
      </c>
      <c r="C234" s="114" t="n"/>
      <c r="D234" s="107" t="n"/>
      <c r="E234" s="107" t="n"/>
      <c r="F234" s="115" t="n"/>
      <c r="G234" s="108" t="n"/>
      <c r="H234" s="108" t="n"/>
      <c r="I234" s="108" t="n"/>
      <c r="J234" s="112">
        <f>IF($C234="","",IF(AND($D234&lt;&gt;"",$E234&lt;&gt;"",$D234&lt;&gt;$E234,$F234&gt;0),"UYGUN","HATA"))</f>
        <v/>
      </c>
      <c r="K234" s="6" t="n"/>
      <c r="L234" s="6" t="n"/>
    </row>
    <row r="235">
      <c r="A235" s="6" t="n"/>
      <c r="B235" s="112">
        <f>IF($C235="","","V"&amp;TEXT(ROW()-6,"00000"))</f>
        <v/>
      </c>
      <c r="C235" s="114" t="n"/>
      <c r="D235" s="107" t="n"/>
      <c r="E235" s="107" t="n"/>
      <c r="F235" s="115" t="n"/>
      <c r="G235" s="108" t="n"/>
      <c r="H235" s="108" t="n"/>
      <c r="I235" s="108" t="n"/>
      <c r="J235" s="112">
        <f>IF($C235="","",IF(AND($D235&lt;&gt;"",$E235&lt;&gt;"",$D235&lt;&gt;$E235,$F235&gt;0),"UYGUN","HATA"))</f>
        <v/>
      </c>
      <c r="K235" s="6" t="n"/>
      <c r="L235" s="6" t="n"/>
    </row>
    <row r="236">
      <c r="A236" s="6" t="n"/>
      <c r="B236" s="112">
        <f>IF($C236="","","V"&amp;TEXT(ROW()-6,"00000"))</f>
        <v/>
      </c>
      <c r="C236" s="114" t="n"/>
      <c r="D236" s="107" t="n"/>
      <c r="E236" s="107" t="n"/>
      <c r="F236" s="115" t="n"/>
      <c r="G236" s="108" t="n"/>
      <c r="H236" s="108" t="n"/>
      <c r="I236" s="108" t="n"/>
      <c r="J236" s="112">
        <f>IF($C236="","",IF(AND($D236&lt;&gt;"",$E236&lt;&gt;"",$D236&lt;&gt;$E236,$F236&gt;0),"UYGUN","HATA"))</f>
        <v/>
      </c>
      <c r="K236" s="6" t="n"/>
      <c r="L236" s="6" t="n"/>
    </row>
    <row r="237">
      <c r="A237" s="6" t="n"/>
      <c r="B237" s="112">
        <f>IF($C237="","","V"&amp;TEXT(ROW()-6,"00000"))</f>
        <v/>
      </c>
      <c r="C237" s="114" t="n"/>
      <c r="D237" s="107" t="n"/>
      <c r="E237" s="107" t="n"/>
      <c r="F237" s="115" t="n"/>
      <c r="G237" s="108" t="n"/>
      <c r="H237" s="108" t="n"/>
      <c r="I237" s="108" t="n"/>
      <c r="J237" s="112">
        <f>IF($C237="","",IF(AND($D237&lt;&gt;"",$E237&lt;&gt;"",$D237&lt;&gt;$E237,$F237&gt;0),"UYGUN","HATA"))</f>
        <v/>
      </c>
      <c r="K237" s="6" t="n"/>
      <c r="L237" s="6" t="n"/>
    </row>
    <row r="238">
      <c r="A238" s="6" t="n"/>
      <c r="B238" s="112">
        <f>IF($C238="","","V"&amp;TEXT(ROW()-6,"00000"))</f>
        <v/>
      </c>
      <c r="C238" s="114" t="n"/>
      <c r="D238" s="107" t="n"/>
      <c r="E238" s="107" t="n"/>
      <c r="F238" s="115" t="n"/>
      <c r="G238" s="108" t="n"/>
      <c r="H238" s="108" t="n"/>
      <c r="I238" s="108" t="n"/>
      <c r="J238" s="112">
        <f>IF($C238="","",IF(AND($D238&lt;&gt;"",$E238&lt;&gt;"",$D238&lt;&gt;$E238,$F238&gt;0),"UYGUN","HATA"))</f>
        <v/>
      </c>
      <c r="K238" s="6" t="n"/>
      <c r="L238" s="6" t="n"/>
    </row>
    <row r="239">
      <c r="A239" s="6" t="n"/>
      <c r="B239" s="112">
        <f>IF($C239="","","V"&amp;TEXT(ROW()-6,"00000"))</f>
        <v/>
      </c>
      <c r="C239" s="114" t="n"/>
      <c r="D239" s="107" t="n"/>
      <c r="E239" s="107" t="n"/>
      <c r="F239" s="115" t="n"/>
      <c r="G239" s="108" t="n"/>
      <c r="H239" s="108" t="n"/>
      <c r="I239" s="108" t="n"/>
      <c r="J239" s="112">
        <f>IF($C239="","",IF(AND($D239&lt;&gt;"",$E239&lt;&gt;"",$D239&lt;&gt;$E239,$F239&gt;0),"UYGUN","HATA"))</f>
        <v/>
      </c>
      <c r="K239" s="6" t="n"/>
      <c r="L239" s="6" t="n"/>
    </row>
    <row r="240">
      <c r="A240" s="6" t="n"/>
      <c r="B240" s="112">
        <f>IF($C240="","","V"&amp;TEXT(ROW()-6,"00000"))</f>
        <v/>
      </c>
      <c r="C240" s="114" t="n"/>
      <c r="D240" s="107" t="n"/>
      <c r="E240" s="107" t="n"/>
      <c r="F240" s="115" t="n"/>
      <c r="G240" s="108" t="n"/>
      <c r="H240" s="108" t="n"/>
      <c r="I240" s="108" t="n"/>
      <c r="J240" s="112">
        <f>IF($C240="","",IF(AND($D240&lt;&gt;"",$E240&lt;&gt;"",$D240&lt;&gt;$E240,$F240&gt;0),"UYGUN","HATA"))</f>
        <v/>
      </c>
      <c r="K240" s="6" t="n"/>
      <c r="L240" s="6" t="n"/>
    </row>
    <row r="241">
      <c r="A241" s="6" t="n"/>
      <c r="B241" s="112">
        <f>IF($C241="","","V"&amp;TEXT(ROW()-6,"00000"))</f>
        <v/>
      </c>
      <c r="C241" s="114" t="n"/>
      <c r="D241" s="107" t="n"/>
      <c r="E241" s="107" t="n"/>
      <c r="F241" s="115" t="n"/>
      <c r="G241" s="108" t="n"/>
      <c r="H241" s="108" t="n"/>
      <c r="I241" s="108" t="n"/>
      <c r="J241" s="112">
        <f>IF($C241="","",IF(AND($D241&lt;&gt;"",$E241&lt;&gt;"",$D241&lt;&gt;$E241,$F241&gt;0),"UYGUN","HATA"))</f>
        <v/>
      </c>
      <c r="K241" s="6" t="n"/>
      <c r="L241" s="6" t="n"/>
    </row>
    <row r="242">
      <c r="A242" s="6" t="n"/>
      <c r="B242" s="112">
        <f>IF($C242="","","V"&amp;TEXT(ROW()-6,"00000"))</f>
        <v/>
      </c>
      <c r="C242" s="114" t="n"/>
      <c r="D242" s="107" t="n"/>
      <c r="E242" s="107" t="n"/>
      <c r="F242" s="115" t="n"/>
      <c r="G242" s="108" t="n"/>
      <c r="H242" s="108" t="n"/>
      <c r="I242" s="108" t="n"/>
      <c r="J242" s="112">
        <f>IF($C242="","",IF(AND($D242&lt;&gt;"",$E242&lt;&gt;"",$D242&lt;&gt;$E242,$F242&gt;0),"UYGUN","HATA"))</f>
        <v/>
      </c>
      <c r="K242" s="6" t="n"/>
      <c r="L242" s="6" t="n"/>
    </row>
    <row r="243">
      <c r="A243" s="6" t="n"/>
      <c r="B243" s="112">
        <f>IF($C243="","","V"&amp;TEXT(ROW()-6,"00000"))</f>
        <v/>
      </c>
      <c r="C243" s="114" t="n"/>
      <c r="D243" s="107" t="n"/>
      <c r="E243" s="107" t="n"/>
      <c r="F243" s="115" t="n"/>
      <c r="G243" s="108" t="n"/>
      <c r="H243" s="108" t="n"/>
      <c r="I243" s="108" t="n"/>
      <c r="J243" s="112">
        <f>IF($C243="","",IF(AND($D243&lt;&gt;"",$E243&lt;&gt;"",$D243&lt;&gt;$E243,$F243&gt;0),"UYGUN","HATA"))</f>
        <v/>
      </c>
      <c r="K243" s="6" t="n"/>
      <c r="L243" s="6" t="n"/>
    </row>
    <row r="244">
      <c r="A244" s="6" t="n"/>
      <c r="B244" s="112">
        <f>IF($C244="","","V"&amp;TEXT(ROW()-6,"00000"))</f>
        <v/>
      </c>
      <c r="C244" s="114" t="n"/>
      <c r="D244" s="107" t="n"/>
      <c r="E244" s="107" t="n"/>
      <c r="F244" s="115" t="n"/>
      <c r="G244" s="108" t="n"/>
      <c r="H244" s="108" t="n"/>
      <c r="I244" s="108" t="n"/>
      <c r="J244" s="112">
        <f>IF($C244="","",IF(AND($D244&lt;&gt;"",$E244&lt;&gt;"",$D244&lt;&gt;$E244,$F244&gt;0),"UYGUN","HATA"))</f>
        <v/>
      </c>
      <c r="K244" s="6" t="n"/>
      <c r="L244" s="6" t="n"/>
    </row>
    <row r="245">
      <c r="A245" s="6" t="n"/>
      <c r="B245" s="112">
        <f>IF($C245="","","V"&amp;TEXT(ROW()-6,"00000"))</f>
        <v/>
      </c>
      <c r="C245" s="114" t="n"/>
      <c r="D245" s="107" t="n"/>
      <c r="E245" s="107" t="n"/>
      <c r="F245" s="115" t="n"/>
      <c r="G245" s="108" t="n"/>
      <c r="H245" s="108" t="n"/>
      <c r="I245" s="108" t="n"/>
      <c r="J245" s="112">
        <f>IF($C245="","",IF(AND($D245&lt;&gt;"",$E245&lt;&gt;"",$D245&lt;&gt;$E245,$F245&gt;0),"UYGUN","HATA"))</f>
        <v/>
      </c>
      <c r="K245" s="6" t="n"/>
      <c r="L245" s="6" t="n"/>
    </row>
    <row r="246">
      <c r="A246" s="6" t="n"/>
      <c r="B246" s="112">
        <f>IF($C246="","","V"&amp;TEXT(ROW()-6,"00000"))</f>
        <v/>
      </c>
      <c r="C246" s="114" t="n"/>
      <c r="D246" s="107" t="n"/>
      <c r="E246" s="107" t="n"/>
      <c r="F246" s="115" t="n"/>
      <c r="G246" s="108" t="n"/>
      <c r="H246" s="108" t="n"/>
      <c r="I246" s="108" t="n"/>
      <c r="J246" s="112">
        <f>IF($C246="","",IF(AND($D246&lt;&gt;"",$E246&lt;&gt;"",$D246&lt;&gt;$E246,$F246&gt;0),"UYGUN","HATA"))</f>
        <v/>
      </c>
      <c r="K246" s="6" t="n"/>
      <c r="L246" s="6" t="n"/>
    </row>
    <row r="247">
      <c r="A247" s="6" t="n"/>
      <c r="B247" s="112">
        <f>IF($C247="","","V"&amp;TEXT(ROW()-6,"00000"))</f>
        <v/>
      </c>
      <c r="C247" s="114" t="n"/>
      <c r="D247" s="107" t="n"/>
      <c r="E247" s="107" t="n"/>
      <c r="F247" s="115" t="n"/>
      <c r="G247" s="108" t="n"/>
      <c r="H247" s="108" t="n"/>
      <c r="I247" s="108" t="n"/>
      <c r="J247" s="112">
        <f>IF($C247="","",IF(AND($D247&lt;&gt;"",$E247&lt;&gt;"",$D247&lt;&gt;$E247,$F247&gt;0),"UYGUN","HATA"))</f>
        <v/>
      </c>
      <c r="K247" s="6" t="n"/>
      <c r="L247" s="6" t="n"/>
    </row>
    <row r="248">
      <c r="A248" s="6" t="n"/>
      <c r="B248" s="112">
        <f>IF($C248="","","V"&amp;TEXT(ROW()-6,"00000"))</f>
        <v/>
      </c>
      <c r="C248" s="114" t="n"/>
      <c r="D248" s="107" t="n"/>
      <c r="E248" s="107" t="n"/>
      <c r="F248" s="115" t="n"/>
      <c r="G248" s="108" t="n"/>
      <c r="H248" s="108" t="n"/>
      <c r="I248" s="108" t="n"/>
      <c r="J248" s="112">
        <f>IF($C248="","",IF(AND($D248&lt;&gt;"",$E248&lt;&gt;"",$D248&lt;&gt;$E248,$F248&gt;0),"UYGUN","HATA"))</f>
        <v/>
      </c>
      <c r="K248" s="6" t="n"/>
      <c r="L248" s="6" t="n"/>
    </row>
    <row r="249">
      <c r="A249" s="6" t="n"/>
      <c r="B249" s="112">
        <f>IF($C249="","","V"&amp;TEXT(ROW()-6,"00000"))</f>
        <v/>
      </c>
      <c r="C249" s="114" t="n"/>
      <c r="D249" s="107" t="n"/>
      <c r="E249" s="107" t="n"/>
      <c r="F249" s="115" t="n"/>
      <c r="G249" s="108" t="n"/>
      <c r="H249" s="108" t="n"/>
      <c r="I249" s="108" t="n"/>
      <c r="J249" s="112">
        <f>IF($C249="","",IF(AND($D249&lt;&gt;"",$E249&lt;&gt;"",$D249&lt;&gt;$E249,$F249&gt;0),"UYGUN","HATA"))</f>
        <v/>
      </c>
      <c r="K249" s="6" t="n"/>
      <c r="L249" s="6" t="n"/>
    </row>
    <row r="250">
      <c r="A250" s="6" t="n"/>
      <c r="B250" s="112">
        <f>IF($C250="","","V"&amp;TEXT(ROW()-6,"00000"))</f>
        <v/>
      </c>
      <c r="C250" s="114" t="n"/>
      <c r="D250" s="107" t="n"/>
      <c r="E250" s="107" t="n"/>
      <c r="F250" s="115" t="n"/>
      <c r="G250" s="108" t="n"/>
      <c r="H250" s="108" t="n"/>
      <c r="I250" s="108" t="n"/>
      <c r="J250" s="112">
        <f>IF($C250="","",IF(AND($D250&lt;&gt;"",$E250&lt;&gt;"",$D250&lt;&gt;$E250,$F250&gt;0),"UYGUN","HATA"))</f>
        <v/>
      </c>
      <c r="K250" s="6" t="n"/>
      <c r="L250" s="6" t="n"/>
    </row>
    <row r="251">
      <c r="A251" s="6" t="n"/>
      <c r="B251" s="112">
        <f>IF($C251="","","V"&amp;TEXT(ROW()-6,"00000"))</f>
        <v/>
      </c>
      <c r="C251" s="114" t="n"/>
      <c r="D251" s="107" t="n"/>
      <c r="E251" s="107" t="n"/>
      <c r="F251" s="115" t="n"/>
      <c r="G251" s="108" t="n"/>
      <c r="H251" s="108" t="n"/>
      <c r="I251" s="108" t="n"/>
      <c r="J251" s="112">
        <f>IF($C251="","",IF(AND($D251&lt;&gt;"",$E251&lt;&gt;"",$D251&lt;&gt;$E251,$F251&gt;0),"UYGUN","HATA"))</f>
        <v/>
      </c>
      <c r="K251" s="6" t="n"/>
      <c r="L251" s="6" t="n"/>
    </row>
    <row r="252">
      <c r="A252" s="6" t="n"/>
      <c r="B252" s="112">
        <f>IF($C252="","","V"&amp;TEXT(ROW()-6,"00000"))</f>
        <v/>
      </c>
      <c r="C252" s="114" t="n"/>
      <c r="D252" s="107" t="n"/>
      <c r="E252" s="107" t="n"/>
      <c r="F252" s="115" t="n"/>
      <c r="G252" s="108" t="n"/>
      <c r="H252" s="108" t="n"/>
      <c r="I252" s="108" t="n"/>
      <c r="J252" s="112">
        <f>IF($C252="","",IF(AND($D252&lt;&gt;"",$E252&lt;&gt;"",$D252&lt;&gt;$E252,$F252&gt;0),"UYGUN","HATA"))</f>
        <v/>
      </c>
      <c r="K252" s="6" t="n"/>
      <c r="L252" s="6" t="n"/>
    </row>
    <row r="253">
      <c r="A253" s="6" t="n"/>
      <c r="B253" s="112">
        <f>IF($C253="","","V"&amp;TEXT(ROW()-6,"00000"))</f>
        <v/>
      </c>
      <c r="C253" s="114" t="n"/>
      <c r="D253" s="107" t="n"/>
      <c r="E253" s="107" t="n"/>
      <c r="F253" s="115" t="n"/>
      <c r="G253" s="108" t="n"/>
      <c r="H253" s="108" t="n"/>
      <c r="I253" s="108" t="n"/>
      <c r="J253" s="112">
        <f>IF($C253="","",IF(AND($D253&lt;&gt;"",$E253&lt;&gt;"",$D253&lt;&gt;$E253,$F253&gt;0),"UYGUN","HATA"))</f>
        <v/>
      </c>
      <c r="K253" s="6" t="n"/>
      <c r="L253" s="6" t="n"/>
    </row>
    <row r="254">
      <c r="A254" s="6" t="n"/>
      <c r="B254" s="112">
        <f>IF($C254="","","V"&amp;TEXT(ROW()-6,"00000"))</f>
        <v/>
      </c>
      <c r="C254" s="114" t="n"/>
      <c r="D254" s="107" t="n"/>
      <c r="E254" s="107" t="n"/>
      <c r="F254" s="115" t="n"/>
      <c r="G254" s="108" t="n"/>
      <c r="H254" s="108" t="n"/>
      <c r="I254" s="108" t="n"/>
      <c r="J254" s="112">
        <f>IF($C254="","",IF(AND($D254&lt;&gt;"",$E254&lt;&gt;"",$D254&lt;&gt;$E254,$F254&gt;0),"UYGUN","HATA"))</f>
        <v/>
      </c>
      <c r="K254" s="6" t="n"/>
      <c r="L254" s="6" t="n"/>
    </row>
    <row r="255">
      <c r="A255" s="6" t="n"/>
      <c r="B255" s="112">
        <f>IF($C255="","","V"&amp;TEXT(ROW()-6,"00000"))</f>
        <v/>
      </c>
      <c r="C255" s="114" t="n"/>
      <c r="D255" s="107" t="n"/>
      <c r="E255" s="107" t="n"/>
      <c r="F255" s="115" t="n"/>
      <c r="G255" s="108" t="n"/>
      <c r="H255" s="108" t="n"/>
      <c r="I255" s="108" t="n"/>
      <c r="J255" s="112">
        <f>IF($C255="","",IF(AND($D255&lt;&gt;"",$E255&lt;&gt;"",$D255&lt;&gt;$E255,$F255&gt;0),"UYGUN","HATA"))</f>
        <v/>
      </c>
      <c r="K255" s="6" t="n"/>
      <c r="L255" s="6" t="n"/>
    </row>
    <row r="256">
      <c r="A256" s="6" t="n"/>
      <c r="B256" s="112">
        <f>IF($C256="","","V"&amp;TEXT(ROW()-6,"00000"))</f>
        <v/>
      </c>
      <c r="C256" s="114" t="n"/>
      <c r="D256" s="107" t="n"/>
      <c r="E256" s="107" t="n"/>
      <c r="F256" s="115" t="n"/>
      <c r="G256" s="108" t="n"/>
      <c r="H256" s="108" t="n"/>
      <c r="I256" s="108" t="n"/>
      <c r="J256" s="112">
        <f>IF($C256="","",IF(AND($D256&lt;&gt;"",$E256&lt;&gt;"",$D256&lt;&gt;$E256,$F256&gt;0),"UYGUN","HATA"))</f>
        <v/>
      </c>
      <c r="K256" s="6" t="n"/>
      <c r="L256" s="6" t="n"/>
    </row>
    <row r="257">
      <c r="A257" s="6" t="n"/>
      <c r="B257" s="112">
        <f>IF($C257="","","V"&amp;TEXT(ROW()-6,"00000"))</f>
        <v/>
      </c>
      <c r="C257" s="114" t="n"/>
      <c r="D257" s="107" t="n"/>
      <c r="E257" s="107" t="n"/>
      <c r="F257" s="115" t="n"/>
      <c r="G257" s="108" t="n"/>
      <c r="H257" s="108" t="n"/>
      <c r="I257" s="108" t="n"/>
      <c r="J257" s="112">
        <f>IF($C257="","",IF(AND($D257&lt;&gt;"",$E257&lt;&gt;"",$D257&lt;&gt;$E257,$F257&gt;0),"UYGUN","HATA"))</f>
        <v/>
      </c>
      <c r="K257" s="6" t="n"/>
      <c r="L257" s="6" t="n"/>
    </row>
    <row r="258">
      <c r="A258" s="6" t="n"/>
      <c r="B258" s="112">
        <f>IF($C258="","","V"&amp;TEXT(ROW()-6,"00000"))</f>
        <v/>
      </c>
      <c r="C258" s="114" t="n"/>
      <c r="D258" s="107" t="n"/>
      <c r="E258" s="107" t="n"/>
      <c r="F258" s="115" t="n"/>
      <c r="G258" s="108" t="n"/>
      <c r="H258" s="108" t="n"/>
      <c r="I258" s="108" t="n"/>
      <c r="J258" s="112">
        <f>IF($C258="","",IF(AND($D258&lt;&gt;"",$E258&lt;&gt;"",$D258&lt;&gt;$E258,$F258&gt;0),"UYGUN","HATA"))</f>
        <v/>
      </c>
      <c r="K258" s="6" t="n"/>
      <c r="L258" s="6" t="n"/>
    </row>
    <row r="259">
      <c r="A259" s="6" t="n"/>
      <c r="B259" s="112">
        <f>IF($C259="","","V"&amp;TEXT(ROW()-6,"00000"))</f>
        <v/>
      </c>
      <c r="C259" s="114" t="n"/>
      <c r="D259" s="107" t="n"/>
      <c r="E259" s="107" t="n"/>
      <c r="F259" s="115" t="n"/>
      <c r="G259" s="108" t="n"/>
      <c r="H259" s="108" t="n"/>
      <c r="I259" s="108" t="n"/>
      <c r="J259" s="112">
        <f>IF($C259="","",IF(AND($D259&lt;&gt;"",$E259&lt;&gt;"",$D259&lt;&gt;$E259,$F259&gt;0),"UYGUN","HATA"))</f>
        <v/>
      </c>
      <c r="K259" s="6" t="n"/>
      <c r="L259" s="6" t="n"/>
    </row>
    <row r="260">
      <c r="A260" s="6" t="n"/>
      <c r="B260" s="112">
        <f>IF($C260="","","V"&amp;TEXT(ROW()-6,"00000"))</f>
        <v/>
      </c>
      <c r="C260" s="114" t="n"/>
      <c r="D260" s="107" t="n"/>
      <c r="E260" s="107" t="n"/>
      <c r="F260" s="115" t="n"/>
      <c r="G260" s="108" t="n"/>
      <c r="H260" s="108" t="n"/>
      <c r="I260" s="108" t="n"/>
      <c r="J260" s="112">
        <f>IF($C260="","",IF(AND($D260&lt;&gt;"",$E260&lt;&gt;"",$D260&lt;&gt;$E260,$F260&gt;0),"UYGUN","HATA"))</f>
        <v/>
      </c>
      <c r="K260" s="6" t="n"/>
      <c r="L260" s="6" t="n"/>
    </row>
    <row r="261">
      <c r="A261" s="6" t="n"/>
      <c r="B261" s="112">
        <f>IF($C261="","","V"&amp;TEXT(ROW()-6,"00000"))</f>
        <v/>
      </c>
      <c r="C261" s="114" t="n"/>
      <c r="D261" s="107" t="n"/>
      <c r="E261" s="107" t="n"/>
      <c r="F261" s="115" t="n"/>
      <c r="G261" s="108" t="n"/>
      <c r="H261" s="108" t="n"/>
      <c r="I261" s="108" t="n"/>
      <c r="J261" s="112">
        <f>IF($C261="","",IF(AND($D261&lt;&gt;"",$E261&lt;&gt;"",$D261&lt;&gt;$E261,$F261&gt;0),"UYGUN","HATA"))</f>
        <v/>
      </c>
      <c r="K261" s="6" t="n"/>
      <c r="L261" s="6" t="n"/>
    </row>
    <row r="262">
      <c r="A262" s="6" t="n"/>
      <c r="B262" s="112">
        <f>IF($C262="","","V"&amp;TEXT(ROW()-6,"00000"))</f>
        <v/>
      </c>
      <c r="C262" s="114" t="n"/>
      <c r="D262" s="107" t="n"/>
      <c r="E262" s="107" t="n"/>
      <c r="F262" s="115" t="n"/>
      <c r="G262" s="108" t="n"/>
      <c r="H262" s="108" t="n"/>
      <c r="I262" s="108" t="n"/>
      <c r="J262" s="112">
        <f>IF($C262="","",IF(AND($D262&lt;&gt;"",$E262&lt;&gt;"",$D262&lt;&gt;$E262,$F262&gt;0),"UYGUN","HATA"))</f>
        <v/>
      </c>
      <c r="K262" s="6" t="n"/>
      <c r="L262" s="6" t="n"/>
    </row>
    <row r="263">
      <c r="A263" s="6" t="n"/>
      <c r="B263" s="112">
        <f>IF($C263="","","V"&amp;TEXT(ROW()-6,"00000"))</f>
        <v/>
      </c>
      <c r="C263" s="114" t="n"/>
      <c r="D263" s="107" t="n"/>
      <c r="E263" s="107" t="n"/>
      <c r="F263" s="115" t="n"/>
      <c r="G263" s="108" t="n"/>
      <c r="H263" s="108" t="n"/>
      <c r="I263" s="108" t="n"/>
      <c r="J263" s="112">
        <f>IF($C263="","",IF(AND($D263&lt;&gt;"",$E263&lt;&gt;"",$D263&lt;&gt;$E263,$F263&gt;0),"UYGUN","HATA"))</f>
        <v/>
      </c>
      <c r="K263" s="6" t="n"/>
      <c r="L263" s="6" t="n"/>
    </row>
    <row r="264">
      <c r="A264" s="6" t="n"/>
      <c r="B264" s="112">
        <f>IF($C264="","","V"&amp;TEXT(ROW()-6,"00000"))</f>
        <v/>
      </c>
      <c r="C264" s="114" t="n"/>
      <c r="D264" s="107" t="n"/>
      <c r="E264" s="107" t="n"/>
      <c r="F264" s="115" t="n"/>
      <c r="G264" s="108" t="n"/>
      <c r="H264" s="108" t="n"/>
      <c r="I264" s="108" t="n"/>
      <c r="J264" s="112">
        <f>IF($C264="","",IF(AND($D264&lt;&gt;"",$E264&lt;&gt;"",$D264&lt;&gt;$E264,$F264&gt;0),"UYGUN","HATA"))</f>
        <v/>
      </c>
      <c r="K264" s="6" t="n"/>
      <c r="L264" s="6" t="n"/>
    </row>
    <row r="265">
      <c r="A265" s="6" t="n"/>
      <c r="B265" s="112">
        <f>IF($C265="","","V"&amp;TEXT(ROW()-6,"00000"))</f>
        <v/>
      </c>
      <c r="C265" s="114" t="n"/>
      <c r="D265" s="107" t="n"/>
      <c r="E265" s="107" t="n"/>
      <c r="F265" s="115" t="n"/>
      <c r="G265" s="108" t="n"/>
      <c r="H265" s="108" t="n"/>
      <c r="I265" s="108" t="n"/>
      <c r="J265" s="112">
        <f>IF($C265="","",IF(AND($D265&lt;&gt;"",$E265&lt;&gt;"",$D265&lt;&gt;$E265,$F265&gt;0),"UYGUN","HATA"))</f>
        <v/>
      </c>
      <c r="K265" s="6" t="n"/>
      <c r="L265" s="6" t="n"/>
    </row>
    <row r="266">
      <c r="A266" s="6" t="n"/>
      <c r="B266" s="112">
        <f>IF($C266="","","V"&amp;TEXT(ROW()-6,"00000"))</f>
        <v/>
      </c>
      <c r="C266" s="114" t="n"/>
      <c r="D266" s="107" t="n"/>
      <c r="E266" s="107" t="n"/>
      <c r="F266" s="115" t="n"/>
      <c r="G266" s="108" t="n"/>
      <c r="H266" s="108" t="n"/>
      <c r="I266" s="108" t="n"/>
      <c r="J266" s="112">
        <f>IF($C266="","",IF(AND($D266&lt;&gt;"",$E266&lt;&gt;"",$D266&lt;&gt;$E266,$F266&gt;0),"UYGUN","HATA"))</f>
        <v/>
      </c>
      <c r="K266" s="6" t="n"/>
      <c r="L266" s="6" t="n"/>
    </row>
    <row r="267">
      <c r="A267" s="6" t="n"/>
      <c r="B267" s="112">
        <f>IF($C267="","","V"&amp;TEXT(ROW()-6,"00000"))</f>
        <v/>
      </c>
      <c r="C267" s="114" t="n"/>
      <c r="D267" s="107" t="n"/>
      <c r="E267" s="107" t="n"/>
      <c r="F267" s="115" t="n"/>
      <c r="G267" s="108" t="n"/>
      <c r="H267" s="108" t="n"/>
      <c r="I267" s="108" t="n"/>
      <c r="J267" s="112">
        <f>IF($C267="","",IF(AND($D267&lt;&gt;"",$E267&lt;&gt;"",$D267&lt;&gt;$E267,$F267&gt;0),"UYGUN","HATA"))</f>
        <v/>
      </c>
      <c r="K267" s="6" t="n"/>
      <c r="L267" s="6" t="n"/>
    </row>
    <row r="268">
      <c r="A268" s="6" t="n"/>
      <c r="B268" s="112">
        <f>IF($C268="","","V"&amp;TEXT(ROW()-6,"00000"))</f>
        <v/>
      </c>
      <c r="C268" s="114" t="n"/>
      <c r="D268" s="107" t="n"/>
      <c r="E268" s="107" t="n"/>
      <c r="F268" s="115" t="n"/>
      <c r="G268" s="108" t="n"/>
      <c r="H268" s="108" t="n"/>
      <c r="I268" s="108" t="n"/>
      <c r="J268" s="112">
        <f>IF($C268="","",IF(AND($D268&lt;&gt;"",$E268&lt;&gt;"",$D268&lt;&gt;$E268,$F268&gt;0),"UYGUN","HATA"))</f>
        <v/>
      </c>
      <c r="K268" s="6" t="n"/>
      <c r="L268" s="6" t="n"/>
    </row>
    <row r="269">
      <c r="A269" s="6" t="n"/>
      <c r="B269" s="112">
        <f>IF($C269="","","V"&amp;TEXT(ROW()-6,"00000"))</f>
        <v/>
      </c>
      <c r="C269" s="114" t="n"/>
      <c r="D269" s="107" t="n"/>
      <c r="E269" s="107" t="n"/>
      <c r="F269" s="115" t="n"/>
      <c r="G269" s="108" t="n"/>
      <c r="H269" s="108" t="n"/>
      <c r="I269" s="108" t="n"/>
      <c r="J269" s="112">
        <f>IF($C269="","",IF(AND($D269&lt;&gt;"",$E269&lt;&gt;"",$D269&lt;&gt;$E269,$F269&gt;0),"UYGUN","HATA"))</f>
        <v/>
      </c>
      <c r="K269" s="6" t="n"/>
      <c r="L269" s="6" t="n"/>
    </row>
    <row r="270">
      <c r="A270" s="6" t="n"/>
      <c r="B270" s="112">
        <f>IF($C270="","","V"&amp;TEXT(ROW()-6,"00000"))</f>
        <v/>
      </c>
      <c r="C270" s="114" t="n"/>
      <c r="D270" s="107" t="n"/>
      <c r="E270" s="107" t="n"/>
      <c r="F270" s="115" t="n"/>
      <c r="G270" s="108" t="n"/>
      <c r="H270" s="108" t="n"/>
      <c r="I270" s="108" t="n"/>
      <c r="J270" s="112">
        <f>IF($C270="","",IF(AND($D270&lt;&gt;"",$E270&lt;&gt;"",$D270&lt;&gt;$E270,$F270&gt;0),"UYGUN","HATA"))</f>
        <v/>
      </c>
      <c r="K270" s="6" t="n"/>
      <c r="L270" s="6" t="n"/>
    </row>
    <row r="271">
      <c r="A271" s="6" t="n"/>
      <c r="B271" s="112">
        <f>IF($C271="","","V"&amp;TEXT(ROW()-6,"00000"))</f>
        <v/>
      </c>
      <c r="C271" s="114" t="n"/>
      <c r="D271" s="107" t="n"/>
      <c r="E271" s="107" t="n"/>
      <c r="F271" s="115" t="n"/>
      <c r="G271" s="108" t="n"/>
      <c r="H271" s="108" t="n"/>
      <c r="I271" s="108" t="n"/>
      <c r="J271" s="112">
        <f>IF($C271="","",IF(AND($D271&lt;&gt;"",$E271&lt;&gt;"",$D271&lt;&gt;$E271,$F271&gt;0),"UYGUN","HATA"))</f>
        <v/>
      </c>
      <c r="K271" s="6" t="n"/>
      <c r="L271" s="6" t="n"/>
    </row>
    <row r="272">
      <c r="A272" s="6" t="n"/>
      <c r="B272" s="112">
        <f>IF($C272="","","V"&amp;TEXT(ROW()-6,"00000"))</f>
        <v/>
      </c>
      <c r="C272" s="114" t="n"/>
      <c r="D272" s="107" t="n"/>
      <c r="E272" s="107" t="n"/>
      <c r="F272" s="115" t="n"/>
      <c r="G272" s="108" t="n"/>
      <c r="H272" s="108" t="n"/>
      <c r="I272" s="108" t="n"/>
      <c r="J272" s="112">
        <f>IF($C272="","",IF(AND($D272&lt;&gt;"",$E272&lt;&gt;"",$D272&lt;&gt;$E272,$F272&gt;0),"UYGUN","HATA"))</f>
        <v/>
      </c>
      <c r="K272" s="6" t="n"/>
      <c r="L272" s="6" t="n"/>
    </row>
    <row r="273">
      <c r="A273" s="6" t="n"/>
      <c r="B273" s="112">
        <f>IF($C273="","","V"&amp;TEXT(ROW()-6,"00000"))</f>
        <v/>
      </c>
      <c r="C273" s="114" t="n"/>
      <c r="D273" s="107" t="n"/>
      <c r="E273" s="107" t="n"/>
      <c r="F273" s="115" t="n"/>
      <c r="G273" s="108" t="n"/>
      <c r="H273" s="108" t="n"/>
      <c r="I273" s="108" t="n"/>
      <c r="J273" s="112">
        <f>IF($C273="","",IF(AND($D273&lt;&gt;"",$E273&lt;&gt;"",$D273&lt;&gt;$E273,$F273&gt;0),"UYGUN","HATA"))</f>
        <v/>
      </c>
      <c r="K273" s="6" t="n"/>
      <c r="L273" s="6" t="n"/>
    </row>
    <row r="274">
      <c r="A274" s="6" t="n"/>
      <c r="B274" s="112">
        <f>IF($C274="","","V"&amp;TEXT(ROW()-6,"00000"))</f>
        <v/>
      </c>
      <c r="C274" s="114" t="n"/>
      <c r="D274" s="107" t="n"/>
      <c r="E274" s="107" t="n"/>
      <c r="F274" s="115" t="n"/>
      <c r="G274" s="108" t="n"/>
      <c r="H274" s="108" t="n"/>
      <c r="I274" s="108" t="n"/>
      <c r="J274" s="112">
        <f>IF($C274="","",IF(AND($D274&lt;&gt;"",$E274&lt;&gt;"",$D274&lt;&gt;$E274,$F274&gt;0),"UYGUN","HATA"))</f>
        <v/>
      </c>
      <c r="K274" s="6" t="n"/>
      <c r="L274" s="6" t="n"/>
    </row>
    <row r="275">
      <c r="A275" s="6" t="n"/>
      <c r="B275" s="112">
        <f>IF($C275="","","V"&amp;TEXT(ROW()-6,"00000"))</f>
        <v/>
      </c>
      <c r="C275" s="114" t="n"/>
      <c r="D275" s="107" t="n"/>
      <c r="E275" s="107" t="n"/>
      <c r="F275" s="115" t="n"/>
      <c r="G275" s="108" t="n"/>
      <c r="H275" s="108" t="n"/>
      <c r="I275" s="108" t="n"/>
      <c r="J275" s="112">
        <f>IF($C275="","",IF(AND($D275&lt;&gt;"",$E275&lt;&gt;"",$D275&lt;&gt;$E275,$F275&gt;0),"UYGUN","HATA"))</f>
        <v/>
      </c>
      <c r="K275" s="6" t="n"/>
      <c r="L275" s="6" t="n"/>
    </row>
    <row r="276">
      <c r="A276" s="6" t="n"/>
      <c r="B276" s="112">
        <f>IF($C276="","","V"&amp;TEXT(ROW()-6,"00000"))</f>
        <v/>
      </c>
      <c r="C276" s="114" t="n"/>
      <c r="D276" s="107" t="n"/>
      <c r="E276" s="107" t="n"/>
      <c r="F276" s="115" t="n"/>
      <c r="G276" s="108" t="n"/>
      <c r="H276" s="108" t="n"/>
      <c r="I276" s="108" t="n"/>
      <c r="J276" s="112">
        <f>IF($C276="","",IF(AND($D276&lt;&gt;"",$E276&lt;&gt;"",$D276&lt;&gt;$E276,$F276&gt;0),"UYGUN","HATA"))</f>
        <v/>
      </c>
      <c r="K276" s="6" t="n"/>
      <c r="L276" s="6" t="n"/>
    </row>
    <row r="277">
      <c r="A277" s="6" t="n"/>
      <c r="B277" s="112">
        <f>IF($C277="","","V"&amp;TEXT(ROW()-6,"00000"))</f>
        <v/>
      </c>
      <c r="C277" s="114" t="n"/>
      <c r="D277" s="107" t="n"/>
      <c r="E277" s="107" t="n"/>
      <c r="F277" s="115" t="n"/>
      <c r="G277" s="108" t="n"/>
      <c r="H277" s="108" t="n"/>
      <c r="I277" s="108" t="n"/>
      <c r="J277" s="112">
        <f>IF($C277="","",IF(AND($D277&lt;&gt;"",$E277&lt;&gt;"",$D277&lt;&gt;$E277,$F277&gt;0),"UYGUN","HATA"))</f>
        <v/>
      </c>
      <c r="K277" s="6" t="n"/>
      <c r="L277" s="6" t="n"/>
    </row>
    <row r="278">
      <c r="A278" s="6" t="n"/>
      <c r="B278" s="112">
        <f>IF($C278="","","V"&amp;TEXT(ROW()-6,"00000"))</f>
        <v/>
      </c>
      <c r="C278" s="114" t="n"/>
      <c r="D278" s="107" t="n"/>
      <c r="E278" s="107" t="n"/>
      <c r="F278" s="115" t="n"/>
      <c r="G278" s="108" t="n"/>
      <c r="H278" s="108" t="n"/>
      <c r="I278" s="108" t="n"/>
      <c r="J278" s="112">
        <f>IF($C278="","",IF(AND($D278&lt;&gt;"",$E278&lt;&gt;"",$D278&lt;&gt;$E278,$F278&gt;0),"UYGUN","HATA"))</f>
        <v/>
      </c>
      <c r="K278" s="6" t="n"/>
      <c r="L278" s="6" t="n"/>
    </row>
    <row r="279">
      <c r="A279" s="6" t="n"/>
      <c r="B279" s="112">
        <f>IF($C279="","","V"&amp;TEXT(ROW()-6,"00000"))</f>
        <v/>
      </c>
      <c r="C279" s="114" t="n"/>
      <c r="D279" s="107" t="n"/>
      <c r="E279" s="107" t="n"/>
      <c r="F279" s="115" t="n"/>
      <c r="G279" s="108" t="n"/>
      <c r="H279" s="108" t="n"/>
      <c r="I279" s="108" t="n"/>
      <c r="J279" s="112">
        <f>IF($C279="","",IF(AND($D279&lt;&gt;"",$E279&lt;&gt;"",$D279&lt;&gt;$E279,$F279&gt;0),"UYGUN","HATA"))</f>
        <v/>
      </c>
      <c r="K279" s="6" t="n"/>
      <c r="L279" s="6" t="n"/>
    </row>
    <row r="280">
      <c r="A280" s="6" t="n"/>
      <c r="B280" s="112">
        <f>IF($C280="","","V"&amp;TEXT(ROW()-6,"00000"))</f>
        <v/>
      </c>
      <c r="C280" s="114" t="n"/>
      <c r="D280" s="107" t="n"/>
      <c r="E280" s="107" t="n"/>
      <c r="F280" s="115" t="n"/>
      <c r="G280" s="108" t="n"/>
      <c r="H280" s="108" t="n"/>
      <c r="I280" s="108" t="n"/>
      <c r="J280" s="112">
        <f>IF($C280="","",IF(AND($D280&lt;&gt;"",$E280&lt;&gt;"",$D280&lt;&gt;$E280,$F280&gt;0),"UYGUN","HATA"))</f>
        <v/>
      </c>
      <c r="K280" s="6" t="n"/>
      <c r="L280" s="6" t="n"/>
    </row>
    <row r="281">
      <c r="A281" s="6" t="n"/>
      <c r="B281" s="112">
        <f>IF($C281="","","V"&amp;TEXT(ROW()-6,"00000"))</f>
        <v/>
      </c>
      <c r="C281" s="114" t="n"/>
      <c r="D281" s="107" t="n"/>
      <c r="E281" s="107" t="n"/>
      <c r="F281" s="115" t="n"/>
      <c r="G281" s="108" t="n"/>
      <c r="H281" s="108" t="n"/>
      <c r="I281" s="108" t="n"/>
      <c r="J281" s="112">
        <f>IF($C281="","",IF(AND($D281&lt;&gt;"",$E281&lt;&gt;"",$D281&lt;&gt;$E281,$F281&gt;0),"UYGUN","HATA"))</f>
        <v/>
      </c>
      <c r="K281" s="6" t="n"/>
      <c r="L281" s="6" t="n"/>
    </row>
    <row r="282">
      <c r="A282" s="6" t="n"/>
      <c r="B282" s="112">
        <f>IF($C282="","","V"&amp;TEXT(ROW()-6,"00000"))</f>
        <v/>
      </c>
      <c r="C282" s="114" t="n"/>
      <c r="D282" s="107" t="n"/>
      <c r="E282" s="107" t="n"/>
      <c r="F282" s="115" t="n"/>
      <c r="G282" s="108" t="n"/>
      <c r="H282" s="108" t="n"/>
      <c r="I282" s="108" t="n"/>
      <c r="J282" s="112">
        <f>IF($C282="","",IF(AND($D282&lt;&gt;"",$E282&lt;&gt;"",$D282&lt;&gt;$E282,$F282&gt;0),"UYGUN","HATA"))</f>
        <v/>
      </c>
      <c r="K282" s="6" t="n"/>
      <c r="L282" s="6" t="n"/>
    </row>
    <row r="283">
      <c r="A283" s="6" t="n"/>
      <c r="B283" s="112">
        <f>IF($C283="","","V"&amp;TEXT(ROW()-6,"00000"))</f>
        <v/>
      </c>
      <c r="C283" s="114" t="n"/>
      <c r="D283" s="107" t="n"/>
      <c r="E283" s="107" t="n"/>
      <c r="F283" s="115" t="n"/>
      <c r="G283" s="108" t="n"/>
      <c r="H283" s="108" t="n"/>
      <c r="I283" s="108" t="n"/>
      <c r="J283" s="112">
        <f>IF($C283="","",IF(AND($D283&lt;&gt;"",$E283&lt;&gt;"",$D283&lt;&gt;$E283,$F283&gt;0),"UYGUN","HATA"))</f>
        <v/>
      </c>
      <c r="K283" s="6" t="n"/>
      <c r="L283" s="6" t="n"/>
    </row>
    <row r="284">
      <c r="A284" s="6" t="n"/>
      <c r="B284" s="112">
        <f>IF($C284="","","V"&amp;TEXT(ROW()-6,"00000"))</f>
        <v/>
      </c>
      <c r="C284" s="114" t="n"/>
      <c r="D284" s="107" t="n"/>
      <c r="E284" s="107" t="n"/>
      <c r="F284" s="115" t="n"/>
      <c r="G284" s="108" t="n"/>
      <c r="H284" s="108" t="n"/>
      <c r="I284" s="108" t="n"/>
      <c r="J284" s="112">
        <f>IF($C284="","",IF(AND($D284&lt;&gt;"",$E284&lt;&gt;"",$D284&lt;&gt;$E284,$F284&gt;0),"UYGUN","HATA"))</f>
        <v/>
      </c>
      <c r="K284" s="6" t="n"/>
      <c r="L284" s="6" t="n"/>
    </row>
    <row r="285">
      <c r="A285" s="6" t="n"/>
      <c r="B285" s="112">
        <f>IF($C285="","","V"&amp;TEXT(ROW()-6,"00000"))</f>
        <v/>
      </c>
      <c r="C285" s="114" t="n"/>
      <c r="D285" s="107" t="n"/>
      <c r="E285" s="107" t="n"/>
      <c r="F285" s="115" t="n"/>
      <c r="G285" s="108" t="n"/>
      <c r="H285" s="108" t="n"/>
      <c r="I285" s="108" t="n"/>
      <c r="J285" s="112">
        <f>IF($C285="","",IF(AND($D285&lt;&gt;"",$E285&lt;&gt;"",$D285&lt;&gt;$E285,$F285&gt;0),"UYGUN","HATA"))</f>
        <v/>
      </c>
      <c r="K285" s="6" t="n"/>
      <c r="L285" s="6" t="n"/>
    </row>
    <row r="286">
      <c r="A286" s="6" t="n"/>
      <c r="B286" s="112">
        <f>IF($C286="","","V"&amp;TEXT(ROW()-6,"00000"))</f>
        <v/>
      </c>
      <c r="C286" s="114" t="n"/>
      <c r="D286" s="107" t="n"/>
      <c r="E286" s="107" t="n"/>
      <c r="F286" s="115" t="n"/>
      <c r="G286" s="108" t="n"/>
      <c r="H286" s="108" t="n"/>
      <c r="I286" s="108" t="n"/>
      <c r="J286" s="112">
        <f>IF($C286="","",IF(AND($D286&lt;&gt;"",$E286&lt;&gt;"",$D286&lt;&gt;$E286,$F286&gt;0),"UYGUN","HATA"))</f>
        <v/>
      </c>
      <c r="K286" s="6" t="n"/>
      <c r="L286" s="6" t="n"/>
    </row>
    <row r="287">
      <c r="A287" s="6" t="n"/>
      <c r="B287" s="112">
        <f>IF($C287="","","V"&amp;TEXT(ROW()-6,"00000"))</f>
        <v/>
      </c>
      <c r="C287" s="114" t="n"/>
      <c r="D287" s="107" t="n"/>
      <c r="E287" s="107" t="n"/>
      <c r="F287" s="115" t="n"/>
      <c r="G287" s="108" t="n"/>
      <c r="H287" s="108" t="n"/>
      <c r="I287" s="108" t="n"/>
      <c r="J287" s="112">
        <f>IF($C287="","",IF(AND($D287&lt;&gt;"",$E287&lt;&gt;"",$D287&lt;&gt;$E287,$F287&gt;0),"UYGUN","HATA"))</f>
        <v/>
      </c>
      <c r="K287" s="6" t="n"/>
      <c r="L287" s="6" t="n"/>
    </row>
    <row r="288">
      <c r="A288" s="6" t="n"/>
      <c r="B288" s="112">
        <f>IF($C288="","","V"&amp;TEXT(ROW()-6,"00000"))</f>
        <v/>
      </c>
      <c r="C288" s="114" t="n"/>
      <c r="D288" s="107" t="n"/>
      <c r="E288" s="107" t="n"/>
      <c r="F288" s="115" t="n"/>
      <c r="G288" s="108" t="n"/>
      <c r="H288" s="108" t="n"/>
      <c r="I288" s="108" t="n"/>
      <c r="J288" s="112">
        <f>IF($C288="","",IF(AND($D288&lt;&gt;"",$E288&lt;&gt;"",$D288&lt;&gt;$E288,$F288&gt;0),"UYGUN","HATA"))</f>
        <v/>
      </c>
      <c r="K288" s="6" t="n"/>
      <c r="L288" s="6" t="n"/>
    </row>
    <row r="289">
      <c r="A289" s="6" t="n"/>
      <c r="B289" s="112">
        <f>IF($C289="","","V"&amp;TEXT(ROW()-6,"00000"))</f>
        <v/>
      </c>
      <c r="C289" s="114" t="n"/>
      <c r="D289" s="107" t="n"/>
      <c r="E289" s="107" t="n"/>
      <c r="F289" s="115" t="n"/>
      <c r="G289" s="108" t="n"/>
      <c r="H289" s="108" t="n"/>
      <c r="I289" s="108" t="n"/>
      <c r="J289" s="112">
        <f>IF($C289="","",IF(AND($D289&lt;&gt;"",$E289&lt;&gt;"",$D289&lt;&gt;$E289,$F289&gt;0),"UYGUN","HATA"))</f>
        <v/>
      </c>
      <c r="K289" s="6" t="n"/>
      <c r="L289" s="6" t="n"/>
    </row>
    <row r="290">
      <c r="A290" s="6" t="n"/>
      <c r="B290" s="112">
        <f>IF($C290="","","V"&amp;TEXT(ROW()-6,"00000"))</f>
        <v/>
      </c>
      <c r="C290" s="114" t="n"/>
      <c r="D290" s="107" t="n"/>
      <c r="E290" s="107" t="n"/>
      <c r="F290" s="115" t="n"/>
      <c r="G290" s="108" t="n"/>
      <c r="H290" s="108" t="n"/>
      <c r="I290" s="108" t="n"/>
      <c r="J290" s="112">
        <f>IF($C290="","",IF(AND($D290&lt;&gt;"",$E290&lt;&gt;"",$D290&lt;&gt;$E290,$F290&gt;0),"UYGUN","HATA"))</f>
        <v/>
      </c>
      <c r="K290" s="6" t="n"/>
      <c r="L290" s="6" t="n"/>
    </row>
    <row r="291">
      <c r="A291" s="6" t="n"/>
      <c r="B291" s="112">
        <f>IF($C291="","","V"&amp;TEXT(ROW()-6,"00000"))</f>
        <v/>
      </c>
      <c r="C291" s="114" t="n"/>
      <c r="D291" s="107" t="n"/>
      <c r="E291" s="107" t="n"/>
      <c r="F291" s="115" t="n"/>
      <c r="G291" s="108" t="n"/>
      <c r="H291" s="108" t="n"/>
      <c r="I291" s="108" t="n"/>
      <c r="J291" s="112">
        <f>IF($C291="","",IF(AND($D291&lt;&gt;"",$E291&lt;&gt;"",$D291&lt;&gt;$E291,$F291&gt;0),"UYGUN","HATA"))</f>
        <v/>
      </c>
      <c r="K291" s="6" t="n"/>
      <c r="L291" s="6" t="n"/>
    </row>
    <row r="292">
      <c r="A292" s="6" t="n"/>
      <c r="B292" s="112">
        <f>IF($C292="","","V"&amp;TEXT(ROW()-6,"00000"))</f>
        <v/>
      </c>
      <c r="C292" s="114" t="n"/>
      <c r="D292" s="107" t="n"/>
      <c r="E292" s="107" t="n"/>
      <c r="F292" s="115" t="n"/>
      <c r="G292" s="108" t="n"/>
      <c r="H292" s="108" t="n"/>
      <c r="I292" s="108" t="n"/>
      <c r="J292" s="112">
        <f>IF($C292="","",IF(AND($D292&lt;&gt;"",$E292&lt;&gt;"",$D292&lt;&gt;$E292,$F292&gt;0),"UYGUN","HATA"))</f>
        <v/>
      </c>
      <c r="K292" s="6" t="n"/>
      <c r="L292" s="6" t="n"/>
    </row>
    <row r="293">
      <c r="A293" s="6" t="n"/>
      <c r="B293" s="112">
        <f>IF($C293="","","V"&amp;TEXT(ROW()-6,"00000"))</f>
        <v/>
      </c>
      <c r="C293" s="114" t="n"/>
      <c r="D293" s="107" t="n"/>
      <c r="E293" s="107" t="n"/>
      <c r="F293" s="115" t="n"/>
      <c r="G293" s="108" t="n"/>
      <c r="H293" s="108" t="n"/>
      <c r="I293" s="108" t="n"/>
      <c r="J293" s="112">
        <f>IF($C293="","",IF(AND($D293&lt;&gt;"",$E293&lt;&gt;"",$D293&lt;&gt;$E293,$F293&gt;0),"UYGUN","HATA"))</f>
        <v/>
      </c>
      <c r="K293" s="6" t="n"/>
      <c r="L293" s="6" t="n"/>
    </row>
    <row r="294">
      <c r="A294" s="6" t="n"/>
      <c r="B294" s="112">
        <f>IF($C294="","","V"&amp;TEXT(ROW()-6,"00000"))</f>
        <v/>
      </c>
      <c r="C294" s="114" t="n"/>
      <c r="D294" s="107" t="n"/>
      <c r="E294" s="107" t="n"/>
      <c r="F294" s="115" t="n"/>
      <c r="G294" s="108" t="n"/>
      <c r="H294" s="108" t="n"/>
      <c r="I294" s="108" t="n"/>
      <c r="J294" s="112">
        <f>IF($C294="","",IF(AND($D294&lt;&gt;"",$E294&lt;&gt;"",$D294&lt;&gt;$E294,$F294&gt;0),"UYGUN","HATA"))</f>
        <v/>
      </c>
      <c r="K294" s="6" t="n"/>
      <c r="L294" s="6" t="n"/>
    </row>
    <row r="295">
      <c r="A295" s="6" t="n"/>
      <c r="B295" s="112">
        <f>IF($C295="","","V"&amp;TEXT(ROW()-6,"00000"))</f>
        <v/>
      </c>
      <c r="C295" s="114" t="n"/>
      <c r="D295" s="107" t="n"/>
      <c r="E295" s="107" t="n"/>
      <c r="F295" s="115" t="n"/>
      <c r="G295" s="108" t="n"/>
      <c r="H295" s="108" t="n"/>
      <c r="I295" s="108" t="n"/>
      <c r="J295" s="112">
        <f>IF($C295="","",IF(AND($D295&lt;&gt;"",$E295&lt;&gt;"",$D295&lt;&gt;$E295,$F295&gt;0),"UYGUN","HATA"))</f>
        <v/>
      </c>
      <c r="K295" s="6" t="n"/>
      <c r="L295" s="6" t="n"/>
    </row>
    <row r="296">
      <c r="A296" s="6" t="n"/>
      <c r="B296" s="112">
        <f>IF($C296="","","V"&amp;TEXT(ROW()-6,"00000"))</f>
        <v/>
      </c>
      <c r="C296" s="114" t="n"/>
      <c r="D296" s="107" t="n"/>
      <c r="E296" s="107" t="n"/>
      <c r="F296" s="115" t="n"/>
      <c r="G296" s="108" t="n"/>
      <c r="H296" s="108" t="n"/>
      <c r="I296" s="108" t="n"/>
      <c r="J296" s="112">
        <f>IF($C296="","",IF(AND($D296&lt;&gt;"",$E296&lt;&gt;"",$D296&lt;&gt;$E296,$F296&gt;0),"UYGUN","HATA"))</f>
        <v/>
      </c>
      <c r="K296" s="6" t="n"/>
      <c r="L296" s="6" t="n"/>
    </row>
    <row r="297">
      <c r="A297" s="6" t="n"/>
      <c r="B297" s="112">
        <f>IF($C297="","","V"&amp;TEXT(ROW()-6,"00000"))</f>
        <v/>
      </c>
      <c r="C297" s="114" t="n"/>
      <c r="D297" s="107" t="n"/>
      <c r="E297" s="107" t="n"/>
      <c r="F297" s="115" t="n"/>
      <c r="G297" s="108" t="n"/>
      <c r="H297" s="108" t="n"/>
      <c r="I297" s="108" t="n"/>
      <c r="J297" s="112">
        <f>IF($C297="","",IF(AND($D297&lt;&gt;"",$E297&lt;&gt;"",$D297&lt;&gt;$E297,$F297&gt;0),"UYGUN","HATA"))</f>
        <v/>
      </c>
      <c r="K297" s="6" t="n"/>
      <c r="L297" s="6" t="n"/>
    </row>
    <row r="298">
      <c r="A298" s="6" t="n"/>
      <c r="B298" s="112">
        <f>IF($C298="","","V"&amp;TEXT(ROW()-6,"00000"))</f>
        <v/>
      </c>
      <c r="C298" s="114" t="n"/>
      <c r="D298" s="107" t="n"/>
      <c r="E298" s="107" t="n"/>
      <c r="F298" s="115" t="n"/>
      <c r="G298" s="108" t="n"/>
      <c r="H298" s="108" t="n"/>
      <c r="I298" s="108" t="n"/>
      <c r="J298" s="112">
        <f>IF($C298="","",IF(AND($D298&lt;&gt;"",$E298&lt;&gt;"",$D298&lt;&gt;$E298,$F298&gt;0),"UYGUN","HATA"))</f>
        <v/>
      </c>
      <c r="K298" s="6" t="n"/>
      <c r="L298" s="6" t="n"/>
    </row>
    <row r="299">
      <c r="A299" s="6" t="n"/>
      <c r="B299" s="112">
        <f>IF($C299="","","V"&amp;TEXT(ROW()-6,"00000"))</f>
        <v/>
      </c>
      <c r="C299" s="114" t="n"/>
      <c r="D299" s="107" t="n"/>
      <c r="E299" s="107" t="n"/>
      <c r="F299" s="115" t="n"/>
      <c r="G299" s="108" t="n"/>
      <c r="H299" s="108" t="n"/>
      <c r="I299" s="108" t="n"/>
      <c r="J299" s="112">
        <f>IF($C299="","",IF(AND($D299&lt;&gt;"",$E299&lt;&gt;"",$D299&lt;&gt;$E299,$F299&gt;0),"UYGUN","HATA"))</f>
        <v/>
      </c>
      <c r="K299" s="6" t="n"/>
      <c r="L299" s="6" t="n"/>
    </row>
    <row r="300">
      <c r="A300" s="6" t="n"/>
      <c r="B300" s="112">
        <f>IF($C300="","","V"&amp;TEXT(ROW()-6,"00000"))</f>
        <v/>
      </c>
      <c r="C300" s="114" t="n"/>
      <c r="D300" s="107" t="n"/>
      <c r="E300" s="107" t="n"/>
      <c r="F300" s="115" t="n"/>
      <c r="G300" s="108" t="n"/>
      <c r="H300" s="108" t="n"/>
      <c r="I300" s="108" t="n"/>
      <c r="J300" s="112">
        <f>IF($C300="","",IF(AND($D300&lt;&gt;"",$E300&lt;&gt;"",$D300&lt;&gt;$E300,$F300&gt;0),"UYGUN","HATA"))</f>
        <v/>
      </c>
      <c r="K300" s="6" t="n"/>
      <c r="L300" s="6" t="n"/>
    </row>
    <row r="301">
      <c r="A301" s="6" t="n"/>
      <c r="B301" s="112">
        <f>IF($C301="","","V"&amp;TEXT(ROW()-6,"00000"))</f>
        <v/>
      </c>
      <c r="C301" s="114" t="n"/>
      <c r="D301" s="107" t="n"/>
      <c r="E301" s="107" t="n"/>
      <c r="F301" s="115" t="n"/>
      <c r="G301" s="108" t="n"/>
      <c r="H301" s="108" t="n"/>
      <c r="I301" s="108" t="n"/>
      <c r="J301" s="112">
        <f>IF($C301="","",IF(AND($D301&lt;&gt;"",$E301&lt;&gt;"",$D301&lt;&gt;$E301,$F301&gt;0),"UYGUN","HATA"))</f>
        <v/>
      </c>
      <c r="K301" s="6" t="n"/>
      <c r="L301" s="6" t="n"/>
    </row>
    <row r="302">
      <c r="A302" s="6" t="n"/>
      <c r="B302" s="112">
        <f>IF($C302="","","V"&amp;TEXT(ROW()-6,"00000"))</f>
        <v/>
      </c>
      <c r="C302" s="114" t="n"/>
      <c r="D302" s="107" t="n"/>
      <c r="E302" s="107" t="n"/>
      <c r="F302" s="115" t="n"/>
      <c r="G302" s="108" t="n"/>
      <c r="H302" s="108" t="n"/>
      <c r="I302" s="108" t="n"/>
      <c r="J302" s="112">
        <f>IF($C302="","",IF(AND($D302&lt;&gt;"",$E302&lt;&gt;"",$D302&lt;&gt;$E302,$F302&gt;0),"UYGUN","HATA"))</f>
        <v/>
      </c>
      <c r="K302" s="6" t="n"/>
      <c r="L302" s="6" t="n"/>
    </row>
    <row r="303">
      <c r="A303" s="6" t="n"/>
      <c r="B303" s="112">
        <f>IF($C303="","","V"&amp;TEXT(ROW()-6,"00000"))</f>
        <v/>
      </c>
      <c r="C303" s="114" t="n"/>
      <c r="D303" s="107" t="n"/>
      <c r="E303" s="107" t="n"/>
      <c r="F303" s="115" t="n"/>
      <c r="G303" s="108" t="n"/>
      <c r="H303" s="108" t="n"/>
      <c r="I303" s="108" t="n"/>
      <c r="J303" s="112">
        <f>IF($C303="","",IF(AND($D303&lt;&gt;"",$E303&lt;&gt;"",$D303&lt;&gt;$E303,$F303&gt;0),"UYGUN","HATA"))</f>
        <v/>
      </c>
      <c r="K303" s="6" t="n"/>
      <c r="L303" s="6" t="n"/>
    </row>
    <row r="304">
      <c r="A304" s="6" t="n"/>
      <c r="B304" s="112">
        <f>IF($C304="","","V"&amp;TEXT(ROW()-6,"00000"))</f>
        <v/>
      </c>
      <c r="C304" s="114" t="n"/>
      <c r="D304" s="107" t="n"/>
      <c r="E304" s="107" t="n"/>
      <c r="F304" s="115" t="n"/>
      <c r="G304" s="108" t="n"/>
      <c r="H304" s="108" t="n"/>
      <c r="I304" s="108" t="n"/>
      <c r="J304" s="112">
        <f>IF($C304="","",IF(AND($D304&lt;&gt;"",$E304&lt;&gt;"",$D304&lt;&gt;$E304,$F304&gt;0),"UYGUN","HATA"))</f>
        <v/>
      </c>
      <c r="K304" s="6" t="n"/>
      <c r="L304" s="6" t="n"/>
    </row>
    <row r="305">
      <c r="A305" s="6" t="n"/>
      <c r="B305" s="112">
        <f>IF($C305="","","V"&amp;TEXT(ROW()-6,"00000"))</f>
        <v/>
      </c>
      <c r="C305" s="114" t="n"/>
      <c r="D305" s="107" t="n"/>
      <c r="E305" s="107" t="n"/>
      <c r="F305" s="115" t="n"/>
      <c r="G305" s="108" t="n"/>
      <c r="H305" s="108" t="n"/>
      <c r="I305" s="108" t="n"/>
      <c r="J305" s="112">
        <f>IF($C305="","",IF(AND($D305&lt;&gt;"",$E305&lt;&gt;"",$D305&lt;&gt;$E305,$F305&gt;0),"UYGUN","HATA"))</f>
        <v/>
      </c>
      <c r="K305" s="6" t="n"/>
      <c r="L305" s="6" t="n"/>
    </row>
    <row r="306">
      <c r="A306" s="6" t="n"/>
      <c r="B306" s="112">
        <f>IF($C306="","","V"&amp;TEXT(ROW()-6,"00000"))</f>
        <v/>
      </c>
      <c r="C306" s="114" t="n"/>
      <c r="D306" s="107" t="n"/>
      <c r="E306" s="107" t="n"/>
      <c r="F306" s="115" t="n"/>
      <c r="G306" s="108" t="n"/>
      <c r="H306" s="108" t="n"/>
      <c r="I306" s="108" t="n"/>
      <c r="J306" s="112">
        <f>IF($C306="","",IF(AND($D306&lt;&gt;"",$E306&lt;&gt;"",$D306&lt;&gt;$E306,$F306&gt;0),"UYGUN","HATA"))</f>
        <v/>
      </c>
      <c r="K306" s="6" t="n"/>
      <c r="L306" s="6" t="n"/>
    </row>
    <row r="307">
      <c r="A307" s="6" t="n"/>
      <c r="B307" s="112">
        <f>IF($C307="","","V"&amp;TEXT(ROW()-6,"00000"))</f>
        <v/>
      </c>
      <c r="C307" s="114" t="n"/>
      <c r="D307" s="107" t="n"/>
      <c r="E307" s="107" t="n"/>
      <c r="F307" s="115" t="n"/>
      <c r="G307" s="108" t="n"/>
      <c r="H307" s="108" t="n"/>
      <c r="I307" s="108" t="n"/>
      <c r="J307" s="112">
        <f>IF($C307="","",IF(AND($D307&lt;&gt;"",$E307&lt;&gt;"",$D307&lt;&gt;$E307,$F307&gt;0),"UYGUN","HATA"))</f>
        <v/>
      </c>
      <c r="K307" s="6" t="n"/>
      <c r="L307" s="6" t="n"/>
    </row>
    <row r="308">
      <c r="A308" s="6" t="n"/>
      <c r="B308" s="112">
        <f>IF($C308="","","V"&amp;TEXT(ROW()-6,"00000"))</f>
        <v/>
      </c>
      <c r="C308" s="114" t="n"/>
      <c r="D308" s="107" t="n"/>
      <c r="E308" s="107" t="n"/>
      <c r="F308" s="115" t="n"/>
      <c r="G308" s="108" t="n"/>
      <c r="H308" s="108" t="n"/>
      <c r="I308" s="108" t="n"/>
      <c r="J308" s="112">
        <f>IF($C308="","",IF(AND($D308&lt;&gt;"",$E308&lt;&gt;"",$D308&lt;&gt;$E308,$F308&gt;0),"UYGUN","HATA"))</f>
        <v/>
      </c>
      <c r="K308" s="6" t="n"/>
      <c r="L308" s="6" t="n"/>
    </row>
    <row r="309">
      <c r="A309" s="6" t="n"/>
      <c r="B309" s="112">
        <f>IF($C309="","","V"&amp;TEXT(ROW()-6,"00000"))</f>
        <v/>
      </c>
      <c r="C309" s="114" t="n"/>
      <c r="D309" s="107" t="n"/>
      <c r="E309" s="107" t="n"/>
      <c r="F309" s="115" t="n"/>
      <c r="G309" s="108" t="n"/>
      <c r="H309" s="108" t="n"/>
      <c r="I309" s="108" t="n"/>
      <c r="J309" s="112">
        <f>IF($C309="","",IF(AND($D309&lt;&gt;"",$E309&lt;&gt;"",$D309&lt;&gt;$E309,$F309&gt;0),"UYGUN","HATA"))</f>
        <v/>
      </c>
      <c r="K309" s="6" t="n"/>
      <c r="L309" s="6" t="n"/>
    </row>
    <row r="310">
      <c r="A310" s="6" t="n"/>
      <c r="B310" s="112">
        <f>IF($C310="","","V"&amp;TEXT(ROW()-6,"00000"))</f>
        <v/>
      </c>
      <c r="C310" s="114" t="n"/>
      <c r="D310" s="107" t="n"/>
      <c r="E310" s="107" t="n"/>
      <c r="F310" s="115" t="n"/>
      <c r="G310" s="108" t="n"/>
      <c r="H310" s="108" t="n"/>
      <c r="I310" s="108" t="n"/>
      <c r="J310" s="112">
        <f>IF($C310="","",IF(AND($D310&lt;&gt;"",$E310&lt;&gt;"",$D310&lt;&gt;$E310,$F310&gt;0),"UYGUN","HATA"))</f>
        <v/>
      </c>
      <c r="K310" s="6" t="n"/>
      <c r="L310" s="6" t="n"/>
    </row>
    <row r="311">
      <c r="A311" s="6" t="n"/>
      <c r="B311" s="112">
        <f>IF($C311="","","V"&amp;TEXT(ROW()-6,"00000"))</f>
        <v/>
      </c>
      <c r="C311" s="114" t="n"/>
      <c r="D311" s="107" t="n"/>
      <c r="E311" s="107" t="n"/>
      <c r="F311" s="115" t="n"/>
      <c r="G311" s="108" t="n"/>
      <c r="H311" s="108" t="n"/>
      <c r="I311" s="108" t="n"/>
      <c r="J311" s="112">
        <f>IF($C311="","",IF(AND($D311&lt;&gt;"",$E311&lt;&gt;"",$D311&lt;&gt;$E311,$F311&gt;0),"UYGUN","HATA"))</f>
        <v/>
      </c>
      <c r="K311" s="6" t="n"/>
      <c r="L311" s="6" t="n"/>
    </row>
    <row r="312">
      <c r="A312" s="6" t="n"/>
      <c r="B312" s="112">
        <f>IF($C312="","","V"&amp;TEXT(ROW()-6,"00000"))</f>
        <v/>
      </c>
      <c r="C312" s="114" t="n"/>
      <c r="D312" s="107" t="n"/>
      <c r="E312" s="107" t="n"/>
      <c r="F312" s="115" t="n"/>
      <c r="G312" s="108" t="n"/>
      <c r="H312" s="108" t="n"/>
      <c r="I312" s="108" t="n"/>
      <c r="J312" s="112">
        <f>IF($C312="","",IF(AND($D312&lt;&gt;"",$E312&lt;&gt;"",$D312&lt;&gt;$E312,$F312&gt;0),"UYGUN","HATA"))</f>
        <v/>
      </c>
      <c r="K312" s="6" t="n"/>
      <c r="L312" s="6" t="n"/>
    </row>
    <row r="313">
      <c r="A313" s="6" t="n"/>
      <c r="B313" s="112">
        <f>IF($C313="","","V"&amp;TEXT(ROW()-6,"00000"))</f>
        <v/>
      </c>
      <c r="C313" s="114" t="n"/>
      <c r="D313" s="107" t="n"/>
      <c r="E313" s="107" t="n"/>
      <c r="F313" s="115" t="n"/>
      <c r="G313" s="108" t="n"/>
      <c r="H313" s="108" t="n"/>
      <c r="I313" s="108" t="n"/>
      <c r="J313" s="112">
        <f>IF($C313="","",IF(AND($D313&lt;&gt;"",$E313&lt;&gt;"",$D313&lt;&gt;$E313,$F313&gt;0),"UYGUN","HATA"))</f>
        <v/>
      </c>
      <c r="K313" s="6" t="n"/>
      <c r="L313" s="6" t="n"/>
    </row>
    <row r="314">
      <c r="A314" s="6" t="n"/>
      <c r="B314" s="112">
        <f>IF($C314="","","V"&amp;TEXT(ROW()-6,"00000"))</f>
        <v/>
      </c>
      <c r="C314" s="114" t="n"/>
      <c r="D314" s="107" t="n"/>
      <c r="E314" s="107" t="n"/>
      <c r="F314" s="115" t="n"/>
      <c r="G314" s="108" t="n"/>
      <c r="H314" s="108" t="n"/>
      <c r="I314" s="108" t="n"/>
      <c r="J314" s="112">
        <f>IF($C314="","",IF(AND($D314&lt;&gt;"",$E314&lt;&gt;"",$D314&lt;&gt;$E314,$F314&gt;0),"UYGUN","HATA"))</f>
        <v/>
      </c>
      <c r="K314" s="6" t="n"/>
      <c r="L314" s="6" t="n"/>
    </row>
    <row r="315">
      <c r="A315" s="6" t="n"/>
      <c r="B315" s="112">
        <f>IF($C315="","","V"&amp;TEXT(ROW()-6,"00000"))</f>
        <v/>
      </c>
      <c r="C315" s="114" t="n"/>
      <c r="D315" s="107" t="n"/>
      <c r="E315" s="107" t="n"/>
      <c r="F315" s="115" t="n"/>
      <c r="G315" s="108" t="n"/>
      <c r="H315" s="108" t="n"/>
      <c r="I315" s="108" t="n"/>
      <c r="J315" s="112">
        <f>IF($C315="","",IF(AND($D315&lt;&gt;"",$E315&lt;&gt;"",$D315&lt;&gt;$E315,$F315&gt;0),"UYGUN","HATA"))</f>
        <v/>
      </c>
      <c r="K315" s="6" t="n"/>
      <c r="L315" s="6" t="n"/>
    </row>
    <row r="316">
      <c r="A316" s="6" t="n"/>
      <c r="B316" s="112">
        <f>IF($C316="","","V"&amp;TEXT(ROW()-6,"00000"))</f>
        <v/>
      </c>
      <c r="C316" s="114" t="n"/>
      <c r="D316" s="107" t="n"/>
      <c r="E316" s="107" t="n"/>
      <c r="F316" s="115" t="n"/>
      <c r="G316" s="108" t="n"/>
      <c r="H316" s="108" t="n"/>
      <c r="I316" s="108" t="n"/>
      <c r="J316" s="112">
        <f>IF($C316="","",IF(AND($D316&lt;&gt;"",$E316&lt;&gt;"",$D316&lt;&gt;$E316,$F316&gt;0),"UYGUN","HATA"))</f>
        <v/>
      </c>
      <c r="K316" s="6" t="n"/>
      <c r="L316" s="6" t="n"/>
    </row>
    <row r="317">
      <c r="A317" s="6" t="n"/>
      <c r="B317" s="112">
        <f>IF($C317="","","V"&amp;TEXT(ROW()-6,"00000"))</f>
        <v/>
      </c>
      <c r="C317" s="114" t="n"/>
      <c r="D317" s="107" t="n"/>
      <c r="E317" s="107" t="n"/>
      <c r="F317" s="115" t="n"/>
      <c r="G317" s="108" t="n"/>
      <c r="H317" s="108" t="n"/>
      <c r="I317" s="108" t="n"/>
      <c r="J317" s="112">
        <f>IF($C317="","",IF(AND($D317&lt;&gt;"",$E317&lt;&gt;"",$D317&lt;&gt;$E317,$F317&gt;0),"UYGUN","HATA"))</f>
        <v/>
      </c>
      <c r="K317" s="6" t="n"/>
      <c r="L317" s="6" t="n"/>
    </row>
    <row r="318">
      <c r="A318" s="6" t="n"/>
      <c r="B318" s="112">
        <f>IF($C318="","","V"&amp;TEXT(ROW()-6,"00000"))</f>
        <v/>
      </c>
      <c r="C318" s="114" t="n"/>
      <c r="D318" s="107" t="n"/>
      <c r="E318" s="107" t="n"/>
      <c r="F318" s="115" t="n"/>
      <c r="G318" s="108" t="n"/>
      <c r="H318" s="108" t="n"/>
      <c r="I318" s="108" t="n"/>
      <c r="J318" s="112">
        <f>IF($C318="","",IF(AND($D318&lt;&gt;"",$E318&lt;&gt;"",$D318&lt;&gt;$E318,$F318&gt;0),"UYGUN","HATA"))</f>
        <v/>
      </c>
      <c r="K318" s="6" t="n"/>
      <c r="L318" s="6" t="n"/>
    </row>
    <row r="319">
      <c r="A319" s="6" t="n"/>
      <c r="B319" s="112">
        <f>IF($C319="","","V"&amp;TEXT(ROW()-6,"00000"))</f>
        <v/>
      </c>
      <c r="C319" s="114" t="n"/>
      <c r="D319" s="107" t="n"/>
      <c r="E319" s="107" t="n"/>
      <c r="F319" s="115" t="n"/>
      <c r="G319" s="108" t="n"/>
      <c r="H319" s="108" t="n"/>
      <c r="I319" s="108" t="n"/>
      <c r="J319" s="112">
        <f>IF($C319="","",IF(AND($D319&lt;&gt;"",$E319&lt;&gt;"",$D319&lt;&gt;$E319,$F319&gt;0),"UYGUN","HATA"))</f>
        <v/>
      </c>
      <c r="K319" s="6" t="n"/>
      <c r="L319" s="6" t="n"/>
    </row>
    <row r="320">
      <c r="A320" s="6" t="n"/>
      <c r="B320" s="112">
        <f>IF($C320="","","V"&amp;TEXT(ROW()-6,"00000"))</f>
        <v/>
      </c>
      <c r="C320" s="114" t="n"/>
      <c r="D320" s="107" t="n"/>
      <c r="E320" s="107" t="n"/>
      <c r="F320" s="115" t="n"/>
      <c r="G320" s="108" t="n"/>
      <c r="H320" s="108" t="n"/>
      <c r="I320" s="108" t="n"/>
      <c r="J320" s="112">
        <f>IF($C320="","",IF(AND($D320&lt;&gt;"",$E320&lt;&gt;"",$D320&lt;&gt;$E320,$F320&gt;0),"UYGUN","HATA"))</f>
        <v/>
      </c>
      <c r="K320" s="6" t="n"/>
      <c r="L320" s="6" t="n"/>
    </row>
    <row r="321">
      <c r="A321" s="6" t="n"/>
      <c r="B321" s="112">
        <f>IF($C321="","","V"&amp;TEXT(ROW()-6,"00000"))</f>
        <v/>
      </c>
      <c r="C321" s="114" t="n"/>
      <c r="D321" s="107" t="n"/>
      <c r="E321" s="107" t="n"/>
      <c r="F321" s="115" t="n"/>
      <c r="G321" s="108" t="n"/>
      <c r="H321" s="108" t="n"/>
      <c r="I321" s="108" t="n"/>
      <c r="J321" s="112">
        <f>IF($C321="","",IF(AND($D321&lt;&gt;"",$E321&lt;&gt;"",$D321&lt;&gt;$E321,$F321&gt;0),"UYGUN","HATA"))</f>
        <v/>
      </c>
      <c r="K321" s="6" t="n"/>
      <c r="L321" s="6" t="n"/>
    </row>
    <row r="322">
      <c r="A322" s="6" t="n"/>
      <c r="B322" s="112">
        <f>IF($C322="","","V"&amp;TEXT(ROW()-6,"00000"))</f>
        <v/>
      </c>
      <c r="C322" s="114" t="n"/>
      <c r="D322" s="107" t="n"/>
      <c r="E322" s="107" t="n"/>
      <c r="F322" s="115" t="n"/>
      <c r="G322" s="108" t="n"/>
      <c r="H322" s="108" t="n"/>
      <c r="I322" s="108" t="n"/>
      <c r="J322" s="112">
        <f>IF($C322="","",IF(AND($D322&lt;&gt;"",$E322&lt;&gt;"",$D322&lt;&gt;$E322,$F322&gt;0),"UYGUN","HATA"))</f>
        <v/>
      </c>
      <c r="K322" s="6" t="n"/>
      <c r="L322" s="6" t="n"/>
    </row>
    <row r="323">
      <c r="A323" s="6" t="n"/>
      <c r="B323" s="112">
        <f>IF($C323="","","V"&amp;TEXT(ROW()-6,"00000"))</f>
        <v/>
      </c>
      <c r="C323" s="114" t="n"/>
      <c r="D323" s="107" t="n"/>
      <c r="E323" s="107" t="n"/>
      <c r="F323" s="115" t="n"/>
      <c r="G323" s="108" t="n"/>
      <c r="H323" s="108" t="n"/>
      <c r="I323" s="108" t="n"/>
      <c r="J323" s="112">
        <f>IF($C323="","",IF(AND($D323&lt;&gt;"",$E323&lt;&gt;"",$D323&lt;&gt;$E323,$F323&gt;0),"UYGUN","HATA"))</f>
        <v/>
      </c>
      <c r="K323" s="6" t="n"/>
      <c r="L323" s="6" t="n"/>
    </row>
    <row r="324">
      <c r="A324" s="6" t="n"/>
      <c r="B324" s="112">
        <f>IF($C324="","","V"&amp;TEXT(ROW()-6,"00000"))</f>
        <v/>
      </c>
      <c r="C324" s="114" t="n"/>
      <c r="D324" s="107" t="n"/>
      <c r="E324" s="107" t="n"/>
      <c r="F324" s="115" t="n"/>
      <c r="G324" s="108" t="n"/>
      <c r="H324" s="108" t="n"/>
      <c r="I324" s="108" t="n"/>
      <c r="J324" s="112">
        <f>IF($C324="","",IF(AND($D324&lt;&gt;"",$E324&lt;&gt;"",$D324&lt;&gt;$E324,$F324&gt;0),"UYGUN","HATA"))</f>
        <v/>
      </c>
      <c r="K324" s="6" t="n"/>
      <c r="L324" s="6" t="n"/>
    </row>
    <row r="325">
      <c r="A325" s="6" t="n"/>
      <c r="B325" s="112">
        <f>IF($C325="","","V"&amp;TEXT(ROW()-6,"00000"))</f>
        <v/>
      </c>
      <c r="C325" s="114" t="n"/>
      <c r="D325" s="107" t="n"/>
      <c r="E325" s="107" t="n"/>
      <c r="F325" s="115" t="n"/>
      <c r="G325" s="108" t="n"/>
      <c r="H325" s="108" t="n"/>
      <c r="I325" s="108" t="n"/>
      <c r="J325" s="112">
        <f>IF($C325="","",IF(AND($D325&lt;&gt;"",$E325&lt;&gt;"",$D325&lt;&gt;$E325,$F325&gt;0),"UYGUN","HATA"))</f>
        <v/>
      </c>
      <c r="K325" s="6" t="n"/>
      <c r="L325" s="6" t="n"/>
    </row>
    <row r="326">
      <c r="A326" s="6" t="n"/>
      <c r="B326" s="112">
        <f>IF($C326="","","V"&amp;TEXT(ROW()-6,"00000"))</f>
        <v/>
      </c>
      <c r="C326" s="114" t="n"/>
      <c r="D326" s="107" t="n"/>
      <c r="E326" s="107" t="n"/>
      <c r="F326" s="115" t="n"/>
      <c r="G326" s="108" t="n"/>
      <c r="H326" s="108" t="n"/>
      <c r="I326" s="108" t="n"/>
      <c r="J326" s="112">
        <f>IF($C326="","",IF(AND($D326&lt;&gt;"",$E326&lt;&gt;"",$D326&lt;&gt;$E326,$F326&gt;0),"UYGUN","HATA"))</f>
        <v/>
      </c>
      <c r="K326" s="6" t="n"/>
      <c r="L326" s="6" t="n"/>
    </row>
    <row r="327">
      <c r="A327" s="6" t="n"/>
      <c r="B327" s="112">
        <f>IF($C327="","","V"&amp;TEXT(ROW()-6,"00000"))</f>
        <v/>
      </c>
      <c r="C327" s="114" t="n"/>
      <c r="D327" s="107" t="n"/>
      <c r="E327" s="107" t="n"/>
      <c r="F327" s="115" t="n"/>
      <c r="G327" s="108" t="n"/>
      <c r="H327" s="108" t="n"/>
      <c r="I327" s="108" t="n"/>
      <c r="J327" s="112">
        <f>IF($C327="","",IF(AND($D327&lt;&gt;"",$E327&lt;&gt;"",$D327&lt;&gt;$E327,$F327&gt;0),"UYGUN","HATA"))</f>
        <v/>
      </c>
      <c r="K327" s="6" t="n"/>
      <c r="L327" s="6" t="n"/>
    </row>
    <row r="328">
      <c r="A328" s="6" t="n"/>
      <c r="B328" s="112">
        <f>IF($C328="","","V"&amp;TEXT(ROW()-6,"00000"))</f>
        <v/>
      </c>
      <c r="C328" s="114" t="n"/>
      <c r="D328" s="107" t="n"/>
      <c r="E328" s="107" t="n"/>
      <c r="F328" s="115" t="n"/>
      <c r="G328" s="108" t="n"/>
      <c r="H328" s="108" t="n"/>
      <c r="I328" s="108" t="n"/>
      <c r="J328" s="112">
        <f>IF($C328="","",IF(AND($D328&lt;&gt;"",$E328&lt;&gt;"",$D328&lt;&gt;$E328,$F328&gt;0),"UYGUN","HATA"))</f>
        <v/>
      </c>
      <c r="K328" s="6" t="n"/>
      <c r="L328" s="6" t="n"/>
    </row>
    <row r="329">
      <c r="A329" s="6" t="n"/>
      <c r="B329" s="112">
        <f>IF($C329="","","V"&amp;TEXT(ROW()-6,"00000"))</f>
        <v/>
      </c>
      <c r="C329" s="114" t="n"/>
      <c r="D329" s="107" t="n"/>
      <c r="E329" s="107" t="n"/>
      <c r="F329" s="115" t="n"/>
      <c r="G329" s="108" t="n"/>
      <c r="H329" s="108" t="n"/>
      <c r="I329" s="108" t="n"/>
      <c r="J329" s="112">
        <f>IF($C329="","",IF(AND($D329&lt;&gt;"",$E329&lt;&gt;"",$D329&lt;&gt;$E329,$F329&gt;0),"UYGUN","HATA"))</f>
        <v/>
      </c>
      <c r="K329" s="6" t="n"/>
      <c r="L329" s="6" t="n"/>
    </row>
    <row r="330">
      <c r="A330" s="6" t="n"/>
      <c r="B330" s="112">
        <f>IF($C330="","","V"&amp;TEXT(ROW()-6,"00000"))</f>
        <v/>
      </c>
      <c r="C330" s="114" t="n"/>
      <c r="D330" s="107" t="n"/>
      <c r="E330" s="107" t="n"/>
      <c r="F330" s="115" t="n"/>
      <c r="G330" s="108" t="n"/>
      <c r="H330" s="108" t="n"/>
      <c r="I330" s="108" t="n"/>
      <c r="J330" s="112">
        <f>IF($C330="","",IF(AND($D330&lt;&gt;"",$E330&lt;&gt;"",$D330&lt;&gt;$E330,$F330&gt;0),"UYGUN","HATA"))</f>
        <v/>
      </c>
      <c r="K330" s="6" t="n"/>
      <c r="L330" s="6" t="n"/>
    </row>
    <row r="331">
      <c r="A331" s="6" t="n"/>
      <c r="B331" s="112">
        <f>IF($C331="","","V"&amp;TEXT(ROW()-6,"00000"))</f>
        <v/>
      </c>
      <c r="C331" s="114" t="n"/>
      <c r="D331" s="107" t="n"/>
      <c r="E331" s="107" t="n"/>
      <c r="F331" s="115" t="n"/>
      <c r="G331" s="108" t="n"/>
      <c r="H331" s="108" t="n"/>
      <c r="I331" s="108" t="n"/>
      <c r="J331" s="112">
        <f>IF($C331="","",IF(AND($D331&lt;&gt;"",$E331&lt;&gt;"",$D331&lt;&gt;$E331,$F331&gt;0),"UYGUN","HATA"))</f>
        <v/>
      </c>
      <c r="K331" s="6" t="n"/>
      <c r="L331" s="6" t="n"/>
    </row>
    <row r="332">
      <c r="A332" s="6" t="n"/>
      <c r="B332" s="112">
        <f>IF($C332="","","V"&amp;TEXT(ROW()-6,"00000"))</f>
        <v/>
      </c>
      <c r="C332" s="114" t="n"/>
      <c r="D332" s="107" t="n"/>
      <c r="E332" s="107" t="n"/>
      <c r="F332" s="115" t="n"/>
      <c r="G332" s="108" t="n"/>
      <c r="H332" s="108" t="n"/>
      <c r="I332" s="108" t="n"/>
      <c r="J332" s="112">
        <f>IF($C332="","",IF(AND($D332&lt;&gt;"",$E332&lt;&gt;"",$D332&lt;&gt;$E332,$F332&gt;0),"UYGUN","HATA"))</f>
        <v/>
      </c>
      <c r="K332" s="6" t="n"/>
      <c r="L332" s="6" t="n"/>
    </row>
    <row r="333">
      <c r="A333" s="6" t="n"/>
      <c r="B333" s="112">
        <f>IF($C333="","","V"&amp;TEXT(ROW()-6,"00000"))</f>
        <v/>
      </c>
      <c r="C333" s="114" t="n"/>
      <c r="D333" s="107" t="n"/>
      <c r="E333" s="107" t="n"/>
      <c r="F333" s="115" t="n"/>
      <c r="G333" s="108" t="n"/>
      <c r="H333" s="108" t="n"/>
      <c r="I333" s="108" t="n"/>
      <c r="J333" s="112">
        <f>IF($C333="","",IF(AND($D333&lt;&gt;"",$E333&lt;&gt;"",$D333&lt;&gt;$E333,$F333&gt;0),"UYGUN","HATA"))</f>
        <v/>
      </c>
      <c r="K333" s="6" t="n"/>
      <c r="L333" s="6" t="n"/>
    </row>
    <row r="334">
      <c r="A334" s="6" t="n"/>
      <c r="B334" s="112">
        <f>IF($C334="","","V"&amp;TEXT(ROW()-6,"00000"))</f>
        <v/>
      </c>
      <c r="C334" s="114" t="n"/>
      <c r="D334" s="107" t="n"/>
      <c r="E334" s="107" t="n"/>
      <c r="F334" s="115" t="n"/>
      <c r="G334" s="108" t="n"/>
      <c r="H334" s="108" t="n"/>
      <c r="I334" s="108" t="n"/>
      <c r="J334" s="112">
        <f>IF($C334="","",IF(AND($D334&lt;&gt;"",$E334&lt;&gt;"",$D334&lt;&gt;$E334,$F334&gt;0),"UYGUN","HATA"))</f>
        <v/>
      </c>
      <c r="K334" s="6" t="n"/>
      <c r="L334" s="6" t="n"/>
    </row>
    <row r="335">
      <c r="A335" s="6" t="n"/>
      <c r="B335" s="112">
        <f>IF($C335="","","V"&amp;TEXT(ROW()-6,"00000"))</f>
        <v/>
      </c>
      <c r="C335" s="114" t="n"/>
      <c r="D335" s="107" t="n"/>
      <c r="E335" s="107" t="n"/>
      <c r="F335" s="115" t="n"/>
      <c r="G335" s="108" t="n"/>
      <c r="H335" s="108" t="n"/>
      <c r="I335" s="108" t="n"/>
      <c r="J335" s="112">
        <f>IF($C335="","",IF(AND($D335&lt;&gt;"",$E335&lt;&gt;"",$D335&lt;&gt;$E335,$F335&gt;0),"UYGUN","HATA"))</f>
        <v/>
      </c>
      <c r="K335" s="6" t="n"/>
      <c r="L335" s="6" t="n"/>
    </row>
    <row r="336">
      <c r="A336" s="6" t="n"/>
      <c r="B336" s="112">
        <f>IF($C336="","","V"&amp;TEXT(ROW()-6,"00000"))</f>
        <v/>
      </c>
      <c r="C336" s="114" t="n"/>
      <c r="D336" s="107" t="n"/>
      <c r="E336" s="107" t="n"/>
      <c r="F336" s="115" t="n"/>
      <c r="G336" s="108" t="n"/>
      <c r="H336" s="108" t="n"/>
      <c r="I336" s="108" t="n"/>
      <c r="J336" s="112">
        <f>IF($C336="","",IF(AND($D336&lt;&gt;"",$E336&lt;&gt;"",$D336&lt;&gt;$E336,$F336&gt;0),"UYGUN","HATA"))</f>
        <v/>
      </c>
      <c r="K336" s="6" t="n"/>
      <c r="L336" s="6" t="n"/>
    </row>
    <row r="337">
      <c r="A337" s="6" t="n"/>
      <c r="B337" s="112">
        <f>IF($C337="","","V"&amp;TEXT(ROW()-6,"00000"))</f>
        <v/>
      </c>
      <c r="C337" s="114" t="n"/>
      <c r="D337" s="107" t="n"/>
      <c r="E337" s="107" t="n"/>
      <c r="F337" s="115" t="n"/>
      <c r="G337" s="108" t="n"/>
      <c r="H337" s="108" t="n"/>
      <c r="I337" s="108" t="n"/>
      <c r="J337" s="112">
        <f>IF($C337="","",IF(AND($D337&lt;&gt;"",$E337&lt;&gt;"",$D337&lt;&gt;$E337,$F337&gt;0),"UYGUN","HATA"))</f>
        <v/>
      </c>
      <c r="K337" s="6" t="n"/>
      <c r="L337" s="6" t="n"/>
    </row>
    <row r="338">
      <c r="A338" s="6" t="n"/>
      <c r="B338" s="112">
        <f>IF($C338="","","V"&amp;TEXT(ROW()-6,"00000"))</f>
        <v/>
      </c>
      <c r="C338" s="114" t="n"/>
      <c r="D338" s="107" t="n"/>
      <c r="E338" s="107" t="n"/>
      <c r="F338" s="115" t="n"/>
      <c r="G338" s="108" t="n"/>
      <c r="H338" s="108" t="n"/>
      <c r="I338" s="108" t="n"/>
      <c r="J338" s="112">
        <f>IF($C338="","",IF(AND($D338&lt;&gt;"",$E338&lt;&gt;"",$D338&lt;&gt;$E338,$F338&gt;0),"UYGUN","HATA"))</f>
        <v/>
      </c>
      <c r="K338" s="6" t="n"/>
      <c r="L338" s="6" t="n"/>
    </row>
    <row r="339">
      <c r="A339" s="6" t="n"/>
      <c r="B339" s="112">
        <f>IF($C339="","","V"&amp;TEXT(ROW()-6,"00000"))</f>
        <v/>
      </c>
      <c r="C339" s="114" t="n"/>
      <c r="D339" s="107" t="n"/>
      <c r="E339" s="107" t="n"/>
      <c r="F339" s="115" t="n"/>
      <c r="G339" s="108" t="n"/>
      <c r="H339" s="108" t="n"/>
      <c r="I339" s="108" t="n"/>
      <c r="J339" s="112">
        <f>IF($C339="","",IF(AND($D339&lt;&gt;"",$E339&lt;&gt;"",$D339&lt;&gt;$E339,$F339&gt;0),"UYGUN","HATA"))</f>
        <v/>
      </c>
      <c r="K339" s="6" t="n"/>
      <c r="L339" s="6" t="n"/>
    </row>
    <row r="340">
      <c r="A340" s="6" t="n"/>
      <c r="B340" s="112">
        <f>IF($C340="","","V"&amp;TEXT(ROW()-6,"00000"))</f>
        <v/>
      </c>
      <c r="C340" s="114" t="n"/>
      <c r="D340" s="107" t="n"/>
      <c r="E340" s="107" t="n"/>
      <c r="F340" s="115" t="n"/>
      <c r="G340" s="108" t="n"/>
      <c r="H340" s="108" t="n"/>
      <c r="I340" s="108" t="n"/>
      <c r="J340" s="112">
        <f>IF($C340="","",IF(AND($D340&lt;&gt;"",$E340&lt;&gt;"",$D340&lt;&gt;$E340,$F340&gt;0),"UYGUN","HATA"))</f>
        <v/>
      </c>
      <c r="K340" s="6" t="n"/>
      <c r="L340" s="6" t="n"/>
    </row>
    <row r="341">
      <c r="A341" s="6" t="n"/>
      <c r="B341" s="112">
        <f>IF($C341="","","V"&amp;TEXT(ROW()-6,"00000"))</f>
        <v/>
      </c>
      <c r="C341" s="114" t="n"/>
      <c r="D341" s="107" t="n"/>
      <c r="E341" s="107" t="n"/>
      <c r="F341" s="115" t="n"/>
      <c r="G341" s="108" t="n"/>
      <c r="H341" s="108" t="n"/>
      <c r="I341" s="108" t="n"/>
      <c r="J341" s="112">
        <f>IF($C341="","",IF(AND($D341&lt;&gt;"",$E341&lt;&gt;"",$D341&lt;&gt;$E341,$F341&gt;0),"UYGUN","HATA"))</f>
        <v/>
      </c>
      <c r="K341" s="6" t="n"/>
      <c r="L341" s="6" t="n"/>
    </row>
    <row r="342">
      <c r="A342" s="6" t="n"/>
      <c r="B342" s="112">
        <f>IF($C342="","","V"&amp;TEXT(ROW()-6,"00000"))</f>
        <v/>
      </c>
      <c r="C342" s="114" t="n"/>
      <c r="D342" s="107" t="n"/>
      <c r="E342" s="107" t="n"/>
      <c r="F342" s="115" t="n"/>
      <c r="G342" s="108" t="n"/>
      <c r="H342" s="108" t="n"/>
      <c r="I342" s="108" t="n"/>
      <c r="J342" s="112">
        <f>IF($C342="","",IF(AND($D342&lt;&gt;"",$E342&lt;&gt;"",$D342&lt;&gt;$E342,$F342&gt;0),"UYGUN","HATA"))</f>
        <v/>
      </c>
      <c r="K342" s="6" t="n"/>
      <c r="L342" s="6" t="n"/>
    </row>
    <row r="343">
      <c r="A343" s="6" t="n"/>
      <c r="B343" s="112">
        <f>IF($C343="","","V"&amp;TEXT(ROW()-6,"00000"))</f>
        <v/>
      </c>
      <c r="C343" s="114" t="n"/>
      <c r="D343" s="107" t="n"/>
      <c r="E343" s="107" t="n"/>
      <c r="F343" s="115" t="n"/>
      <c r="G343" s="108" t="n"/>
      <c r="H343" s="108" t="n"/>
      <c r="I343" s="108" t="n"/>
      <c r="J343" s="112">
        <f>IF($C343="","",IF(AND($D343&lt;&gt;"",$E343&lt;&gt;"",$D343&lt;&gt;$E343,$F343&gt;0),"UYGUN","HATA"))</f>
        <v/>
      </c>
      <c r="K343" s="6" t="n"/>
      <c r="L343" s="6" t="n"/>
    </row>
    <row r="344">
      <c r="A344" s="6" t="n"/>
      <c r="B344" s="112">
        <f>IF($C344="","","V"&amp;TEXT(ROW()-6,"00000"))</f>
        <v/>
      </c>
      <c r="C344" s="114" t="n"/>
      <c r="D344" s="107" t="n"/>
      <c r="E344" s="107" t="n"/>
      <c r="F344" s="115" t="n"/>
      <c r="G344" s="108" t="n"/>
      <c r="H344" s="108" t="n"/>
      <c r="I344" s="108" t="n"/>
      <c r="J344" s="112">
        <f>IF($C344="","",IF(AND($D344&lt;&gt;"",$E344&lt;&gt;"",$D344&lt;&gt;$E344,$F344&gt;0),"UYGUN","HATA"))</f>
        <v/>
      </c>
      <c r="K344" s="6" t="n"/>
      <c r="L344" s="6" t="n"/>
    </row>
    <row r="345">
      <c r="A345" s="6" t="n"/>
      <c r="B345" s="112">
        <f>IF($C345="","","V"&amp;TEXT(ROW()-6,"00000"))</f>
        <v/>
      </c>
      <c r="C345" s="114" t="n"/>
      <c r="D345" s="107" t="n"/>
      <c r="E345" s="107" t="n"/>
      <c r="F345" s="115" t="n"/>
      <c r="G345" s="108" t="n"/>
      <c r="H345" s="108" t="n"/>
      <c r="I345" s="108" t="n"/>
      <c r="J345" s="112">
        <f>IF($C345="","",IF(AND($D345&lt;&gt;"",$E345&lt;&gt;"",$D345&lt;&gt;$E345,$F345&gt;0),"UYGUN","HATA"))</f>
        <v/>
      </c>
      <c r="K345" s="6" t="n"/>
      <c r="L345" s="6" t="n"/>
    </row>
    <row r="346">
      <c r="A346" s="6" t="n"/>
      <c r="B346" s="112">
        <f>IF($C346="","","V"&amp;TEXT(ROW()-6,"00000"))</f>
        <v/>
      </c>
      <c r="C346" s="114" t="n"/>
      <c r="D346" s="107" t="n"/>
      <c r="E346" s="107" t="n"/>
      <c r="F346" s="115" t="n"/>
      <c r="G346" s="108" t="n"/>
      <c r="H346" s="108" t="n"/>
      <c r="I346" s="108" t="n"/>
      <c r="J346" s="112">
        <f>IF($C346="","",IF(AND($D346&lt;&gt;"",$E346&lt;&gt;"",$D346&lt;&gt;$E346,$F346&gt;0),"UYGUN","HATA"))</f>
        <v/>
      </c>
      <c r="K346" s="6" t="n"/>
      <c r="L346" s="6" t="n"/>
    </row>
    <row r="347">
      <c r="A347" s="6" t="n"/>
      <c r="B347" s="112">
        <f>IF($C347="","","V"&amp;TEXT(ROW()-6,"00000"))</f>
        <v/>
      </c>
      <c r="C347" s="114" t="n"/>
      <c r="D347" s="107" t="n"/>
      <c r="E347" s="107" t="n"/>
      <c r="F347" s="115" t="n"/>
      <c r="G347" s="108" t="n"/>
      <c r="H347" s="108" t="n"/>
      <c r="I347" s="108" t="n"/>
      <c r="J347" s="112">
        <f>IF($C347="","",IF(AND($D347&lt;&gt;"",$E347&lt;&gt;"",$D347&lt;&gt;$E347,$F347&gt;0),"UYGUN","HATA"))</f>
        <v/>
      </c>
      <c r="K347" s="6" t="n"/>
      <c r="L347" s="6" t="n"/>
    </row>
    <row r="348">
      <c r="A348" s="6" t="n"/>
      <c r="B348" s="112">
        <f>IF($C348="","","V"&amp;TEXT(ROW()-6,"00000"))</f>
        <v/>
      </c>
      <c r="C348" s="114" t="n"/>
      <c r="D348" s="107" t="n"/>
      <c r="E348" s="107" t="n"/>
      <c r="F348" s="115" t="n"/>
      <c r="G348" s="108" t="n"/>
      <c r="H348" s="108" t="n"/>
      <c r="I348" s="108" t="n"/>
      <c r="J348" s="112">
        <f>IF($C348="","",IF(AND($D348&lt;&gt;"",$E348&lt;&gt;"",$D348&lt;&gt;$E348,$F348&gt;0),"UYGUN","HATA"))</f>
        <v/>
      </c>
      <c r="K348" s="6" t="n"/>
      <c r="L348" s="6" t="n"/>
    </row>
    <row r="349">
      <c r="A349" s="6" t="n"/>
      <c r="B349" s="112">
        <f>IF($C349="","","V"&amp;TEXT(ROW()-6,"00000"))</f>
        <v/>
      </c>
      <c r="C349" s="114" t="n"/>
      <c r="D349" s="107" t="n"/>
      <c r="E349" s="107" t="n"/>
      <c r="F349" s="115" t="n"/>
      <c r="G349" s="108" t="n"/>
      <c r="H349" s="108" t="n"/>
      <c r="I349" s="108" t="n"/>
      <c r="J349" s="112">
        <f>IF($C349="","",IF(AND($D349&lt;&gt;"",$E349&lt;&gt;"",$D349&lt;&gt;$E349,$F349&gt;0),"UYGUN","HATA"))</f>
        <v/>
      </c>
      <c r="K349" s="6" t="n"/>
      <c r="L349" s="6" t="n"/>
    </row>
    <row r="350">
      <c r="A350" s="6" t="n"/>
      <c r="B350" s="112">
        <f>IF($C350="","","V"&amp;TEXT(ROW()-6,"00000"))</f>
        <v/>
      </c>
      <c r="C350" s="114" t="n"/>
      <c r="D350" s="107" t="n"/>
      <c r="E350" s="107" t="n"/>
      <c r="F350" s="115" t="n"/>
      <c r="G350" s="108" t="n"/>
      <c r="H350" s="108" t="n"/>
      <c r="I350" s="108" t="n"/>
      <c r="J350" s="112">
        <f>IF($C350="","",IF(AND($D350&lt;&gt;"",$E350&lt;&gt;"",$D350&lt;&gt;$E350,$F350&gt;0),"UYGUN","HATA"))</f>
        <v/>
      </c>
      <c r="K350" s="6" t="n"/>
      <c r="L350" s="6" t="n"/>
    </row>
    <row r="351">
      <c r="A351" s="6" t="n"/>
      <c r="B351" s="112">
        <f>IF($C351="","","V"&amp;TEXT(ROW()-6,"00000"))</f>
        <v/>
      </c>
      <c r="C351" s="114" t="n"/>
      <c r="D351" s="107" t="n"/>
      <c r="E351" s="107" t="n"/>
      <c r="F351" s="115" t="n"/>
      <c r="G351" s="108" t="n"/>
      <c r="H351" s="108" t="n"/>
      <c r="I351" s="108" t="n"/>
      <c r="J351" s="112">
        <f>IF($C351="","",IF(AND($D351&lt;&gt;"",$E351&lt;&gt;"",$D351&lt;&gt;$E351,$F351&gt;0),"UYGUN","HATA"))</f>
        <v/>
      </c>
      <c r="K351" s="6" t="n"/>
      <c r="L351" s="6" t="n"/>
    </row>
    <row r="352">
      <c r="A352" s="6" t="n"/>
      <c r="B352" s="112">
        <f>IF($C352="","","V"&amp;TEXT(ROW()-6,"00000"))</f>
        <v/>
      </c>
      <c r="C352" s="114" t="n"/>
      <c r="D352" s="107" t="n"/>
      <c r="E352" s="107" t="n"/>
      <c r="F352" s="115" t="n"/>
      <c r="G352" s="108" t="n"/>
      <c r="H352" s="108" t="n"/>
      <c r="I352" s="108" t="n"/>
      <c r="J352" s="112">
        <f>IF($C352="","",IF(AND($D352&lt;&gt;"",$E352&lt;&gt;"",$D352&lt;&gt;$E352,$F352&gt;0),"UYGUN","HATA"))</f>
        <v/>
      </c>
      <c r="K352" s="6" t="n"/>
      <c r="L352" s="6" t="n"/>
    </row>
    <row r="353">
      <c r="A353" s="6" t="n"/>
      <c r="B353" s="112">
        <f>IF($C353="","","V"&amp;TEXT(ROW()-6,"00000"))</f>
        <v/>
      </c>
      <c r="C353" s="114" t="n"/>
      <c r="D353" s="107" t="n"/>
      <c r="E353" s="107" t="n"/>
      <c r="F353" s="115" t="n"/>
      <c r="G353" s="108" t="n"/>
      <c r="H353" s="108" t="n"/>
      <c r="I353" s="108" t="n"/>
      <c r="J353" s="112">
        <f>IF($C353="","",IF(AND($D353&lt;&gt;"",$E353&lt;&gt;"",$D353&lt;&gt;$E353,$F353&gt;0),"UYGUN","HATA"))</f>
        <v/>
      </c>
      <c r="K353" s="6" t="n"/>
      <c r="L353" s="6" t="n"/>
    </row>
    <row r="354">
      <c r="A354" s="6" t="n"/>
      <c r="B354" s="112">
        <f>IF($C354="","","V"&amp;TEXT(ROW()-6,"00000"))</f>
        <v/>
      </c>
      <c r="C354" s="114" t="n"/>
      <c r="D354" s="107" t="n"/>
      <c r="E354" s="107" t="n"/>
      <c r="F354" s="115" t="n"/>
      <c r="G354" s="108" t="n"/>
      <c r="H354" s="108" t="n"/>
      <c r="I354" s="108" t="n"/>
      <c r="J354" s="112">
        <f>IF($C354="","",IF(AND($D354&lt;&gt;"",$E354&lt;&gt;"",$D354&lt;&gt;$E354,$F354&gt;0),"UYGUN","HATA"))</f>
        <v/>
      </c>
      <c r="K354" s="6" t="n"/>
      <c r="L354" s="6" t="n"/>
    </row>
    <row r="355">
      <c r="A355" s="6" t="n"/>
      <c r="B355" s="112">
        <f>IF($C355="","","V"&amp;TEXT(ROW()-6,"00000"))</f>
        <v/>
      </c>
      <c r="C355" s="114" t="n"/>
      <c r="D355" s="107" t="n"/>
      <c r="E355" s="107" t="n"/>
      <c r="F355" s="115" t="n"/>
      <c r="G355" s="108" t="n"/>
      <c r="H355" s="108" t="n"/>
      <c r="I355" s="108" t="n"/>
      <c r="J355" s="112">
        <f>IF($C355="","",IF(AND($D355&lt;&gt;"",$E355&lt;&gt;"",$D355&lt;&gt;$E355,$F355&gt;0),"UYGUN","HATA"))</f>
        <v/>
      </c>
      <c r="K355" s="6" t="n"/>
      <c r="L355" s="6" t="n"/>
    </row>
    <row r="356">
      <c r="A356" s="6" t="n"/>
      <c r="B356" s="112">
        <f>IF($C356="","","V"&amp;TEXT(ROW()-6,"00000"))</f>
        <v/>
      </c>
      <c r="C356" s="114" t="n"/>
      <c r="D356" s="107" t="n"/>
      <c r="E356" s="107" t="n"/>
      <c r="F356" s="115" t="n"/>
      <c r="G356" s="108" t="n"/>
      <c r="H356" s="108" t="n"/>
      <c r="I356" s="108" t="n"/>
      <c r="J356" s="112">
        <f>IF($C356="","",IF(AND($D356&lt;&gt;"",$E356&lt;&gt;"",$D356&lt;&gt;$E356,$F356&gt;0),"UYGUN","HATA"))</f>
        <v/>
      </c>
      <c r="K356" s="6" t="n"/>
      <c r="L356" s="6" t="n"/>
    </row>
    <row r="357">
      <c r="A357" s="6" t="n"/>
      <c r="B357" s="112">
        <f>IF($C357="","","V"&amp;TEXT(ROW()-6,"00000"))</f>
        <v/>
      </c>
      <c r="C357" s="114" t="n"/>
      <c r="D357" s="107" t="n"/>
      <c r="E357" s="107" t="n"/>
      <c r="F357" s="115" t="n"/>
      <c r="G357" s="108" t="n"/>
      <c r="H357" s="108" t="n"/>
      <c r="I357" s="108" t="n"/>
      <c r="J357" s="112">
        <f>IF($C357="","",IF(AND($D357&lt;&gt;"",$E357&lt;&gt;"",$D357&lt;&gt;$E357,$F357&gt;0),"UYGUN","HATA"))</f>
        <v/>
      </c>
      <c r="K357" s="6" t="n"/>
      <c r="L357" s="6" t="n"/>
    </row>
    <row r="358">
      <c r="A358" s="6" t="n"/>
      <c r="B358" s="112">
        <f>IF($C358="","","V"&amp;TEXT(ROW()-6,"00000"))</f>
        <v/>
      </c>
      <c r="C358" s="114" t="n"/>
      <c r="D358" s="107" t="n"/>
      <c r="E358" s="107" t="n"/>
      <c r="F358" s="115" t="n"/>
      <c r="G358" s="108" t="n"/>
      <c r="H358" s="108" t="n"/>
      <c r="I358" s="108" t="n"/>
      <c r="J358" s="112">
        <f>IF($C358="","",IF(AND($D358&lt;&gt;"",$E358&lt;&gt;"",$D358&lt;&gt;$E358,$F358&gt;0),"UYGUN","HATA"))</f>
        <v/>
      </c>
      <c r="K358" s="6" t="n"/>
      <c r="L358" s="6" t="n"/>
    </row>
    <row r="359">
      <c r="A359" s="6" t="n"/>
      <c r="B359" s="112">
        <f>IF($C359="","","V"&amp;TEXT(ROW()-6,"00000"))</f>
        <v/>
      </c>
      <c r="C359" s="114" t="n"/>
      <c r="D359" s="107" t="n"/>
      <c r="E359" s="107" t="n"/>
      <c r="F359" s="115" t="n"/>
      <c r="G359" s="108" t="n"/>
      <c r="H359" s="108" t="n"/>
      <c r="I359" s="108" t="n"/>
      <c r="J359" s="112">
        <f>IF($C359="","",IF(AND($D359&lt;&gt;"",$E359&lt;&gt;"",$D359&lt;&gt;$E359,$F359&gt;0),"UYGUN","HATA"))</f>
        <v/>
      </c>
      <c r="K359" s="6" t="n"/>
      <c r="L359" s="6" t="n"/>
    </row>
    <row r="360">
      <c r="A360" s="6" t="n"/>
      <c r="B360" s="112">
        <f>IF($C360="","","V"&amp;TEXT(ROW()-6,"00000"))</f>
        <v/>
      </c>
      <c r="C360" s="114" t="n"/>
      <c r="D360" s="107" t="n"/>
      <c r="E360" s="107" t="n"/>
      <c r="F360" s="115" t="n"/>
      <c r="G360" s="108" t="n"/>
      <c r="H360" s="108" t="n"/>
      <c r="I360" s="108" t="n"/>
      <c r="J360" s="112">
        <f>IF($C360="","",IF(AND($D360&lt;&gt;"",$E360&lt;&gt;"",$D360&lt;&gt;$E360,$F360&gt;0),"UYGUN","HATA"))</f>
        <v/>
      </c>
      <c r="K360" s="6" t="n"/>
      <c r="L360" s="6" t="n"/>
    </row>
    <row r="361">
      <c r="A361" s="6" t="n"/>
      <c r="B361" s="112">
        <f>IF($C361="","","V"&amp;TEXT(ROW()-6,"00000"))</f>
        <v/>
      </c>
      <c r="C361" s="114" t="n"/>
      <c r="D361" s="107" t="n"/>
      <c r="E361" s="107" t="n"/>
      <c r="F361" s="115" t="n"/>
      <c r="G361" s="108" t="n"/>
      <c r="H361" s="108" t="n"/>
      <c r="I361" s="108" t="n"/>
      <c r="J361" s="112">
        <f>IF($C361="","",IF(AND($D361&lt;&gt;"",$E361&lt;&gt;"",$D361&lt;&gt;$E361,$F361&gt;0),"UYGUN","HATA"))</f>
        <v/>
      </c>
      <c r="K361" s="6" t="n"/>
      <c r="L361" s="6" t="n"/>
    </row>
    <row r="362">
      <c r="A362" s="6" t="n"/>
      <c r="B362" s="112">
        <f>IF($C362="","","V"&amp;TEXT(ROW()-6,"00000"))</f>
        <v/>
      </c>
      <c r="C362" s="114" t="n"/>
      <c r="D362" s="107" t="n"/>
      <c r="E362" s="107" t="n"/>
      <c r="F362" s="115" t="n"/>
      <c r="G362" s="108" t="n"/>
      <c r="H362" s="108" t="n"/>
      <c r="I362" s="108" t="n"/>
      <c r="J362" s="112">
        <f>IF($C362="","",IF(AND($D362&lt;&gt;"",$E362&lt;&gt;"",$D362&lt;&gt;$E362,$F362&gt;0),"UYGUN","HATA"))</f>
        <v/>
      </c>
      <c r="K362" s="6" t="n"/>
      <c r="L362" s="6" t="n"/>
    </row>
    <row r="363">
      <c r="A363" s="6" t="n"/>
      <c r="B363" s="112">
        <f>IF($C363="","","V"&amp;TEXT(ROW()-6,"00000"))</f>
        <v/>
      </c>
      <c r="C363" s="114" t="n"/>
      <c r="D363" s="107" t="n"/>
      <c r="E363" s="107" t="n"/>
      <c r="F363" s="115" t="n"/>
      <c r="G363" s="108" t="n"/>
      <c r="H363" s="108" t="n"/>
      <c r="I363" s="108" t="n"/>
      <c r="J363" s="112">
        <f>IF($C363="","",IF(AND($D363&lt;&gt;"",$E363&lt;&gt;"",$D363&lt;&gt;$E363,$F363&gt;0),"UYGUN","HATA"))</f>
        <v/>
      </c>
      <c r="K363" s="6" t="n"/>
      <c r="L363" s="6" t="n"/>
    </row>
    <row r="364">
      <c r="A364" s="6" t="n"/>
      <c r="B364" s="112">
        <f>IF($C364="","","V"&amp;TEXT(ROW()-6,"00000"))</f>
        <v/>
      </c>
      <c r="C364" s="114" t="n"/>
      <c r="D364" s="107" t="n"/>
      <c r="E364" s="107" t="n"/>
      <c r="F364" s="115" t="n"/>
      <c r="G364" s="108" t="n"/>
      <c r="H364" s="108" t="n"/>
      <c r="I364" s="108" t="n"/>
      <c r="J364" s="112">
        <f>IF($C364="","",IF(AND($D364&lt;&gt;"",$E364&lt;&gt;"",$D364&lt;&gt;$E364,$F364&gt;0),"UYGUN","HATA"))</f>
        <v/>
      </c>
      <c r="K364" s="6" t="n"/>
      <c r="L364" s="6" t="n"/>
    </row>
    <row r="365">
      <c r="A365" s="6" t="n"/>
      <c r="B365" s="112">
        <f>IF($C365="","","V"&amp;TEXT(ROW()-6,"00000"))</f>
        <v/>
      </c>
      <c r="C365" s="114" t="n"/>
      <c r="D365" s="107" t="n"/>
      <c r="E365" s="107" t="n"/>
      <c r="F365" s="115" t="n"/>
      <c r="G365" s="108" t="n"/>
      <c r="H365" s="108" t="n"/>
      <c r="I365" s="108" t="n"/>
      <c r="J365" s="112">
        <f>IF($C365="","",IF(AND($D365&lt;&gt;"",$E365&lt;&gt;"",$D365&lt;&gt;$E365,$F365&gt;0),"UYGUN","HATA"))</f>
        <v/>
      </c>
      <c r="K365" s="6" t="n"/>
      <c r="L365" s="6" t="n"/>
    </row>
    <row r="366">
      <c r="A366" s="6" t="n"/>
      <c r="B366" s="112">
        <f>IF($C366="","","V"&amp;TEXT(ROW()-6,"00000"))</f>
        <v/>
      </c>
      <c r="C366" s="114" t="n"/>
      <c r="D366" s="107" t="n"/>
      <c r="E366" s="107" t="n"/>
      <c r="F366" s="115" t="n"/>
      <c r="G366" s="108" t="n"/>
      <c r="H366" s="108" t="n"/>
      <c r="I366" s="108" t="n"/>
      <c r="J366" s="112">
        <f>IF($C366="","",IF(AND($D366&lt;&gt;"",$E366&lt;&gt;"",$D366&lt;&gt;$E366,$F366&gt;0),"UYGUN","HATA"))</f>
        <v/>
      </c>
      <c r="K366" s="6" t="n"/>
      <c r="L366" s="6" t="n"/>
    </row>
    <row r="367">
      <c r="A367" s="6" t="n"/>
      <c r="B367" s="112">
        <f>IF($C367="","","V"&amp;TEXT(ROW()-6,"00000"))</f>
        <v/>
      </c>
      <c r="C367" s="114" t="n"/>
      <c r="D367" s="107" t="n"/>
      <c r="E367" s="107" t="n"/>
      <c r="F367" s="115" t="n"/>
      <c r="G367" s="108" t="n"/>
      <c r="H367" s="108" t="n"/>
      <c r="I367" s="108" t="n"/>
      <c r="J367" s="112">
        <f>IF($C367="","",IF(AND($D367&lt;&gt;"",$E367&lt;&gt;"",$D367&lt;&gt;$E367,$F367&gt;0),"UYGUN","HATA"))</f>
        <v/>
      </c>
      <c r="K367" s="6" t="n"/>
      <c r="L367" s="6" t="n"/>
    </row>
    <row r="368">
      <c r="A368" s="6" t="n"/>
      <c r="B368" s="112">
        <f>IF($C368="","","V"&amp;TEXT(ROW()-6,"00000"))</f>
        <v/>
      </c>
      <c r="C368" s="114" t="n"/>
      <c r="D368" s="107" t="n"/>
      <c r="E368" s="107" t="n"/>
      <c r="F368" s="115" t="n"/>
      <c r="G368" s="108" t="n"/>
      <c r="H368" s="108" t="n"/>
      <c r="I368" s="108" t="n"/>
      <c r="J368" s="112">
        <f>IF($C368="","",IF(AND($D368&lt;&gt;"",$E368&lt;&gt;"",$D368&lt;&gt;$E368,$F368&gt;0),"UYGUN","HATA"))</f>
        <v/>
      </c>
      <c r="K368" s="6" t="n"/>
      <c r="L368" s="6" t="n"/>
    </row>
    <row r="369">
      <c r="A369" s="6" t="n"/>
      <c r="B369" s="112">
        <f>IF($C369="","","V"&amp;TEXT(ROW()-6,"00000"))</f>
        <v/>
      </c>
      <c r="C369" s="114" t="n"/>
      <c r="D369" s="107" t="n"/>
      <c r="E369" s="107" t="n"/>
      <c r="F369" s="115" t="n"/>
      <c r="G369" s="108" t="n"/>
      <c r="H369" s="108" t="n"/>
      <c r="I369" s="108" t="n"/>
      <c r="J369" s="112">
        <f>IF($C369="","",IF(AND($D369&lt;&gt;"",$E369&lt;&gt;"",$D369&lt;&gt;$E369,$F369&gt;0),"UYGUN","HATA"))</f>
        <v/>
      </c>
      <c r="K369" s="6" t="n"/>
      <c r="L369" s="6" t="n"/>
    </row>
    <row r="370">
      <c r="A370" s="6" t="n"/>
      <c r="B370" s="112">
        <f>IF($C370="","","V"&amp;TEXT(ROW()-6,"00000"))</f>
        <v/>
      </c>
      <c r="C370" s="114" t="n"/>
      <c r="D370" s="107" t="n"/>
      <c r="E370" s="107" t="n"/>
      <c r="F370" s="115" t="n"/>
      <c r="G370" s="108" t="n"/>
      <c r="H370" s="108" t="n"/>
      <c r="I370" s="108" t="n"/>
      <c r="J370" s="112">
        <f>IF($C370="","",IF(AND($D370&lt;&gt;"",$E370&lt;&gt;"",$D370&lt;&gt;$E370,$F370&gt;0),"UYGUN","HATA"))</f>
        <v/>
      </c>
      <c r="K370" s="6" t="n"/>
      <c r="L370" s="6" t="n"/>
    </row>
    <row r="371">
      <c r="A371" s="6" t="n"/>
      <c r="B371" s="112">
        <f>IF($C371="","","V"&amp;TEXT(ROW()-6,"00000"))</f>
        <v/>
      </c>
      <c r="C371" s="114" t="n"/>
      <c r="D371" s="107" t="n"/>
      <c r="E371" s="107" t="n"/>
      <c r="F371" s="115" t="n"/>
      <c r="G371" s="108" t="n"/>
      <c r="H371" s="108" t="n"/>
      <c r="I371" s="108" t="n"/>
      <c r="J371" s="112">
        <f>IF($C371="","",IF(AND($D371&lt;&gt;"",$E371&lt;&gt;"",$D371&lt;&gt;$E371,$F371&gt;0),"UYGUN","HATA"))</f>
        <v/>
      </c>
      <c r="K371" s="6" t="n"/>
      <c r="L371" s="6" t="n"/>
    </row>
    <row r="372">
      <c r="A372" s="6" t="n"/>
      <c r="B372" s="112">
        <f>IF($C372="","","V"&amp;TEXT(ROW()-6,"00000"))</f>
        <v/>
      </c>
      <c r="C372" s="114" t="n"/>
      <c r="D372" s="107" t="n"/>
      <c r="E372" s="107" t="n"/>
      <c r="F372" s="115" t="n"/>
      <c r="G372" s="108" t="n"/>
      <c r="H372" s="108" t="n"/>
      <c r="I372" s="108" t="n"/>
      <c r="J372" s="112">
        <f>IF($C372="","",IF(AND($D372&lt;&gt;"",$E372&lt;&gt;"",$D372&lt;&gt;$E372,$F372&gt;0),"UYGUN","HATA"))</f>
        <v/>
      </c>
      <c r="K372" s="6" t="n"/>
      <c r="L372" s="6" t="n"/>
    </row>
    <row r="373">
      <c r="A373" s="6" t="n"/>
      <c r="B373" s="112">
        <f>IF($C373="","","V"&amp;TEXT(ROW()-6,"00000"))</f>
        <v/>
      </c>
      <c r="C373" s="114" t="n"/>
      <c r="D373" s="107" t="n"/>
      <c r="E373" s="107" t="n"/>
      <c r="F373" s="115" t="n"/>
      <c r="G373" s="108" t="n"/>
      <c r="H373" s="108" t="n"/>
      <c r="I373" s="108" t="n"/>
      <c r="J373" s="112">
        <f>IF($C373="","",IF(AND($D373&lt;&gt;"",$E373&lt;&gt;"",$D373&lt;&gt;$E373,$F373&gt;0),"UYGUN","HATA"))</f>
        <v/>
      </c>
      <c r="K373" s="6" t="n"/>
      <c r="L373" s="6" t="n"/>
    </row>
    <row r="374">
      <c r="A374" s="6" t="n"/>
      <c r="B374" s="112">
        <f>IF($C374="","","V"&amp;TEXT(ROW()-6,"00000"))</f>
        <v/>
      </c>
      <c r="C374" s="114" t="n"/>
      <c r="D374" s="107" t="n"/>
      <c r="E374" s="107" t="n"/>
      <c r="F374" s="115" t="n"/>
      <c r="G374" s="108" t="n"/>
      <c r="H374" s="108" t="n"/>
      <c r="I374" s="108" t="n"/>
      <c r="J374" s="112">
        <f>IF($C374="","",IF(AND($D374&lt;&gt;"",$E374&lt;&gt;"",$D374&lt;&gt;$E374,$F374&gt;0),"UYGUN","HATA"))</f>
        <v/>
      </c>
      <c r="K374" s="6" t="n"/>
      <c r="L374" s="6" t="n"/>
    </row>
    <row r="375">
      <c r="A375" s="6" t="n"/>
      <c r="B375" s="112">
        <f>IF($C375="","","V"&amp;TEXT(ROW()-6,"00000"))</f>
        <v/>
      </c>
      <c r="C375" s="114" t="n"/>
      <c r="D375" s="107" t="n"/>
      <c r="E375" s="107" t="n"/>
      <c r="F375" s="115" t="n"/>
      <c r="G375" s="108" t="n"/>
      <c r="H375" s="108" t="n"/>
      <c r="I375" s="108" t="n"/>
      <c r="J375" s="112">
        <f>IF($C375="","",IF(AND($D375&lt;&gt;"",$E375&lt;&gt;"",$D375&lt;&gt;$E375,$F375&gt;0),"UYGUN","HATA"))</f>
        <v/>
      </c>
      <c r="K375" s="6" t="n"/>
      <c r="L375" s="6" t="n"/>
    </row>
    <row r="376">
      <c r="A376" s="6" t="n"/>
      <c r="B376" s="112">
        <f>IF($C376="","","V"&amp;TEXT(ROW()-6,"00000"))</f>
        <v/>
      </c>
      <c r="C376" s="114" t="n"/>
      <c r="D376" s="107" t="n"/>
      <c r="E376" s="107" t="n"/>
      <c r="F376" s="115" t="n"/>
      <c r="G376" s="108" t="n"/>
      <c r="H376" s="108" t="n"/>
      <c r="I376" s="108" t="n"/>
      <c r="J376" s="112">
        <f>IF($C376="","",IF(AND($D376&lt;&gt;"",$E376&lt;&gt;"",$D376&lt;&gt;$E376,$F376&gt;0),"UYGUN","HATA"))</f>
        <v/>
      </c>
      <c r="K376" s="6" t="n"/>
      <c r="L376" s="6" t="n"/>
    </row>
    <row r="377">
      <c r="A377" s="6" t="n"/>
      <c r="B377" s="112">
        <f>IF($C377="","","V"&amp;TEXT(ROW()-6,"00000"))</f>
        <v/>
      </c>
      <c r="C377" s="114" t="n"/>
      <c r="D377" s="107" t="n"/>
      <c r="E377" s="107" t="n"/>
      <c r="F377" s="115" t="n"/>
      <c r="G377" s="108" t="n"/>
      <c r="H377" s="108" t="n"/>
      <c r="I377" s="108" t="n"/>
      <c r="J377" s="112">
        <f>IF($C377="","",IF(AND($D377&lt;&gt;"",$E377&lt;&gt;"",$D377&lt;&gt;$E377,$F377&gt;0),"UYGUN","HATA"))</f>
        <v/>
      </c>
      <c r="K377" s="6" t="n"/>
      <c r="L377" s="6" t="n"/>
    </row>
    <row r="378">
      <c r="A378" s="6" t="n"/>
      <c r="B378" s="112">
        <f>IF($C378="","","V"&amp;TEXT(ROW()-6,"00000"))</f>
        <v/>
      </c>
      <c r="C378" s="114" t="n"/>
      <c r="D378" s="107" t="n"/>
      <c r="E378" s="107" t="n"/>
      <c r="F378" s="115" t="n"/>
      <c r="G378" s="108" t="n"/>
      <c r="H378" s="108" t="n"/>
      <c r="I378" s="108" t="n"/>
      <c r="J378" s="112">
        <f>IF($C378="","",IF(AND($D378&lt;&gt;"",$E378&lt;&gt;"",$D378&lt;&gt;$E378,$F378&gt;0),"UYGUN","HATA"))</f>
        <v/>
      </c>
      <c r="K378" s="6" t="n"/>
      <c r="L378" s="6" t="n"/>
    </row>
    <row r="379">
      <c r="A379" s="6" t="n"/>
      <c r="B379" s="112">
        <f>IF($C379="","","V"&amp;TEXT(ROW()-6,"00000"))</f>
        <v/>
      </c>
      <c r="C379" s="114" t="n"/>
      <c r="D379" s="107" t="n"/>
      <c r="E379" s="107" t="n"/>
      <c r="F379" s="115" t="n"/>
      <c r="G379" s="108" t="n"/>
      <c r="H379" s="108" t="n"/>
      <c r="I379" s="108" t="n"/>
      <c r="J379" s="112">
        <f>IF($C379="","",IF(AND($D379&lt;&gt;"",$E379&lt;&gt;"",$D379&lt;&gt;$E379,$F379&gt;0),"UYGUN","HATA"))</f>
        <v/>
      </c>
      <c r="K379" s="6" t="n"/>
      <c r="L379" s="6" t="n"/>
    </row>
    <row r="380">
      <c r="A380" s="6" t="n"/>
      <c r="B380" s="112">
        <f>IF($C380="","","V"&amp;TEXT(ROW()-6,"00000"))</f>
        <v/>
      </c>
      <c r="C380" s="114" t="n"/>
      <c r="D380" s="107" t="n"/>
      <c r="E380" s="107" t="n"/>
      <c r="F380" s="115" t="n"/>
      <c r="G380" s="108" t="n"/>
      <c r="H380" s="108" t="n"/>
      <c r="I380" s="108" t="n"/>
      <c r="J380" s="112">
        <f>IF($C380="","",IF(AND($D380&lt;&gt;"",$E380&lt;&gt;"",$D380&lt;&gt;$E380,$F380&gt;0),"UYGUN","HATA"))</f>
        <v/>
      </c>
      <c r="K380" s="6" t="n"/>
      <c r="L380" s="6" t="n"/>
    </row>
    <row r="381">
      <c r="A381" s="6" t="n"/>
      <c r="B381" s="112">
        <f>IF($C381="","","V"&amp;TEXT(ROW()-6,"00000"))</f>
        <v/>
      </c>
      <c r="C381" s="114" t="n"/>
      <c r="D381" s="107" t="n"/>
      <c r="E381" s="107" t="n"/>
      <c r="F381" s="115" t="n"/>
      <c r="G381" s="108" t="n"/>
      <c r="H381" s="108" t="n"/>
      <c r="I381" s="108" t="n"/>
      <c r="J381" s="112">
        <f>IF($C381="","",IF(AND($D381&lt;&gt;"",$E381&lt;&gt;"",$D381&lt;&gt;$E381,$F381&gt;0),"UYGUN","HATA"))</f>
        <v/>
      </c>
      <c r="K381" s="6" t="n"/>
      <c r="L381" s="6" t="n"/>
    </row>
    <row r="382">
      <c r="A382" s="6" t="n"/>
      <c r="B382" s="112">
        <f>IF($C382="","","V"&amp;TEXT(ROW()-6,"00000"))</f>
        <v/>
      </c>
      <c r="C382" s="114" t="n"/>
      <c r="D382" s="107" t="n"/>
      <c r="E382" s="107" t="n"/>
      <c r="F382" s="115" t="n"/>
      <c r="G382" s="108" t="n"/>
      <c r="H382" s="108" t="n"/>
      <c r="I382" s="108" t="n"/>
      <c r="J382" s="112">
        <f>IF($C382="","",IF(AND($D382&lt;&gt;"",$E382&lt;&gt;"",$D382&lt;&gt;$E382,$F382&gt;0),"UYGUN","HATA"))</f>
        <v/>
      </c>
      <c r="K382" s="6" t="n"/>
      <c r="L382" s="6" t="n"/>
    </row>
    <row r="383">
      <c r="A383" s="6" t="n"/>
      <c r="B383" s="112">
        <f>IF($C383="","","V"&amp;TEXT(ROW()-6,"00000"))</f>
        <v/>
      </c>
      <c r="C383" s="114" t="n"/>
      <c r="D383" s="107" t="n"/>
      <c r="E383" s="107" t="n"/>
      <c r="F383" s="115" t="n"/>
      <c r="G383" s="108" t="n"/>
      <c r="H383" s="108" t="n"/>
      <c r="I383" s="108" t="n"/>
      <c r="J383" s="112">
        <f>IF($C383="","",IF(AND($D383&lt;&gt;"",$E383&lt;&gt;"",$D383&lt;&gt;$E383,$F383&gt;0),"UYGUN","HATA"))</f>
        <v/>
      </c>
      <c r="K383" s="6" t="n"/>
      <c r="L383" s="6" t="n"/>
    </row>
    <row r="384">
      <c r="A384" s="6" t="n"/>
      <c r="B384" s="112">
        <f>IF($C384="","","V"&amp;TEXT(ROW()-6,"00000"))</f>
        <v/>
      </c>
      <c r="C384" s="114" t="n"/>
      <c r="D384" s="107" t="n"/>
      <c r="E384" s="107" t="n"/>
      <c r="F384" s="115" t="n"/>
      <c r="G384" s="108" t="n"/>
      <c r="H384" s="108" t="n"/>
      <c r="I384" s="108" t="n"/>
      <c r="J384" s="112">
        <f>IF($C384="","",IF(AND($D384&lt;&gt;"",$E384&lt;&gt;"",$D384&lt;&gt;$E384,$F384&gt;0),"UYGUN","HATA"))</f>
        <v/>
      </c>
      <c r="K384" s="6" t="n"/>
      <c r="L384" s="6" t="n"/>
    </row>
    <row r="385">
      <c r="A385" s="6" t="n"/>
      <c r="B385" s="112">
        <f>IF($C385="","","V"&amp;TEXT(ROW()-6,"00000"))</f>
        <v/>
      </c>
      <c r="C385" s="114" t="n"/>
      <c r="D385" s="107" t="n"/>
      <c r="E385" s="107" t="n"/>
      <c r="F385" s="115" t="n"/>
      <c r="G385" s="108" t="n"/>
      <c r="H385" s="108" t="n"/>
      <c r="I385" s="108" t="n"/>
      <c r="J385" s="112">
        <f>IF($C385="","",IF(AND($D385&lt;&gt;"",$E385&lt;&gt;"",$D385&lt;&gt;$E385,$F385&gt;0),"UYGUN","HATA"))</f>
        <v/>
      </c>
      <c r="K385" s="6" t="n"/>
      <c r="L385" s="6" t="n"/>
    </row>
    <row r="386">
      <c r="A386" s="6" t="n"/>
      <c r="B386" s="112">
        <f>IF($C386="","","V"&amp;TEXT(ROW()-6,"00000"))</f>
        <v/>
      </c>
      <c r="C386" s="114" t="n"/>
      <c r="D386" s="107" t="n"/>
      <c r="E386" s="107" t="n"/>
      <c r="F386" s="115" t="n"/>
      <c r="G386" s="108" t="n"/>
      <c r="H386" s="108" t="n"/>
      <c r="I386" s="108" t="n"/>
      <c r="J386" s="112">
        <f>IF($C386="","",IF(AND($D386&lt;&gt;"",$E386&lt;&gt;"",$D386&lt;&gt;$E386,$F386&gt;0),"UYGUN","HATA"))</f>
        <v/>
      </c>
      <c r="K386" s="6" t="n"/>
      <c r="L386" s="6" t="n"/>
    </row>
    <row r="387">
      <c r="A387" s="6" t="n"/>
      <c r="B387" s="112">
        <f>IF($C387="","","V"&amp;TEXT(ROW()-6,"00000"))</f>
        <v/>
      </c>
      <c r="C387" s="114" t="n"/>
      <c r="D387" s="107" t="n"/>
      <c r="E387" s="107" t="n"/>
      <c r="F387" s="115" t="n"/>
      <c r="G387" s="108" t="n"/>
      <c r="H387" s="108" t="n"/>
      <c r="I387" s="108" t="n"/>
      <c r="J387" s="112">
        <f>IF($C387="","",IF(AND($D387&lt;&gt;"",$E387&lt;&gt;"",$D387&lt;&gt;$E387,$F387&gt;0),"UYGUN","HATA"))</f>
        <v/>
      </c>
      <c r="K387" s="6" t="n"/>
      <c r="L387" s="6" t="n"/>
    </row>
    <row r="388">
      <c r="A388" s="6" t="n"/>
      <c r="B388" s="112">
        <f>IF($C388="","","V"&amp;TEXT(ROW()-6,"00000"))</f>
        <v/>
      </c>
      <c r="C388" s="114" t="n"/>
      <c r="D388" s="107" t="n"/>
      <c r="E388" s="107" t="n"/>
      <c r="F388" s="115" t="n"/>
      <c r="G388" s="108" t="n"/>
      <c r="H388" s="108" t="n"/>
      <c r="I388" s="108" t="n"/>
      <c r="J388" s="112">
        <f>IF($C388="","",IF(AND($D388&lt;&gt;"",$E388&lt;&gt;"",$D388&lt;&gt;$E388,$F388&gt;0),"UYGUN","HATA"))</f>
        <v/>
      </c>
      <c r="K388" s="6" t="n"/>
      <c r="L388" s="6" t="n"/>
    </row>
    <row r="389">
      <c r="A389" s="6" t="n"/>
      <c r="B389" s="112">
        <f>IF($C389="","","V"&amp;TEXT(ROW()-6,"00000"))</f>
        <v/>
      </c>
      <c r="C389" s="114" t="n"/>
      <c r="D389" s="107" t="n"/>
      <c r="E389" s="107" t="n"/>
      <c r="F389" s="115" t="n"/>
      <c r="G389" s="108" t="n"/>
      <c r="H389" s="108" t="n"/>
      <c r="I389" s="108" t="n"/>
      <c r="J389" s="112">
        <f>IF($C389="","",IF(AND($D389&lt;&gt;"",$E389&lt;&gt;"",$D389&lt;&gt;$E389,$F389&gt;0),"UYGUN","HATA"))</f>
        <v/>
      </c>
      <c r="K389" s="6" t="n"/>
      <c r="L389" s="6" t="n"/>
    </row>
    <row r="390">
      <c r="A390" s="6" t="n"/>
      <c r="B390" s="112">
        <f>IF($C390="","","V"&amp;TEXT(ROW()-6,"00000"))</f>
        <v/>
      </c>
      <c r="C390" s="114" t="n"/>
      <c r="D390" s="107" t="n"/>
      <c r="E390" s="107" t="n"/>
      <c r="F390" s="115" t="n"/>
      <c r="G390" s="108" t="n"/>
      <c r="H390" s="108" t="n"/>
      <c r="I390" s="108" t="n"/>
      <c r="J390" s="112">
        <f>IF($C390="","",IF(AND($D390&lt;&gt;"",$E390&lt;&gt;"",$D390&lt;&gt;$E390,$F390&gt;0),"UYGUN","HATA"))</f>
        <v/>
      </c>
      <c r="K390" s="6" t="n"/>
      <c r="L390" s="6" t="n"/>
    </row>
    <row r="391">
      <c r="A391" s="6" t="n"/>
      <c r="B391" s="112">
        <f>IF($C391="","","V"&amp;TEXT(ROW()-6,"00000"))</f>
        <v/>
      </c>
      <c r="C391" s="114" t="n"/>
      <c r="D391" s="107" t="n"/>
      <c r="E391" s="107" t="n"/>
      <c r="F391" s="115" t="n"/>
      <c r="G391" s="108" t="n"/>
      <c r="H391" s="108" t="n"/>
      <c r="I391" s="108" t="n"/>
      <c r="J391" s="112">
        <f>IF($C391="","",IF(AND($D391&lt;&gt;"",$E391&lt;&gt;"",$D391&lt;&gt;$E391,$F391&gt;0),"UYGUN","HATA"))</f>
        <v/>
      </c>
      <c r="K391" s="6" t="n"/>
      <c r="L391" s="6" t="n"/>
    </row>
    <row r="392">
      <c r="A392" s="6" t="n"/>
      <c r="B392" s="112">
        <f>IF($C392="","","V"&amp;TEXT(ROW()-6,"00000"))</f>
        <v/>
      </c>
      <c r="C392" s="114" t="n"/>
      <c r="D392" s="107" t="n"/>
      <c r="E392" s="107" t="n"/>
      <c r="F392" s="115" t="n"/>
      <c r="G392" s="108" t="n"/>
      <c r="H392" s="108" t="n"/>
      <c r="I392" s="108" t="n"/>
      <c r="J392" s="112">
        <f>IF($C392="","",IF(AND($D392&lt;&gt;"",$E392&lt;&gt;"",$D392&lt;&gt;$E392,$F392&gt;0),"UYGUN","HATA"))</f>
        <v/>
      </c>
      <c r="K392" s="6" t="n"/>
      <c r="L392" s="6" t="n"/>
    </row>
    <row r="393">
      <c r="A393" s="6" t="n"/>
      <c r="B393" s="112">
        <f>IF($C393="","","V"&amp;TEXT(ROW()-6,"00000"))</f>
        <v/>
      </c>
      <c r="C393" s="114" t="n"/>
      <c r="D393" s="107" t="n"/>
      <c r="E393" s="107" t="n"/>
      <c r="F393" s="115" t="n"/>
      <c r="G393" s="108" t="n"/>
      <c r="H393" s="108" t="n"/>
      <c r="I393" s="108" t="n"/>
      <c r="J393" s="112">
        <f>IF($C393="","",IF(AND($D393&lt;&gt;"",$E393&lt;&gt;"",$D393&lt;&gt;$E393,$F393&gt;0),"UYGUN","HATA"))</f>
        <v/>
      </c>
      <c r="K393" s="6" t="n"/>
      <c r="L393" s="6" t="n"/>
    </row>
    <row r="394">
      <c r="A394" s="6" t="n"/>
      <c r="B394" s="112">
        <f>IF($C394="","","V"&amp;TEXT(ROW()-6,"00000"))</f>
        <v/>
      </c>
      <c r="C394" s="114" t="n"/>
      <c r="D394" s="107" t="n"/>
      <c r="E394" s="107" t="n"/>
      <c r="F394" s="115" t="n"/>
      <c r="G394" s="108" t="n"/>
      <c r="H394" s="108" t="n"/>
      <c r="I394" s="108" t="n"/>
      <c r="J394" s="112">
        <f>IF($C394="","",IF(AND($D394&lt;&gt;"",$E394&lt;&gt;"",$D394&lt;&gt;$E394,$F394&gt;0),"UYGUN","HATA"))</f>
        <v/>
      </c>
      <c r="K394" s="6" t="n"/>
      <c r="L394" s="6" t="n"/>
    </row>
    <row r="395">
      <c r="A395" s="6" t="n"/>
      <c r="B395" s="112">
        <f>IF($C395="","","V"&amp;TEXT(ROW()-6,"00000"))</f>
        <v/>
      </c>
      <c r="C395" s="114" t="n"/>
      <c r="D395" s="107" t="n"/>
      <c r="E395" s="107" t="n"/>
      <c r="F395" s="115" t="n"/>
      <c r="G395" s="108" t="n"/>
      <c r="H395" s="108" t="n"/>
      <c r="I395" s="108" t="n"/>
      <c r="J395" s="112">
        <f>IF($C395="","",IF(AND($D395&lt;&gt;"",$E395&lt;&gt;"",$D395&lt;&gt;$E395,$F395&gt;0),"UYGUN","HATA"))</f>
        <v/>
      </c>
      <c r="K395" s="6" t="n"/>
      <c r="L395" s="6" t="n"/>
    </row>
    <row r="396">
      <c r="A396" s="6" t="n"/>
      <c r="B396" s="112">
        <f>IF($C396="","","V"&amp;TEXT(ROW()-6,"00000"))</f>
        <v/>
      </c>
      <c r="C396" s="114" t="n"/>
      <c r="D396" s="107" t="n"/>
      <c r="E396" s="107" t="n"/>
      <c r="F396" s="115" t="n"/>
      <c r="G396" s="108" t="n"/>
      <c r="H396" s="108" t="n"/>
      <c r="I396" s="108" t="n"/>
      <c r="J396" s="112">
        <f>IF($C396="","",IF(AND($D396&lt;&gt;"",$E396&lt;&gt;"",$D396&lt;&gt;$E396,$F396&gt;0),"UYGUN","HATA"))</f>
        <v/>
      </c>
      <c r="K396" s="6" t="n"/>
      <c r="L396" s="6" t="n"/>
    </row>
    <row r="397">
      <c r="A397" s="6" t="n"/>
      <c r="B397" s="112">
        <f>IF($C397="","","V"&amp;TEXT(ROW()-6,"00000"))</f>
        <v/>
      </c>
      <c r="C397" s="114" t="n"/>
      <c r="D397" s="107" t="n"/>
      <c r="E397" s="107" t="n"/>
      <c r="F397" s="115" t="n"/>
      <c r="G397" s="108" t="n"/>
      <c r="H397" s="108" t="n"/>
      <c r="I397" s="108" t="n"/>
      <c r="J397" s="112">
        <f>IF($C397="","",IF(AND($D397&lt;&gt;"",$E397&lt;&gt;"",$D397&lt;&gt;$E397,$F397&gt;0),"UYGUN","HATA"))</f>
        <v/>
      </c>
      <c r="K397" s="6" t="n"/>
      <c r="L397" s="6" t="n"/>
    </row>
    <row r="398">
      <c r="A398" s="6" t="n"/>
      <c r="B398" s="112">
        <f>IF($C398="","","V"&amp;TEXT(ROW()-6,"00000"))</f>
        <v/>
      </c>
      <c r="C398" s="114" t="n"/>
      <c r="D398" s="107" t="n"/>
      <c r="E398" s="107" t="n"/>
      <c r="F398" s="115" t="n"/>
      <c r="G398" s="108" t="n"/>
      <c r="H398" s="108" t="n"/>
      <c r="I398" s="108" t="n"/>
      <c r="J398" s="112">
        <f>IF($C398="","",IF(AND($D398&lt;&gt;"",$E398&lt;&gt;"",$D398&lt;&gt;$E398,$F398&gt;0),"UYGUN","HATA"))</f>
        <v/>
      </c>
      <c r="K398" s="6" t="n"/>
      <c r="L398" s="6" t="n"/>
    </row>
    <row r="399">
      <c r="A399" s="6" t="n"/>
      <c r="B399" s="112">
        <f>IF($C399="","","V"&amp;TEXT(ROW()-6,"00000"))</f>
        <v/>
      </c>
      <c r="C399" s="114" t="n"/>
      <c r="D399" s="107" t="n"/>
      <c r="E399" s="107" t="n"/>
      <c r="F399" s="115" t="n"/>
      <c r="G399" s="108" t="n"/>
      <c r="H399" s="108" t="n"/>
      <c r="I399" s="108" t="n"/>
      <c r="J399" s="112">
        <f>IF($C399="","",IF(AND($D399&lt;&gt;"",$E399&lt;&gt;"",$D399&lt;&gt;$E399,$F399&gt;0),"UYGUN","HATA"))</f>
        <v/>
      </c>
      <c r="K399" s="6" t="n"/>
      <c r="L399" s="6" t="n"/>
    </row>
    <row r="400">
      <c r="A400" s="6" t="n"/>
      <c r="B400" s="112">
        <f>IF($C400="","","V"&amp;TEXT(ROW()-6,"00000"))</f>
        <v/>
      </c>
      <c r="C400" s="114" t="n"/>
      <c r="D400" s="107" t="n"/>
      <c r="E400" s="107" t="n"/>
      <c r="F400" s="115" t="n"/>
      <c r="G400" s="108" t="n"/>
      <c r="H400" s="108" t="n"/>
      <c r="I400" s="108" t="n"/>
      <c r="J400" s="112">
        <f>IF($C400="","",IF(AND($D400&lt;&gt;"",$E400&lt;&gt;"",$D400&lt;&gt;$E400,$F400&gt;0),"UYGUN","HATA"))</f>
        <v/>
      </c>
      <c r="K400" s="6" t="n"/>
      <c r="L400" s="6" t="n"/>
    </row>
    <row r="401">
      <c r="A401" s="6" t="n"/>
      <c r="B401" s="112">
        <f>IF($C401="","","V"&amp;TEXT(ROW()-6,"00000"))</f>
        <v/>
      </c>
      <c r="C401" s="114" t="n"/>
      <c r="D401" s="107" t="n"/>
      <c r="E401" s="107" t="n"/>
      <c r="F401" s="115" t="n"/>
      <c r="G401" s="108" t="n"/>
      <c r="H401" s="108" t="n"/>
      <c r="I401" s="108" t="n"/>
      <c r="J401" s="112">
        <f>IF($C401="","",IF(AND($D401&lt;&gt;"",$E401&lt;&gt;"",$D401&lt;&gt;$E401,$F401&gt;0),"UYGUN","HATA"))</f>
        <v/>
      </c>
      <c r="K401" s="6" t="n"/>
      <c r="L401" s="6" t="n"/>
    </row>
    <row r="402">
      <c r="A402" s="6" t="n"/>
      <c r="B402" s="112">
        <f>IF($C402="","","V"&amp;TEXT(ROW()-6,"00000"))</f>
        <v/>
      </c>
      <c r="C402" s="114" t="n"/>
      <c r="D402" s="107" t="n"/>
      <c r="E402" s="107" t="n"/>
      <c r="F402" s="115" t="n"/>
      <c r="G402" s="108" t="n"/>
      <c r="H402" s="108" t="n"/>
      <c r="I402" s="108" t="n"/>
      <c r="J402" s="112">
        <f>IF($C402="","",IF(AND($D402&lt;&gt;"",$E402&lt;&gt;"",$D402&lt;&gt;$E402,$F402&gt;0),"UYGUN","HATA"))</f>
        <v/>
      </c>
      <c r="K402" s="6" t="n"/>
      <c r="L402" s="6" t="n"/>
    </row>
    <row r="403">
      <c r="A403" s="6" t="n"/>
      <c r="B403" s="112">
        <f>IF($C403="","","V"&amp;TEXT(ROW()-6,"00000"))</f>
        <v/>
      </c>
      <c r="C403" s="114" t="n"/>
      <c r="D403" s="107" t="n"/>
      <c r="E403" s="107" t="n"/>
      <c r="F403" s="115" t="n"/>
      <c r="G403" s="108" t="n"/>
      <c r="H403" s="108" t="n"/>
      <c r="I403" s="108" t="n"/>
      <c r="J403" s="112">
        <f>IF($C403="","",IF(AND($D403&lt;&gt;"",$E403&lt;&gt;"",$D403&lt;&gt;$E403,$F403&gt;0),"UYGUN","HATA"))</f>
        <v/>
      </c>
      <c r="K403" s="6" t="n"/>
      <c r="L403" s="6" t="n"/>
    </row>
    <row r="404">
      <c r="A404" s="6" t="n"/>
      <c r="B404" s="112">
        <f>IF($C404="","","V"&amp;TEXT(ROW()-6,"00000"))</f>
        <v/>
      </c>
      <c r="C404" s="114" t="n"/>
      <c r="D404" s="107" t="n"/>
      <c r="E404" s="107" t="n"/>
      <c r="F404" s="115" t="n"/>
      <c r="G404" s="108" t="n"/>
      <c r="H404" s="108" t="n"/>
      <c r="I404" s="108" t="n"/>
      <c r="J404" s="112">
        <f>IF($C404="","",IF(AND($D404&lt;&gt;"",$E404&lt;&gt;"",$D404&lt;&gt;$E404,$F404&gt;0),"UYGUN","HATA"))</f>
        <v/>
      </c>
      <c r="K404" s="6" t="n"/>
      <c r="L404" s="6" t="n"/>
    </row>
    <row r="405">
      <c r="A405" s="6" t="n"/>
      <c r="B405" s="112">
        <f>IF($C405="","","V"&amp;TEXT(ROW()-6,"00000"))</f>
        <v/>
      </c>
      <c r="C405" s="114" t="n"/>
      <c r="D405" s="107" t="n"/>
      <c r="E405" s="107" t="n"/>
      <c r="F405" s="115" t="n"/>
      <c r="G405" s="108" t="n"/>
      <c r="H405" s="108" t="n"/>
      <c r="I405" s="108" t="n"/>
      <c r="J405" s="112">
        <f>IF($C405="","",IF(AND($D405&lt;&gt;"",$E405&lt;&gt;"",$D405&lt;&gt;$E405,$F405&gt;0),"UYGUN","HATA"))</f>
        <v/>
      </c>
      <c r="K405" s="6" t="n"/>
      <c r="L405" s="6" t="n"/>
    </row>
    <row r="406">
      <c r="A406" s="6" t="n"/>
      <c r="B406" s="112">
        <f>IF($C406="","","V"&amp;TEXT(ROW()-6,"00000"))</f>
        <v/>
      </c>
      <c r="C406" s="114" t="n"/>
      <c r="D406" s="107" t="n"/>
      <c r="E406" s="107" t="n"/>
      <c r="F406" s="115" t="n"/>
      <c r="G406" s="108" t="n"/>
      <c r="H406" s="108" t="n"/>
      <c r="I406" s="108" t="n"/>
      <c r="J406" s="112">
        <f>IF($C406="","",IF(AND($D406&lt;&gt;"",$E406&lt;&gt;"",$D406&lt;&gt;$E406,$F406&gt;0),"UYGUN","HATA"))</f>
        <v/>
      </c>
      <c r="K406" s="6" t="n"/>
      <c r="L406" s="6" t="n"/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J406"/>
  <mergeCells count="2">
    <mergeCell ref="A2:K2"/>
    <mergeCell ref="A1:K1"/>
  </mergeCells>
  <conditionalFormatting sqref="J7:J406">
    <cfRule type="expression" priority="1" dxfId="3" stopIfTrue="1">
      <formula>EXACT($J7,"UYGUN")</formula>
    </cfRule>
    <cfRule type="expression" priority="2" dxfId="4" stopIfTrue="1">
      <formula>EXACT($J7,"EKSİK")</formula>
    </cfRule>
    <cfRule type="expression" priority="3" dxfId="5" stopIfTrue="1">
      <formula>EXACT($J7,"HATA")</formula>
    </cfRule>
    <cfRule type="expression" priority="4" dxfId="5" stopIfTrue="1">
      <formula>EXACT($J7,"İLERİ TARİH")</formula>
    </cfRule>
    <cfRule type="expression" priority="5" dxfId="6" stopIfTrue="1">
      <formula>EXACT($J7,"PASİF")</formula>
    </cfRule>
  </conditionalFormatting>
  <dataValidations count="2">
    <dataValidation sqref="D7:D406" showDropDown="0" showInputMessage="0" showErrorMessage="1" allowBlank="1" errorTitle="Tanımsız hesap" error="HESAPLAR ekranındaki bir hesabı seçin." type="list">
      <formula1>LST_HESAP</formula1>
    </dataValidation>
    <dataValidation sqref="E7:E406" showDropDown="0" showInputMessage="0" showErrorMessage="1" allowBlank="1" errorTitle="Tanımsız hesap" error="HESAPLAR ekranındaki bir hesabı seçin." type="list">
      <formula1>LST_HESAP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S1008"/>
  <sheetViews>
    <sheetView showGridLines="0" tabSelected="0" zoomScale="10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1" customWidth="1" min="2" max="2"/>
    <col width="12" customWidth="1" min="3" max="3"/>
    <col width="12" customWidth="1" min="4" max="4"/>
    <col width="28" customWidth="1" min="5" max="5"/>
    <col width="24" customWidth="1" min="6" max="6"/>
    <col width="14" customWidth="1" min="7" max="7"/>
    <col width="13" customWidth="1" min="8" max="8"/>
    <col width="15" customWidth="1" min="9" max="9"/>
    <col width="15" customWidth="1" min="10" max="10"/>
    <col width="12" customWidth="1" min="11" max="11"/>
    <col width="18" customWidth="1" min="12" max="12"/>
    <col width="34" customWidth="1" min="13" max="13"/>
    <col width="30" customWidth="1" min="14" max="14"/>
    <col width="13" customWidth="1" min="15" max="15"/>
    <col width="12" customWidth="1" min="16" max="16"/>
    <col width="16" customWidth="1" min="17" max="17"/>
    <col width="2.4" customWidth="1" min="18" max="18"/>
    <col width="2.4" customWidth="1" min="19" max="19"/>
  </cols>
  <sheetData>
    <row r="1" ht="38" customHeight="1">
      <c r="A1" s="1" t="inlineStr">
        <is>
          <t>NECATİBEY OFİS YÖNETİM SİSTEMİ   │   MÜŞTERİ AKTİVİTESİ  │  İşLER VE GÖRÜŞMELER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45" t="n"/>
    </row>
    <row r="2" ht="22" customHeight="1">
      <c r="A2" s="4" t="inlineStr">
        <is>
          <t>Beyanname, bildirim, telefon, toplantı │ Her kayıt son tarih ve sonraki adım üretir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 ht="20" customHeight="1">
      <c r="A4" s="6" t="n"/>
      <c r="B4" s="47">
        <f>HYPERLINK("#PANO!A1","←  PANO")</f>
        <v/>
      </c>
      <c r="C4" s="6" t="n"/>
      <c r="D4" s="98">
        <f>HYPERLINK("#MUSTERILER!A1","Müşteriler")</f>
        <v/>
      </c>
      <c r="E4" s="6" t="n"/>
      <c r="F4" s="99" t="inlineStr">
        <is>
          <t>Sarı hücreler veri girişidir. Beyaz hücreler sistem tarafından hesaplanır ve kilitlidir. Tür = Görüşme seçildiğinde Sonraki İşlem zorunludur.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 ht="26" customHeight="1">
      <c r="A5" s="6" t="n"/>
      <c r="B5" s="100" t="n"/>
      <c r="C5" s="101" t="inlineStr">
        <is>
          <t>TOPLAM  │  Açık iş ve gecikmiş uyarı</t>
        </is>
      </c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18">
        <f>COUNTIF($Q$7:$Q$1006,"GECİKMİŞ")</f>
        <v/>
      </c>
      <c r="R5" s="6" t="n"/>
      <c r="S5" s="6" t="n"/>
    </row>
    <row r="6" ht="40" customHeight="1">
      <c r="A6" s="6" t="n"/>
      <c r="B6" s="104" t="inlineStr">
        <is>
          <t>Kayıt No</t>
        </is>
      </c>
      <c r="C6" s="104" t="inlineStr">
        <is>
          <t>Tür</t>
        </is>
      </c>
      <c r="D6" s="104" t="inlineStr">
        <is>
          <t>Müşteri No</t>
        </is>
      </c>
      <c r="E6" s="105" t="inlineStr">
        <is>
          <t>Müşteri</t>
        </is>
      </c>
      <c r="F6" s="105" t="inlineStr">
        <is>
          <t>Konu / İş Türü</t>
        </is>
      </c>
      <c r="G6" s="104" t="inlineStr">
        <is>
          <t>Dönem</t>
        </is>
      </c>
      <c r="H6" s="104" t="inlineStr">
        <is>
          <t>Kayıt Tarihi</t>
        </is>
      </c>
      <c r="I6" s="104" t="inlineStr">
        <is>
          <t>Son Tarih / Sonraki Temas</t>
        </is>
      </c>
      <c r="J6" s="104" t="inlineStr">
        <is>
          <t>Durum</t>
        </is>
      </c>
      <c r="K6" s="104" t="inlineStr">
        <is>
          <t>Öncelik</t>
        </is>
      </c>
      <c r="L6" s="105" t="inlineStr">
        <is>
          <t>Sorumlu Kişi</t>
        </is>
      </c>
      <c r="M6" s="105" t="inlineStr">
        <is>
          <t>Sonuç / Not</t>
        </is>
      </c>
      <c r="N6" s="105" t="inlineStr">
        <is>
          <t>Sonraki İşlem</t>
        </is>
      </c>
      <c r="O6" s="104" t="inlineStr">
        <is>
          <t>Tamamlanma</t>
        </is>
      </c>
      <c r="P6" s="104" t="inlineStr">
        <is>
          <t>Kalan Gün</t>
        </is>
      </c>
      <c r="Q6" s="104" t="inlineStr">
        <is>
          <t>Uyarı</t>
        </is>
      </c>
      <c r="R6" s="6" t="n"/>
      <c r="S6" s="6" t="n"/>
    </row>
    <row r="7">
      <c r="A7" s="6" t="n"/>
      <c r="B7" s="112">
        <f>IF($D7="","","A"&amp;TEXT(ROW()-6,"00000"))</f>
        <v/>
      </c>
      <c r="C7" s="107" t="n"/>
      <c r="D7" s="107" t="n"/>
      <c r="E7" s="113">
        <f>IF($D7="","",IFERROR(INDEX(MUSTERILER!$C$7:$C$106,MATCH($D7,MUSTERILER!$B$7:$B$106,0)),"TANIMSIZ MÜŞTERİ"))</f>
        <v/>
      </c>
      <c r="F7" s="108" t="n"/>
      <c r="G7" s="107" t="n"/>
      <c r="H7" s="114" t="n"/>
      <c r="I7" s="114" t="n"/>
      <c r="J7" s="107" t="n"/>
      <c r="K7" s="107" t="n"/>
      <c r="L7" s="108" t="n"/>
      <c r="M7" s="108" t="n"/>
      <c r="N7" s="108" t="n"/>
      <c r="O7" s="114" t="n"/>
      <c r="P7" s="120">
        <f>IF(OR($D7="",$I7=""),"",IF(OR($J7="Tamamlandı",$J7="İptal"),"",$I7-TODAY()))</f>
        <v/>
      </c>
      <c r="Q7" s="112">
        <f>IF($D7="","",IF($E7="TANIMSIZ MÜŞTERİ","HATA",IF(OR($J7="Tamamlandı",$J7="İptal"),"KAPALI",IF(AND($C7="Görüşme",$N7=""),"SONRAKİ İŞLEM EKSİK",IF($I7="","TARİH EKSİK",IF($I7&lt;TODAY(),"GECİKMİŞ",IF($I7=TODAY(),"BUGÜN",IF($I7&lt;=TODAY()+7,"7 GÜN İÇİNDE","PLANLI"))))))))</f>
        <v/>
      </c>
      <c r="R7" s="6" t="n"/>
      <c r="S7" s="6" t="n"/>
    </row>
    <row r="8">
      <c r="A8" s="6" t="n"/>
      <c r="B8" s="112">
        <f>IF($D8="","","A"&amp;TEXT(ROW()-6,"00000"))</f>
        <v/>
      </c>
      <c r="C8" s="107" t="n"/>
      <c r="D8" s="107" t="n"/>
      <c r="E8" s="113">
        <f>IF($D8="","",IFERROR(INDEX(MUSTERILER!$C$7:$C$106,MATCH($D8,MUSTERILER!$B$7:$B$106,0)),"TANIMSIZ MÜŞTERİ"))</f>
        <v/>
      </c>
      <c r="F8" s="108" t="n"/>
      <c r="G8" s="107" t="n"/>
      <c r="H8" s="114" t="n"/>
      <c r="I8" s="114" t="n"/>
      <c r="J8" s="107" t="n"/>
      <c r="K8" s="107" t="n"/>
      <c r="L8" s="108" t="n"/>
      <c r="M8" s="108" t="n"/>
      <c r="N8" s="108" t="n"/>
      <c r="O8" s="114" t="n"/>
      <c r="P8" s="120">
        <f>IF(OR($D8="",$I8=""),"",IF(OR($J8="Tamamlandı",$J8="İptal"),"",$I8-TODAY()))</f>
        <v/>
      </c>
      <c r="Q8" s="112">
        <f>IF($D8="","",IF($E8="TANIMSIZ MÜŞTERİ","HATA",IF(OR($J8="Tamamlandı",$J8="İptal"),"KAPALI",IF(AND($C8="Görüşme",$N8=""),"SONRAKİ İŞLEM EKSİK",IF($I8="","TARİH EKSİK",IF($I8&lt;TODAY(),"GECİKMİŞ",IF($I8=TODAY(),"BUGÜN",IF($I8&lt;=TODAY()+7,"7 GÜN İÇİNDE","PLANLI"))))))))</f>
        <v/>
      </c>
      <c r="R8" s="6" t="n"/>
      <c r="S8" s="6" t="n"/>
    </row>
    <row r="9">
      <c r="A9" s="6" t="n"/>
      <c r="B9" s="112">
        <f>IF($D9="","","A"&amp;TEXT(ROW()-6,"00000"))</f>
        <v/>
      </c>
      <c r="C9" s="107" t="n"/>
      <c r="D9" s="107" t="n"/>
      <c r="E9" s="113">
        <f>IF($D9="","",IFERROR(INDEX(MUSTERILER!$C$7:$C$106,MATCH($D9,MUSTERILER!$B$7:$B$106,0)),"TANIMSIZ MÜŞTERİ"))</f>
        <v/>
      </c>
      <c r="F9" s="108" t="n"/>
      <c r="G9" s="107" t="n"/>
      <c r="H9" s="114" t="n"/>
      <c r="I9" s="114" t="n"/>
      <c r="J9" s="107" t="n"/>
      <c r="K9" s="107" t="n"/>
      <c r="L9" s="108" t="n"/>
      <c r="M9" s="108" t="n"/>
      <c r="N9" s="108" t="n"/>
      <c r="O9" s="114" t="n"/>
      <c r="P9" s="120">
        <f>IF(OR($D9="",$I9=""),"",IF(OR($J9="Tamamlandı",$J9="İptal"),"",$I9-TODAY()))</f>
        <v/>
      </c>
      <c r="Q9" s="112">
        <f>IF($D9="","",IF($E9="TANIMSIZ MÜŞTERİ","HATA",IF(OR($J9="Tamamlandı",$J9="İptal"),"KAPALI",IF(AND($C9="Görüşme",$N9=""),"SONRAKİ İŞLEM EKSİK",IF($I9="","TARİH EKSİK",IF($I9&lt;TODAY(),"GECİKMİŞ",IF($I9=TODAY(),"BUGÜN",IF($I9&lt;=TODAY()+7,"7 GÜN İÇİNDE","PLANLI"))))))))</f>
        <v/>
      </c>
      <c r="R9" s="6" t="n"/>
      <c r="S9" s="6" t="n"/>
    </row>
    <row r="10">
      <c r="A10" s="6" t="n"/>
      <c r="B10" s="112">
        <f>IF($D10="","","A"&amp;TEXT(ROW()-6,"00000"))</f>
        <v/>
      </c>
      <c r="C10" s="107" t="n"/>
      <c r="D10" s="107" t="n"/>
      <c r="E10" s="113">
        <f>IF($D10="","",IFERROR(INDEX(MUSTERILER!$C$7:$C$106,MATCH($D10,MUSTERILER!$B$7:$B$106,0)),"TANIMSIZ MÜŞTERİ"))</f>
        <v/>
      </c>
      <c r="F10" s="108" t="n"/>
      <c r="G10" s="107" t="n"/>
      <c r="H10" s="114" t="n"/>
      <c r="I10" s="114" t="n"/>
      <c r="J10" s="107" t="n"/>
      <c r="K10" s="107" t="n"/>
      <c r="L10" s="108" t="n"/>
      <c r="M10" s="108" t="n"/>
      <c r="N10" s="108" t="n"/>
      <c r="O10" s="114" t="n"/>
      <c r="P10" s="120">
        <f>IF(OR($D10="",$I10=""),"",IF(OR($J10="Tamamlandı",$J10="İptal"),"",$I10-TODAY()))</f>
        <v/>
      </c>
      <c r="Q10" s="112">
        <f>IF($D10="","",IF($E10="TANIMSIZ MÜŞTERİ","HATA",IF(OR($J10="Tamamlandı",$J10="İptal"),"KAPALI",IF(AND($C10="Görüşme",$N10=""),"SONRAKİ İŞLEM EKSİK",IF($I10="","TARİH EKSİK",IF($I10&lt;TODAY(),"GECİKMİŞ",IF($I10=TODAY(),"BUGÜN",IF($I10&lt;=TODAY()+7,"7 GÜN İÇİNDE","PLANLI"))))))))</f>
        <v/>
      </c>
      <c r="R10" s="6" t="n"/>
      <c r="S10" s="6" t="n"/>
    </row>
    <row r="11">
      <c r="A11" s="6" t="n"/>
      <c r="B11" s="112">
        <f>IF($D11="","","A"&amp;TEXT(ROW()-6,"00000"))</f>
        <v/>
      </c>
      <c r="C11" s="107" t="n"/>
      <c r="D11" s="107" t="n"/>
      <c r="E11" s="113">
        <f>IF($D11="","",IFERROR(INDEX(MUSTERILER!$C$7:$C$106,MATCH($D11,MUSTERILER!$B$7:$B$106,0)),"TANIMSIZ MÜŞTERİ"))</f>
        <v/>
      </c>
      <c r="F11" s="108" t="n"/>
      <c r="G11" s="107" t="n"/>
      <c r="H11" s="114" t="n"/>
      <c r="I11" s="114" t="n"/>
      <c r="J11" s="107" t="n"/>
      <c r="K11" s="107" t="n"/>
      <c r="L11" s="108" t="n"/>
      <c r="M11" s="108" t="n"/>
      <c r="N11" s="108" t="n"/>
      <c r="O11" s="114" t="n"/>
      <c r="P11" s="120">
        <f>IF(OR($D11="",$I11=""),"",IF(OR($J11="Tamamlandı",$J11="İptal"),"",$I11-TODAY()))</f>
        <v/>
      </c>
      <c r="Q11" s="112">
        <f>IF($D11="","",IF($E11="TANIMSIZ MÜŞTERİ","HATA",IF(OR($J11="Tamamlandı",$J11="İptal"),"KAPALI",IF(AND($C11="Görüşme",$N11=""),"SONRAKİ İŞLEM EKSİK",IF($I11="","TARİH EKSİK",IF($I11&lt;TODAY(),"GECİKMİŞ",IF($I11=TODAY(),"BUGÜN",IF($I11&lt;=TODAY()+7,"7 GÜN İÇİNDE","PLANLI"))))))))</f>
        <v/>
      </c>
      <c r="R11" s="6" t="n"/>
      <c r="S11" s="6" t="n"/>
    </row>
    <row r="12">
      <c r="A12" s="6" t="n"/>
      <c r="B12" s="112">
        <f>IF($D12="","","A"&amp;TEXT(ROW()-6,"00000"))</f>
        <v/>
      </c>
      <c r="C12" s="107" t="n"/>
      <c r="D12" s="107" t="n"/>
      <c r="E12" s="113">
        <f>IF($D12="","",IFERROR(INDEX(MUSTERILER!$C$7:$C$106,MATCH($D12,MUSTERILER!$B$7:$B$106,0)),"TANIMSIZ MÜŞTERİ"))</f>
        <v/>
      </c>
      <c r="F12" s="108" t="n"/>
      <c r="G12" s="107" t="n"/>
      <c r="H12" s="114" t="n"/>
      <c r="I12" s="114" t="n"/>
      <c r="J12" s="107" t="n"/>
      <c r="K12" s="107" t="n"/>
      <c r="L12" s="108" t="n"/>
      <c r="M12" s="108" t="n"/>
      <c r="N12" s="108" t="n"/>
      <c r="O12" s="114" t="n"/>
      <c r="P12" s="120">
        <f>IF(OR($D12="",$I12=""),"",IF(OR($J12="Tamamlandı",$J12="İptal"),"",$I12-TODAY()))</f>
        <v/>
      </c>
      <c r="Q12" s="112">
        <f>IF($D12="","",IF($E12="TANIMSIZ MÜŞTERİ","HATA",IF(OR($J12="Tamamlandı",$J12="İptal"),"KAPALI",IF(AND($C12="Görüşme",$N12=""),"SONRAKİ İŞLEM EKSİK",IF($I12="","TARİH EKSİK",IF($I12&lt;TODAY(),"GECİKMİŞ",IF($I12=TODAY(),"BUGÜN",IF($I12&lt;=TODAY()+7,"7 GÜN İÇİNDE","PLANLI"))))))))</f>
        <v/>
      </c>
      <c r="R12" s="6" t="n"/>
      <c r="S12" s="6" t="n"/>
    </row>
    <row r="13">
      <c r="A13" s="6" t="n"/>
      <c r="B13" s="112">
        <f>IF($D13="","","A"&amp;TEXT(ROW()-6,"00000"))</f>
        <v/>
      </c>
      <c r="C13" s="107" t="n"/>
      <c r="D13" s="107" t="n"/>
      <c r="E13" s="113">
        <f>IF($D13="","",IFERROR(INDEX(MUSTERILER!$C$7:$C$106,MATCH($D13,MUSTERILER!$B$7:$B$106,0)),"TANIMSIZ MÜŞTERİ"))</f>
        <v/>
      </c>
      <c r="F13" s="108" t="n"/>
      <c r="G13" s="107" t="n"/>
      <c r="H13" s="114" t="n"/>
      <c r="I13" s="114" t="n"/>
      <c r="J13" s="107" t="n"/>
      <c r="K13" s="107" t="n"/>
      <c r="L13" s="108" t="n"/>
      <c r="M13" s="108" t="n"/>
      <c r="N13" s="108" t="n"/>
      <c r="O13" s="114" t="n"/>
      <c r="P13" s="120">
        <f>IF(OR($D13="",$I13=""),"",IF(OR($J13="Tamamlandı",$J13="İptal"),"",$I13-TODAY()))</f>
        <v/>
      </c>
      <c r="Q13" s="112">
        <f>IF($D13="","",IF($E13="TANIMSIZ MÜŞTERİ","HATA",IF(OR($J13="Tamamlandı",$J13="İptal"),"KAPALI",IF(AND($C13="Görüşme",$N13=""),"SONRAKİ İŞLEM EKSİK",IF($I13="","TARİH EKSİK",IF($I13&lt;TODAY(),"GECİKMİŞ",IF($I13=TODAY(),"BUGÜN",IF($I13&lt;=TODAY()+7,"7 GÜN İÇİNDE","PLANLI"))))))))</f>
        <v/>
      </c>
      <c r="R13" s="6" t="n"/>
      <c r="S13" s="6" t="n"/>
    </row>
    <row r="14">
      <c r="A14" s="6" t="n"/>
      <c r="B14" s="112">
        <f>IF($D14="","","A"&amp;TEXT(ROW()-6,"00000"))</f>
        <v/>
      </c>
      <c r="C14" s="107" t="n"/>
      <c r="D14" s="107" t="n"/>
      <c r="E14" s="113">
        <f>IF($D14="","",IFERROR(INDEX(MUSTERILER!$C$7:$C$106,MATCH($D14,MUSTERILER!$B$7:$B$106,0)),"TANIMSIZ MÜŞTERİ"))</f>
        <v/>
      </c>
      <c r="F14" s="108" t="n"/>
      <c r="G14" s="107" t="n"/>
      <c r="H14" s="114" t="n"/>
      <c r="I14" s="114" t="n"/>
      <c r="J14" s="107" t="n"/>
      <c r="K14" s="107" t="n"/>
      <c r="L14" s="108" t="n"/>
      <c r="M14" s="108" t="n"/>
      <c r="N14" s="108" t="n"/>
      <c r="O14" s="114" t="n"/>
      <c r="P14" s="120">
        <f>IF(OR($D14="",$I14=""),"",IF(OR($J14="Tamamlandı",$J14="İptal"),"",$I14-TODAY()))</f>
        <v/>
      </c>
      <c r="Q14" s="112">
        <f>IF($D14="","",IF($E14="TANIMSIZ MÜŞTERİ","HATA",IF(OR($J14="Tamamlandı",$J14="İptal"),"KAPALI",IF(AND($C14="Görüşme",$N14=""),"SONRAKİ İŞLEM EKSİK",IF($I14="","TARİH EKSİK",IF($I14&lt;TODAY(),"GECİKMİŞ",IF($I14=TODAY(),"BUGÜN",IF($I14&lt;=TODAY()+7,"7 GÜN İÇİNDE","PLANLI"))))))))</f>
        <v/>
      </c>
      <c r="R14" s="6" t="n"/>
      <c r="S14" s="6" t="n"/>
    </row>
    <row r="15">
      <c r="A15" s="6" t="n"/>
      <c r="B15" s="112">
        <f>IF($D15="","","A"&amp;TEXT(ROW()-6,"00000"))</f>
        <v/>
      </c>
      <c r="C15" s="107" t="n"/>
      <c r="D15" s="107" t="n"/>
      <c r="E15" s="113">
        <f>IF($D15="","",IFERROR(INDEX(MUSTERILER!$C$7:$C$106,MATCH($D15,MUSTERILER!$B$7:$B$106,0)),"TANIMSIZ MÜŞTERİ"))</f>
        <v/>
      </c>
      <c r="F15" s="108" t="n"/>
      <c r="G15" s="107" t="n"/>
      <c r="H15" s="114" t="n"/>
      <c r="I15" s="114" t="n"/>
      <c r="J15" s="107" t="n"/>
      <c r="K15" s="107" t="n"/>
      <c r="L15" s="108" t="n"/>
      <c r="M15" s="108" t="n"/>
      <c r="N15" s="108" t="n"/>
      <c r="O15" s="114" t="n"/>
      <c r="P15" s="120">
        <f>IF(OR($D15="",$I15=""),"",IF(OR($J15="Tamamlandı",$J15="İptal"),"",$I15-TODAY()))</f>
        <v/>
      </c>
      <c r="Q15" s="112">
        <f>IF($D15="","",IF($E15="TANIMSIZ MÜŞTERİ","HATA",IF(OR($J15="Tamamlandı",$J15="İptal"),"KAPALI",IF(AND($C15="Görüşme",$N15=""),"SONRAKİ İŞLEM EKSİK",IF($I15="","TARİH EKSİK",IF($I15&lt;TODAY(),"GECİKMİŞ",IF($I15=TODAY(),"BUGÜN",IF($I15&lt;=TODAY()+7,"7 GÜN İÇİNDE","PLANLI"))))))))</f>
        <v/>
      </c>
      <c r="R15" s="6" t="n"/>
      <c r="S15" s="6" t="n"/>
    </row>
    <row r="16">
      <c r="A16" s="6" t="n"/>
      <c r="B16" s="112">
        <f>IF($D16="","","A"&amp;TEXT(ROW()-6,"00000"))</f>
        <v/>
      </c>
      <c r="C16" s="107" t="n"/>
      <c r="D16" s="107" t="n"/>
      <c r="E16" s="113">
        <f>IF($D16="","",IFERROR(INDEX(MUSTERILER!$C$7:$C$106,MATCH($D16,MUSTERILER!$B$7:$B$106,0)),"TANIMSIZ MÜŞTERİ"))</f>
        <v/>
      </c>
      <c r="F16" s="108" t="n"/>
      <c r="G16" s="107" t="n"/>
      <c r="H16" s="114" t="n"/>
      <c r="I16" s="114" t="n"/>
      <c r="J16" s="107" t="n"/>
      <c r="K16" s="107" t="n"/>
      <c r="L16" s="108" t="n"/>
      <c r="M16" s="108" t="n"/>
      <c r="N16" s="108" t="n"/>
      <c r="O16" s="114" t="n"/>
      <c r="P16" s="120">
        <f>IF(OR($D16="",$I16=""),"",IF(OR($J16="Tamamlandı",$J16="İptal"),"",$I16-TODAY()))</f>
        <v/>
      </c>
      <c r="Q16" s="112">
        <f>IF($D16="","",IF($E16="TANIMSIZ MÜŞTERİ","HATA",IF(OR($J16="Tamamlandı",$J16="İptal"),"KAPALI",IF(AND($C16="Görüşme",$N16=""),"SONRAKİ İŞLEM EKSİK",IF($I16="","TARİH EKSİK",IF($I16&lt;TODAY(),"GECİKMİŞ",IF($I16=TODAY(),"BUGÜN",IF($I16&lt;=TODAY()+7,"7 GÜN İÇİNDE","PLANLI"))))))))</f>
        <v/>
      </c>
      <c r="R16" s="6" t="n"/>
      <c r="S16" s="6" t="n"/>
    </row>
    <row r="17">
      <c r="A17" s="6" t="n"/>
      <c r="B17" s="112">
        <f>IF($D17="","","A"&amp;TEXT(ROW()-6,"00000"))</f>
        <v/>
      </c>
      <c r="C17" s="107" t="n"/>
      <c r="D17" s="107" t="n"/>
      <c r="E17" s="113">
        <f>IF($D17="","",IFERROR(INDEX(MUSTERILER!$C$7:$C$106,MATCH($D17,MUSTERILER!$B$7:$B$106,0)),"TANIMSIZ MÜŞTERİ"))</f>
        <v/>
      </c>
      <c r="F17" s="108" t="n"/>
      <c r="G17" s="107" t="n"/>
      <c r="H17" s="114" t="n"/>
      <c r="I17" s="114" t="n"/>
      <c r="J17" s="107" t="n"/>
      <c r="K17" s="107" t="n"/>
      <c r="L17" s="108" t="n"/>
      <c r="M17" s="108" t="n"/>
      <c r="N17" s="108" t="n"/>
      <c r="O17" s="114" t="n"/>
      <c r="P17" s="120">
        <f>IF(OR($D17="",$I17=""),"",IF(OR($J17="Tamamlandı",$J17="İptal"),"",$I17-TODAY()))</f>
        <v/>
      </c>
      <c r="Q17" s="112">
        <f>IF($D17="","",IF($E17="TANIMSIZ MÜŞTERİ","HATA",IF(OR($J17="Tamamlandı",$J17="İptal"),"KAPALI",IF(AND($C17="Görüşme",$N17=""),"SONRAKİ İŞLEM EKSİK",IF($I17="","TARİH EKSİK",IF($I17&lt;TODAY(),"GECİKMİŞ",IF($I17=TODAY(),"BUGÜN",IF($I17&lt;=TODAY()+7,"7 GÜN İÇİNDE","PLANLI"))))))))</f>
        <v/>
      </c>
      <c r="R17" s="6" t="n"/>
      <c r="S17" s="6" t="n"/>
    </row>
    <row r="18">
      <c r="A18" s="6" t="n"/>
      <c r="B18" s="112">
        <f>IF($D18="","","A"&amp;TEXT(ROW()-6,"00000"))</f>
        <v/>
      </c>
      <c r="C18" s="107" t="n"/>
      <c r="D18" s="107" t="n"/>
      <c r="E18" s="113">
        <f>IF($D18="","",IFERROR(INDEX(MUSTERILER!$C$7:$C$106,MATCH($D18,MUSTERILER!$B$7:$B$106,0)),"TANIMSIZ MÜŞTERİ"))</f>
        <v/>
      </c>
      <c r="F18" s="108" t="n"/>
      <c r="G18" s="107" t="n"/>
      <c r="H18" s="114" t="n"/>
      <c r="I18" s="114" t="n"/>
      <c r="J18" s="107" t="n"/>
      <c r="K18" s="107" t="n"/>
      <c r="L18" s="108" t="n"/>
      <c r="M18" s="108" t="n"/>
      <c r="N18" s="108" t="n"/>
      <c r="O18" s="114" t="n"/>
      <c r="P18" s="120">
        <f>IF(OR($D18="",$I18=""),"",IF(OR($J18="Tamamlandı",$J18="İptal"),"",$I18-TODAY()))</f>
        <v/>
      </c>
      <c r="Q18" s="112">
        <f>IF($D18="","",IF($E18="TANIMSIZ MÜŞTERİ","HATA",IF(OR($J18="Tamamlandı",$J18="İptal"),"KAPALI",IF(AND($C18="Görüşme",$N18=""),"SONRAKİ İŞLEM EKSİK",IF($I18="","TARİH EKSİK",IF($I18&lt;TODAY(),"GECİKMİŞ",IF($I18=TODAY(),"BUGÜN",IF($I18&lt;=TODAY()+7,"7 GÜN İÇİNDE","PLANLI"))))))))</f>
        <v/>
      </c>
      <c r="R18" s="6" t="n"/>
      <c r="S18" s="6" t="n"/>
    </row>
    <row r="19">
      <c r="A19" s="6" t="n"/>
      <c r="B19" s="112">
        <f>IF($D19="","","A"&amp;TEXT(ROW()-6,"00000"))</f>
        <v/>
      </c>
      <c r="C19" s="107" t="n"/>
      <c r="D19" s="107" t="n"/>
      <c r="E19" s="113">
        <f>IF($D19="","",IFERROR(INDEX(MUSTERILER!$C$7:$C$106,MATCH($D19,MUSTERILER!$B$7:$B$106,0)),"TANIMSIZ MÜŞTERİ"))</f>
        <v/>
      </c>
      <c r="F19" s="108" t="n"/>
      <c r="G19" s="107" t="n"/>
      <c r="H19" s="114" t="n"/>
      <c r="I19" s="114" t="n"/>
      <c r="J19" s="107" t="n"/>
      <c r="K19" s="107" t="n"/>
      <c r="L19" s="108" t="n"/>
      <c r="M19" s="108" t="n"/>
      <c r="N19" s="108" t="n"/>
      <c r="O19" s="114" t="n"/>
      <c r="P19" s="120">
        <f>IF(OR($D19="",$I19=""),"",IF(OR($J19="Tamamlandı",$J19="İptal"),"",$I19-TODAY()))</f>
        <v/>
      </c>
      <c r="Q19" s="112">
        <f>IF($D19="","",IF($E19="TANIMSIZ MÜŞTERİ","HATA",IF(OR($J19="Tamamlandı",$J19="İptal"),"KAPALI",IF(AND($C19="Görüşme",$N19=""),"SONRAKİ İŞLEM EKSİK",IF($I19="","TARİH EKSİK",IF($I19&lt;TODAY(),"GECİKMİŞ",IF($I19=TODAY(),"BUGÜN",IF($I19&lt;=TODAY()+7,"7 GÜN İÇİNDE","PLANLI"))))))))</f>
        <v/>
      </c>
      <c r="R19" s="6" t="n"/>
      <c r="S19" s="6" t="n"/>
    </row>
    <row r="20">
      <c r="A20" s="6" t="n"/>
      <c r="B20" s="112">
        <f>IF($D20="","","A"&amp;TEXT(ROW()-6,"00000"))</f>
        <v/>
      </c>
      <c r="C20" s="107" t="n"/>
      <c r="D20" s="107" t="n"/>
      <c r="E20" s="113">
        <f>IF($D20="","",IFERROR(INDEX(MUSTERILER!$C$7:$C$106,MATCH($D20,MUSTERILER!$B$7:$B$106,0)),"TANIMSIZ MÜŞTERİ"))</f>
        <v/>
      </c>
      <c r="F20" s="108" t="n"/>
      <c r="G20" s="107" t="n"/>
      <c r="H20" s="114" t="n"/>
      <c r="I20" s="114" t="n"/>
      <c r="J20" s="107" t="n"/>
      <c r="K20" s="107" t="n"/>
      <c r="L20" s="108" t="n"/>
      <c r="M20" s="108" t="n"/>
      <c r="N20" s="108" t="n"/>
      <c r="O20" s="114" t="n"/>
      <c r="P20" s="120">
        <f>IF(OR($D20="",$I20=""),"",IF(OR($J20="Tamamlandı",$J20="İptal"),"",$I20-TODAY()))</f>
        <v/>
      </c>
      <c r="Q20" s="112">
        <f>IF($D20="","",IF($E20="TANIMSIZ MÜŞTERİ","HATA",IF(OR($J20="Tamamlandı",$J20="İptal"),"KAPALI",IF(AND($C20="Görüşme",$N20=""),"SONRAKİ İŞLEM EKSİK",IF($I20="","TARİH EKSİK",IF($I20&lt;TODAY(),"GECİKMİŞ",IF($I20=TODAY(),"BUGÜN",IF($I20&lt;=TODAY()+7,"7 GÜN İÇİNDE","PLANLI"))))))))</f>
        <v/>
      </c>
      <c r="R20" s="6" t="n"/>
      <c r="S20" s="6" t="n"/>
    </row>
    <row r="21">
      <c r="A21" s="6" t="n"/>
      <c r="B21" s="112">
        <f>IF($D21="","","A"&amp;TEXT(ROW()-6,"00000"))</f>
        <v/>
      </c>
      <c r="C21" s="107" t="n"/>
      <c r="D21" s="107" t="n"/>
      <c r="E21" s="113">
        <f>IF($D21="","",IFERROR(INDEX(MUSTERILER!$C$7:$C$106,MATCH($D21,MUSTERILER!$B$7:$B$106,0)),"TANIMSIZ MÜŞTERİ"))</f>
        <v/>
      </c>
      <c r="F21" s="108" t="n"/>
      <c r="G21" s="107" t="n"/>
      <c r="H21" s="114" t="n"/>
      <c r="I21" s="114" t="n"/>
      <c r="J21" s="107" t="n"/>
      <c r="K21" s="107" t="n"/>
      <c r="L21" s="108" t="n"/>
      <c r="M21" s="108" t="n"/>
      <c r="N21" s="108" t="n"/>
      <c r="O21" s="114" t="n"/>
      <c r="P21" s="120">
        <f>IF(OR($D21="",$I21=""),"",IF(OR($J21="Tamamlandı",$J21="İptal"),"",$I21-TODAY()))</f>
        <v/>
      </c>
      <c r="Q21" s="112">
        <f>IF($D21="","",IF($E21="TANIMSIZ MÜŞTERİ","HATA",IF(OR($J21="Tamamlandı",$J21="İptal"),"KAPALI",IF(AND($C21="Görüşme",$N21=""),"SONRAKİ İŞLEM EKSİK",IF($I21="","TARİH EKSİK",IF($I21&lt;TODAY(),"GECİKMİŞ",IF($I21=TODAY(),"BUGÜN",IF($I21&lt;=TODAY()+7,"7 GÜN İÇİNDE","PLANLI"))))))))</f>
        <v/>
      </c>
      <c r="R21" s="6" t="n"/>
      <c r="S21" s="6" t="n"/>
    </row>
    <row r="22">
      <c r="A22" s="6" t="n"/>
      <c r="B22" s="112">
        <f>IF($D22="","","A"&amp;TEXT(ROW()-6,"00000"))</f>
        <v/>
      </c>
      <c r="C22" s="107" t="n"/>
      <c r="D22" s="107" t="n"/>
      <c r="E22" s="113">
        <f>IF($D22="","",IFERROR(INDEX(MUSTERILER!$C$7:$C$106,MATCH($D22,MUSTERILER!$B$7:$B$106,0)),"TANIMSIZ MÜŞTERİ"))</f>
        <v/>
      </c>
      <c r="F22" s="108" t="n"/>
      <c r="G22" s="107" t="n"/>
      <c r="H22" s="114" t="n"/>
      <c r="I22" s="114" t="n"/>
      <c r="J22" s="107" t="n"/>
      <c r="K22" s="107" t="n"/>
      <c r="L22" s="108" t="n"/>
      <c r="M22" s="108" t="n"/>
      <c r="N22" s="108" t="n"/>
      <c r="O22" s="114" t="n"/>
      <c r="P22" s="120">
        <f>IF(OR($D22="",$I22=""),"",IF(OR($J22="Tamamlandı",$J22="İptal"),"",$I22-TODAY()))</f>
        <v/>
      </c>
      <c r="Q22" s="112">
        <f>IF($D22="","",IF($E22="TANIMSIZ MÜŞTERİ","HATA",IF(OR($J22="Tamamlandı",$J22="İptal"),"KAPALI",IF(AND($C22="Görüşme",$N22=""),"SONRAKİ İŞLEM EKSİK",IF($I22="","TARİH EKSİK",IF($I22&lt;TODAY(),"GECİKMİŞ",IF($I22=TODAY(),"BUGÜN",IF($I22&lt;=TODAY()+7,"7 GÜN İÇİNDE","PLANLI"))))))))</f>
        <v/>
      </c>
      <c r="R22" s="6" t="n"/>
      <c r="S22" s="6" t="n"/>
    </row>
    <row r="23">
      <c r="A23" s="6" t="n"/>
      <c r="B23" s="112">
        <f>IF($D23="","","A"&amp;TEXT(ROW()-6,"00000"))</f>
        <v/>
      </c>
      <c r="C23" s="107" t="n"/>
      <c r="D23" s="107" t="n"/>
      <c r="E23" s="113">
        <f>IF($D23="","",IFERROR(INDEX(MUSTERILER!$C$7:$C$106,MATCH($D23,MUSTERILER!$B$7:$B$106,0)),"TANIMSIZ MÜŞTERİ"))</f>
        <v/>
      </c>
      <c r="F23" s="108" t="n"/>
      <c r="G23" s="107" t="n"/>
      <c r="H23" s="114" t="n"/>
      <c r="I23" s="114" t="n"/>
      <c r="J23" s="107" t="n"/>
      <c r="K23" s="107" t="n"/>
      <c r="L23" s="108" t="n"/>
      <c r="M23" s="108" t="n"/>
      <c r="N23" s="108" t="n"/>
      <c r="O23" s="114" t="n"/>
      <c r="P23" s="120">
        <f>IF(OR($D23="",$I23=""),"",IF(OR($J23="Tamamlandı",$J23="İptal"),"",$I23-TODAY()))</f>
        <v/>
      </c>
      <c r="Q23" s="112">
        <f>IF($D23="","",IF($E23="TANIMSIZ MÜŞTERİ","HATA",IF(OR($J23="Tamamlandı",$J23="İptal"),"KAPALI",IF(AND($C23="Görüşme",$N23=""),"SONRAKİ İŞLEM EKSİK",IF($I23="","TARİH EKSİK",IF($I23&lt;TODAY(),"GECİKMİŞ",IF($I23=TODAY(),"BUGÜN",IF($I23&lt;=TODAY()+7,"7 GÜN İÇİNDE","PLANLI"))))))))</f>
        <v/>
      </c>
      <c r="R23" s="6" t="n"/>
      <c r="S23" s="6" t="n"/>
    </row>
    <row r="24">
      <c r="A24" s="6" t="n"/>
      <c r="B24" s="112">
        <f>IF($D24="","","A"&amp;TEXT(ROW()-6,"00000"))</f>
        <v/>
      </c>
      <c r="C24" s="107" t="n"/>
      <c r="D24" s="107" t="n"/>
      <c r="E24" s="113">
        <f>IF($D24="","",IFERROR(INDEX(MUSTERILER!$C$7:$C$106,MATCH($D24,MUSTERILER!$B$7:$B$106,0)),"TANIMSIZ MÜŞTERİ"))</f>
        <v/>
      </c>
      <c r="F24" s="108" t="n"/>
      <c r="G24" s="107" t="n"/>
      <c r="H24" s="114" t="n"/>
      <c r="I24" s="114" t="n"/>
      <c r="J24" s="107" t="n"/>
      <c r="K24" s="107" t="n"/>
      <c r="L24" s="108" t="n"/>
      <c r="M24" s="108" t="n"/>
      <c r="N24" s="108" t="n"/>
      <c r="O24" s="114" t="n"/>
      <c r="P24" s="120">
        <f>IF(OR($D24="",$I24=""),"",IF(OR($J24="Tamamlandı",$J24="İptal"),"",$I24-TODAY()))</f>
        <v/>
      </c>
      <c r="Q24" s="112">
        <f>IF($D24="","",IF($E24="TANIMSIZ MÜŞTERİ","HATA",IF(OR($J24="Tamamlandı",$J24="İptal"),"KAPALI",IF(AND($C24="Görüşme",$N24=""),"SONRAKİ İŞLEM EKSİK",IF($I24="","TARİH EKSİK",IF($I24&lt;TODAY(),"GECİKMİŞ",IF($I24=TODAY(),"BUGÜN",IF($I24&lt;=TODAY()+7,"7 GÜN İÇİNDE","PLANLI"))))))))</f>
        <v/>
      </c>
      <c r="R24" s="6" t="n"/>
      <c r="S24" s="6" t="n"/>
    </row>
    <row r="25">
      <c r="A25" s="6" t="n"/>
      <c r="B25" s="112">
        <f>IF($D25="","","A"&amp;TEXT(ROW()-6,"00000"))</f>
        <v/>
      </c>
      <c r="C25" s="107" t="n"/>
      <c r="D25" s="107" t="n"/>
      <c r="E25" s="113">
        <f>IF($D25="","",IFERROR(INDEX(MUSTERILER!$C$7:$C$106,MATCH($D25,MUSTERILER!$B$7:$B$106,0)),"TANIMSIZ MÜŞTERİ"))</f>
        <v/>
      </c>
      <c r="F25" s="108" t="n"/>
      <c r="G25" s="107" t="n"/>
      <c r="H25" s="114" t="n"/>
      <c r="I25" s="114" t="n"/>
      <c r="J25" s="107" t="n"/>
      <c r="K25" s="107" t="n"/>
      <c r="L25" s="108" t="n"/>
      <c r="M25" s="108" t="n"/>
      <c r="N25" s="108" t="n"/>
      <c r="O25" s="114" t="n"/>
      <c r="P25" s="120">
        <f>IF(OR($D25="",$I25=""),"",IF(OR($J25="Tamamlandı",$J25="İptal"),"",$I25-TODAY()))</f>
        <v/>
      </c>
      <c r="Q25" s="112">
        <f>IF($D25="","",IF($E25="TANIMSIZ MÜŞTERİ","HATA",IF(OR($J25="Tamamlandı",$J25="İptal"),"KAPALI",IF(AND($C25="Görüşme",$N25=""),"SONRAKİ İŞLEM EKSİK",IF($I25="","TARİH EKSİK",IF($I25&lt;TODAY(),"GECİKMİŞ",IF($I25=TODAY(),"BUGÜN",IF($I25&lt;=TODAY()+7,"7 GÜN İÇİNDE","PLANLI"))))))))</f>
        <v/>
      </c>
      <c r="R25" s="6" t="n"/>
      <c r="S25" s="6" t="n"/>
    </row>
    <row r="26">
      <c r="A26" s="6" t="n"/>
      <c r="B26" s="112">
        <f>IF($D26="","","A"&amp;TEXT(ROW()-6,"00000"))</f>
        <v/>
      </c>
      <c r="C26" s="107" t="n"/>
      <c r="D26" s="107" t="n"/>
      <c r="E26" s="113">
        <f>IF($D26="","",IFERROR(INDEX(MUSTERILER!$C$7:$C$106,MATCH($D26,MUSTERILER!$B$7:$B$106,0)),"TANIMSIZ MÜŞTERİ"))</f>
        <v/>
      </c>
      <c r="F26" s="108" t="n"/>
      <c r="G26" s="107" t="n"/>
      <c r="H26" s="114" t="n"/>
      <c r="I26" s="114" t="n"/>
      <c r="J26" s="107" t="n"/>
      <c r="K26" s="107" t="n"/>
      <c r="L26" s="108" t="n"/>
      <c r="M26" s="108" t="n"/>
      <c r="N26" s="108" t="n"/>
      <c r="O26" s="114" t="n"/>
      <c r="P26" s="120">
        <f>IF(OR($D26="",$I26=""),"",IF(OR($J26="Tamamlandı",$J26="İptal"),"",$I26-TODAY()))</f>
        <v/>
      </c>
      <c r="Q26" s="112">
        <f>IF($D26="","",IF($E26="TANIMSIZ MÜŞTERİ","HATA",IF(OR($J26="Tamamlandı",$J26="İptal"),"KAPALI",IF(AND($C26="Görüşme",$N26=""),"SONRAKİ İŞLEM EKSİK",IF($I26="","TARİH EKSİK",IF($I26&lt;TODAY(),"GECİKMİŞ",IF($I26=TODAY(),"BUGÜN",IF($I26&lt;=TODAY()+7,"7 GÜN İÇİNDE","PLANLI"))))))))</f>
        <v/>
      </c>
      <c r="R26" s="6" t="n"/>
      <c r="S26" s="6" t="n"/>
    </row>
    <row r="27">
      <c r="A27" s="6" t="n"/>
      <c r="B27" s="112">
        <f>IF($D27="","","A"&amp;TEXT(ROW()-6,"00000"))</f>
        <v/>
      </c>
      <c r="C27" s="107" t="n"/>
      <c r="D27" s="107" t="n"/>
      <c r="E27" s="113">
        <f>IF($D27="","",IFERROR(INDEX(MUSTERILER!$C$7:$C$106,MATCH($D27,MUSTERILER!$B$7:$B$106,0)),"TANIMSIZ MÜŞTERİ"))</f>
        <v/>
      </c>
      <c r="F27" s="108" t="n"/>
      <c r="G27" s="107" t="n"/>
      <c r="H27" s="114" t="n"/>
      <c r="I27" s="114" t="n"/>
      <c r="J27" s="107" t="n"/>
      <c r="K27" s="107" t="n"/>
      <c r="L27" s="108" t="n"/>
      <c r="M27" s="108" t="n"/>
      <c r="N27" s="108" t="n"/>
      <c r="O27" s="114" t="n"/>
      <c r="P27" s="120">
        <f>IF(OR($D27="",$I27=""),"",IF(OR($J27="Tamamlandı",$J27="İptal"),"",$I27-TODAY()))</f>
        <v/>
      </c>
      <c r="Q27" s="112">
        <f>IF($D27="","",IF($E27="TANIMSIZ MÜŞTERİ","HATA",IF(OR($J27="Tamamlandı",$J27="İptal"),"KAPALI",IF(AND($C27="Görüşme",$N27=""),"SONRAKİ İŞLEM EKSİK",IF($I27="","TARİH EKSİK",IF($I27&lt;TODAY(),"GECİKMİŞ",IF($I27=TODAY(),"BUGÜN",IF($I27&lt;=TODAY()+7,"7 GÜN İÇİNDE","PLANLI"))))))))</f>
        <v/>
      </c>
      <c r="R27" s="6" t="n"/>
      <c r="S27" s="6" t="n"/>
    </row>
    <row r="28">
      <c r="A28" s="6" t="n"/>
      <c r="B28" s="112">
        <f>IF($D28="","","A"&amp;TEXT(ROW()-6,"00000"))</f>
        <v/>
      </c>
      <c r="C28" s="107" t="n"/>
      <c r="D28" s="107" t="n"/>
      <c r="E28" s="113">
        <f>IF($D28="","",IFERROR(INDEX(MUSTERILER!$C$7:$C$106,MATCH($D28,MUSTERILER!$B$7:$B$106,0)),"TANIMSIZ MÜŞTERİ"))</f>
        <v/>
      </c>
      <c r="F28" s="108" t="n"/>
      <c r="G28" s="107" t="n"/>
      <c r="H28" s="114" t="n"/>
      <c r="I28" s="114" t="n"/>
      <c r="J28" s="107" t="n"/>
      <c r="K28" s="107" t="n"/>
      <c r="L28" s="108" t="n"/>
      <c r="M28" s="108" t="n"/>
      <c r="N28" s="108" t="n"/>
      <c r="O28" s="114" t="n"/>
      <c r="P28" s="120">
        <f>IF(OR($D28="",$I28=""),"",IF(OR($J28="Tamamlandı",$J28="İptal"),"",$I28-TODAY()))</f>
        <v/>
      </c>
      <c r="Q28" s="112">
        <f>IF($D28="","",IF($E28="TANIMSIZ MÜŞTERİ","HATA",IF(OR($J28="Tamamlandı",$J28="İptal"),"KAPALI",IF(AND($C28="Görüşme",$N28=""),"SONRAKİ İŞLEM EKSİK",IF($I28="","TARİH EKSİK",IF($I28&lt;TODAY(),"GECİKMİŞ",IF($I28=TODAY(),"BUGÜN",IF($I28&lt;=TODAY()+7,"7 GÜN İÇİNDE","PLANLI"))))))))</f>
        <v/>
      </c>
      <c r="R28" s="6" t="n"/>
      <c r="S28" s="6" t="n"/>
    </row>
    <row r="29">
      <c r="A29" s="6" t="n"/>
      <c r="B29" s="112">
        <f>IF($D29="","","A"&amp;TEXT(ROW()-6,"00000"))</f>
        <v/>
      </c>
      <c r="C29" s="107" t="n"/>
      <c r="D29" s="107" t="n"/>
      <c r="E29" s="113">
        <f>IF($D29="","",IFERROR(INDEX(MUSTERILER!$C$7:$C$106,MATCH($D29,MUSTERILER!$B$7:$B$106,0)),"TANIMSIZ MÜŞTERİ"))</f>
        <v/>
      </c>
      <c r="F29" s="108" t="n"/>
      <c r="G29" s="107" t="n"/>
      <c r="H29" s="114" t="n"/>
      <c r="I29" s="114" t="n"/>
      <c r="J29" s="107" t="n"/>
      <c r="K29" s="107" t="n"/>
      <c r="L29" s="108" t="n"/>
      <c r="M29" s="108" t="n"/>
      <c r="N29" s="108" t="n"/>
      <c r="O29" s="114" t="n"/>
      <c r="P29" s="120">
        <f>IF(OR($D29="",$I29=""),"",IF(OR($J29="Tamamlandı",$J29="İptal"),"",$I29-TODAY()))</f>
        <v/>
      </c>
      <c r="Q29" s="112">
        <f>IF($D29="","",IF($E29="TANIMSIZ MÜŞTERİ","HATA",IF(OR($J29="Tamamlandı",$J29="İptal"),"KAPALI",IF(AND($C29="Görüşme",$N29=""),"SONRAKİ İŞLEM EKSİK",IF($I29="","TARİH EKSİK",IF($I29&lt;TODAY(),"GECİKMİŞ",IF($I29=TODAY(),"BUGÜN",IF($I29&lt;=TODAY()+7,"7 GÜN İÇİNDE","PLANLI"))))))))</f>
        <v/>
      </c>
      <c r="R29" s="6" t="n"/>
      <c r="S29" s="6" t="n"/>
    </row>
    <row r="30">
      <c r="A30" s="6" t="n"/>
      <c r="B30" s="112">
        <f>IF($D30="","","A"&amp;TEXT(ROW()-6,"00000"))</f>
        <v/>
      </c>
      <c r="C30" s="107" t="n"/>
      <c r="D30" s="107" t="n"/>
      <c r="E30" s="113">
        <f>IF($D30="","",IFERROR(INDEX(MUSTERILER!$C$7:$C$106,MATCH($D30,MUSTERILER!$B$7:$B$106,0)),"TANIMSIZ MÜŞTERİ"))</f>
        <v/>
      </c>
      <c r="F30" s="108" t="n"/>
      <c r="G30" s="107" t="n"/>
      <c r="H30" s="114" t="n"/>
      <c r="I30" s="114" t="n"/>
      <c r="J30" s="107" t="n"/>
      <c r="K30" s="107" t="n"/>
      <c r="L30" s="108" t="n"/>
      <c r="M30" s="108" t="n"/>
      <c r="N30" s="108" t="n"/>
      <c r="O30" s="114" t="n"/>
      <c r="P30" s="120">
        <f>IF(OR($D30="",$I30=""),"",IF(OR($J30="Tamamlandı",$J30="İptal"),"",$I30-TODAY()))</f>
        <v/>
      </c>
      <c r="Q30" s="112">
        <f>IF($D30="","",IF($E30="TANIMSIZ MÜŞTERİ","HATA",IF(OR($J30="Tamamlandı",$J30="İptal"),"KAPALI",IF(AND($C30="Görüşme",$N30=""),"SONRAKİ İŞLEM EKSİK",IF($I30="","TARİH EKSİK",IF($I30&lt;TODAY(),"GECİKMİŞ",IF($I30=TODAY(),"BUGÜN",IF($I30&lt;=TODAY()+7,"7 GÜN İÇİNDE","PLANLI"))))))))</f>
        <v/>
      </c>
      <c r="R30" s="6" t="n"/>
      <c r="S30" s="6" t="n"/>
    </row>
    <row r="31">
      <c r="A31" s="6" t="n"/>
      <c r="B31" s="112">
        <f>IF($D31="","","A"&amp;TEXT(ROW()-6,"00000"))</f>
        <v/>
      </c>
      <c r="C31" s="107" t="n"/>
      <c r="D31" s="107" t="n"/>
      <c r="E31" s="113">
        <f>IF($D31="","",IFERROR(INDEX(MUSTERILER!$C$7:$C$106,MATCH($D31,MUSTERILER!$B$7:$B$106,0)),"TANIMSIZ MÜŞTERİ"))</f>
        <v/>
      </c>
      <c r="F31" s="108" t="n"/>
      <c r="G31" s="107" t="n"/>
      <c r="H31" s="114" t="n"/>
      <c r="I31" s="114" t="n"/>
      <c r="J31" s="107" t="n"/>
      <c r="K31" s="107" t="n"/>
      <c r="L31" s="108" t="n"/>
      <c r="M31" s="108" t="n"/>
      <c r="N31" s="108" t="n"/>
      <c r="O31" s="114" t="n"/>
      <c r="P31" s="120">
        <f>IF(OR($D31="",$I31=""),"",IF(OR($J31="Tamamlandı",$J31="İptal"),"",$I31-TODAY()))</f>
        <v/>
      </c>
      <c r="Q31" s="112">
        <f>IF($D31="","",IF($E31="TANIMSIZ MÜŞTERİ","HATA",IF(OR($J31="Tamamlandı",$J31="İptal"),"KAPALI",IF(AND($C31="Görüşme",$N31=""),"SONRAKİ İŞLEM EKSİK",IF($I31="","TARİH EKSİK",IF($I31&lt;TODAY(),"GECİKMİŞ",IF($I31=TODAY(),"BUGÜN",IF($I31&lt;=TODAY()+7,"7 GÜN İÇİNDE","PLANLI"))))))))</f>
        <v/>
      </c>
      <c r="R31" s="6" t="n"/>
      <c r="S31" s="6" t="n"/>
    </row>
    <row r="32">
      <c r="A32" s="6" t="n"/>
      <c r="B32" s="112">
        <f>IF($D32="","","A"&amp;TEXT(ROW()-6,"00000"))</f>
        <v/>
      </c>
      <c r="C32" s="107" t="n"/>
      <c r="D32" s="107" t="n"/>
      <c r="E32" s="113">
        <f>IF($D32="","",IFERROR(INDEX(MUSTERILER!$C$7:$C$106,MATCH($D32,MUSTERILER!$B$7:$B$106,0)),"TANIMSIZ MÜŞTERİ"))</f>
        <v/>
      </c>
      <c r="F32" s="108" t="n"/>
      <c r="G32" s="107" t="n"/>
      <c r="H32" s="114" t="n"/>
      <c r="I32" s="114" t="n"/>
      <c r="J32" s="107" t="n"/>
      <c r="K32" s="107" t="n"/>
      <c r="L32" s="108" t="n"/>
      <c r="M32" s="108" t="n"/>
      <c r="N32" s="108" t="n"/>
      <c r="O32" s="114" t="n"/>
      <c r="P32" s="120">
        <f>IF(OR($D32="",$I32=""),"",IF(OR($J32="Tamamlandı",$J32="İptal"),"",$I32-TODAY()))</f>
        <v/>
      </c>
      <c r="Q32" s="112">
        <f>IF($D32="","",IF($E32="TANIMSIZ MÜŞTERİ","HATA",IF(OR($J32="Tamamlandı",$J32="İptal"),"KAPALI",IF(AND($C32="Görüşme",$N32=""),"SONRAKİ İŞLEM EKSİK",IF($I32="","TARİH EKSİK",IF($I32&lt;TODAY(),"GECİKMİŞ",IF($I32=TODAY(),"BUGÜN",IF($I32&lt;=TODAY()+7,"7 GÜN İÇİNDE","PLANLI"))))))))</f>
        <v/>
      </c>
      <c r="R32" s="6" t="n"/>
      <c r="S32" s="6" t="n"/>
    </row>
    <row r="33">
      <c r="A33" s="6" t="n"/>
      <c r="B33" s="112">
        <f>IF($D33="","","A"&amp;TEXT(ROW()-6,"00000"))</f>
        <v/>
      </c>
      <c r="C33" s="107" t="n"/>
      <c r="D33" s="107" t="n"/>
      <c r="E33" s="113">
        <f>IF($D33="","",IFERROR(INDEX(MUSTERILER!$C$7:$C$106,MATCH($D33,MUSTERILER!$B$7:$B$106,0)),"TANIMSIZ MÜŞTERİ"))</f>
        <v/>
      </c>
      <c r="F33" s="108" t="n"/>
      <c r="G33" s="107" t="n"/>
      <c r="H33" s="114" t="n"/>
      <c r="I33" s="114" t="n"/>
      <c r="J33" s="107" t="n"/>
      <c r="K33" s="107" t="n"/>
      <c r="L33" s="108" t="n"/>
      <c r="M33" s="108" t="n"/>
      <c r="N33" s="108" t="n"/>
      <c r="O33" s="114" t="n"/>
      <c r="P33" s="120">
        <f>IF(OR($D33="",$I33=""),"",IF(OR($J33="Tamamlandı",$J33="İptal"),"",$I33-TODAY()))</f>
        <v/>
      </c>
      <c r="Q33" s="112">
        <f>IF($D33="","",IF($E33="TANIMSIZ MÜŞTERİ","HATA",IF(OR($J33="Tamamlandı",$J33="İptal"),"KAPALI",IF(AND($C33="Görüşme",$N33=""),"SONRAKİ İŞLEM EKSİK",IF($I33="","TARİH EKSİK",IF($I33&lt;TODAY(),"GECİKMİŞ",IF($I33=TODAY(),"BUGÜN",IF($I33&lt;=TODAY()+7,"7 GÜN İÇİNDE","PLANLI"))))))))</f>
        <v/>
      </c>
      <c r="R33" s="6" t="n"/>
      <c r="S33" s="6" t="n"/>
    </row>
    <row r="34">
      <c r="A34" s="6" t="n"/>
      <c r="B34" s="112">
        <f>IF($D34="","","A"&amp;TEXT(ROW()-6,"00000"))</f>
        <v/>
      </c>
      <c r="C34" s="107" t="n"/>
      <c r="D34" s="107" t="n"/>
      <c r="E34" s="113">
        <f>IF($D34="","",IFERROR(INDEX(MUSTERILER!$C$7:$C$106,MATCH($D34,MUSTERILER!$B$7:$B$106,0)),"TANIMSIZ MÜŞTERİ"))</f>
        <v/>
      </c>
      <c r="F34" s="108" t="n"/>
      <c r="G34" s="107" t="n"/>
      <c r="H34" s="114" t="n"/>
      <c r="I34" s="114" t="n"/>
      <c r="J34" s="107" t="n"/>
      <c r="K34" s="107" t="n"/>
      <c r="L34" s="108" t="n"/>
      <c r="M34" s="108" t="n"/>
      <c r="N34" s="108" t="n"/>
      <c r="O34" s="114" t="n"/>
      <c r="P34" s="120">
        <f>IF(OR($D34="",$I34=""),"",IF(OR($J34="Tamamlandı",$J34="İptal"),"",$I34-TODAY()))</f>
        <v/>
      </c>
      <c r="Q34" s="112">
        <f>IF($D34="","",IF($E34="TANIMSIZ MÜŞTERİ","HATA",IF(OR($J34="Tamamlandı",$J34="İptal"),"KAPALI",IF(AND($C34="Görüşme",$N34=""),"SONRAKİ İŞLEM EKSİK",IF($I34="","TARİH EKSİK",IF($I34&lt;TODAY(),"GECİKMİŞ",IF($I34=TODAY(),"BUGÜN",IF($I34&lt;=TODAY()+7,"7 GÜN İÇİNDE","PLANLI"))))))))</f>
        <v/>
      </c>
      <c r="R34" s="6" t="n"/>
      <c r="S34" s="6" t="n"/>
    </row>
    <row r="35">
      <c r="A35" s="6" t="n"/>
      <c r="B35" s="112">
        <f>IF($D35="","","A"&amp;TEXT(ROW()-6,"00000"))</f>
        <v/>
      </c>
      <c r="C35" s="107" t="n"/>
      <c r="D35" s="107" t="n"/>
      <c r="E35" s="113">
        <f>IF($D35="","",IFERROR(INDEX(MUSTERILER!$C$7:$C$106,MATCH($D35,MUSTERILER!$B$7:$B$106,0)),"TANIMSIZ MÜŞTERİ"))</f>
        <v/>
      </c>
      <c r="F35" s="108" t="n"/>
      <c r="G35" s="107" t="n"/>
      <c r="H35" s="114" t="n"/>
      <c r="I35" s="114" t="n"/>
      <c r="J35" s="107" t="n"/>
      <c r="K35" s="107" t="n"/>
      <c r="L35" s="108" t="n"/>
      <c r="M35" s="108" t="n"/>
      <c r="N35" s="108" t="n"/>
      <c r="O35" s="114" t="n"/>
      <c r="P35" s="120">
        <f>IF(OR($D35="",$I35=""),"",IF(OR($J35="Tamamlandı",$J35="İptal"),"",$I35-TODAY()))</f>
        <v/>
      </c>
      <c r="Q35" s="112">
        <f>IF($D35="","",IF($E35="TANIMSIZ MÜŞTERİ","HATA",IF(OR($J35="Tamamlandı",$J35="İptal"),"KAPALI",IF(AND($C35="Görüşme",$N35=""),"SONRAKİ İŞLEM EKSİK",IF($I35="","TARİH EKSİK",IF($I35&lt;TODAY(),"GECİKMİŞ",IF($I35=TODAY(),"BUGÜN",IF($I35&lt;=TODAY()+7,"7 GÜN İÇİNDE","PLANLI"))))))))</f>
        <v/>
      </c>
      <c r="R35" s="6" t="n"/>
      <c r="S35" s="6" t="n"/>
    </row>
    <row r="36">
      <c r="A36" s="6" t="n"/>
      <c r="B36" s="112">
        <f>IF($D36="","","A"&amp;TEXT(ROW()-6,"00000"))</f>
        <v/>
      </c>
      <c r="C36" s="107" t="n"/>
      <c r="D36" s="107" t="n"/>
      <c r="E36" s="113">
        <f>IF($D36="","",IFERROR(INDEX(MUSTERILER!$C$7:$C$106,MATCH($D36,MUSTERILER!$B$7:$B$106,0)),"TANIMSIZ MÜŞTERİ"))</f>
        <v/>
      </c>
      <c r="F36" s="108" t="n"/>
      <c r="G36" s="107" t="n"/>
      <c r="H36" s="114" t="n"/>
      <c r="I36" s="114" t="n"/>
      <c r="J36" s="107" t="n"/>
      <c r="K36" s="107" t="n"/>
      <c r="L36" s="108" t="n"/>
      <c r="M36" s="108" t="n"/>
      <c r="N36" s="108" t="n"/>
      <c r="O36" s="114" t="n"/>
      <c r="P36" s="120">
        <f>IF(OR($D36="",$I36=""),"",IF(OR($J36="Tamamlandı",$J36="İptal"),"",$I36-TODAY()))</f>
        <v/>
      </c>
      <c r="Q36" s="112">
        <f>IF($D36="","",IF($E36="TANIMSIZ MÜŞTERİ","HATA",IF(OR($J36="Tamamlandı",$J36="İptal"),"KAPALI",IF(AND($C36="Görüşme",$N36=""),"SONRAKİ İŞLEM EKSİK",IF($I36="","TARİH EKSİK",IF($I36&lt;TODAY(),"GECİKMİŞ",IF($I36=TODAY(),"BUGÜN",IF($I36&lt;=TODAY()+7,"7 GÜN İÇİNDE","PLANLI"))))))))</f>
        <v/>
      </c>
      <c r="R36" s="6" t="n"/>
      <c r="S36" s="6" t="n"/>
    </row>
    <row r="37">
      <c r="A37" s="6" t="n"/>
      <c r="B37" s="112">
        <f>IF($D37="","","A"&amp;TEXT(ROW()-6,"00000"))</f>
        <v/>
      </c>
      <c r="C37" s="107" t="n"/>
      <c r="D37" s="107" t="n"/>
      <c r="E37" s="113">
        <f>IF($D37="","",IFERROR(INDEX(MUSTERILER!$C$7:$C$106,MATCH($D37,MUSTERILER!$B$7:$B$106,0)),"TANIMSIZ MÜŞTERİ"))</f>
        <v/>
      </c>
      <c r="F37" s="108" t="n"/>
      <c r="G37" s="107" t="n"/>
      <c r="H37" s="114" t="n"/>
      <c r="I37" s="114" t="n"/>
      <c r="J37" s="107" t="n"/>
      <c r="K37" s="107" t="n"/>
      <c r="L37" s="108" t="n"/>
      <c r="M37" s="108" t="n"/>
      <c r="N37" s="108" t="n"/>
      <c r="O37" s="114" t="n"/>
      <c r="P37" s="120">
        <f>IF(OR($D37="",$I37=""),"",IF(OR($J37="Tamamlandı",$J37="İptal"),"",$I37-TODAY()))</f>
        <v/>
      </c>
      <c r="Q37" s="112">
        <f>IF($D37="","",IF($E37="TANIMSIZ MÜŞTERİ","HATA",IF(OR($J37="Tamamlandı",$J37="İptal"),"KAPALI",IF(AND($C37="Görüşme",$N37=""),"SONRAKİ İŞLEM EKSİK",IF($I37="","TARİH EKSİK",IF($I37&lt;TODAY(),"GECİKMİŞ",IF($I37=TODAY(),"BUGÜN",IF($I37&lt;=TODAY()+7,"7 GÜN İÇİNDE","PLANLI"))))))))</f>
        <v/>
      </c>
      <c r="R37" s="6" t="n"/>
      <c r="S37" s="6" t="n"/>
    </row>
    <row r="38">
      <c r="A38" s="6" t="n"/>
      <c r="B38" s="112">
        <f>IF($D38="","","A"&amp;TEXT(ROW()-6,"00000"))</f>
        <v/>
      </c>
      <c r="C38" s="107" t="n"/>
      <c r="D38" s="107" t="n"/>
      <c r="E38" s="113">
        <f>IF($D38="","",IFERROR(INDEX(MUSTERILER!$C$7:$C$106,MATCH($D38,MUSTERILER!$B$7:$B$106,0)),"TANIMSIZ MÜŞTERİ"))</f>
        <v/>
      </c>
      <c r="F38" s="108" t="n"/>
      <c r="G38" s="107" t="n"/>
      <c r="H38" s="114" t="n"/>
      <c r="I38" s="114" t="n"/>
      <c r="J38" s="107" t="n"/>
      <c r="K38" s="107" t="n"/>
      <c r="L38" s="108" t="n"/>
      <c r="M38" s="108" t="n"/>
      <c r="N38" s="108" t="n"/>
      <c r="O38" s="114" t="n"/>
      <c r="P38" s="120">
        <f>IF(OR($D38="",$I38=""),"",IF(OR($J38="Tamamlandı",$J38="İptal"),"",$I38-TODAY()))</f>
        <v/>
      </c>
      <c r="Q38" s="112">
        <f>IF($D38="","",IF($E38="TANIMSIZ MÜŞTERİ","HATA",IF(OR($J38="Tamamlandı",$J38="İptal"),"KAPALI",IF(AND($C38="Görüşme",$N38=""),"SONRAKİ İŞLEM EKSİK",IF($I38="","TARİH EKSİK",IF($I38&lt;TODAY(),"GECİKMİŞ",IF($I38=TODAY(),"BUGÜN",IF($I38&lt;=TODAY()+7,"7 GÜN İÇİNDE","PLANLI"))))))))</f>
        <v/>
      </c>
      <c r="R38" s="6" t="n"/>
      <c r="S38" s="6" t="n"/>
    </row>
    <row r="39">
      <c r="A39" s="6" t="n"/>
      <c r="B39" s="112">
        <f>IF($D39="","","A"&amp;TEXT(ROW()-6,"00000"))</f>
        <v/>
      </c>
      <c r="C39" s="107" t="n"/>
      <c r="D39" s="107" t="n"/>
      <c r="E39" s="113">
        <f>IF($D39="","",IFERROR(INDEX(MUSTERILER!$C$7:$C$106,MATCH($D39,MUSTERILER!$B$7:$B$106,0)),"TANIMSIZ MÜŞTERİ"))</f>
        <v/>
      </c>
      <c r="F39" s="108" t="n"/>
      <c r="G39" s="107" t="n"/>
      <c r="H39" s="114" t="n"/>
      <c r="I39" s="114" t="n"/>
      <c r="J39" s="107" t="n"/>
      <c r="K39" s="107" t="n"/>
      <c r="L39" s="108" t="n"/>
      <c r="M39" s="108" t="n"/>
      <c r="N39" s="108" t="n"/>
      <c r="O39" s="114" t="n"/>
      <c r="P39" s="120">
        <f>IF(OR($D39="",$I39=""),"",IF(OR($J39="Tamamlandı",$J39="İptal"),"",$I39-TODAY()))</f>
        <v/>
      </c>
      <c r="Q39" s="112">
        <f>IF($D39="","",IF($E39="TANIMSIZ MÜŞTERİ","HATA",IF(OR($J39="Tamamlandı",$J39="İptal"),"KAPALI",IF(AND($C39="Görüşme",$N39=""),"SONRAKİ İŞLEM EKSİK",IF($I39="","TARİH EKSİK",IF($I39&lt;TODAY(),"GECİKMİŞ",IF($I39=TODAY(),"BUGÜN",IF($I39&lt;=TODAY()+7,"7 GÜN İÇİNDE","PLANLI"))))))))</f>
        <v/>
      </c>
      <c r="R39" s="6" t="n"/>
      <c r="S39" s="6" t="n"/>
    </row>
    <row r="40">
      <c r="A40" s="6" t="n"/>
      <c r="B40" s="112">
        <f>IF($D40="","","A"&amp;TEXT(ROW()-6,"00000"))</f>
        <v/>
      </c>
      <c r="C40" s="107" t="n"/>
      <c r="D40" s="107" t="n"/>
      <c r="E40" s="113">
        <f>IF($D40="","",IFERROR(INDEX(MUSTERILER!$C$7:$C$106,MATCH($D40,MUSTERILER!$B$7:$B$106,0)),"TANIMSIZ MÜŞTERİ"))</f>
        <v/>
      </c>
      <c r="F40" s="108" t="n"/>
      <c r="G40" s="107" t="n"/>
      <c r="H40" s="114" t="n"/>
      <c r="I40" s="114" t="n"/>
      <c r="J40" s="107" t="n"/>
      <c r="K40" s="107" t="n"/>
      <c r="L40" s="108" t="n"/>
      <c r="M40" s="108" t="n"/>
      <c r="N40" s="108" t="n"/>
      <c r="O40" s="114" t="n"/>
      <c r="P40" s="120">
        <f>IF(OR($D40="",$I40=""),"",IF(OR($J40="Tamamlandı",$J40="İptal"),"",$I40-TODAY()))</f>
        <v/>
      </c>
      <c r="Q40" s="112">
        <f>IF($D40="","",IF($E40="TANIMSIZ MÜŞTERİ","HATA",IF(OR($J40="Tamamlandı",$J40="İptal"),"KAPALI",IF(AND($C40="Görüşme",$N40=""),"SONRAKİ İŞLEM EKSİK",IF($I40="","TARİH EKSİK",IF($I40&lt;TODAY(),"GECİKMİŞ",IF($I40=TODAY(),"BUGÜN",IF($I40&lt;=TODAY()+7,"7 GÜN İÇİNDE","PLANLI"))))))))</f>
        <v/>
      </c>
      <c r="R40" s="6" t="n"/>
      <c r="S40" s="6" t="n"/>
    </row>
    <row r="41">
      <c r="A41" s="6" t="n"/>
      <c r="B41" s="112">
        <f>IF($D41="","","A"&amp;TEXT(ROW()-6,"00000"))</f>
        <v/>
      </c>
      <c r="C41" s="107" t="n"/>
      <c r="D41" s="107" t="n"/>
      <c r="E41" s="113">
        <f>IF($D41="","",IFERROR(INDEX(MUSTERILER!$C$7:$C$106,MATCH($D41,MUSTERILER!$B$7:$B$106,0)),"TANIMSIZ MÜŞTERİ"))</f>
        <v/>
      </c>
      <c r="F41" s="108" t="n"/>
      <c r="G41" s="107" t="n"/>
      <c r="H41" s="114" t="n"/>
      <c r="I41" s="114" t="n"/>
      <c r="J41" s="107" t="n"/>
      <c r="K41" s="107" t="n"/>
      <c r="L41" s="108" t="n"/>
      <c r="M41" s="108" t="n"/>
      <c r="N41" s="108" t="n"/>
      <c r="O41" s="114" t="n"/>
      <c r="P41" s="120">
        <f>IF(OR($D41="",$I41=""),"",IF(OR($J41="Tamamlandı",$J41="İptal"),"",$I41-TODAY()))</f>
        <v/>
      </c>
      <c r="Q41" s="112">
        <f>IF($D41="","",IF($E41="TANIMSIZ MÜŞTERİ","HATA",IF(OR($J41="Tamamlandı",$J41="İptal"),"KAPALI",IF(AND($C41="Görüşme",$N41=""),"SONRAKİ İŞLEM EKSİK",IF($I41="","TARİH EKSİK",IF($I41&lt;TODAY(),"GECİKMİŞ",IF($I41=TODAY(),"BUGÜN",IF($I41&lt;=TODAY()+7,"7 GÜN İÇİNDE","PLANLI"))))))))</f>
        <v/>
      </c>
      <c r="R41" s="6" t="n"/>
      <c r="S41" s="6" t="n"/>
    </row>
    <row r="42">
      <c r="A42" s="6" t="n"/>
      <c r="B42" s="112">
        <f>IF($D42="","","A"&amp;TEXT(ROW()-6,"00000"))</f>
        <v/>
      </c>
      <c r="C42" s="107" t="n"/>
      <c r="D42" s="107" t="n"/>
      <c r="E42" s="113">
        <f>IF($D42="","",IFERROR(INDEX(MUSTERILER!$C$7:$C$106,MATCH($D42,MUSTERILER!$B$7:$B$106,0)),"TANIMSIZ MÜŞTERİ"))</f>
        <v/>
      </c>
      <c r="F42" s="108" t="n"/>
      <c r="G42" s="107" t="n"/>
      <c r="H42" s="114" t="n"/>
      <c r="I42" s="114" t="n"/>
      <c r="J42" s="107" t="n"/>
      <c r="K42" s="107" t="n"/>
      <c r="L42" s="108" t="n"/>
      <c r="M42" s="108" t="n"/>
      <c r="N42" s="108" t="n"/>
      <c r="O42" s="114" t="n"/>
      <c r="P42" s="120">
        <f>IF(OR($D42="",$I42=""),"",IF(OR($J42="Tamamlandı",$J42="İptal"),"",$I42-TODAY()))</f>
        <v/>
      </c>
      <c r="Q42" s="112">
        <f>IF($D42="","",IF($E42="TANIMSIZ MÜŞTERİ","HATA",IF(OR($J42="Tamamlandı",$J42="İptal"),"KAPALI",IF(AND($C42="Görüşme",$N42=""),"SONRAKİ İŞLEM EKSİK",IF($I42="","TARİH EKSİK",IF($I42&lt;TODAY(),"GECİKMİŞ",IF($I42=TODAY(),"BUGÜN",IF($I42&lt;=TODAY()+7,"7 GÜN İÇİNDE","PLANLI"))))))))</f>
        <v/>
      </c>
      <c r="R42" s="6" t="n"/>
      <c r="S42" s="6" t="n"/>
    </row>
    <row r="43">
      <c r="A43" s="6" t="n"/>
      <c r="B43" s="112">
        <f>IF($D43="","","A"&amp;TEXT(ROW()-6,"00000"))</f>
        <v/>
      </c>
      <c r="C43" s="107" t="n"/>
      <c r="D43" s="107" t="n"/>
      <c r="E43" s="113">
        <f>IF($D43="","",IFERROR(INDEX(MUSTERILER!$C$7:$C$106,MATCH($D43,MUSTERILER!$B$7:$B$106,0)),"TANIMSIZ MÜŞTERİ"))</f>
        <v/>
      </c>
      <c r="F43" s="108" t="n"/>
      <c r="G43" s="107" t="n"/>
      <c r="H43" s="114" t="n"/>
      <c r="I43" s="114" t="n"/>
      <c r="J43" s="107" t="n"/>
      <c r="K43" s="107" t="n"/>
      <c r="L43" s="108" t="n"/>
      <c r="M43" s="108" t="n"/>
      <c r="N43" s="108" t="n"/>
      <c r="O43" s="114" t="n"/>
      <c r="P43" s="120">
        <f>IF(OR($D43="",$I43=""),"",IF(OR($J43="Tamamlandı",$J43="İptal"),"",$I43-TODAY()))</f>
        <v/>
      </c>
      <c r="Q43" s="112">
        <f>IF($D43="","",IF($E43="TANIMSIZ MÜŞTERİ","HATA",IF(OR($J43="Tamamlandı",$J43="İptal"),"KAPALI",IF(AND($C43="Görüşme",$N43=""),"SONRAKİ İŞLEM EKSİK",IF($I43="","TARİH EKSİK",IF($I43&lt;TODAY(),"GECİKMİŞ",IF($I43=TODAY(),"BUGÜN",IF($I43&lt;=TODAY()+7,"7 GÜN İÇİNDE","PLANLI"))))))))</f>
        <v/>
      </c>
      <c r="R43" s="6" t="n"/>
      <c r="S43" s="6" t="n"/>
    </row>
    <row r="44">
      <c r="A44" s="6" t="n"/>
      <c r="B44" s="112">
        <f>IF($D44="","","A"&amp;TEXT(ROW()-6,"00000"))</f>
        <v/>
      </c>
      <c r="C44" s="107" t="n"/>
      <c r="D44" s="107" t="n"/>
      <c r="E44" s="113">
        <f>IF($D44="","",IFERROR(INDEX(MUSTERILER!$C$7:$C$106,MATCH($D44,MUSTERILER!$B$7:$B$106,0)),"TANIMSIZ MÜŞTERİ"))</f>
        <v/>
      </c>
      <c r="F44" s="108" t="n"/>
      <c r="G44" s="107" t="n"/>
      <c r="H44" s="114" t="n"/>
      <c r="I44" s="114" t="n"/>
      <c r="J44" s="107" t="n"/>
      <c r="K44" s="107" t="n"/>
      <c r="L44" s="108" t="n"/>
      <c r="M44" s="108" t="n"/>
      <c r="N44" s="108" t="n"/>
      <c r="O44" s="114" t="n"/>
      <c r="P44" s="120">
        <f>IF(OR($D44="",$I44=""),"",IF(OR($J44="Tamamlandı",$J44="İptal"),"",$I44-TODAY()))</f>
        <v/>
      </c>
      <c r="Q44" s="112">
        <f>IF($D44="","",IF($E44="TANIMSIZ MÜŞTERİ","HATA",IF(OR($J44="Tamamlandı",$J44="İptal"),"KAPALI",IF(AND($C44="Görüşme",$N44=""),"SONRAKİ İŞLEM EKSİK",IF($I44="","TARİH EKSİK",IF($I44&lt;TODAY(),"GECİKMİŞ",IF($I44=TODAY(),"BUGÜN",IF($I44&lt;=TODAY()+7,"7 GÜN İÇİNDE","PLANLI"))))))))</f>
        <v/>
      </c>
      <c r="R44" s="6" t="n"/>
      <c r="S44" s="6" t="n"/>
    </row>
    <row r="45">
      <c r="A45" s="6" t="n"/>
      <c r="B45" s="112">
        <f>IF($D45="","","A"&amp;TEXT(ROW()-6,"00000"))</f>
        <v/>
      </c>
      <c r="C45" s="107" t="n"/>
      <c r="D45" s="107" t="n"/>
      <c r="E45" s="113">
        <f>IF($D45="","",IFERROR(INDEX(MUSTERILER!$C$7:$C$106,MATCH($D45,MUSTERILER!$B$7:$B$106,0)),"TANIMSIZ MÜŞTERİ"))</f>
        <v/>
      </c>
      <c r="F45" s="108" t="n"/>
      <c r="G45" s="107" t="n"/>
      <c r="H45" s="114" t="n"/>
      <c r="I45" s="114" t="n"/>
      <c r="J45" s="107" t="n"/>
      <c r="K45" s="107" t="n"/>
      <c r="L45" s="108" t="n"/>
      <c r="M45" s="108" t="n"/>
      <c r="N45" s="108" t="n"/>
      <c r="O45" s="114" t="n"/>
      <c r="P45" s="120">
        <f>IF(OR($D45="",$I45=""),"",IF(OR($J45="Tamamlandı",$J45="İptal"),"",$I45-TODAY()))</f>
        <v/>
      </c>
      <c r="Q45" s="112">
        <f>IF($D45="","",IF($E45="TANIMSIZ MÜŞTERİ","HATA",IF(OR($J45="Tamamlandı",$J45="İptal"),"KAPALI",IF(AND($C45="Görüşme",$N45=""),"SONRAKİ İŞLEM EKSİK",IF($I45="","TARİH EKSİK",IF($I45&lt;TODAY(),"GECİKMİŞ",IF($I45=TODAY(),"BUGÜN",IF($I45&lt;=TODAY()+7,"7 GÜN İÇİNDE","PLANLI"))))))))</f>
        <v/>
      </c>
      <c r="R45" s="6" t="n"/>
      <c r="S45" s="6" t="n"/>
    </row>
    <row r="46">
      <c r="A46" s="6" t="n"/>
      <c r="B46" s="112">
        <f>IF($D46="","","A"&amp;TEXT(ROW()-6,"00000"))</f>
        <v/>
      </c>
      <c r="C46" s="107" t="n"/>
      <c r="D46" s="107" t="n"/>
      <c r="E46" s="113">
        <f>IF($D46="","",IFERROR(INDEX(MUSTERILER!$C$7:$C$106,MATCH($D46,MUSTERILER!$B$7:$B$106,0)),"TANIMSIZ MÜŞTERİ"))</f>
        <v/>
      </c>
      <c r="F46" s="108" t="n"/>
      <c r="G46" s="107" t="n"/>
      <c r="H46" s="114" t="n"/>
      <c r="I46" s="114" t="n"/>
      <c r="J46" s="107" t="n"/>
      <c r="K46" s="107" t="n"/>
      <c r="L46" s="108" t="n"/>
      <c r="M46" s="108" t="n"/>
      <c r="N46" s="108" t="n"/>
      <c r="O46" s="114" t="n"/>
      <c r="P46" s="120">
        <f>IF(OR($D46="",$I46=""),"",IF(OR($J46="Tamamlandı",$J46="İptal"),"",$I46-TODAY()))</f>
        <v/>
      </c>
      <c r="Q46" s="112">
        <f>IF($D46="","",IF($E46="TANIMSIZ MÜŞTERİ","HATA",IF(OR($J46="Tamamlandı",$J46="İptal"),"KAPALI",IF(AND($C46="Görüşme",$N46=""),"SONRAKİ İŞLEM EKSİK",IF($I46="","TARİH EKSİK",IF($I46&lt;TODAY(),"GECİKMİŞ",IF($I46=TODAY(),"BUGÜN",IF($I46&lt;=TODAY()+7,"7 GÜN İÇİNDE","PLANLI"))))))))</f>
        <v/>
      </c>
      <c r="R46" s="6" t="n"/>
      <c r="S46" s="6" t="n"/>
    </row>
    <row r="47">
      <c r="A47" s="6" t="n"/>
      <c r="B47" s="112">
        <f>IF($D47="","","A"&amp;TEXT(ROW()-6,"00000"))</f>
        <v/>
      </c>
      <c r="C47" s="107" t="n"/>
      <c r="D47" s="107" t="n"/>
      <c r="E47" s="113">
        <f>IF($D47="","",IFERROR(INDEX(MUSTERILER!$C$7:$C$106,MATCH($D47,MUSTERILER!$B$7:$B$106,0)),"TANIMSIZ MÜŞTERİ"))</f>
        <v/>
      </c>
      <c r="F47" s="108" t="n"/>
      <c r="G47" s="107" t="n"/>
      <c r="H47" s="114" t="n"/>
      <c r="I47" s="114" t="n"/>
      <c r="J47" s="107" t="n"/>
      <c r="K47" s="107" t="n"/>
      <c r="L47" s="108" t="n"/>
      <c r="M47" s="108" t="n"/>
      <c r="N47" s="108" t="n"/>
      <c r="O47" s="114" t="n"/>
      <c r="P47" s="120">
        <f>IF(OR($D47="",$I47=""),"",IF(OR($J47="Tamamlandı",$J47="İptal"),"",$I47-TODAY()))</f>
        <v/>
      </c>
      <c r="Q47" s="112">
        <f>IF($D47="","",IF($E47="TANIMSIZ MÜŞTERİ","HATA",IF(OR($J47="Tamamlandı",$J47="İptal"),"KAPALI",IF(AND($C47="Görüşme",$N47=""),"SONRAKİ İŞLEM EKSİK",IF($I47="","TARİH EKSİK",IF($I47&lt;TODAY(),"GECİKMİŞ",IF($I47=TODAY(),"BUGÜN",IF($I47&lt;=TODAY()+7,"7 GÜN İÇİNDE","PLANLI"))))))))</f>
        <v/>
      </c>
      <c r="R47" s="6" t="n"/>
      <c r="S47" s="6" t="n"/>
    </row>
    <row r="48">
      <c r="A48" s="6" t="n"/>
      <c r="B48" s="112">
        <f>IF($D48="","","A"&amp;TEXT(ROW()-6,"00000"))</f>
        <v/>
      </c>
      <c r="C48" s="107" t="n"/>
      <c r="D48" s="107" t="n"/>
      <c r="E48" s="113">
        <f>IF($D48="","",IFERROR(INDEX(MUSTERILER!$C$7:$C$106,MATCH($D48,MUSTERILER!$B$7:$B$106,0)),"TANIMSIZ MÜŞTERİ"))</f>
        <v/>
      </c>
      <c r="F48" s="108" t="n"/>
      <c r="G48" s="107" t="n"/>
      <c r="H48" s="114" t="n"/>
      <c r="I48" s="114" t="n"/>
      <c r="J48" s="107" t="n"/>
      <c r="K48" s="107" t="n"/>
      <c r="L48" s="108" t="n"/>
      <c r="M48" s="108" t="n"/>
      <c r="N48" s="108" t="n"/>
      <c r="O48" s="114" t="n"/>
      <c r="P48" s="120">
        <f>IF(OR($D48="",$I48=""),"",IF(OR($J48="Tamamlandı",$J48="İptal"),"",$I48-TODAY()))</f>
        <v/>
      </c>
      <c r="Q48" s="112">
        <f>IF($D48="","",IF($E48="TANIMSIZ MÜŞTERİ","HATA",IF(OR($J48="Tamamlandı",$J48="İptal"),"KAPALI",IF(AND($C48="Görüşme",$N48=""),"SONRAKİ İŞLEM EKSİK",IF($I48="","TARİH EKSİK",IF($I48&lt;TODAY(),"GECİKMİŞ",IF($I48=TODAY(),"BUGÜN",IF($I48&lt;=TODAY()+7,"7 GÜN İÇİNDE","PLANLI"))))))))</f>
        <v/>
      </c>
      <c r="R48" s="6" t="n"/>
      <c r="S48" s="6" t="n"/>
    </row>
    <row r="49">
      <c r="A49" s="6" t="n"/>
      <c r="B49" s="112">
        <f>IF($D49="","","A"&amp;TEXT(ROW()-6,"00000"))</f>
        <v/>
      </c>
      <c r="C49" s="107" t="n"/>
      <c r="D49" s="107" t="n"/>
      <c r="E49" s="113">
        <f>IF($D49="","",IFERROR(INDEX(MUSTERILER!$C$7:$C$106,MATCH($D49,MUSTERILER!$B$7:$B$106,0)),"TANIMSIZ MÜŞTERİ"))</f>
        <v/>
      </c>
      <c r="F49" s="108" t="n"/>
      <c r="G49" s="107" t="n"/>
      <c r="H49" s="114" t="n"/>
      <c r="I49" s="114" t="n"/>
      <c r="J49" s="107" t="n"/>
      <c r="K49" s="107" t="n"/>
      <c r="L49" s="108" t="n"/>
      <c r="M49" s="108" t="n"/>
      <c r="N49" s="108" t="n"/>
      <c r="O49" s="114" t="n"/>
      <c r="P49" s="120">
        <f>IF(OR($D49="",$I49=""),"",IF(OR($J49="Tamamlandı",$J49="İptal"),"",$I49-TODAY()))</f>
        <v/>
      </c>
      <c r="Q49" s="112">
        <f>IF($D49="","",IF($E49="TANIMSIZ MÜŞTERİ","HATA",IF(OR($J49="Tamamlandı",$J49="İptal"),"KAPALI",IF(AND($C49="Görüşme",$N49=""),"SONRAKİ İŞLEM EKSİK",IF($I49="","TARİH EKSİK",IF($I49&lt;TODAY(),"GECİKMİŞ",IF($I49=TODAY(),"BUGÜN",IF($I49&lt;=TODAY()+7,"7 GÜN İÇİNDE","PLANLI"))))))))</f>
        <v/>
      </c>
      <c r="R49" s="6" t="n"/>
      <c r="S49" s="6" t="n"/>
    </row>
    <row r="50">
      <c r="A50" s="6" t="n"/>
      <c r="B50" s="112">
        <f>IF($D50="","","A"&amp;TEXT(ROW()-6,"00000"))</f>
        <v/>
      </c>
      <c r="C50" s="107" t="n"/>
      <c r="D50" s="107" t="n"/>
      <c r="E50" s="113">
        <f>IF($D50="","",IFERROR(INDEX(MUSTERILER!$C$7:$C$106,MATCH($D50,MUSTERILER!$B$7:$B$106,0)),"TANIMSIZ MÜŞTERİ"))</f>
        <v/>
      </c>
      <c r="F50" s="108" t="n"/>
      <c r="G50" s="107" t="n"/>
      <c r="H50" s="114" t="n"/>
      <c r="I50" s="114" t="n"/>
      <c r="J50" s="107" t="n"/>
      <c r="K50" s="107" t="n"/>
      <c r="L50" s="108" t="n"/>
      <c r="M50" s="108" t="n"/>
      <c r="N50" s="108" t="n"/>
      <c r="O50" s="114" t="n"/>
      <c r="P50" s="120">
        <f>IF(OR($D50="",$I50=""),"",IF(OR($J50="Tamamlandı",$J50="İptal"),"",$I50-TODAY()))</f>
        <v/>
      </c>
      <c r="Q50" s="112">
        <f>IF($D50="","",IF($E50="TANIMSIZ MÜŞTERİ","HATA",IF(OR($J50="Tamamlandı",$J50="İptal"),"KAPALI",IF(AND($C50="Görüşme",$N50=""),"SONRAKİ İŞLEM EKSİK",IF($I50="","TARİH EKSİK",IF($I50&lt;TODAY(),"GECİKMİŞ",IF($I50=TODAY(),"BUGÜN",IF($I50&lt;=TODAY()+7,"7 GÜN İÇİNDE","PLANLI"))))))))</f>
        <v/>
      </c>
      <c r="R50" s="6" t="n"/>
      <c r="S50" s="6" t="n"/>
    </row>
    <row r="51">
      <c r="A51" s="6" t="n"/>
      <c r="B51" s="112">
        <f>IF($D51="","","A"&amp;TEXT(ROW()-6,"00000"))</f>
        <v/>
      </c>
      <c r="C51" s="107" t="n"/>
      <c r="D51" s="107" t="n"/>
      <c r="E51" s="113">
        <f>IF($D51="","",IFERROR(INDEX(MUSTERILER!$C$7:$C$106,MATCH($D51,MUSTERILER!$B$7:$B$106,0)),"TANIMSIZ MÜŞTERİ"))</f>
        <v/>
      </c>
      <c r="F51" s="108" t="n"/>
      <c r="G51" s="107" t="n"/>
      <c r="H51" s="114" t="n"/>
      <c r="I51" s="114" t="n"/>
      <c r="J51" s="107" t="n"/>
      <c r="K51" s="107" t="n"/>
      <c r="L51" s="108" t="n"/>
      <c r="M51" s="108" t="n"/>
      <c r="N51" s="108" t="n"/>
      <c r="O51" s="114" t="n"/>
      <c r="P51" s="120">
        <f>IF(OR($D51="",$I51=""),"",IF(OR($J51="Tamamlandı",$J51="İptal"),"",$I51-TODAY()))</f>
        <v/>
      </c>
      <c r="Q51" s="112">
        <f>IF($D51="","",IF($E51="TANIMSIZ MÜŞTERİ","HATA",IF(OR($J51="Tamamlandı",$J51="İptal"),"KAPALI",IF(AND($C51="Görüşme",$N51=""),"SONRAKİ İŞLEM EKSİK",IF($I51="","TARİH EKSİK",IF($I51&lt;TODAY(),"GECİKMİŞ",IF($I51=TODAY(),"BUGÜN",IF($I51&lt;=TODAY()+7,"7 GÜN İÇİNDE","PLANLI"))))))))</f>
        <v/>
      </c>
      <c r="R51" s="6" t="n"/>
      <c r="S51" s="6" t="n"/>
    </row>
    <row r="52">
      <c r="A52" s="6" t="n"/>
      <c r="B52" s="112">
        <f>IF($D52="","","A"&amp;TEXT(ROW()-6,"00000"))</f>
        <v/>
      </c>
      <c r="C52" s="107" t="n"/>
      <c r="D52" s="107" t="n"/>
      <c r="E52" s="113">
        <f>IF($D52="","",IFERROR(INDEX(MUSTERILER!$C$7:$C$106,MATCH($D52,MUSTERILER!$B$7:$B$106,0)),"TANIMSIZ MÜŞTERİ"))</f>
        <v/>
      </c>
      <c r="F52" s="108" t="n"/>
      <c r="G52" s="107" t="n"/>
      <c r="H52" s="114" t="n"/>
      <c r="I52" s="114" t="n"/>
      <c r="J52" s="107" t="n"/>
      <c r="K52" s="107" t="n"/>
      <c r="L52" s="108" t="n"/>
      <c r="M52" s="108" t="n"/>
      <c r="N52" s="108" t="n"/>
      <c r="O52" s="114" t="n"/>
      <c r="P52" s="120">
        <f>IF(OR($D52="",$I52=""),"",IF(OR($J52="Tamamlandı",$J52="İptal"),"",$I52-TODAY()))</f>
        <v/>
      </c>
      <c r="Q52" s="112">
        <f>IF($D52="","",IF($E52="TANIMSIZ MÜŞTERİ","HATA",IF(OR($J52="Tamamlandı",$J52="İptal"),"KAPALI",IF(AND($C52="Görüşme",$N52=""),"SONRAKİ İŞLEM EKSİK",IF($I52="","TARİH EKSİK",IF($I52&lt;TODAY(),"GECİKMİŞ",IF($I52=TODAY(),"BUGÜN",IF($I52&lt;=TODAY()+7,"7 GÜN İÇİNDE","PLANLI"))))))))</f>
        <v/>
      </c>
      <c r="R52" s="6" t="n"/>
      <c r="S52" s="6" t="n"/>
    </row>
    <row r="53">
      <c r="A53" s="6" t="n"/>
      <c r="B53" s="112">
        <f>IF($D53="","","A"&amp;TEXT(ROW()-6,"00000"))</f>
        <v/>
      </c>
      <c r="C53" s="107" t="n"/>
      <c r="D53" s="107" t="n"/>
      <c r="E53" s="113">
        <f>IF($D53="","",IFERROR(INDEX(MUSTERILER!$C$7:$C$106,MATCH($D53,MUSTERILER!$B$7:$B$106,0)),"TANIMSIZ MÜŞTERİ"))</f>
        <v/>
      </c>
      <c r="F53" s="108" t="n"/>
      <c r="G53" s="107" t="n"/>
      <c r="H53" s="114" t="n"/>
      <c r="I53" s="114" t="n"/>
      <c r="J53" s="107" t="n"/>
      <c r="K53" s="107" t="n"/>
      <c r="L53" s="108" t="n"/>
      <c r="M53" s="108" t="n"/>
      <c r="N53" s="108" t="n"/>
      <c r="O53" s="114" t="n"/>
      <c r="P53" s="120">
        <f>IF(OR($D53="",$I53=""),"",IF(OR($J53="Tamamlandı",$J53="İptal"),"",$I53-TODAY()))</f>
        <v/>
      </c>
      <c r="Q53" s="112">
        <f>IF($D53="","",IF($E53="TANIMSIZ MÜŞTERİ","HATA",IF(OR($J53="Tamamlandı",$J53="İptal"),"KAPALI",IF(AND($C53="Görüşme",$N53=""),"SONRAKİ İŞLEM EKSİK",IF($I53="","TARİH EKSİK",IF($I53&lt;TODAY(),"GECİKMİŞ",IF($I53=TODAY(),"BUGÜN",IF($I53&lt;=TODAY()+7,"7 GÜN İÇİNDE","PLANLI"))))))))</f>
        <v/>
      </c>
      <c r="R53" s="6" t="n"/>
      <c r="S53" s="6" t="n"/>
    </row>
    <row r="54">
      <c r="A54" s="6" t="n"/>
      <c r="B54" s="112">
        <f>IF($D54="","","A"&amp;TEXT(ROW()-6,"00000"))</f>
        <v/>
      </c>
      <c r="C54" s="107" t="n"/>
      <c r="D54" s="107" t="n"/>
      <c r="E54" s="113">
        <f>IF($D54="","",IFERROR(INDEX(MUSTERILER!$C$7:$C$106,MATCH($D54,MUSTERILER!$B$7:$B$106,0)),"TANIMSIZ MÜŞTERİ"))</f>
        <v/>
      </c>
      <c r="F54" s="108" t="n"/>
      <c r="G54" s="107" t="n"/>
      <c r="H54" s="114" t="n"/>
      <c r="I54" s="114" t="n"/>
      <c r="J54" s="107" t="n"/>
      <c r="K54" s="107" t="n"/>
      <c r="L54" s="108" t="n"/>
      <c r="M54" s="108" t="n"/>
      <c r="N54" s="108" t="n"/>
      <c r="O54" s="114" t="n"/>
      <c r="P54" s="120">
        <f>IF(OR($D54="",$I54=""),"",IF(OR($J54="Tamamlandı",$J54="İptal"),"",$I54-TODAY()))</f>
        <v/>
      </c>
      <c r="Q54" s="112">
        <f>IF($D54="","",IF($E54="TANIMSIZ MÜŞTERİ","HATA",IF(OR($J54="Tamamlandı",$J54="İptal"),"KAPALI",IF(AND($C54="Görüşme",$N54=""),"SONRAKİ İŞLEM EKSİK",IF($I54="","TARİH EKSİK",IF($I54&lt;TODAY(),"GECİKMİŞ",IF($I54=TODAY(),"BUGÜN",IF($I54&lt;=TODAY()+7,"7 GÜN İÇİNDE","PLANLI"))))))))</f>
        <v/>
      </c>
      <c r="R54" s="6" t="n"/>
      <c r="S54" s="6" t="n"/>
    </row>
    <row r="55">
      <c r="A55" s="6" t="n"/>
      <c r="B55" s="112">
        <f>IF($D55="","","A"&amp;TEXT(ROW()-6,"00000"))</f>
        <v/>
      </c>
      <c r="C55" s="107" t="n"/>
      <c r="D55" s="107" t="n"/>
      <c r="E55" s="113">
        <f>IF($D55="","",IFERROR(INDEX(MUSTERILER!$C$7:$C$106,MATCH($D55,MUSTERILER!$B$7:$B$106,0)),"TANIMSIZ MÜŞTERİ"))</f>
        <v/>
      </c>
      <c r="F55" s="108" t="n"/>
      <c r="G55" s="107" t="n"/>
      <c r="H55" s="114" t="n"/>
      <c r="I55" s="114" t="n"/>
      <c r="J55" s="107" t="n"/>
      <c r="K55" s="107" t="n"/>
      <c r="L55" s="108" t="n"/>
      <c r="M55" s="108" t="n"/>
      <c r="N55" s="108" t="n"/>
      <c r="O55" s="114" t="n"/>
      <c r="P55" s="120">
        <f>IF(OR($D55="",$I55=""),"",IF(OR($J55="Tamamlandı",$J55="İptal"),"",$I55-TODAY()))</f>
        <v/>
      </c>
      <c r="Q55" s="112">
        <f>IF($D55="","",IF($E55="TANIMSIZ MÜŞTERİ","HATA",IF(OR($J55="Tamamlandı",$J55="İptal"),"KAPALI",IF(AND($C55="Görüşme",$N55=""),"SONRAKİ İŞLEM EKSİK",IF($I55="","TARİH EKSİK",IF($I55&lt;TODAY(),"GECİKMİŞ",IF($I55=TODAY(),"BUGÜN",IF($I55&lt;=TODAY()+7,"7 GÜN İÇİNDE","PLANLI"))))))))</f>
        <v/>
      </c>
      <c r="R55" s="6" t="n"/>
      <c r="S55" s="6" t="n"/>
    </row>
    <row r="56">
      <c r="A56" s="6" t="n"/>
      <c r="B56" s="112">
        <f>IF($D56="","","A"&amp;TEXT(ROW()-6,"00000"))</f>
        <v/>
      </c>
      <c r="C56" s="107" t="n"/>
      <c r="D56" s="107" t="n"/>
      <c r="E56" s="113">
        <f>IF($D56="","",IFERROR(INDEX(MUSTERILER!$C$7:$C$106,MATCH($D56,MUSTERILER!$B$7:$B$106,0)),"TANIMSIZ MÜŞTERİ"))</f>
        <v/>
      </c>
      <c r="F56" s="108" t="n"/>
      <c r="G56" s="107" t="n"/>
      <c r="H56" s="114" t="n"/>
      <c r="I56" s="114" t="n"/>
      <c r="J56" s="107" t="n"/>
      <c r="K56" s="107" t="n"/>
      <c r="L56" s="108" t="n"/>
      <c r="M56" s="108" t="n"/>
      <c r="N56" s="108" t="n"/>
      <c r="O56" s="114" t="n"/>
      <c r="P56" s="120">
        <f>IF(OR($D56="",$I56=""),"",IF(OR($J56="Tamamlandı",$J56="İptal"),"",$I56-TODAY()))</f>
        <v/>
      </c>
      <c r="Q56" s="112">
        <f>IF($D56="","",IF($E56="TANIMSIZ MÜŞTERİ","HATA",IF(OR($J56="Tamamlandı",$J56="İptal"),"KAPALI",IF(AND($C56="Görüşme",$N56=""),"SONRAKİ İŞLEM EKSİK",IF($I56="","TARİH EKSİK",IF($I56&lt;TODAY(),"GECİKMİŞ",IF($I56=TODAY(),"BUGÜN",IF($I56&lt;=TODAY()+7,"7 GÜN İÇİNDE","PLANLI"))))))))</f>
        <v/>
      </c>
      <c r="R56" s="6" t="n"/>
      <c r="S56" s="6" t="n"/>
    </row>
    <row r="57">
      <c r="A57" s="6" t="n"/>
      <c r="B57" s="112">
        <f>IF($D57="","","A"&amp;TEXT(ROW()-6,"00000"))</f>
        <v/>
      </c>
      <c r="C57" s="107" t="n"/>
      <c r="D57" s="107" t="n"/>
      <c r="E57" s="113">
        <f>IF($D57="","",IFERROR(INDEX(MUSTERILER!$C$7:$C$106,MATCH($D57,MUSTERILER!$B$7:$B$106,0)),"TANIMSIZ MÜŞTERİ"))</f>
        <v/>
      </c>
      <c r="F57" s="108" t="n"/>
      <c r="G57" s="107" t="n"/>
      <c r="H57" s="114" t="n"/>
      <c r="I57" s="114" t="n"/>
      <c r="J57" s="107" t="n"/>
      <c r="K57" s="107" t="n"/>
      <c r="L57" s="108" t="n"/>
      <c r="M57" s="108" t="n"/>
      <c r="N57" s="108" t="n"/>
      <c r="O57" s="114" t="n"/>
      <c r="P57" s="120">
        <f>IF(OR($D57="",$I57=""),"",IF(OR($J57="Tamamlandı",$J57="İptal"),"",$I57-TODAY()))</f>
        <v/>
      </c>
      <c r="Q57" s="112">
        <f>IF($D57="","",IF($E57="TANIMSIZ MÜŞTERİ","HATA",IF(OR($J57="Tamamlandı",$J57="İptal"),"KAPALI",IF(AND($C57="Görüşme",$N57=""),"SONRAKİ İŞLEM EKSİK",IF($I57="","TARİH EKSİK",IF($I57&lt;TODAY(),"GECİKMİŞ",IF($I57=TODAY(),"BUGÜN",IF($I57&lt;=TODAY()+7,"7 GÜN İÇİNDE","PLANLI"))))))))</f>
        <v/>
      </c>
      <c r="R57" s="6" t="n"/>
      <c r="S57" s="6" t="n"/>
    </row>
    <row r="58">
      <c r="A58" s="6" t="n"/>
      <c r="B58" s="112">
        <f>IF($D58="","","A"&amp;TEXT(ROW()-6,"00000"))</f>
        <v/>
      </c>
      <c r="C58" s="107" t="n"/>
      <c r="D58" s="107" t="n"/>
      <c r="E58" s="113">
        <f>IF($D58="","",IFERROR(INDEX(MUSTERILER!$C$7:$C$106,MATCH($D58,MUSTERILER!$B$7:$B$106,0)),"TANIMSIZ MÜŞTERİ"))</f>
        <v/>
      </c>
      <c r="F58" s="108" t="n"/>
      <c r="G58" s="107" t="n"/>
      <c r="H58" s="114" t="n"/>
      <c r="I58" s="114" t="n"/>
      <c r="J58" s="107" t="n"/>
      <c r="K58" s="107" t="n"/>
      <c r="L58" s="108" t="n"/>
      <c r="M58" s="108" t="n"/>
      <c r="N58" s="108" t="n"/>
      <c r="O58" s="114" t="n"/>
      <c r="P58" s="120">
        <f>IF(OR($D58="",$I58=""),"",IF(OR($J58="Tamamlandı",$J58="İptal"),"",$I58-TODAY()))</f>
        <v/>
      </c>
      <c r="Q58" s="112">
        <f>IF($D58="","",IF($E58="TANIMSIZ MÜŞTERİ","HATA",IF(OR($J58="Tamamlandı",$J58="İptal"),"KAPALI",IF(AND($C58="Görüşme",$N58=""),"SONRAKİ İŞLEM EKSİK",IF($I58="","TARİH EKSİK",IF($I58&lt;TODAY(),"GECİKMİŞ",IF($I58=TODAY(),"BUGÜN",IF($I58&lt;=TODAY()+7,"7 GÜN İÇİNDE","PLANLI"))))))))</f>
        <v/>
      </c>
      <c r="R58" s="6" t="n"/>
      <c r="S58" s="6" t="n"/>
    </row>
    <row r="59">
      <c r="A59" s="6" t="n"/>
      <c r="B59" s="112">
        <f>IF($D59="","","A"&amp;TEXT(ROW()-6,"00000"))</f>
        <v/>
      </c>
      <c r="C59" s="107" t="n"/>
      <c r="D59" s="107" t="n"/>
      <c r="E59" s="113">
        <f>IF($D59="","",IFERROR(INDEX(MUSTERILER!$C$7:$C$106,MATCH($D59,MUSTERILER!$B$7:$B$106,0)),"TANIMSIZ MÜŞTERİ"))</f>
        <v/>
      </c>
      <c r="F59" s="108" t="n"/>
      <c r="G59" s="107" t="n"/>
      <c r="H59" s="114" t="n"/>
      <c r="I59" s="114" t="n"/>
      <c r="J59" s="107" t="n"/>
      <c r="K59" s="107" t="n"/>
      <c r="L59" s="108" t="n"/>
      <c r="M59" s="108" t="n"/>
      <c r="N59" s="108" t="n"/>
      <c r="O59" s="114" t="n"/>
      <c r="P59" s="120">
        <f>IF(OR($D59="",$I59=""),"",IF(OR($J59="Tamamlandı",$J59="İptal"),"",$I59-TODAY()))</f>
        <v/>
      </c>
      <c r="Q59" s="112">
        <f>IF($D59="","",IF($E59="TANIMSIZ MÜŞTERİ","HATA",IF(OR($J59="Tamamlandı",$J59="İptal"),"KAPALI",IF(AND($C59="Görüşme",$N59=""),"SONRAKİ İŞLEM EKSİK",IF($I59="","TARİH EKSİK",IF($I59&lt;TODAY(),"GECİKMİŞ",IF($I59=TODAY(),"BUGÜN",IF($I59&lt;=TODAY()+7,"7 GÜN İÇİNDE","PLANLI"))))))))</f>
        <v/>
      </c>
      <c r="R59" s="6" t="n"/>
      <c r="S59" s="6" t="n"/>
    </row>
    <row r="60">
      <c r="A60" s="6" t="n"/>
      <c r="B60" s="112">
        <f>IF($D60="","","A"&amp;TEXT(ROW()-6,"00000"))</f>
        <v/>
      </c>
      <c r="C60" s="107" t="n"/>
      <c r="D60" s="107" t="n"/>
      <c r="E60" s="113">
        <f>IF($D60="","",IFERROR(INDEX(MUSTERILER!$C$7:$C$106,MATCH($D60,MUSTERILER!$B$7:$B$106,0)),"TANIMSIZ MÜŞTERİ"))</f>
        <v/>
      </c>
      <c r="F60" s="108" t="n"/>
      <c r="G60" s="107" t="n"/>
      <c r="H60" s="114" t="n"/>
      <c r="I60" s="114" t="n"/>
      <c r="J60" s="107" t="n"/>
      <c r="K60" s="107" t="n"/>
      <c r="L60" s="108" t="n"/>
      <c r="M60" s="108" t="n"/>
      <c r="N60" s="108" t="n"/>
      <c r="O60" s="114" t="n"/>
      <c r="P60" s="120">
        <f>IF(OR($D60="",$I60=""),"",IF(OR($J60="Tamamlandı",$J60="İptal"),"",$I60-TODAY()))</f>
        <v/>
      </c>
      <c r="Q60" s="112">
        <f>IF($D60="","",IF($E60="TANIMSIZ MÜŞTERİ","HATA",IF(OR($J60="Tamamlandı",$J60="İptal"),"KAPALI",IF(AND($C60="Görüşme",$N60=""),"SONRAKİ İŞLEM EKSİK",IF($I60="","TARİH EKSİK",IF($I60&lt;TODAY(),"GECİKMİŞ",IF($I60=TODAY(),"BUGÜN",IF($I60&lt;=TODAY()+7,"7 GÜN İÇİNDE","PLANLI"))))))))</f>
        <v/>
      </c>
      <c r="R60" s="6" t="n"/>
      <c r="S60" s="6" t="n"/>
    </row>
    <row r="61">
      <c r="A61" s="6" t="n"/>
      <c r="B61" s="112">
        <f>IF($D61="","","A"&amp;TEXT(ROW()-6,"00000"))</f>
        <v/>
      </c>
      <c r="C61" s="107" t="n"/>
      <c r="D61" s="107" t="n"/>
      <c r="E61" s="113">
        <f>IF($D61="","",IFERROR(INDEX(MUSTERILER!$C$7:$C$106,MATCH($D61,MUSTERILER!$B$7:$B$106,0)),"TANIMSIZ MÜŞTERİ"))</f>
        <v/>
      </c>
      <c r="F61" s="108" t="n"/>
      <c r="G61" s="107" t="n"/>
      <c r="H61" s="114" t="n"/>
      <c r="I61" s="114" t="n"/>
      <c r="J61" s="107" t="n"/>
      <c r="K61" s="107" t="n"/>
      <c r="L61" s="108" t="n"/>
      <c r="M61" s="108" t="n"/>
      <c r="N61" s="108" t="n"/>
      <c r="O61" s="114" t="n"/>
      <c r="P61" s="120">
        <f>IF(OR($D61="",$I61=""),"",IF(OR($J61="Tamamlandı",$J61="İptal"),"",$I61-TODAY()))</f>
        <v/>
      </c>
      <c r="Q61" s="112">
        <f>IF($D61="","",IF($E61="TANIMSIZ MÜŞTERİ","HATA",IF(OR($J61="Tamamlandı",$J61="İptal"),"KAPALI",IF(AND($C61="Görüşme",$N61=""),"SONRAKİ İŞLEM EKSİK",IF($I61="","TARİH EKSİK",IF($I61&lt;TODAY(),"GECİKMİŞ",IF($I61=TODAY(),"BUGÜN",IF($I61&lt;=TODAY()+7,"7 GÜN İÇİNDE","PLANLI"))))))))</f>
        <v/>
      </c>
      <c r="R61" s="6" t="n"/>
      <c r="S61" s="6" t="n"/>
    </row>
    <row r="62">
      <c r="A62" s="6" t="n"/>
      <c r="B62" s="112">
        <f>IF($D62="","","A"&amp;TEXT(ROW()-6,"00000"))</f>
        <v/>
      </c>
      <c r="C62" s="107" t="n"/>
      <c r="D62" s="107" t="n"/>
      <c r="E62" s="113">
        <f>IF($D62="","",IFERROR(INDEX(MUSTERILER!$C$7:$C$106,MATCH($D62,MUSTERILER!$B$7:$B$106,0)),"TANIMSIZ MÜŞTERİ"))</f>
        <v/>
      </c>
      <c r="F62" s="108" t="n"/>
      <c r="G62" s="107" t="n"/>
      <c r="H62" s="114" t="n"/>
      <c r="I62" s="114" t="n"/>
      <c r="J62" s="107" t="n"/>
      <c r="K62" s="107" t="n"/>
      <c r="L62" s="108" t="n"/>
      <c r="M62" s="108" t="n"/>
      <c r="N62" s="108" t="n"/>
      <c r="O62" s="114" t="n"/>
      <c r="P62" s="120">
        <f>IF(OR($D62="",$I62=""),"",IF(OR($J62="Tamamlandı",$J62="İptal"),"",$I62-TODAY()))</f>
        <v/>
      </c>
      <c r="Q62" s="112">
        <f>IF($D62="","",IF($E62="TANIMSIZ MÜŞTERİ","HATA",IF(OR($J62="Tamamlandı",$J62="İptal"),"KAPALI",IF(AND($C62="Görüşme",$N62=""),"SONRAKİ İŞLEM EKSİK",IF($I62="","TARİH EKSİK",IF($I62&lt;TODAY(),"GECİKMİŞ",IF($I62=TODAY(),"BUGÜN",IF($I62&lt;=TODAY()+7,"7 GÜN İÇİNDE","PLANLI"))))))))</f>
        <v/>
      </c>
      <c r="R62" s="6" t="n"/>
      <c r="S62" s="6" t="n"/>
    </row>
    <row r="63">
      <c r="A63" s="6" t="n"/>
      <c r="B63" s="112">
        <f>IF($D63="","","A"&amp;TEXT(ROW()-6,"00000"))</f>
        <v/>
      </c>
      <c r="C63" s="107" t="n"/>
      <c r="D63" s="107" t="n"/>
      <c r="E63" s="113">
        <f>IF($D63="","",IFERROR(INDEX(MUSTERILER!$C$7:$C$106,MATCH($D63,MUSTERILER!$B$7:$B$106,0)),"TANIMSIZ MÜŞTERİ"))</f>
        <v/>
      </c>
      <c r="F63" s="108" t="n"/>
      <c r="G63" s="107" t="n"/>
      <c r="H63" s="114" t="n"/>
      <c r="I63" s="114" t="n"/>
      <c r="J63" s="107" t="n"/>
      <c r="K63" s="107" t="n"/>
      <c r="L63" s="108" t="n"/>
      <c r="M63" s="108" t="n"/>
      <c r="N63" s="108" t="n"/>
      <c r="O63" s="114" t="n"/>
      <c r="P63" s="120">
        <f>IF(OR($D63="",$I63=""),"",IF(OR($J63="Tamamlandı",$J63="İptal"),"",$I63-TODAY()))</f>
        <v/>
      </c>
      <c r="Q63" s="112">
        <f>IF($D63="","",IF($E63="TANIMSIZ MÜŞTERİ","HATA",IF(OR($J63="Tamamlandı",$J63="İptal"),"KAPALI",IF(AND($C63="Görüşme",$N63=""),"SONRAKİ İŞLEM EKSİK",IF($I63="","TARİH EKSİK",IF($I63&lt;TODAY(),"GECİKMİŞ",IF($I63=TODAY(),"BUGÜN",IF($I63&lt;=TODAY()+7,"7 GÜN İÇİNDE","PLANLI"))))))))</f>
        <v/>
      </c>
      <c r="R63" s="6" t="n"/>
      <c r="S63" s="6" t="n"/>
    </row>
    <row r="64">
      <c r="A64" s="6" t="n"/>
      <c r="B64" s="112">
        <f>IF($D64="","","A"&amp;TEXT(ROW()-6,"00000"))</f>
        <v/>
      </c>
      <c r="C64" s="107" t="n"/>
      <c r="D64" s="107" t="n"/>
      <c r="E64" s="113">
        <f>IF($D64="","",IFERROR(INDEX(MUSTERILER!$C$7:$C$106,MATCH($D64,MUSTERILER!$B$7:$B$106,0)),"TANIMSIZ MÜŞTERİ"))</f>
        <v/>
      </c>
      <c r="F64" s="108" t="n"/>
      <c r="G64" s="107" t="n"/>
      <c r="H64" s="114" t="n"/>
      <c r="I64" s="114" t="n"/>
      <c r="J64" s="107" t="n"/>
      <c r="K64" s="107" t="n"/>
      <c r="L64" s="108" t="n"/>
      <c r="M64" s="108" t="n"/>
      <c r="N64" s="108" t="n"/>
      <c r="O64" s="114" t="n"/>
      <c r="P64" s="120">
        <f>IF(OR($D64="",$I64=""),"",IF(OR($J64="Tamamlandı",$J64="İptal"),"",$I64-TODAY()))</f>
        <v/>
      </c>
      <c r="Q64" s="112">
        <f>IF($D64="","",IF($E64="TANIMSIZ MÜŞTERİ","HATA",IF(OR($J64="Tamamlandı",$J64="İptal"),"KAPALI",IF(AND($C64="Görüşme",$N64=""),"SONRAKİ İŞLEM EKSİK",IF($I64="","TARİH EKSİK",IF($I64&lt;TODAY(),"GECİKMİŞ",IF($I64=TODAY(),"BUGÜN",IF($I64&lt;=TODAY()+7,"7 GÜN İÇİNDE","PLANLI"))))))))</f>
        <v/>
      </c>
      <c r="R64" s="6" t="n"/>
      <c r="S64" s="6" t="n"/>
    </row>
    <row r="65">
      <c r="A65" s="6" t="n"/>
      <c r="B65" s="112">
        <f>IF($D65="","","A"&amp;TEXT(ROW()-6,"00000"))</f>
        <v/>
      </c>
      <c r="C65" s="107" t="n"/>
      <c r="D65" s="107" t="n"/>
      <c r="E65" s="113">
        <f>IF($D65="","",IFERROR(INDEX(MUSTERILER!$C$7:$C$106,MATCH($D65,MUSTERILER!$B$7:$B$106,0)),"TANIMSIZ MÜŞTERİ"))</f>
        <v/>
      </c>
      <c r="F65" s="108" t="n"/>
      <c r="G65" s="107" t="n"/>
      <c r="H65" s="114" t="n"/>
      <c r="I65" s="114" t="n"/>
      <c r="J65" s="107" t="n"/>
      <c r="K65" s="107" t="n"/>
      <c r="L65" s="108" t="n"/>
      <c r="M65" s="108" t="n"/>
      <c r="N65" s="108" t="n"/>
      <c r="O65" s="114" t="n"/>
      <c r="P65" s="120">
        <f>IF(OR($D65="",$I65=""),"",IF(OR($J65="Tamamlandı",$J65="İptal"),"",$I65-TODAY()))</f>
        <v/>
      </c>
      <c r="Q65" s="112">
        <f>IF($D65="","",IF($E65="TANIMSIZ MÜŞTERİ","HATA",IF(OR($J65="Tamamlandı",$J65="İptal"),"KAPALI",IF(AND($C65="Görüşme",$N65=""),"SONRAKİ İŞLEM EKSİK",IF($I65="","TARİH EKSİK",IF($I65&lt;TODAY(),"GECİKMİŞ",IF($I65=TODAY(),"BUGÜN",IF($I65&lt;=TODAY()+7,"7 GÜN İÇİNDE","PLANLI"))))))))</f>
        <v/>
      </c>
      <c r="R65" s="6" t="n"/>
      <c r="S65" s="6" t="n"/>
    </row>
    <row r="66">
      <c r="A66" s="6" t="n"/>
      <c r="B66" s="112">
        <f>IF($D66="","","A"&amp;TEXT(ROW()-6,"00000"))</f>
        <v/>
      </c>
      <c r="C66" s="107" t="n"/>
      <c r="D66" s="107" t="n"/>
      <c r="E66" s="113">
        <f>IF($D66="","",IFERROR(INDEX(MUSTERILER!$C$7:$C$106,MATCH($D66,MUSTERILER!$B$7:$B$106,0)),"TANIMSIZ MÜŞTERİ"))</f>
        <v/>
      </c>
      <c r="F66" s="108" t="n"/>
      <c r="G66" s="107" t="n"/>
      <c r="H66" s="114" t="n"/>
      <c r="I66" s="114" t="n"/>
      <c r="J66" s="107" t="n"/>
      <c r="K66" s="107" t="n"/>
      <c r="L66" s="108" t="n"/>
      <c r="M66" s="108" t="n"/>
      <c r="N66" s="108" t="n"/>
      <c r="O66" s="114" t="n"/>
      <c r="P66" s="120">
        <f>IF(OR($D66="",$I66=""),"",IF(OR($J66="Tamamlandı",$J66="İptal"),"",$I66-TODAY()))</f>
        <v/>
      </c>
      <c r="Q66" s="112">
        <f>IF($D66="","",IF($E66="TANIMSIZ MÜŞTERİ","HATA",IF(OR($J66="Tamamlandı",$J66="İptal"),"KAPALI",IF(AND($C66="Görüşme",$N66=""),"SONRAKİ İŞLEM EKSİK",IF($I66="","TARİH EKSİK",IF($I66&lt;TODAY(),"GECİKMİŞ",IF($I66=TODAY(),"BUGÜN",IF($I66&lt;=TODAY()+7,"7 GÜN İÇİNDE","PLANLI"))))))))</f>
        <v/>
      </c>
      <c r="R66" s="6" t="n"/>
      <c r="S66" s="6" t="n"/>
    </row>
    <row r="67">
      <c r="A67" s="6" t="n"/>
      <c r="B67" s="112">
        <f>IF($D67="","","A"&amp;TEXT(ROW()-6,"00000"))</f>
        <v/>
      </c>
      <c r="C67" s="107" t="n"/>
      <c r="D67" s="107" t="n"/>
      <c r="E67" s="113">
        <f>IF($D67="","",IFERROR(INDEX(MUSTERILER!$C$7:$C$106,MATCH($D67,MUSTERILER!$B$7:$B$106,0)),"TANIMSIZ MÜŞTERİ"))</f>
        <v/>
      </c>
      <c r="F67" s="108" t="n"/>
      <c r="G67" s="107" t="n"/>
      <c r="H67" s="114" t="n"/>
      <c r="I67" s="114" t="n"/>
      <c r="J67" s="107" t="n"/>
      <c r="K67" s="107" t="n"/>
      <c r="L67" s="108" t="n"/>
      <c r="M67" s="108" t="n"/>
      <c r="N67" s="108" t="n"/>
      <c r="O67" s="114" t="n"/>
      <c r="P67" s="120">
        <f>IF(OR($D67="",$I67=""),"",IF(OR($J67="Tamamlandı",$J67="İptal"),"",$I67-TODAY()))</f>
        <v/>
      </c>
      <c r="Q67" s="112">
        <f>IF($D67="","",IF($E67="TANIMSIZ MÜŞTERİ","HATA",IF(OR($J67="Tamamlandı",$J67="İptal"),"KAPALI",IF(AND($C67="Görüşme",$N67=""),"SONRAKİ İŞLEM EKSİK",IF($I67="","TARİH EKSİK",IF($I67&lt;TODAY(),"GECİKMİŞ",IF($I67=TODAY(),"BUGÜN",IF($I67&lt;=TODAY()+7,"7 GÜN İÇİNDE","PLANLI"))))))))</f>
        <v/>
      </c>
      <c r="R67" s="6" t="n"/>
      <c r="S67" s="6" t="n"/>
    </row>
    <row r="68">
      <c r="A68" s="6" t="n"/>
      <c r="B68" s="112">
        <f>IF($D68="","","A"&amp;TEXT(ROW()-6,"00000"))</f>
        <v/>
      </c>
      <c r="C68" s="107" t="n"/>
      <c r="D68" s="107" t="n"/>
      <c r="E68" s="113">
        <f>IF($D68="","",IFERROR(INDEX(MUSTERILER!$C$7:$C$106,MATCH($D68,MUSTERILER!$B$7:$B$106,0)),"TANIMSIZ MÜŞTERİ"))</f>
        <v/>
      </c>
      <c r="F68" s="108" t="n"/>
      <c r="G68" s="107" t="n"/>
      <c r="H68" s="114" t="n"/>
      <c r="I68" s="114" t="n"/>
      <c r="J68" s="107" t="n"/>
      <c r="K68" s="107" t="n"/>
      <c r="L68" s="108" t="n"/>
      <c r="M68" s="108" t="n"/>
      <c r="N68" s="108" t="n"/>
      <c r="O68" s="114" t="n"/>
      <c r="P68" s="120">
        <f>IF(OR($D68="",$I68=""),"",IF(OR($J68="Tamamlandı",$J68="İptal"),"",$I68-TODAY()))</f>
        <v/>
      </c>
      <c r="Q68" s="112">
        <f>IF($D68="","",IF($E68="TANIMSIZ MÜŞTERİ","HATA",IF(OR($J68="Tamamlandı",$J68="İptal"),"KAPALI",IF(AND($C68="Görüşme",$N68=""),"SONRAKİ İŞLEM EKSİK",IF($I68="","TARİH EKSİK",IF($I68&lt;TODAY(),"GECİKMİŞ",IF($I68=TODAY(),"BUGÜN",IF($I68&lt;=TODAY()+7,"7 GÜN İÇİNDE","PLANLI"))))))))</f>
        <v/>
      </c>
      <c r="R68" s="6" t="n"/>
      <c r="S68" s="6" t="n"/>
    </row>
    <row r="69">
      <c r="A69" s="6" t="n"/>
      <c r="B69" s="112">
        <f>IF($D69="","","A"&amp;TEXT(ROW()-6,"00000"))</f>
        <v/>
      </c>
      <c r="C69" s="107" t="n"/>
      <c r="D69" s="107" t="n"/>
      <c r="E69" s="113">
        <f>IF($D69="","",IFERROR(INDEX(MUSTERILER!$C$7:$C$106,MATCH($D69,MUSTERILER!$B$7:$B$106,0)),"TANIMSIZ MÜŞTERİ"))</f>
        <v/>
      </c>
      <c r="F69" s="108" t="n"/>
      <c r="G69" s="107" t="n"/>
      <c r="H69" s="114" t="n"/>
      <c r="I69" s="114" t="n"/>
      <c r="J69" s="107" t="n"/>
      <c r="K69" s="107" t="n"/>
      <c r="L69" s="108" t="n"/>
      <c r="M69" s="108" t="n"/>
      <c r="N69" s="108" t="n"/>
      <c r="O69" s="114" t="n"/>
      <c r="P69" s="120">
        <f>IF(OR($D69="",$I69=""),"",IF(OR($J69="Tamamlandı",$J69="İptal"),"",$I69-TODAY()))</f>
        <v/>
      </c>
      <c r="Q69" s="112">
        <f>IF($D69="","",IF($E69="TANIMSIZ MÜŞTERİ","HATA",IF(OR($J69="Tamamlandı",$J69="İptal"),"KAPALI",IF(AND($C69="Görüşme",$N69=""),"SONRAKİ İŞLEM EKSİK",IF($I69="","TARİH EKSİK",IF($I69&lt;TODAY(),"GECİKMİŞ",IF($I69=TODAY(),"BUGÜN",IF($I69&lt;=TODAY()+7,"7 GÜN İÇİNDE","PLANLI"))))))))</f>
        <v/>
      </c>
      <c r="R69" s="6" t="n"/>
      <c r="S69" s="6" t="n"/>
    </row>
    <row r="70">
      <c r="A70" s="6" t="n"/>
      <c r="B70" s="112">
        <f>IF($D70="","","A"&amp;TEXT(ROW()-6,"00000"))</f>
        <v/>
      </c>
      <c r="C70" s="107" t="n"/>
      <c r="D70" s="107" t="n"/>
      <c r="E70" s="113">
        <f>IF($D70="","",IFERROR(INDEX(MUSTERILER!$C$7:$C$106,MATCH($D70,MUSTERILER!$B$7:$B$106,0)),"TANIMSIZ MÜŞTERİ"))</f>
        <v/>
      </c>
      <c r="F70" s="108" t="n"/>
      <c r="G70" s="107" t="n"/>
      <c r="H70" s="114" t="n"/>
      <c r="I70" s="114" t="n"/>
      <c r="J70" s="107" t="n"/>
      <c r="K70" s="107" t="n"/>
      <c r="L70" s="108" t="n"/>
      <c r="M70" s="108" t="n"/>
      <c r="N70" s="108" t="n"/>
      <c r="O70" s="114" t="n"/>
      <c r="P70" s="120">
        <f>IF(OR($D70="",$I70=""),"",IF(OR($J70="Tamamlandı",$J70="İptal"),"",$I70-TODAY()))</f>
        <v/>
      </c>
      <c r="Q70" s="112">
        <f>IF($D70="","",IF($E70="TANIMSIZ MÜŞTERİ","HATA",IF(OR($J70="Tamamlandı",$J70="İptal"),"KAPALI",IF(AND($C70="Görüşme",$N70=""),"SONRAKİ İŞLEM EKSİK",IF($I70="","TARİH EKSİK",IF($I70&lt;TODAY(),"GECİKMİŞ",IF($I70=TODAY(),"BUGÜN",IF($I70&lt;=TODAY()+7,"7 GÜN İÇİNDE","PLANLI"))))))))</f>
        <v/>
      </c>
      <c r="R70" s="6" t="n"/>
      <c r="S70" s="6" t="n"/>
    </row>
    <row r="71">
      <c r="A71" s="6" t="n"/>
      <c r="B71" s="112">
        <f>IF($D71="","","A"&amp;TEXT(ROW()-6,"00000"))</f>
        <v/>
      </c>
      <c r="C71" s="107" t="n"/>
      <c r="D71" s="107" t="n"/>
      <c r="E71" s="113">
        <f>IF($D71="","",IFERROR(INDEX(MUSTERILER!$C$7:$C$106,MATCH($D71,MUSTERILER!$B$7:$B$106,0)),"TANIMSIZ MÜŞTERİ"))</f>
        <v/>
      </c>
      <c r="F71" s="108" t="n"/>
      <c r="G71" s="107" t="n"/>
      <c r="H71" s="114" t="n"/>
      <c r="I71" s="114" t="n"/>
      <c r="J71" s="107" t="n"/>
      <c r="K71" s="107" t="n"/>
      <c r="L71" s="108" t="n"/>
      <c r="M71" s="108" t="n"/>
      <c r="N71" s="108" t="n"/>
      <c r="O71" s="114" t="n"/>
      <c r="P71" s="120">
        <f>IF(OR($D71="",$I71=""),"",IF(OR($J71="Tamamlandı",$J71="İptal"),"",$I71-TODAY()))</f>
        <v/>
      </c>
      <c r="Q71" s="112">
        <f>IF($D71="","",IF($E71="TANIMSIZ MÜŞTERİ","HATA",IF(OR($J71="Tamamlandı",$J71="İptal"),"KAPALI",IF(AND($C71="Görüşme",$N71=""),"SONRAKİ İŞLEM EKSİK",IF($I71="","TARİH EKSİK",IF($I71&lt;TODAY(),"GECİKMİŞ",IF($I71=TODAY(),"BUGÜN",IF($I71&lt;=TODAY()+7,"7 GÜN İÇİNDE","PLANLI"))))))))</f>
        <v/>
      </c>
      <c r="R71" s="6" t="n"/>
      <c r="S71" s="6" t="n"/>
    </row>
    <row r="72">
      <c r="A72" s="6" t="n"/>
      <c r="B72" s="112">
        <f>IF($D72="","","A"&amp;TEXT(ROW()-6,"00000"))</f>
        <v/>
      </c>
      <c r="C72" s="107" t="n"/>
      <c r="D72" s="107" t="n"/>
      <c r="E72" s="113">
        <f>IF($D72="","",IFERROR(INDEX(MUSTERILER!$C$7:$C$106,MATCH($D72,MUSTERILER!$B$7:$B$106,0)),"TANIMSIZ MÜŞTERİ"))</f>
        <v/>
      </c>
      <c r="F72" s="108" t="n"/>
      <c r="G72" s="107" t="n"/>
      <c r="H72" s="114" t="n"/>
      <c r="I72" s="114" t="n"/>
      <c r="J72" s="107" t="n"/>
      <c r="K72" s="107" t="n"/>
      <c r="L72" s="108" t="n"/>
      <c r="M72" s="108" t="n"/>
      <c r="N72" s="108" t="n"/>
      <c r="O72" s="114" t="n"/>
      <c r="P72" s="120">
        <f>IF(OR($D72="",$I72=""),"",IF(OR($J72="Tamamlandı",$J72="İptal"),"",$I72-TODAY()))</f>
        <v/>
      </c>
      <c r="Q72" s="112">
        <f>IF($D72="","",IF($E72="TANIMSIZ MÜŞTERİ","HATA",IF(OR($J72="Tamamlandı",$J72="İptal"),"KAPALI",IF(AND($C72="Görüşme",$N72=""),"SONRAKİ İŞLEM EKSİK",IF($I72="","TARİH EKSİK",IF($I72&lt;TODAY(),"GECİKMİŞ",IF($I72=TODAY(),"BUGÜN",IF($I72&lt;=TODAY()+7,"7 GÜN İÇİNDE","PLANLI"))))))))</f>
        <v/>
      </c>
      <c r="R72" s="6" t="n"/>
      <c r="S72" s="6" t="n"/>
    </row>
    <row r="73">
      <c r="A73" s="6" t="n"/>
      <c r="B73" s="112">
        <f>IF($D73="","","A"&amp;TEXT(ROW()-6,"00000"))</f>
        <v/>
      </c>
      <c r="C73" s="107" t="n"/>
      <c r="D73" s="107" t="n"/>
      <c r="E73" s="113">
        <f>IF($D73="","",IFERROR(INDEX(MUSTERILER!$C$7:$C$106,MATCH($D73,MUSTERILER!$B$7:$B$106,0)),"TANIMSIZ MÜŞTERİ"))</f>
        <v/>
      </c>
      <c r="F73" s="108" t="n"/>
      <c r="G73" s="107" t="n"/>
      <c r="H73" s="114" t="n"/>
      <c r="I73" s="114" t="n"/>
      <c r="J73" s="107" t="n"/>
      <c r="K73" s="107" t="n"/>
      <c r="L73" s="108" t="n"/>
      <c r="M73" s="108" t="n"/>
      <c r="N73" s="108" t="n"/>
      <c r="O73" s="114" t="n"/>
      <c r="P73" s="120">
        <f>IF(OR($D73="",$I73=""),"",IF(OR($J73="Tamamlandı",$J73="İptal"),"",$I73-TODAY()))</f>
        <v/>
      </c>
      <c r="Q73" s="112">
        <f>IF($D73="","",IF($E73="TANIMSIZ MÜŞTERİ","HATA",IF(OR($J73="Tamamlandı",$J73="İptal"),"KAPALI",IF(AND($C73="Görüşme",$N73=""),"SONRAKİ İŞLEM EKSİK",IF($I73="","TARİH EKSİK",IF($I73&lt;TODAY(),"GECİKMİŞ",IF($I73=TODAY(),"BUGÜN",IF($I73&lt;=TODAY()+7,"7 GÜN İÇİNDE","PLANLI"))))))))</f>
        <v/>
      </c>
      <c r="R73" s="6" t="n"/>
      <c r="S73" s="6" t="n"/>
    </row>
    <row r="74">
      <c r="A74" s="6" t="n"/>
      <c r="B74" s="112">
        <f>IF($D74="","","A"&amp;TEXT(ROW()-6,"00000"))</f>
        <v/>
      </c>
      <c r="C74" s="107" t="n"/>
      <c r="D74" s="107" t="n"/>
      <c r="E74" s="113">
        <f>IF($D74="","",IFERROR(INDEX(MUSTERILER!$C$7:$C$106,MATCH($D74,MUSTERILER!$B$7:$B$106,0)),"TANIMSIZ MÜŞTERİ"))</f>
        <v/>
      </c>
      <c r="F74" s="108" t="n"/>
      <c r="G74" s="107" t="n"/>
      <c r="H74" s="114" t="n"/>
      <c r="I74" s="114" t="n"/>
      <c r="J74" s="107" t="n"/>
      <c r="K74" s="107" t="n"/>
      <c r="L74" s="108" t="n"/>
      <c r="M74" s="108" t="n"/>
      <c r="N74" s="108" t="n"/>
      <c r="O74" s="114" t="n"/>
      <c r="P74" s="120">
        <f>IF(OR($D74="",$I74=""),"",IF(OR($J74="Tamamlandı",$J74="İptal"),"",$I74-TODAY()))</f>
        <v/>
      </c>
      <c r="Q74" s="112">
        <f>IF($D74="","",IF($E74="TANIMSIZ MÜŞTERİ","HATA",IF(OR($J74="Tamamlandı",$J74="İptal"),"KAPALI",IF(AND($C74="Görüşme",$N74=""),"SONRAKİ İŞLEM EKSİK",IF($I74="","TARİH EKSİK",IF($I74&lt;TODAY(),"GECİKMİŞ",IF($I74=TODAY(),"BUGÜN",IF($I74&lt;=TODAY()+7,"7 GÜN İÇİNDE","PLANLI"))))))))</f>
        <v/>
      </c>
      <c r="R74" s="6" t="n"/>
      <c r="S74" s="6" t="n"/>
    </row>
    <row r="75">
      <c r="A75" s="6" t="n"/>
      <c r="B75" s="112">
        <f>IF($D75="","","A"&amp;TEXT(ROW()-6,"00000"))</f>
        <v/>
      </c>
      <c r="C75" s="107" t="n"/>
      <c r="D75" s="107" t="n"/>
      <c r="E75" s="113">
        <f>IF($D75="","",IFERROR(INDEX(MUSTERILER!$C$7:$C$106,MATCH($D75,MUSTERILER!$B$7:$B$106,0)),"TANIMSIZ MÜŞTERİ"))</f>
        <v/>
      </c>
      <c r="F75" s="108" t="n"/>
      <c r="G75" s="107" t="n"/>
      <c r="H75" s="114" t="n"/>
      <c r="I75" s="114" t="n"/>
      <c r="J75" s="107" t="n"/>
      <c r="K75" s="107" t="n"/>
      <c r="L75" s="108" t="n"/>
      <c r="M75" s="108" t="n"/>
      <c r="N75" s="108" t="n"/>
      <c r="O75" s="114" t="n"/>
      <c r="P75" s="120">
        <f>IF(OR($D75="",$I75=""),"",IF(OR($J75="Tamamlandı",$J75="İptal"),"",$I75-TODAY()))</f>
        <v/>
      </c>
      <c r="Q75" s="112">
        <f>IF($D75="","",IF($E75="TANIMSIZ MÜŞTERİ","HATA",IF(OR($J75="Tamamlandı",$J75="İptal"),"KAPALI",IF(AND($C75="Görüşme",$N75=""),"SONRAKİ İŞLEM EKSİK",IF($I75="","TARİH EKSİK",IF($I75&lt;TODAY(),"GECİKMİŞ",IF($I75=TODAY(),"BUGÜN",IF($I75&lt;=TODAY()+7,"7 GÜN İÇİNDE","PLANLI"))))))))</f>
        <v/>
      </c>
      <c r="R75" s="6" t="n"/>
      <c r="S75" s="6" t="n"/>
    </row>
    <row r="76">
      <c r="A76" s="6" t="n"/>
      <c r="B76" s="112">
        <f>IF($D76="","","A"&amp;TEXT(ROW()-6,"00000"))</f>
        <v/>
      </c>
      <c r="C76" s="107" t="n"/>
      <c r="D76" s="107" t="n"/>
      <c r="E76" s="113">
        <f>IF($D76="","",IFERROR(INDEX(MUSTERILER!$C$7:$C$106,MATCH($D76,MUSTERILER!$B$7:$B$106,0)),"TANIMSIZ MÜŞTERİ"))</f>
        <v/>
      </c>
      <c r="F76" s="108" t="n"/>
      <c r="G76" s="107" t="n"/>
      <c r="H76" s="114" t="n"/>
      <c r="I76" s="114" t="n"/>
      <c r="J76" s="107" t="n"/>
      <c r="K76" s="107" t="n"/>
      <c r="L76" s="108" t="n"/>
      <c r="M76" s="108" t="n"/>
      <c r="N76" s="108" t="n"/>
      <c r="O76" s="114" t="n"/>
      <c r="P76" s="120">
        <f>IF(OR($D76="",$I76=""),"",IF(OR($J76="Tamamlandı",$J76="İptal"),"",$I76-TODAY()))</f>
        <v/>
      </c>
      <c r="Q76" s="112">
        <f>IF($D76="","",IF($E76="TANIMSIZ MÜŞTERİ","HATA",IF(OR($J76="Tamamlandı",$J76="İptal"),"KAPALI",IF(AND($C76="Görüşme",$N76=""),"SONRAKİ İŞLEM EKSİK",IF($I76="","TARİH EKSİK",IF($I76&lt;TODAY(),"GECİKMİŞ",IF($I76=TODAY(),"BUGÜN",IF($I76&lt;=TODAY()+7,"7 GÜN İÇİNDE","PLANLI"))))))))</f>
        <v/>
      </c>
      <c r="R76" s="6" t="n"/>
      <c r="S76" s="6" t="n"/>
    </row>
    <row r="77">
      <c r="A77" s="6" t="n"/>
      <c r="B77" s="112">
        <f>IF($D77="","","A"&amp;TEXT(ROW()-6,"00000"))</f>
        <v/>
      </c>
      <c r="C77" s="107" t="n"/>
      <c r="D77" s="107" t="n"/>
      <c r="E77" s="113">
        <f>IF($D77="","",IFERROR(INDEX(MUSTERILER!$C$7:$C$106,MATCH($D77,MUSTERILER!$B$7:$B$106,0)),"TANIMSIZ MÜŞTERİ"))</f>
        <v/>
      </c>
      <c r="F77" s="108" t="n"/>
      <c r="G77" s="107" t="n"/>
      <c r="H77" s="114" t="n"/>
      <c r="I77" s="114" t="n"/>
      <c r="J77" s="107" t="n"/>
      <c r="K77" s="107" t="n"/>
      <c r="L77" s="108" t="n"/>
      <c r="M77" s="108" t="n"/>
      <c r="N77" s="108" t="n"/>
      <c r="O77" s="114" t="n"/>
      <c r="P77" s="120">
        <f>IF(OR($D77="",$I77=""),"",IF(OR($J77="Tamamlandı",$J77="İptal"),"",$I77-TODAY()))</f>
        <v/>
      </c>
      <c r="Q77" s="112">
        <f>IF($D77="","",IF($E77="TANIMSIZ MÜŞTERİ","HATA",IF(OR($J77="Tamamlandı",$J77="İptal"),"KAPALI",IF(AND($C77="Görüşme",$N77=""),"SONRAKİ İŞLEM EKSİK",IF($I77="","TARİH EKSİK",IF($I77&lt;TODAY(),"GECİKMİŞ",IF($I77=TODAY(),"BUGÜN",IF($I77&lt;=TODAY()+7,"7 GÜN İÇİNDE","PLANLI"))))))))</f>
        <v/>
      </c>
      <c r="R77" s="6" t="n"/>
      <c r="S77" s="6" t="n"/>
    </row>
    <row r="78">
      <c r="A78" s="6" t="n"/>
      <c r="B78" s="112">
        <f>IF($D78="","","A"&amp;TEXT(ROW()-6,"00000"))</f>
        <v/>
      </c>
      <c r="C78" s="107" t="n"/>
      <c r="D78" s="107" t="n"/>
      <c r="E78" s="113">
        <f>IF($D78="","",IFERROR(INDEX(MUSTERILER!$C$7:$C$106,MATCH($D78,MUSTERILER!$B$7:$B$106,0)),"TANIMSIZ MÜŞTERİ"))</f>
        <v/>
      </c>
      <c r="F78" s="108" t="n"/>
      <c r="G78" s="107" t="n"/>
      <c r="H78" s="114" t="n"/>
      <c r="I78" s="114" t="n"/>
      <c r="J78" s="107" t="n"/>
      <c r="K78" s="107" t="n"/>
      <c r="L78" s="108" t="n"/>
      <c r="M78" s="108" t="n"/>
      <c r="N78" s="108" t="n"/>
      <c r="O78" s="114" t="n"/>
      <c r="P78" s="120">
        <f>IF(OR($D78="",$I78=""),"",IF(OR($J78="Tamamlandı",$J78="İptal"),"",$I78-TODAY()))</f>
        <v/>
      </c>
      <c r="Q78" s="112">
        <f>IF($D78="","",IF($E78="TANIMSIZ MÜŞTERİ","HATA",IF(OR($J78="Tamamlandı",$J78="İptal"),"KAPALI",IF(AND($C78="Görüşme",$N78=""),"SONRAKİ İŞLEM EKSİK",IF($I78="","TARİH EKSİK",IF($I78&lt;TODAY(),"GECİKMİŞ",IF($I78=TODAY(),"BUGÜN",IF($I78&lt;=TODAY()+7,"7 GÜN İÇİNDE","PLANLI"))))))))</f>
        <v/>
      </c>
      <c r="R78" s="6" t="n"/>
      <c r="S78" s="6" t="n"/>
    </row>
    <row r="79">
      <c r="A79" s="6" t="n"/>
      <c r="B79" s="112">
        <f>IF($D79="","","A"&amp;TEXT(ROW()-6,"00000"))</f>
        <v/>
      </c>
      <c r="C79" s="107" t="n"/>
      <c r="D79" s="107" t="n"/>
      <c r="E79" s="113">
        <f>IF($D79="","",IFERROR(INDEX(MUSTERILER!$C$7:$C$106,MATCH($D79,MUSTERILER!$B$7:$B$106,0)),"TANIMSIZ MÜŞTERİ"))</f>
        <v/>
      </c>
      <c r="F79" s="108" t="n"/>
      <c r="G79" s="107" t="n"/>
      <c r="H79" s="114" t="n"/>
      <c r="I79" s="114" t="n"/>
      <c r="J79" s="107" t="n"/>
      <c r="K79" s="107" t="n"/>
      <c r="L79" s="108" t="n"/>
      <c r="M79" s="108" t="n"/>
      <c r="N79" s="108" t="n"/>
      <c r="O79" s="114" t="n"/>
      <c r="P79" s="120">
        <f>IF(OR($D79="",$I79=""),"",IF(OR($J79="Tamamlandı",$J79="İptal"),"",$I79-TODAY()))</f>
        <v/>
      </c>
      <c r="Q79" s="112">
        <f>IF($D79="","",IF($E79="TANIMSIZ MÜŞTERİ","HATA",IF(OR($J79="Tamamlandı",$J79="İptal"),"KAPALI",IF(AND($C79="Görüşme",$N79=""),"SONRAKİ İŞLEM EKSİK",IF($I79="","TARİH EKSİK",IF($I79&lt;TODAY(),"GECİKMİŞ",IF($I79=TODAY(),"BUGÜN",IF($I79&lt;=TODAY()+7,"7 GÜN İÇİNDE","PLANLI"))))))))</f>
        <v/>
      </c>
      <c r="R79" s="6" t="n"/>
      <c r="S79" s="6" t="n"/>
    </row>
    <row r="80">
      <c r="A80" s="6" t="n"/>
      <c r="B80" s="112">
        <f>IF($D80="","","A"&amp;TEXT(ROW()-6,"00000"))</f>
        <v/>
      </c>
      <c r="C80" s="107" t="n"/>
      <c r="D80" s="107" t="n"/>
      <c r="E80" s="113">
        <f>IF($D80="","",IFERROR(INDEX(MUSTERILER!$C$7:$C$106,MATCH($D80,MUSTERILER!$B$7:$B$106,0)),"TANIMSIZ MÜŞTERİ"))</f>
        <v/>
      </c>
      <c r="F80" s="108" t="n"/>
      <c r="G80" s="107" t="n"/>
      <c r="H80" s="114" t="n"/>
      <c r="I80" s="114" t="n"/>
      <c r="J80" s="107" t="n"/>
      <c r="K80" s="107" t="n"/>
      <c r="L80" s="108" t="n"/>
      <c r="M80" s="108" t="n"/>
      <c r="N80" s="108" t="n"/>
      <c r="O80" s="114" t="n"/>
      <c r="P80" s="120">
        <f>IF(OR($D80="",$I80=""),"",IF(OR($J80="Tamamlandı",$J80="İptal"),"",$I80-TODAY()))</f>
        <v/>
      </c>
      <c r="Q80" s="112">
        <f>IF($D80="","",IF($E80="TANIMSIZ MÜŞTERİ","HATA",IF(OR($J80="Tamamlandı",$J80="İptal"),"KAPALI",IF(AND($C80="Görüşme",$N80=""),"SONRAKİ İŞLEM EKSİK",IF($I80="","TARİH EKSİK",IF($I80&lt;TODAY(),"GECİKMİŞ",IF($I80=TODAY(),"BUGÜN",IF($I80&lt;=TODAY()+7,"7 GÜN İÇİNDE","PLANLI"))))))))</f>
        <v/>
      </c>
      <c r="R80" s="6" t="n"/>
      <c r="S80" s="6" t="n"/>
    </row>
    <row r="81">
      <c r="A81" s="6" t="n"/>
      <c r="B81" s="112">
        <f>IF($D81="","","A"&amp;TEXT(ROW()-6,"00000"))</f>
        <v/>
      </c>
      <c r="C81" s="107" t="n"/>
      <c r="D81" s="107" t="n"/>
      <c r="E81" s="113">
        <f>IF($D81="","",IFERROR(INDEX(MUSTERILER!$C$7:$C$106,MATCH($D81,MUSTERILER!$B$7:$B$106,0)),"TANIMSIZ MÜŞTERİ"))</f>
        <v/>
      </c>
      <c r="F81" s="108" t="n"/>
      <c r="G81" s="107" t="n"/>
      <c r="H81" s="114" t="n"/>
      <c r="I81" s="114" t="n"/>
      <c r="J81" s="107" t="n"/>
      <c r="K81" s="107" t="n"/>
      <c r="L81" s="108" t="n"/>
      <c r="M81" s="108" t="n"/>
      <c r="N81" s="108" t="n"/>
      <c r="O81" s="114" t="n"/>
      <c r="P81" s="120">
        <f>IF(OR($D81="",$I81=""),"",IF(OR($J81="Tamamlandı",$J81="İptal"),"",$I81-TODAY()))</f>
        <v/>
      </c>
      <c r="Q81" s="112">
        <f>IF($D81="","",IF($E81="TANIMSIZ MÜŞTERİ","HATA",IF(OR($J81="Tamamlandı",$J81="İptal"),"KAPALI",IF(AND($C81="Görüşme",$N81=""),"SONRAKİ İŞLEM EKSİK",IF($I81="","TARİH EKSİK",IF($I81&lt;TODAY(),"GECİKMİŞ",IF($I81=TODAY(),"BUGÜN",IF($I81&lt;=TODAY()+7,"7 GÜN İÇİNDE","PLANLI"))))))))</f>
        <v/>
      </c>
      <c r="R81" s="6" t="n"/>
      <c r="S81" s="6" t="n"/>
    </row>
    <row r="82">
      <c r="A82" s="6" t="n"/>
      <c r="B82" s="112">
        <f>IF($D82="","","A"&amp;TEXT(ROW()-6,"00000"))</f>
        <v/>
      </c>
      <c r="C82" s="107" t="n"/>
      <c r="D82" s="107" t="n"/>
      <c r="E82" s="113">
        <f>IF($D82="","",IFERROR(INDEX(MUSTERILER!$C$7:$C$106,MATCH($D82,MUSTERILER!$B$7:$B$106,0)),"TANIMSIZ MÜŞTERİ"))</f>
        <v/>
      </c>
      <c r="F82" s="108" t="n"/>
      <c r="G82" s="107" t="n"/>
      <c r="H82" s="114" t="n"/>
      <c r="I82" s="114" t="n"/>
      <c r="J82" s="107" t="n"/>
      <c r="K82" s="107" t="n"/>
      <c r="L82" s="108" t="n"/>
      <c r="M82" s="108" t="n"/>
      <c r="N82" s="108" t="n"/>
      <c r="O82" s="114" t="n"/>
      <c r="P82" s="120">
        <f>IF(OR($D82="",$I82=""),"",IF(OR($J82="Tamamlandı",$J82="İptal"),"",$I82-TODAY()))</f>
        <v/>
      </c>
      <c r="Q82" s="112">
        <f>IF($D82="","",IF($E82="TANIMSIZ MÜŞTERİ","HATA",IF(OR($J82="Tamamlandı",$J82="İptal"),"KAPALI",IF(AND($C82="Görüşme",$N82=""),"SONRAKİ İŞLEM EKSİK",IF($I82="","TARİH EKSİK",IF($I82&lt;TODAY(),"GECİKMİŞ",IF($I82=TODAY(),"BUGÜN",IF($I82&lt;=TODAY()+7,"7 GÜN İÇİNDE","PLANLI"))))))))</f>
        <v/>
      </c>
      <c r="R82" s="6" t="n"/>
      <c r="S82" s="6" t="n"/>
    </row>
    <row r="83">
      <c r="A83" s="6" t="n"/>
      <c r="B83" s="112">
        <f>IF($D83="","","A"&amp;TEXT(ROW()-6,"00000"))</f>
        <v/>
      </c>
      <c r="C83" s="107" t="n"/>
      <c r="D83" s="107" t="n"/>
      <c r="E83" s="113">
        <f>IF($D83="","",IFERROR(INDEX(MUSTERILER!$C$7:$C$106,MATCH($D83,MUSTERILER!$B$7:$B$106,0)),"TANIMSIZ MÜŞTERİ"))</f>
        <v/>
      </c>
      <c r="F83" s="108" t="n"/>
      <c r="G83" s="107" t="n"/>
      <c r="H83" s="114" t="n"/>
      <c r="I83" s="114" t="n"/>
      <c r="J83" s="107" t="n"/>
      <c r="K83" s="107" t="n"/>
      <c r="L83" s="108" t="n"/>
      <c r="M83" s="108" t="n"/>
      <c r="N83" s="108" t="n"/>
      <c r="O83" s="114" t="n"/>
      <c r="P83" s="120">
        <f>IF(OR($D83="",$I83=""),"",IF(OR($J83="Tamamlandı",$J83="İptal"),"",$I83-TODAY()))</f>
        <v/>
      </c>
      <c r="Q83" s="112">
        <f>IF($D83="","",IF($E83="TANIMSIZ MÜŞTERİ","HATA",IF(OR($J83="Tamamlandı",$J83="İptal"),"KAPALI",IF(AND($C83="Görüşme",$N83=""),"SONRAKİ İŞLEM EKSİK",IF($I83="","TARİH EKSİK",IF($I83&lt;TODAY(),"GECİKMİŞ",IF($I83=TODAY(),"BUGÜN",IF($I83&lt;=TODAY()+7,"7 GÜN İÇİNDE","PLANLI"))))))))</f>
        <v/>
      </c>
      <c r="R83" s="6" t="n"/>
      <c r="S83" s="6" t="n"/>
    </row>
    <row r="84">
      <c r="A84" s="6" t="n"/>
      <c r="B84" s="112">
        <f>IF($D84="","","A"&amp;TEXT(ROW()-6,"00000"))</f>
        <v/>
      </c>
      <c r="C84" s="107" t="n"/>
      <c r="D84" s="107" t="n"/>
      <c r="E84" s="113">
        <f>IF($D84="","",IFERROR(INDEX(MUSTERILER!$C$7:$C$106,MATCH($D84,MUSTERILER!$B$7:$B$106,0)),"TANIMSIZ MÜŞTERİ"))</f>
        <v/>
      </c>
      <c r="F84" s="108" t="n"/>
      <c r="G84" s="107" t="n"/>
      <c r="H84" s="114" t="n"/>
      <c r="I84" s="114" t="n"/>
      <c r="J84" s="107" t="n"/>
      <c r="K84" s="107" t="n"/>
      <c r="L84" s="108" t="n"/>
      <c r="M84" s="108" t="n"/>
      <c r="N84" s="108" t="n"/>
      <c r="O84" s="114" t="n"/>
      <c r="P84" s="120">
        <f>IF(OR($D84="",$I84=""),"",IF(OR($J84="Tamamlandı",$J84="İptal"),"",$I84-TODAY()))</f>
        <v/>
      </c>
      <c r="Q84" s="112">
        <f>IF($D84="","",IF($E84="TANIMSIZ MÜŞTERİ","HATA",IF(OR($J84="Tamamlandı",$J84="İptal"),"KAPALI",IF(AND($C84="Görüşme",$N84=""),"SONRAKİ İŞLEM EKSİK",IF($I84="","TARİH EKSİK",IF($I84&lt;TODAY(),"GECİKMİŞ",IF($I84=TODAY(),"BUGÜN",IF($I84&lt;=TODAY()+7,"7 GÜN İÇİNDE","PLANLI"))))))))</f>
        <v/>
      </c>
      <c r="R84" s="6" t="n"/>
      <c r="S84" s="6" t="n"/>
    </row>
    <row r="85">
      <c r="A85" s="6" t="n"/>
      <c r="B85" s="112">
        <f>IF($D85="","","A"&amp;TEXT(ROW()-6,"00000"))</f>
        <v/>
      </c>
      <c r="C85" s="107" t="n"/>
      <c r="D85" s="107" t="n"/>
      <c r="E85" s="113">
        <f>IF($D85="","",IFERROR(INDEX(MUSTERILER!$C$7:$C$106,MATCH($D85,MUSTERILER!$B$7:$B$106,0)),"TANIMSIZ MÜŞTERİ"))</f>
        <v/>
      </c>
      <c r="F85" s="108" t="n"/>
      <c r="G85" s="107" t="n"/>
      <c r="H85" s="114" t="n"/>
      <c r="I85" s="114" t="n"/>
      <c r="J85" s="107" t="n"/>
      <c r="K85" s="107" t="n"/>
      <c r="L85" s="108" t="n"/>
      <c r="M85" s="108" t="n"/>
      <c r="N85" s="108" t="n"/>
      <c r="O85" s="114" t="n"/>
      <c r="P85" s="120">
        <f>IF(OR($D85="",$I85=""),"",IF(OR($J85="Tamamlandı",$J85="İptal"),"",$I85-TODAY()))</f>
        <v/>
      </c>
      <c r="Q85" s="112">
        <f>IF($D85="","",IF($E85="TANIMSIZ MÜŞTERİ","HATA",IF(OR($J85="Tamamlandı",$J85="İptal"),"KAPALI",IF(AND($C85="Görüşme",$N85=""),"SONRAKİ İŞLEM EKSİK",IF($I85="","TARİH EKSİK",IF($I85&lt;TODAY(),"GECİKMİŞ",IF($I85=TODAY(),"BUGÜN",IF($I85&lt;=TODAY()+7,"7 GÜN İÇİNDE","PLANLI"))))))))</f>
        <v/>
      </c>
      <c r="R85" s="6" t="n"/>
      <c r="S85" s="6" t="n"/>
    </row>
    <row r="86">
      <c r="A86" s="6" t="n"/>
      <c r="B86" s="112">
        <f>IF($D86="","","A"&amp;TEXT(ROW()-6,"00000"))</f>
        <v/>
      </c>
      <c r="C86" s="107" t="n"/>
      <c r="D86" s="107" t="n"/>
      <c r="E86" s="113">
        <f>IF($D86="","",IFERROR(INDEX(MUSTERILER!$C$7:$C$106,MATCH($D86,MUSTERILER!$B$7:$B$106,0)),"TANIMSIZ MÜŞTERİ"))</f>
        <v/>
      </c>
      <c r="F86" s="108" t="n"/>
      <c r="G86" s="107" t="n"/>
      <c r="H86" s="114" t="n"/>
      <c r="I86" s="114" t="n"/>
      <c r="J86" s="107" t="n"/>
      <c r="K86" s="107" t="n"/>
      <c r="L86" s="108" t="n"/>
      <c r="M86" s="108" t="n"/>
      <c r="N86" s="108" t="n"/>
      <c r="O86" s="114" t="n"/>
      <c r="P86" s="120">
        <f>IF(OR($D86="",$I86=""),"",IF(OR($J86="Tamamlandı",$J86="İptal"),"",$I86-TODAY()))</f>
        <v/>
      </c>
      <c r="Q86" s="112">
        <f>IF($D86="","",IF($E86="TANIMSIZ MÜŞTERİ","HATA",IF(OR($J86="Tamamlandı",$J86="İptal"),"KAPALI",IF(AND($C86="Görüşme",$N86=""),"SONRAKİ İŞLEM EKSİK",IF($I86="","TARİH EKSİK",IF($I86&lt;TODAY(),"GECİKMİŞ",IF($I86=TODAY(),"BUGÜN",IF($I86&lt;=TODAY()+7,"7 GÜN İÇİNDE","PLANLI"))))))))</f>
        <v/>
      </c>
      <c r="R86" s="6" t="n"/>
      <c r="S86" s="6" t="n"/>
    </row>
    <row r="87">
      <c r="A87" s="6" t="n"/>
      <c r="B87" s="112">
        <f>IF($D87="","","A"&amp;TEXT(ROW()-6,"00000"))</f>
        <v/>
      </c>
      <c r="C87" s="107" t="n"/>
      <c r="D87" s="107" t="n"/>
      <c r="E87" s="113">
        <f>IF($D87="","",IFERROR(INDEX(MUSTERILER!$C$7:$C$106,MATCH($D87,MUSTERILER!$B$7:$B$106,0)),"TANIMSIZ MÜŞTERİ"))</f>
        <v/>
      </c>
      <c r="F87" s="108" t="n"/>
      <c r="G87" s="107" t="n"/>
      <c r="H87" s="114" t="n"/>
      <c r="I87" s="114" t="n"/>
      <c r="J87" s="107" t="n"/>
      <c r="K87" s="107" t="n"/>
      <c r="L87" s="108" t="n"/>
      <c r="M87" s="108" t="n"/>
      <c r="N87" s="108" t="n"/>
      <c r="O87" s="114" t="n"/>
      <c r="P87" s="120">
        <f>IF(OR($D87="",$I87=""),"",IF(OR($J87="Tamamlandı",$J87="İptal"),"",$I87-TODAY()))</f>
        <v/>
      </c>
      <c r="Q87" s="112">
        <f>IF($D87="","",IF($E87="TANIMSIZ MÜŞTERİ","HATA",IF(OR($J87="Tamamlandı",$J87="İptal"),"KAPALI",IF(AND($C87="Görüşme",$N87=""),"SONRAKİ İŞLEM EKSİK",IF($I87="","TARİH EKSİK",IF($I87&lt;TODAY(),"GECİKMİŞ",IF($I87=TODAY(),"BUGÜN",IF($I87&lt;=TODAY()+7,"7 GÜN İÇİNDE","PLANLI"))))))))</f>
        <v/>
      </c>
      <c r="R87" s="6" t="n"/>
      <c r="S87" s="6" t="n"/>
    </row>
    <row r="88">
      <c r="A88" s="6" t="n"/>
      <c r="B88" s="112">
        <f>IF($D88="","","A"&amp;TEXT(ROW()-6,"00000"))</f>
        <v/>
      </c>
      <c r="C88" s="107" t="n"/>
      <c r="D88" s="107" t="n"/>
      <c r="E88" s="113">
        <f>IF($D88="","",IFERROR(INDEX(MUSTERILER!$C$7:$C$106,MATCH($D88,MUSTERILER!$B$7:$B$106,0)),"TANIMSIZ MÜŞTERİ"))</f>
        <v/>
      </c>
      <c r="F88" s="108" t="n"/>
      <c r="G88" s="107" t="n"/>
      <c r="H88" s="114" t="n"/>
      <c r="I88" s="114" t="n"/>
      <c r="J88" s="107" t="n"/>
      <c r="K88" s="107" t="n"/>
      <c r="L88" s="108" t="n"/>
      <c r="M88" s="108" t="n"/>
      <c r="N88" s="108" t="n"/>
      <c r="O88" s="114" t="n"/>
      <c r="P88" s="120">
        <f>IF(OR($D88="",$I88=""),"",IF(OR($J88="Tamamlandı",$J88="İptal"),"",$I88-TODAY()))</f>
        <v/>
      </c>
      <c r="Q88" s="112">
        <f>IF($D88="","",IF($E88="TANIMSIZ MÜŞTERİ","HATA",IF(OR($J88="Tamamlandı",$J88="İptal"),"KAPALI",IF(AND($C88="Görüşme",$N88=""),"SONRAKİ İŞLEM EKSİK",IF($I88="","TARİH EKSİK",IF($I88&lt;TODAY(),"GECİKMİŞ",IF($I88=TODAY(),"BUGÜN",IF($I88&lt;=TODAY()+7,"7 GÜN İÇİNDE","PLANLI"))))))))</f>
        <v/>
      </c>
      <c r="R88" s="6" t="n"/>
      <c r="S88" s="6" t="n"/>
    </row>
    <row r="89">
      <c r="A89" s="6" t="n"/>
      <c r="B89" s="112">
        <f>IF($D89="","","A"&amp;TEXT(ROW()-6,"00000"))</f>
        <v/>
      </c>
      <c r="C89" s="107" t="n"/>
      <c r="D89" s="107" t="n"/>
      <c r="E89" s="113">
        <f>IF($D89="","",IFERROR(INDEX(MUSTERILER!$C$7:$C$106,MATCH($D89,MUSTERILER!$B$7:$B$106,0)),"TANIMSIZ MÜŞTERİ"))</f>
        <v/>
      </c>
      <c r="F89" s="108" t="n"/>
      <c r="G89" s="107" t="n"/>
      <c r="H89" s="114" t="n"/>
      <c r="I89" s="114" t="n"/>
      <c r="J89" s="107" t="n"/>
      <c r="K89" s="107" t="n"/>
      <c r="L89" s="108" t="n"/>
      <c r="M89" s="108" t="n"/>
      <c r="N89" s="108" t="n"/>
      <c r="O89" s="114" t="n"/>
      <c r="P89" s="120">
        <f>IF(OR($D89="",$I89=""),"",IF(OR($J89="Tamamlandı",$J89="İptal"),"",$I89-TODAY()))</f>
        <v/>
      </c>
      <c r="Q89" s="112">
        <f>IF($D89="","",IF($E89="TANIMSIZ MÜŞTERİ","HATA",IF(OR($J89="Tamamlandı",$J89="İptal"),"KAPALI",IF(AND($C89="Görüşme",$N89=""),"SONRAKİ İŞLEM EKSİK",IF($I89="","TARİH EKSİK",IF($I89&lt;TODAY(),"GECİKMİŞ",IF($I89=TODAY(),"BUGÜN",IF($I89&lt;=TODAY()+7,"7 GÜN İÇİNDE","PLANLI"))))))))</f>
        <v/>
      </c>
      <c r="R89" s="6" t="n"/>
      <c r="S89" s="6" t="n"/>
    </row>
    <row r="90">
      <c r="A90" s="6" t="n"/>
      <c r="B90" s="112">
        <f>IF($D90="","","A"&amp;TEXT(ROW()-6,"00000"))</f>
        <v/>
      </c>
      <c r="C90" s="107" t="n"/>
      <c r="D90" s="107" t="n"/>
      <c r="E90" s="113">
        <f>IF($D90="","",IFERROR(INDEX(MUSTERILER!$C$7:$C$106,MATCH($D90,MUSTERILER!$B$7:$B$106,0)),"TANIMSIZ MÜŞTERİ"))</f>
        <v/>
      </c>
      <c r="F90" s="108" t="n"/>
      <c r="G90" s="107" t="n"/>
      <c r="H90" s="114" t="n"/>
      <c r="I90" s="114" t="n"/>
      <c r="J90" s="107" t="n"/>
      <c r="K90" s="107" t="n"/>
      <c r="L90" s="108" t="n"/>
      <c r="M90" s="108" t="n"/>
      <c r="N90" s="108" t="n"/>
      <c r="O90" s="114" t="n"/>
      <c r="P90" s="120">
        <f>IF(OR($D90="",$I90=""),"",IF(OR($J90="Tamamlandı",$J90="İptal"),"",$I90-TODAY()))</f>
        <v/>
      </c>
      <c r="Q90" s="112">
        <f>IF($D90="","",IF($E90="TANIMSIZ MÜŞTERİ","HATA",IF(OR($J90="Tamamlandı",$J90="İptal"),"KAPALI",IF(AND($C90="Görüşme",$N90=""),"SONRAKİ İŞLEM EKSİK",IF($I90="","TARİH EKSİK",IF($I90&lt;TODAY(),"GECİKMİŞ",IF($I90=TODAY(),"BUGÜN",IF($I90&lt;=TODAY()+7,"7 GÜN İÇİNDE","PLANLI"))))))))</f>
        <v/>
      </c>
      <c r="R90" s="6" t="n"/>
      <c r="S90" s="6" t="n"/>
    </row>
    <row r="91">
      <c r="A91" s="6" t="n"/>
      <c r="B91" s="112">
        <f>IF($D91="","","A"&amp;TEXT(ROW()-6,"00000"))</f>
        <v/>
      </c>
      <c r="C91" s="107" t="n"/>
      <c r="D91" s="107" t="n"/>
      <c r="E91" s="113">
        <f>IF($D91="","",IFERROR(INDEX(MUSTERILER!$C$7:$C$106,MATCH($D91,MUSTERILER!$B$7:$B$106,0)),"TANIMSIZ MÜŞTERİ"))</f>
        <v/>
      </c>
      <c r="F91" s="108" t="n"/>
      <c r="G91" s="107" t="n"/>
      <c r="H91" s="114" t="n"/>
      <c r="I91" s="114" t="n"/>
      <c r="J91" s="107" t="n"/>
      <c r="K91" s="107" t="n"/>
      <c r="L91" s="108" t="n"/>
      <c r="M91" s="108" t="n"/>
      <c r="N91" s="108" t="n"/>
      <c r="O91" s="114" t="n"/>
      <c r="P91" s="120">
        <f>IF(OR($D91="",$I91=""),"",IF(OR($J91="Tamamlandı",$J91="İptal"),"",$I91-TODAY()))</f>
        <v/>
      </c>
      <c r="Q91" s="112">
        <f>IF($D91="","",IF($E91="TANIMSIZ MÜŞTERİ","HATA",IF(OR($J91="Tamamlandı",$J91="İptal"),"KAPALI",IF(AND($C91="Görüşme",$N91=""),"SONRAKİ İŞLEM EKSİK",IF($I91="","TARİH EKSİK",IF($I91&lt;TODAY(),"GECİKMİŞ",IF($I91=TODAY(),"BUGÜN",IF($I91&lt;=TODAY()+7,"7 GÜN İÇİNDE","PLANLI"))))))))</f>
        <v/>
      </c>
      <c r="R91" s="6" t="n"/>
      <c r="S91" s="6" t="n"/>
    </row>
    <row r="92">
      <c r="A92" s="6" t="n"/>
      <c r="B92" s="112">
        <f>IF($D92="","","A"&amp;TEXT(ROW()-6,"00000"))</f>
        <v/>
      </c>
      <c r="C92" s="107" t="n"/>
      <c r="D92" s="107" t="n"/>
      <c r="E92" s="113">
        <f>IF($D92="","",IFERROR(INDEX(MUSTERILER!$C$7:$C$106,MATCH($D92,MUSTERILER!$B$7:$B$106,0)),"TANIMSIZ MÜŞTERİ"))</f>
        <v/>
      </c>
      <c r="F92" s="108" t="n"/>
      <c r="G92" s="107" t="n"/>
      <c r="H92" s="114" t="n"/>
      <c r="I92" s="114" t="n"/>
      <c r="J92" s="107" t="n"/>
      <c r="K92" s="107" t="n"/>
      <c r="L92" s="108" t="n"/>
      <c r="M92" s="108" t="n"/>
      <c r="N92" s="108" t="n"/>
      <c r="O92" s="114" t="n"/>
      <c r="P92" s="120">
        <f>IF(OR($D92="",$I92=""),"",IF(OR($J92="Tamamlandı",$J92="İptal"),"",$I92-TODAY()))</f>
        <v/>
      </c>
      <c r="Q92" s="112">
        <f>IF($D92="","",IF($E92="TANIMSIZ MÜŞTERİ","HATA",IF(OR($J92="Tamamlandı",$J92="İptal"),"KAPALI",IF(AND($C92="Görüşme",$N92=""),"SONRAKİ İŞLEM EKSİK",IF($I92="","TARİH EKSİK",IF($I92&lt;TODAY(),"GECİKMİŞ",IF($I92=TODAY(),"BUGÜN",IF($I92&lt;=TODAY()+7,"7 GÜN İÇİNDE","PLANLI"))))))))</f>
        <v/>
      </c>
      <c r="R92" s="6" t="n"/>
      <c r="S92" s="6" t="n"/>
    </row>
    <row r="93">
      <c r="A93" s="6" t="n"/>
      <c r="B93" s="112">
        <f>IF($D93="","","A"&amp;TEXT(ROW()-6,"00000"))</f>
        <v/>
      </c>
      <c r="C93" s="107" t="n"/>
      <c r="D93" s="107" t="n"/>
      <c r="E93" s="113">
        <f>IF($D93="","",IFERROR(INDEX(MUSTERILER!$C$7:$C$106,MATCH($D93,MUSTERILER!$B$7:$B$106,0)),"TANIMSIZ MÜŞTERİ"))</f>
        <v/>
      </c>
      <c r="F93" s="108" t="n"/>
      <c r="G93" s="107" t="n"/>
      <c r="H93" s="114" t="n"/>
      <c r="I93" s="114" t="n"/>
      <c r="J93" s="107" t="n"/>
      <c r="K93" s="107" t="n"/>
      <c r="L93" s="108" t="n"/>
      <c r="M93" s="108" t="n"/>
      <c r="N93" s="108" t="n"/>
      <c r="O93" s="114" t="n"/>
      <c r="P93" s="120">
        <f>IF(OR($D93="",$I93=""),"",IF(OR($J93="Tamamlandı",$J93="İptal"),"",$I93-TODAY()))</f>
        <v/>
      </c>
      <c r="Q93" s="112">
        <f>IF($D93="","",IF($E93="TANIMSIZ MÜŞTERİ","HATA",IF(OR($J93="Tamamlandı",$J93="İptal"),"KAPALI",IF(AND($C93="Görüşme",$N93=""),"SONRAKİ İŞLEM EKSİK",IF($I93="","TARİH EKSİK",IF($I93&lt;TODAY(),"GECİKMİŞ",IF($I93=TODAY(),"BUGÜN",IF($I93&lt;=TODAY()+7,"7 GÜN İÇİNDE","PLANLI"))))))))</f>
        <v/>
      </c>
      <c r="R93" s="6" t="n"/>
      <c r="S93" s="6" t="n"/>
    </row>
    <row r="94">
      <c r="A94" s="6" t="n"/>
      <c r="B94" s="112">
        <f>IF($D94="","","A"&amp;TEXT(ROW()-6,"00000"))</f>
        <v/>
      </c>
      <c r="C94" s="107" t="n"/>
      <c r="D94" s="107" t="n"/>
      <c r="E94" s="113">
        <f>IF($D94="","",IFERROR(INDEX(MUSTERILER!$C$7:$C$106,MATCH($D94,MUSTERILER!$B$7:$B$106,0)),"TANIMSIZ MÜŞTERİ"))</f>
        <v/>
      </c>
      <c r="F94" s="108" t="n"/>
      <c r="G94" s="107" t="n"/>
      <c r="H94" s="114" t="n"/>
      <c r="I94" s="114" t="n"/>
      <c r="J94" s="107" t="n"/>
      <c r="K94" s="107" t="n"/>
      <c r="L94" s="108" t="n"/>
      <c r="M94" s="108" t="n"/>
      <c r="N94" s="108" t="n"/>
      <c r="O94" s="114" t="n"/>
      <c r="P94" s="120">
        <f>IF(OR($D94="",$I94=""),"",IF(OR($J94="Tamamlandı",$J94="İptal"),"",$I94-TODAY()))</f>
        <v/>
      </c>
      <c r="Q94" s="112">
        <f>IF($D94="","",IF($E94="TANIMSIZ MÜŞTERİ","HATA",IF(OR($J94="Tamamlandı",$J94="İptal"),"KAPALI",IF(AND($C94="Görüşme",$N94=""),"SONRAKİ İŞLEM EKSİK",IF($I94="","TARİH EKSİK",IF($I94&lt;TODAY(),"GECİKMİŞ",IF($I94=TODAY(),"BUGÜN",IF($I94&lt;=TODAY()+7,"7 GÜN İÇİNDE","PLANLI"))))))))</f>
        <v/>
      </c>
      <c r="R94" s="6" t="n"/>
      <c r="S94" s="6" t="n"/>
    </row>
    <row r="95">
      <c r="A95" s="6" t="n"/>
      <c r="B95" s="112">
        <f>IF($D95="","","A"&amp;TEXT(ROW()-6,"00000"))</f>
        <v/>
      </c>
      <c r="C95" s="107" t="n"/>
      <c r="D95" s="107" t="n"/>
      <c r="E95" s="113">
        <f>IF($D95="","",IFERROR(INDEX(MUSTERILER!$C$7:$C$106,MATCH($D95,MUSTERILER!$B$7:$B$106,0)),"TANIMSIZ MÜŞTERİ"))</f>
        <v/>
      </c>
      <c r="F95" s="108" t="n"/>
      <c r="G95" s="107" t="n"/>
      <c r="H95" s="114" t="n"/>
      <c r="I95" s="114" t="n"/>
      <c r="J95" s="107" t="n"/>
      <c r="K95" s="107" t="n"/>
      <c r="L95" s="108" t="n"/>
      <c r="M95" s="108" t="n"/>
      <c r="N95" s="108" t="n"/>
      <c r="O95" s="114" t="n"/>
      <c r="P95" s="120">
        <f>IF(OR($D95="",$I95=""),"",IF(OR($J95="Tamamlandı",$J95="İptal"),"",$I95-TODAY()))</f>
        <v/>
      </c>
      <c r="Q95" s="112">
        <f>IF($D95="","",IF($E95="TANIMSIZ MÜŞTERİ","HATA",IF(OR($J95="Tamamlandı",$J95="İptal"),"KAPALI",IF(AND($C95="Görüşme",$N95=""),"SONRAKİ İŞLEM EKSİK",IF($I95="","TARİH EKSİK",IF($I95&lt;TODAY(),"GECİKMİŞ",IF($I95=TODAY(),"BUGÜN",IF($I95&lt;=TODAY()+7,"7 GÜN İÇİNDE","PLANLI"))))))))</f>
        <v/>
      </c>
      <c r="R95" s="6" t="n"/>
      <c r="S95" s="6" t="n"/>
    </row>
    <row r="96">
      <c r="A96" s="6" t="n"/>
      <c r="B96" s="112">
        <f>IF($D96="","","A"&amp;TEXT(ROW()-6,"00000"))</f>
        <v/>
      </c>
      <c r="C96" s="107" t="n"/>
      <c r="D96" s="107" t="n"/>
      <c r="E96" s="113">
        <f>IF($D96="","",IFERROR(INDEX(MUSTERILER!$C$7:$C$106,MATCH($D96,MUSTERILER!$B$7:$B$106,0)),"TANIMSIZ MÜŞTERİ"))</f>
        <v/>
      </c>
      <c r="F96" s="108" t="n"/>
      <c r="G96" s="107" t="n"/>
      <c r="H96" s="114" t="n"/>
      <c r="I96" s="114" t="n"/>
      <c r="J96" s="107" t="n"/>
      <c r="K96" s="107" t="n"/>
      <c r="L96" s="108" t="n"/>
      <c r="M96" s="108" t="n"/>
      <c r="N96" s="108" t="n"/>
      <c r="O96" s="114" t="n"/>
      <c r="P96" s="120">
        <f>IF(OR($D96="",$I96=""),"",IF(OR($J96="Tamamlandı",$J96="İptal"),"",$I96-TODAY()))</f>
        <v/>
      </c>
      <c r="Q96" s="112">
        <f>IF($D96="","",IF($E96="TANIMSIZ MÜŞTERİ","HATA",IF(OR($J96="Tamamlandı",$J96="İptal"),"KAPALI",IF(AND($C96="Görüşme",$N96=""),"SONRAKİ İŞLEM EKSİK",IF($I96="","TARİH EKSİK",IF($I96&lt;TODAY(),"GECİKMİŞ",IF($I96=TODAY(),"BUGÜN",IF($I96&lt;=TODAY()+7,"7 GÜN İÇİNDE","PLANLI"))))))))</f>
        <v/>
      </c>
      <c r="R96" s="6" t="n"/>
      <c r="S96" s="6" t="n"/>
    </row>
    <row r="97">
      <c r="A97" s="6" t="n"/>
      <c r="B97" s="112">
        <f>IF($D97="","","A"&amp;TEXT(ROW()-6,"00000"))</f>
        <v/>
      </c>
      <c r="C97" s="107" t="n"/>
      <c r="D97" s="107" t="n"/>
      <c r="E97" s="113">
        <f>IF($D97="","",IFERROR(INDEX(MUSTERILER!$C$7:$C$106,MATCH($D97,MUSTERILER!$B$7:$B$106,0)),"TANIMSIZ MÜŞTERİ"))</f>
        <v/>
      </c>
      <c r="F97" s="108" t="n"/>
      <c r="G97" s="107" t="n"/>
      <c r="H97" s="114" t="n"/>
      <c r="I97" s="114" t="n"/>
      <c r="J97" s="107" t="n"/>
      <c r="K97" s="107" t="n"/>
      <c r="L97" s="108" t="n"/>
      <c r="M97" s="108" t="n"/>
      <c r="N97" s="108" t="n"/>
      <c r="O97" s="114" t="n"/>
      <c r="P97" s="120">
        <f>IF(OR($D97="",$I97=""),"",IF(OR($J97="Tamamlandı",$J97="İptal"),"",$I97-TODAY()))</f>
        <v/>
      </c>
      <c r="Q97" s="112">
        <f>IF($D97="","",IF($E97="TANIMSIZ MÜŞTERİ","HATA",IF(OR($J97="Tamamlandı",$J97="İptal"),"KAPALI",IF(AND($C97="Görüşme",$N97=""),"SONRAKİ İŞLEM EKSİK",IF($I97="","TARİH EKSİK",IF($I97&lt;TODAY(),"GECİKMİŞ",IF($I97=TODAY(),"BUGÜN",IF($I97&lt;=TODAY()+7,"7 GÜN İÇİNDE","PLANLI"))))))))</f>
        <v/>
      </c>
      <c r="R97" s="6" t="n"/>
      <c r="S97" s="6" t="n"/>
    </row>
    <row r="98">
      <c r="A98" s="6" t="n"/>
      <c r="B98" s="112">
        <f>IF($D98="","","A"&amp;TEXT(ROW()-6,"00000"))</f>
        <v/>
      </c>
      <c r="C98" s="107" t="n"/>
      <c r="D98" s="107" t="n"/>
      <c r="E98" s="113">
        <f>IF($D98="","",IFERROR(INDEX(MUSTERILER!$C$7:$C$106,MATCH($D98,MUSTERILER!$B$7:$B$106,0)),"TANIMSIZ MÜŞTERİ"))</f>
        <v/>
      </c>
      <c r="F98" s="108" t="n"/>
      <c r="G98" s="107" t="n"/>
      <c r="H98" s="114" t="n"/>
      <c r="I98" s="114" t="n"/>
      <c r="J98" s="107" t="n"/>
      <c r="K98" s="107" t="n"/>
      <c r="L98" s="108" t="n"/>
      <c r="M98" s="108" t="n"/>
      <c r="N98" s="108" t="n"/>
      <c r="O98" s="114" t="n"/>
      <c r="P98" s="120">
        <f>IF(OR($D98="",$I98=""),"",IF(OR($J98="Tamamlandı",$J98="İptal"),"",$I98-TODAY()))</f>
        <v/>
      </c>
      <c r="Q98" s="112">
        <f>IF($D98="","",IF($E98="TANIMSIZ MÜŞTERİ","HATA",IF(OR($J98="Tamamlandı",$J98="İptal"),"KAPALI",IF(AND($C98="Görüşme",$N98=""),"SONRAKİ İŞLEM EKSİK",IF($I98="","TARİH EKSİK",IF($I98&lt;TODAY(),"GECİKMİŞ",IF($I98=TODAY(),"BUGÜN",IF($I98&lt;=TODAY()+7,"7 GÜN İÇİNDE","PLANLI"))))))))</f>
        <v/>
      </c>
      <c r="R98" s="6" t="n"/>
      <c r="S98" s="6" t="n"/>
    </row>
    <row r="99">
      <c r="A99" s="6" t="n"/>
      <c r="B99" s="112">
        <f>IF($D99="","","A"&amp;TEXT(ROW()-6,"00000"))</f>
        <v/>
      </c>
      <c r="C99" s="107" t="n"/>
      <c r="D99" s="107" t="n"/>
      <c r="E99" s="113">
        <f>IF($D99="","",IFERROR(INDEX(MUSTERILER!$C$7:$C$106,MATCH($D99,MUSTERILER!$B$7:$B$106,0)),"TANIMSIZ MÜŞTERİ"))</f>
        <v/>
      </c>
      <c r="F99" s="108" t="n"/>
      <c r="G99" s="107" t="n"/>
      <c r="H99" s="114" t="n"/>
      <c r="I99" s="114" t="n"/>
      <c r="J99" s="107" t="n"/>
      <c r="K99" s="107" t="n"/>
      <c r="L99" s="108" t="n"/>
      <c r="M99" s="108" t="n"/>
      <c r="N99" s="108" t="n"/>
      <c r="O99" s="114" t="n"/>
      <c r="P99" s="120">
        <f>IF(OR($D99="",$I99=""),"",IF(OR($J99="Tamamlandı",$J99="İptal"),"",$I99-TODAY()))</f>
        <v/>
      </c>
      <c r="Q99" s="112">
        <f>IF($D99="","",IF($E99="TANIMSIZ MÜŞTERİ","HATA",IF(OR($J99="Tamamlandı",$J99="İptal"),"KAPALI",IF(AND($C99="Görüşme",$N99=""),"SONRAKİ İŞLEM EKSİK",IF($I99="","TARİH EKSİK",IF($I99&lt;TODAY(),"GECİKMİŞ",IF($I99=TODAY(),"BUGÜN",IF($I99&lt;=TODAY()+7,"7 GÜN İÇİNDE","PLANLI"))))))))</f>
        <v/>
      </c>
      <c r="R99" s="6" t="n"/>
      <c r="S99" s="6" t="n"/>
    </row>
    <row r="100">
      <c r="A100" s="6" t="n"/>
      <c r="B100" s="112">
        <f>IF($D100="","","A"&amp;TEXT(ROW()-6,"00000"))</f>
        <v/>
      </c>
      <c r="C100" s="107" t="n"/>
      <c r="D100" s="107" t="n"/>
      <c r="E100" s="113">
        <f>IF($D100="","",IFERROR(INDEX(MUSTERILER!$C$7:$C$106,MATCH($D100,MUSTERILER!$B$7:$B$106,0)),"TANIMSIZ MÜŞTERİ"))</f>
        <v/>
      </c>
      <c r="F100" s="108" t="n"/>
      <c r="G100" s="107" t="n"/>
      <c r="H100" s="114" t="n"/>
      <c r="I100" s="114" t="n"/>
      <c r="J100" s="107" t="n"/>
      <c r="K100" s="107" t="n"/>
      <c r="L100" s="108" t="n"/>
      <c r="M100" s="108" t="n"/>
      <c r="N100" s="108" t="n"/>
      <c r="O100" s="114" t="n"/>
      <c r="P100" s="120">
        <f>IF(OR($D100="",$I100=""),"",IF(OR($J100="Tamamlandı",$J100="İptal"),"",$I100-TODAY()))</f>
        <v/>
      </c>
      <c r="Q100" s="112">
        <f>IF($D100="","",IF($E100="TANIMSIZ MÜŞTERİ","HATA",IF(OR($J100="Tamamlandı",$J100="İptal"),"KAPALI",IF(AND($C100="Görüşme",$N100=""),"SONRAKİ İŞLEM EKSİK",IF($I100="","TARİH EKSİK",IF($I100&lt;TODAY(),"GECİKMİŞ",IF($I100=TODAY(),"BUGÜN",IF($I100&lt;=TODAY()+7,"7 GÜN İÇİNDE","PLANLI"))))))))</f>
        <v/>
      </c>
      <c r="R100" s="6" t="n"/>
      <c r="S100" s="6" t="n"/>
    </row>
    <row r="101">
      <c r="A101" s="6" t="n"/>
      <c r="B101" s="112">
        <f>IF($D101="","","A"&amp;TEXT(ROW()-6,"00000"))</f>
        <v/>
      </c>
      <c r="C101" s="107" t="n"/>
      <c r="D101" s="107" t="n"/>
      <c r="E101" s="113">
        <f>IF($D101="","",IFERROR(INDEX(MUSTERILER!$C$7:$C$106,MATCH($D101,MUSTERILER!$B$7:$B$106,0)),"TANIMSIZ MÜŞTERİ"))</f>
        <v/>
      </c>
      <c r="F101" s="108" t="n"/>
      <c r="G101" s="107" t="n"/>
      <c r="H101" s="114" t="n"/>
      <c r="I101" s="114" t="n"/>
      <c r="J101" s="107" t="n"/>
      <c r="K101" s="107" t="n"/>
      <c r="L101" s="108" t="n"/>
      <c r="M101" s="108" t="n"/>
      <c r="N101" s="108" t="n"/>
      <c r="O101" s="114" t="n"/>
      <c r="P101" s="120">
        <f>IF(OR($D101="",$I101=""),"",IF(OR($J101="Tamamlandı",$J101="İptal"),"",$I101-TODAY()))</f>
        <v/>
      </c>
      <c r="Q101" s="112">
        <f>IF($D101="","",IF($E101="TANIMSIZ MÜŞTERİ","HATA",IF(OR($J101="Tamamlandı",$J101="İptal"),"KAPALI",IF(AND($C101="Görüşme",$N101=""),"SONRAKİ İŞLEM EKSİK",IF($I101="","TARİH EKSİK",IF($I101&lt;TODAY(),"GECİKMİŞ",IF($I101=TODAY(),"BUGÜN",IF($I101&lt;=TODAY()+7,"7 GÜN İÇİNDE","PLANLI"))))))))</f>
        <v/>
      </c>
      <c r="R101" s="6" t="n"/>
      <c r="S101" s="6" t="n"/>
    </row>
    <row r="102">
      <c r="A102" s="6" t="n"/>
      <c r="B102" s="112">
        <f>IF($D102="","","A"&amp;TEXT(ROW()-6,"00000"))</f>
        <v/>
      </c>
      <c r="C102" s="107" t="n"/>
      <c r="D102" s="107" t="n"/>
      <c r="E102" s="113">
        <f>IF($D102="","",IFERROR(INDEX(MUSTERILER!$C$7:$C$106,MATCH($D102,MUSTERILER!$B$7:$B$106,0)),"TANIMSIZ MÜŞTERİ"))</f>
        <v/>
      </c>
      <c r="F102" s="108" t="n"/>
      <c r="G102" s="107" t="n"/>
      <c r="H102" s="114" t="n"/>
      <c r="I102" s="114" t="n"/>
      <c r="J102" s="107" t="n"/>
      <c r="K102" s="107" t="n"/>
      <c r="L102" s="108" t="n"/>
      <c r="M102" s="108" t="n"/>
      <c r="N102" s="108" t="n"/>
      <c r="O102" s="114" t="n"/>
      <c r="P102" s="120">
        <f>IF(OR($D102="",$I102=""),"",IF(OR($J102="Tamamlandı",$J102="İptal"),"",$I102-TODAY()))</f>
        <v/>
      </c>
      <c r="Q102" s="112">
        <f>IF($D102="","",IF($E102="TANIMSIZ MÜŞTERİ","HATA",IF(OR($J102="Tamamlandı",$J102="İptal"),"KAPALI",IF(AND($C102="Görüşme",$N102=""),"SONRAKİ İŞLEM EKSİK",IF($I102="","TARİH EKSİK",IF($I102&lt;TODAY(),"GECİKMİŞ",IF($I102=TODAY(),"BUGÜN",IF($I102&lt;=TODAY()+7,"7 GÜN İÇİNDE","PLANLI"))))))))</f>
        <v/>
      </c>
      <c r="R102" s="6" t="n"/>
      <c r="S102" s="6" t="n"/>
    </row>
    <row r="103">
      <c r="A103" s="6" t="n"/>
      <c r="B103" s="112">
        <f>IF($D103="","","A"&amp;TEXT(ROW()-6,"00000"))</f>
        <v/>
      </c>
      <c r="C103" s="107" t="n"/>
      <c r="D103" s="107" t="n"/>
      <c r="E103" s="113">
        <f>IF($D103="","",IFERROR(INDEX(MUSTERILER!$C$7:$C$106,MATCH($D103,MUSTERILER!$B$7:$B$106,0)),"TANIMSIZ MÜŞTERİ"))</f>
        <v/>
      </c>
      <c r="F103" s="108" t="n"/>
      <c r="G103" s="107" t="n"/>
      <c r="H103" s="114" t="n"/>
      <c r="I103" s="114" t="n"/>
      <c r="J103" s="107" t="n"/>
      <c r="K103" s="107" t="n"/>
      <c r="L103" s="108" t="n"/>
      <c r="M103" s="108" t="n"/>
      <c r="N103" s="108" t="n"/>
      <c r="O103" s="114" t="n"/>
      <c r="P103" s="120">
        <f>IF(OR($D103="",$I103=""),"",IF(OR($J103="Tamamlandı",$J103="İptal"),"",$I103-TODAY()))</f>
        <v/>
      </c>
      <c r="Q103" s="112">
        <f>IF($D103="","",IF($E103="TANIMSIZ MÜŞTERİ","HATA",IF(OR($J103="Tamamlandı",$J103="İptal"),"KAPALI",IF(AND($C103="Görüşme",$N103=""),"SONRAKİ İŞLEM EKSİK",IF($I103="","TARİH EKSİK",IF($I103&lt;TODAY(),"GECİKMİŞ",IF($I103=TODAY(),"BUGÜN",IF($I103&lt;=TODAY()+7,"7 GÜN İÇİNDE","PLANLI"))))))))</f>
        <v/>
      </c>
      <c r="R103" s="6" t="n"/>
      <c r="S103" s="6" t="n"/>
    </row>
    <row r="104">
      <c r="A104" s="6" t="n"/>
      <c r="B104" s="112">
        <f>IF($D104="","","A"&amp;TEXT(ROW()-6,"00000"))</f>
        <v/>
      </c>
      <c r="C104" s="107" t="n"/>
      <c r="D104" s="107" t="n"/>
      <c r="E104" s="113">
        <f>IF($D104="","",IFERROR(INDEX(MUSTERILER!$C$7:$C$106,MATCH($D104,MUSTERILER!$B$7:$B$106,0)),"TANIMSIZ MÜŞTERİ"))</f>
        <v/>
      </c>
      <c r="F104" s="108" t="n"/>
      <c r="G104" s="107" t="n"/>
      <c r="H104" s="114" t="n"/>
      <c r="I104" s="114" t="n"/>
      <c r="J104" s="107" t="n"/>
      <c r="K104" s="107" t="n"/>
      <c r="L104" s="108" t="n"/>
      <c r="M104" s="108" t="n"/>
      <c r="N104" s="108" t="n"/>
      <c r="O104" s="114" t="n"/>
      <c r="P104" s="120">
        <f>IF(OR($D104="",$I104=""),"",IF(OR($J104="Tamamlandı",$J104="İptal"),"",$I104-TODAY()))</f>
        <v/>
      </c>
      <c r="Q104" s="112">
        <f>IF($D104="","",IF($E104="TANIMSIZ MÜŞTERİ","HATA",IF(OR($J104="Tamamlandı",$J104="İptal"),"KAPALI",IF(AND($C104="Görüşme",$N104=""),"SONRAKİ İŞLEM EKSİK",IF($I104="","TARİH EKSİK",IF($I104&lt;TODAY(),"GECİKMİŞ",IF($I104=TODAY(),"BUGÜN",IF($I104&lt;=TODAY()+7,"7 GÜN İÇİNDE","PLANLI"))))))))</f>
        <v/>
      </c>
      <c r="R104" s="6" t="n"/>
      <c r="S104" s="6" t="n"/>
    </row>
    <row r="105">
      <c r="A105" s="6" t="n"/>
      <c r="B105" s="112">
        <f>IF($D105="","","A"&amp;TEXT(ROW()-6,"00000"))</f>
        <v/>
      </c>
      <c r="C105" s="107" t="n"/>
      <c r="D105" s="107" t="n"/>
      <c r="E105" s="113">
        <f>IF($D105="","",IFERROR(INDEX(MUSTERILER!$C$7:$C$106,MATCH($D105,MUSTERILER!$B$7:$B$106,0)),"TANIMSIZ MÜŞTERİ"))</f>
        <v/>
      </c>
      <c r="F105" s="108" t="n"/>
      <c r="G105" s="107" t="n"/>
      <c r="H105" s="114" t="n"/>
      <c r="I105" s="114" t="n"/>
      <c r="J105" s="107" t="n"/>
      <c r="K105" s="107" t="n"/>
      <c r="L105" s="108" t="n"/>
      <c r="M105" s="108" t="n"/>
      <c r="N105" s="108" t="n"/>
      <c r="O105" s="114" t="n"/>
      <c r="P105" s="120">
        <f>IF(OR($D105="",$I105=""),"",IF(OR($J105="Tamamlandı",$J105="İptal"),"",$I105-TODAY()))</f>
        <v/>
      </c>
      <c r="Q105" s="112">
        <f>IF($D105="","",IF($E105="TANIMSIZ MÜŞTERİ","HATA",IF(OR($J105="Tamamlandı",$J105="İptal"),"KAPALI",IF(AND($C105="Görüşme",$N105=""),"SONRAKİ İŞLEM EKSİK",IF($I105="","TARİH EKSİK",IF($I105&lt;TODAY(),"GECİKMİŞ",IF($I105=TODAY(),"BUGÜN",IF($I105&lt;=TODAY()+7,"7 GÜN İÇİNDE","PLANLI"))))))))</f>
        <v/>
      </c>
      <c r="R105" s="6" t="n"/>
      <c r="S105" s="6" t="n"/>
    </row>
    <row r="106">
      <c r="A106" s="6" t="n"/>
      <c r="B106" s="112">
        <f>IF($D106="","","A"&amp;TEXT(ROW()-6,"00000"))</f>
        <v/>
      </c>
      <c r="C106" s="107" t="n"/>
      <c r="D106" s="107" t="n"/>
      <c r="E106" s="113">
        <f>IF($D106="","",IFERROR(INDEX(MUSTERILER!$C$7:$C$106,MATCH($D106,MUSTERILER!$B$7:$B$106,0)),"TANIMSIZ MÜŞTERİ"))</f>
        <v/>
      </c>
      <c r="F106" s="108" t="n"/>
      <c r="G106" s="107" t="n"/>
      <c r="H106" s="114" t="n"/>
      <c r="I106" s="114" t="n"/>
      <c r="J106" s="107" t="n"/>
      <c r="K106" s="107" t="n"/>
      <c r="L106" s="108" t="n"/>
      <c r="M106" s="108" t="n"/>
      <c r="N106" s="108" t="n"/>
      <c r="O106" s="114" t="n"/>
      <c r="P106" s="120">
        <f>IF(OR($D106="",$I106=""),"",IF(OR($J106="Tamamlandı",$J106="İptal"),"",$I106-TODAY()))</f>
        <v/>
      </c>
      <c r="Q106" s="112">
        <f>IF($D106="","",IF($E106="TANIMSIZ MÜŞTERİ","HATA",IF(OR($J106="Tamamlandı",$J106="İptal"),"KAPALI",IF(AND($C106="Görüşme",$N106=""),"SONRAKİ İŞLEM EKSİK",IF($I106="","TARİH EKSİK",IF($I106&lt;TODAY(),"GECİKMİŞ",IF($I106=TODAY(),"BUGÜN",IF($I106&lt;=TODAY()+7,"7 GÜN İÇİNDE","PLANLI"))))))))</f>
        <v/>
      </c>
      <c r="R106" s="6" t="n"/>
      <c r="S106" s="6" t="n"/>
    </row>
    <row r="107">
      <c r="A107" s="6" t="n"/>
      <c r="B107" s="112">
        <f>IF($D107="","","A"&amp;TEXT(ROW()-6,"00000"))</f>
        <v/>
      </c>
      <c r="C107" s="107" t="n"/>
      <c r="D107" s="107" t="n"/>
      <c r="E107" s="113">
        <f>IF($D107="","",IFERROR(INDEX(MUSTERILER!$C$7:$C$106,MATCH($D107,MUSTERILER!$B$7:$B$106,0)),"TANIMSIZ MÜŞTERİ"))</f>
        <v/>
      </c>
      <c r="F107" s="108" t="n"/>
      <c r="G107" s="107" t="n"/>
      <c r="H107" s="114" t="n"/>
      <c r="I107" s="114" t="n"/>
      <c r="J107" s="107" t="n"/>
      <c r="K107" s="107" t="n"/>
      <c r="L107" s="108" t="n"/>
      <c r="M107" s="108" t="n"/>
      <c r="N107" s="108" t="n"/>
      <c r="O107" s="114" t="n"/>
      <c r="P107" s="120">
        <f>IF(OR($D107="",$I107=""),"",IF(OR($J107="Tamamlandı",$J107="İptal"),"",$I107-TODAY()))</f>
        <v/>
      </c>
      <c r="Q107" s="112">
        <f>IF($D107="","",IF($E107="TANIMSIZ MÜŞTERİ","HATA",IF(OR($J107="Tamamlandı",$J107="İptal"),"KAPALI",IF(AND($C107="Görüşme",$N107=""),"SONRAKİ İŞLEM EKSİK",IF($I107="","TARİH EKSİK",IF($I107&lt;TODAY(),"GECİKMİŞ",IF($I107=TODAY(),"BUGÜN",IF($I107&lt;=TODAY()+7,"7 GÜN İÇİNDE","PLANLI"))))))))</f>
        <v/>
      </c>
      <c r="R107" s="6" t="n"/>
      <c r="S107" s="6" t="n"/>
    </row>
    <row r="108">
      <c r="A108" s="6" t="n"/>
      <c r="B108" s="112">
        <f>IF($D108="","","A"&amp;TEXT(ROW()-6,"00000"))</f>
        <v/>
      </c>
      <c r="C108" s="107" t="n"/>
      <c r="D108" s="107" t="n"/>
      <c r="E108" s="113">
        <f>IF($D108="","",IFERROR(INDEX(MUSTERILER!$C$7:$C$106,MATCH($D108,MUSTERILER!$B$7:$B$106,0)),"TANIMSIZ MÜŞTERİ"))</f>
        <v/>
      </c>
      <c r="F108" s="108" t="n"/>
      <c r="G108" s="107" t="n"/>
      <c r="H108" s="114" t="n"/>
      <c r="I108" s="114" t="n"/>
      <c r="J108" s="107" t="n"/>
      <c r="K108" s="107" t="n"/>
      <c r="L108" s="108" t="n"/>
      <c r="M108" s="108" t="n"/>
      <c r="N108" s="108" t="n"/>
      <c r="O108" s="114" t="n"/>
      <c r="P108" s="120">
        <f>IF(OR($D108="",$I108=""),"",IF(OR($J108="Tamamlandı",$J108="İptal"),"",$I108-TODAY()))</f>
        <v/>
      </c>
      <c r="Q108" s="112">
        <f>IF($D108="","",IF($E108="TANIMSIZ MÜŞTERİ","HATA",IF(OR($J108="Tamamlandı",$J108="İptal"),"KAPALI",IF(AND($C108="Görüşme",$N108=""),"SONRAKİ İŞLEM EKSİK",IF($I108="","TARİH EKSİK",IF($I108&lt;TODAY(),"GECİKMİŞ",IF($I108=TODAY(),"BUGÜN",IF($I108&lt;=TODAY()+7,"7 GÜN İÇİNDE","PLANLI"))))))))</f>
        <v/>
      </c>
      <c r="R108" s="6" t="n"/>
      <c r="S108" s="6" t="n"/>
    </row>
    <row r="109">
      <c r="A109" s="6" t="n"/>
      <c r="B109" s="112">
        <f>IF($D109="","","A"&amp;TEXT(ROW()-6,"00000"))</f>
        <v/>
      </c>
      <c r="C109" s="107" t="n"/>
      <c r="D109" s="107" t="n"/>
      <c r="E109" s="113">
        <f>IF($D109="","",IFERROR(INDEX(MUSTERILER!$C$7:$C$106,MATCH($D109,MUSTERILER!$B$7:$B$106,0)),"TANIMSIZ MÜŞTERİ"))</f>
        <v/>
      </c>
      <c r="F109" s="108" t="n"/>
      <c r="G109" s="107" t="n"/>
      <c r="H109" s="114" t="n"/>
      <c r="I109" s="114" t="n"/>
      <c r="J109" s="107" t="n"/>
      <c r="K109" s="107" t="n"/>
      <c r="L109" s="108" t="n"/>
      <c r="M109" s="108" t="n"/>
      <c r="N109" s="108" t="n"/>
      <c r="O109" s="114" t="n"/>
      <c r="P109" s="120">
        <f>IF(OR($D109="",$I109=""),"",IF(OR($J109="Tamamlandı",$J109="İptal"),"",$I109-TODAY()))</f>
        <v/>
      </c>
      <c r="Q109" s="112">
        <f>IF($D109="","",IF($E109="TANIMSIZ MÜŞTERİ","HATA",IF(OR($J109="Tamamlandı",$J109="İptal"),"KAPALI",IF(AND($C109="Görüşme",$N109=""),"SONRAKİ İŞLEM EKSİK",IF($I109="","TARİH EKSİK",IF($I109&lt;TODAY(),"GECİKMİŞ",IF($I109=TODAY(),"BUGÜN",IF($I109&lt;=TODAY()+7,"7 GÜN İÇİNDE","PLANLI"))))))))</f>
        <v/>
      </c>
      <c r="R109" s="6" t="n"/>
      <c r="S109" s="6" t="n"/>
    </row>
    <row r="110">
      <c r="A110" s="6" t="n"/>
      <c r="B110" s="112">
        <f>IF($D110="","","A"&amp;TEXT(ROW()-6,"00000"))</f>
        <v/>
      </c>
      <c r="C110" s="107" t="n"/>
      <c r="D110" s="107" t="n"/>
      <c r="E110" s="113">
        <f>IF($D110="","",IFERROR(INDEX(MUSTERILER!$C$7:$C$106,MATCH($D110,MUSTERILER!$B$7:$B$106,0)),"TANIMSIZ MÜŞTERİ"))</f>
        <v/>
      </c>
      <c r="F110" s="108" t="n"/>
      <c r="G110" s="107" t="n"/>
      <c r="H110" s="114" t="n"/>
      <c r="I110" s="114" t="n"/>
      <c r="J110" s="107" t="n"/>
      <c r="K110" s="107" t="n"/>
      <c r="L110" s="108" t="n"/>
      <c r="M110" s="108" t="n"/>
      <c r="N110" s="108" t="n"/>
      <c r="O110" s="114" t="n"/>
      <c r="P110" s="120">
        <f>IF(OR($D110="",$I110=""),"",IF(OR($J110="Tamamlandı",$J110="İptal"),"",$I110-TODAY()))</f>
        <v/>
      </c>
      <c r="Q110" s="112">
        <f>IF($D110="","",IF($E110="TANIMSIZ MÜŞTERİ","HATA",IF(OR($J110="Tamamlandı",$J110="İptal"),"KAPALI",IF(AND($C110="Görüşme",$N110=""),"SONRAKİ İŞLEM EKSİK",IF($I110="","TARİH EKSİK",IF($I110&lt;TODAY(),"GECİKMİŞ",IF($I110=TODAY(),"BUGÜN",IF($I110&lt;=TODAY()+7,"7 GÜN İÇİNDE","PLANLI"))))))))</f>
        <v/>
      </c>
      <c r="R110" s="6" t="n"/>
      <c r="S110" s="6" t="n"/>
    </row>
    <row r="111">
      <c r="A111" s="6" t="n"/>
      <c r="B111" s="112">
        <f>IF($D111="","","A"&amp;TEXT(ROW()-6,"00000"))</f>
        <v/>
      </c>
      <c r="C111" s="107" t="n"/>
      <c r="D111" s="107" t="n"/>
      <c r="E111" s="113">
        <f>IF($D111="","",IFERROR(INDEX(MUSTERILER!$C$7:$C$106,MATCH($D111,MUSTERILER!$B$7:$B$106,0)),"TANIMSIZ MÜŞTERİ"))</f>
        <v/>
      </c>
      <c r="F111" s="108" t="n"/>
      <c r="G111" s="107" t="n"/>
      <c r="H111" s="114" t="n"/>
      <c r="I111" s="114" t="n"/>
      <c r="J111" s="107" t="n"/>
      <c r="K111" s="107" t="n"/>
      <c r="L111" s="108" t="n"/>
      <c r="M111" s="108" t="n"/>
      <c r="N111" s="108" t="n"/>
      <c r="O111" s="114" t="n"/>
      <c r="P111" s="120">
        <f>IF(OR($D111="",$I111=""),"",IF(OR($J111="Tamamlandı",$J111="İptal"),"",$I111-TODAY()))</f>
        <v/>
      </c>
      <c r="Q111" s="112">
        <f>IF($D111="","",IF($E111="TANIMSIZ MÜŞTERİ","HATA",IF(OR($J111="Tamamlandı",$J111="İptal"),"KAPALI",IF(AND($C111="Görüşme",$N111=""),"SONRAKİ İŞLEM EKSİK",IF($I111="","TARİH EKSİK",IF($I111&lt;TODAY(),"GECİKMİŞ",IF($I111=TODAY(),"BUGÜN",IF($I111&lt;=TODAY()+7,"7 GÜN İÇİNDE","PLANLI"))))))))</f>
        <v/>
      </c>
      <c r="R111" s="6" t="n"/>
      <c r="S111" s="6" t="n"/>
    </row>
    <row r="112">
      <c r="A112" s="6" t="n"/>
      <c r="B112" s="112">
        <f>IF($D112="","","A"&amp;TEXT(ROW()-6,"00000"))</f>
        <v/>
      </c>
      <c r="C112" s="107" t="n"/>
      <c r="D112" s="107" t="n"/>
      <c r="E112" s="113">
        <f>IF($D112="","",IFERROR(INDEX(MUSTERILER!$C$7:$C$106,MATCH($D112,MUSTERILER!$B$7:$B$106,0)),"TANIMSIZ MÜŞTERİ"))</f>
        <v/>
      </c>
      <c r="F112" s="108" t="n"/>
      <c r="G112" s="107" t="n"/>
      <c r="H112" s="114" t="n"/>
      <c r="I112" s="114" t="n"/>
      <c r="J112" s="107" t="n"/>
      <c r="K112" s="107" t="n"/>
      <c r="L112" s="108" t="n"/>
      <c r="M112" s="108" t="n"/>
      <c r="N112" s="108" t="n"/>
      <c r="O112" s="114" t="n"/>
      <c r="P112" s="120">
        <f>IF(OR($D112="",$I112=""),"",IF(OR($J112="Tamamlandı",$J112="İptal"),"",$I112-TODAY()))</f>
        <v/>
      </c>
      <c r="Q112" s="112">
        <f>IF($D112="","",IF($E112="TANIMSIZ MÜŞTERİ","HATA",IF(OR($J112="Tamamlandı",$J112="İptal"),"KAPALI",IF(AND($C112="Görüşme",$N112=""),"SONRAKİ İŞLEM EKSİK",IF($I112="","TARİH EKSİK",IF($I112&lt;TODAY(),"GECİKMİŞ",IF($I112=TODAY(),"BUGÜN",IF($I112&lt;=TODAY()+7,"7 GÜN İÇİNDE","PLANLI"))))))))</f>
        <v/>
      </c>
      <c r="R112" s="6" t="n"/>
      <c r="S112" s="6" t="n"/>
    </row>
    <row r="113">
      <c r="A113" s="6" t="n"/>
      <c r="B113" s="112">
        <f>IF($D113="","","A"&amp;TEXT(ROW()-6,"00000"))</f>
        <v/>
      </c>
      <c r="C113" s="107" t="n"/>
      <c r="D113" s="107" t="n"/>
      <c r="E113" s="113">
        <f>IF($D113="","",IFERROR(INDEX(MUSTERILER!$C$7:$C$106,MATCH($D113,MUSTERILER!$B$7:$B$106,0)),"TANIMSIZ MÜŞTERİ"))</f>
        <v/>
      </c>
      <c r="F113" s="108" t="n"/>
      <c r="G113" s="107" t="n"/>
      <c r="H113" s="114" t="n"/>
      <c r="I113" s="114" t="n"/>
      <c r="J113" s="107" t="n"/>
      <c r="K113" s="107" t="n"/>
      <c r="L113" s="108" t="n"/>
      <c r="M113" s="108" t="n"/>
      <c r="N113" s="108" t="n"/>
      <c r="O113" s="114" t="n"/>
      <c r="P113" s="120">
        <f>IF(OR($D113="",$I113=""),"",IF(OR($J113="Tamamlandı",$J113="İptal"),"",$I113-TODAY()))</f>
        <v/>
      </c>
      <c r="Q113" s="112">
        <f>IF($D113="","",IF($E113="TANIMSIZ MÜŞTERİ","HATA",IF(OR($J113="Tamamlandı",$J113="İptal"),"KAPALI",IF(AND($C113="Görüşme",$N113=""),"SONRAKİ İŞLEM EKSİK",IF($I113="","TARİH EKSİK",IF($I113&lt;TODAY(),"GECİKMİŞ",IF($I113=TODAY(),"BUGÜN",IF($I113&lt;=TODAY()+7,"7 GÜN İÇİNDE","PLANLI"))))))))</f>
        <v/>
      </c>
      <c r="R113" s="6" t="n"/>
      <c r="S113" s="6" t="n"/>
    </row>
    <row r="114">
      <c r="A114" s="6" t="n"/>
      <c r="B114" s="112">
        <f>IF($D114="","","A"&amp;TEXT(ROW()-6,"00000"))</f>
        <v/>
      </c>
      <c r="C114" s="107" t="n"/>
      <c r="D114" s="107" t="n"/>
      <c r="E114" s="113">
        <f>IF($D114="","",IFERROR(INDEX(MUSTERILER!$C$7:$C$106,MATCH($D114,MUSTERILER!$B$7:$B$106,0)),"TANIMSIZ MÜŞTERİ"))</f>
        <v/>
      </c>
      <c r="F114" s="108" t="n"/>
      <c r="G114" s="107" t="n"/>
      <c r="H114" s="114" t="n"/>
      <c r="I114" s="114" t="n"/>
      <c r="J114" s="107" t="n"/>
      <c r="K114" s="107" t="n"/>
      <c r="L114" s="108" t="n"/>
      <c r="M114" s="108" t="n"/>
      <c r="N114" s="108" t="n"/>
      <c r="O114" s="114" t="n"/>
      <c r="P114" s="120">
        <f>IF(OR($D114="",$I114=""),"",IF(OR($J114="Tamamlandı",$J114="İptal"),"",$I114-TODAY()))</f>
        <v/>
      </c>
      <c r="Q114" s="112">
        <f>IF($D114="","",IF($E114="TANIMSIZ MÜŞTERİ","HATA",IF(OR($J114="Tamamlandı",$J114="İptal"),"KAPALI",IF(AND($C114="Görüşme",$N114=""),"SONRAKİ İŞLEM EKSİK",IF($I114="","TARİH EKSİK",IF($I114&lt;TODAY(),"GECİKMİŞ",IF($I114=TODAY(),"BUGÜN",IF($I114&lt;=TODAY()+7,"7 GÜN İÇİNDE","PLANLI"))))))))</f>
        <v/>
      </c>
      <c r="R114" s="6" t="n"/>
      <c r="S114" s="6" t="n"/>
    </row>
    <row r="115">
      <c r="A115" s="6" t="n"/>
      <c r="B115" s="112">
        <f>IF($D115="","","A"&amp;TEXT(ROW()-6,"00000"))</f>
        <v/>
      </c>
      <c r="C115" s="107" t="n"/>
      <c r="D115" s="107" t="n"/>
      <c r="E115" s="113">
        <f>IF($D115="","",IFERROR(INDEX(MUSTERILER!$C$7:$C$106,MATCH($D115,MUSTERILER!$B$7:$B$106,0)),"TANIMSIZ MÜŞTERİ"))</f>
        <v/>
      </c>
      <c r="F115" s="108" t="n"/>
      <c r="G115" s="107" t="n"/>
      <c r="H115" s="114" t="n"/>
      <c r="I115" s="114" t="n"/>
      <c r="J115" s="107" t="n"/>
      <c r="K115" s="107" t="n"/>
      <c r="L115" s="108" t="n"/>
      <c r="M115" s="108" t="n"/>
      <c r="N115" s="108" t="n"/>
      <c r="O115" s="114" t="n"/>
      <c r="P115" s="120">
        <f>IF(OR($D115="",$I115=""),"",IF(OR($J115="Tamamlandı",$J115="İptal"),"",$I115-TODAY()))</f>
        <v/>
      </c>
      <c r="Q115" s="112">
        <f>IF($D115="","",IF($E115="TANIMSIZ MÜŞTERİ","HATA",IF(OR($J115="Tamamlandı",$J115="İptal"),"KAPALI",IF(AND($C115="Görüşme",$N115=""),"SONRAKİ İŞLEM EKSİK",IF($I115="","TARİH EKSİK",IF($I115&lt;TODAY(),"GECİKMİŞ",IF($I115=TODAY(),"BUGÜN",IF($I115&lt;=TODAY()+7,"7 GÜN İÇİNDE","PLANLI"))))))))</f>
        <v/>
      </c>
      <c r="R115" s="6" t="n"/>
      <c r="S115" s="6" t="n"/>
    </row>
    <row r="116">
      <c r="A116" s="6" t="n"/>
      <c r="B116" s="112">
        <f>IF($D116="","","A"&amp;TEXT(ROW()-6,"00000"))</f>
        <v/>
      </c>
      <c r="C116" s="107" t="n"/>
      <c r="D116" s="107" t="n"/>
      <c r="E116" s="113">
        <f>IF($D116="","",IFERROR(INDEX(MUSTERILER!$C$7:$C$106,MATCH($D116,MUSTERILER!$B$7:$B$106,0)),"TANIMSIZ MÜŞTERİ"))</f>
        <v/>
      </c>
      <c r="F116" s="108" t="n"/>
      <c r="G116" s="107" t="n"/>
      <c r="H116" s="114" t="n"/>
      <c r="I116" s="114" t="n"/>
      <c r="J116" s="107" t="n"/>
      <c r="K116" s="107" t="n"/>
      <c r="L116" s="108" t="n"/>
      <c r="M116" s="108" t="n"/>
      <c r="N116" s="108" t="n"/>
      <c r="O116" s="114" t="n"/>
      <c r="P116" s="120">
        <f>IF(OR($D116="",$I116=""),"",IF(OR($J116="Tamamlandı",$J116="İptal"),"",$I116-TODAY()))</f>
        <v/>
      </c>
      <c r="Q116" s="112">
        <f>IF($D116="","",IF($E116="TANIMSIZ MÜŞTERİ","HATA",IF(OR($J116="Tamamlandı",$J116="İptal"),"KAPALI",IF(AND($C116="Görüşme",$N116=""),"SONRAKİ İŞLEM EKSİK",IF($I116="","TARİH EKSİK",IF($I116&lt;TODAY(),"GECİKMİŞ",IF($I116=TODAY(),"BUGÜN",IF($I116&lt;=TODAY()+7,"7 GÜN İÇİNDE","PLANLI"))))))))</f>
        <v/>
      </c>
      <c r="R116" s="6" t="n"/>
      <c r="S116" s="6" t="n"/>
    </row>
    <row r="117">
      <c r="A117" s="6" t="n"/>
      <c r="B117" s="112">
        <f>IF($D117="","","A"&amp;TEXT(ROW()-6,"00000"))</f>
        <v/>
      </c>
      <c r="C117" s="107" t="n"/>
      <c r="D117" s="107" t="n"/>
      <c r="E117" s="113">
        <f>IF($D117="","",IFERROR(INDEX(MUSTERILER!$C$7:$C$106,MATCH($D117,MUSTERILER!$B$7:$B$106,0)),"TANIMSIZ MÜŞTERİ"))</f>
        <v/>
      </c>
      <c r="F117" s="108" t="n"/>
      <c r="G117" s="107" t="n"/>
      <c r="H117" s="114" t="n"/>
      <c r="I117" s="114" t="n"/>
      <c r="J117" s="107" t="n"/>
      <c r="K117" s="107" t="n"/>
      <c r="L117" s="108" t="n"/>
      <c r="M117" s="108" t="n"/>
      <c r="N117" s="108" t="n"/>
      <c r="O117" s="114" t="n"/>
      <c r="P117" s="120">
        <f>IF(OR($D117="",$I117=""),"",IF(OR($J117="Tamamlandı",$J117="İptal"),"",$I117-TODAY()))</f>
        <v/>
      </c>
      <c r="Q117" s="112">
        <f>IF($D117="","",IF($E117="TANIMSIZ MÜŞTERİ","HATA",IF(OR($J117="Tamamlandı",$J117="İptal"),"KAPALI",IF(AND($C117="Görüşme",$N117=""),"SONRAKİ İŞLEM EKSİK",IF($I117="","TARİH EKSİK",IF($I117&lt;TODAY(),"GECİKMİŞ",IF($I117=TODAY(),"BUGÜN",IF($I117&lt;=TODAY()+7,"7 GÜN İÇİNDE","PLANLI"))))))))</f>
        <v/>
      </c>
      <c r="R117" s="6" t="n"/>
      <c r="S117" s="6" t="n"/>
    </row>
    <row r="118">
      <c r="A118" s="6" t="n"/>
      <c r="B118" s="112">
        <f>IF($D118="","","A"&amp;TEXT(ROW()-6,"00000"))</f>
        <v/>
      </c>
      <c r="C118" s="107" t="n"/>
      <c r="D118" s="107" t="n"/>
      <c r="E118" s="113">
        <f>IF($D118="","",IFERROR(INDEX(MUSTERILER!$C$7:$C$106,MATCH($D118,MUSTERILER!$B$7:$B$106,0)),"TANIMSIZ MÜŞTERİ"))</f>
        <v/>
      </c>
      <c r="F118" s="108" t="n"/>
      <c r="G118" s="107" t="n"/>
      <c r="H118" s="114" t="n"/>
      <c r="I118" s="114" t="n"/>
      <c r="J118" s="107" t="n"/>
      <c r="K118" s="107" t="n"/>
      <c r="L118" s="108" t="n"/>
      <c r="M118" s="108" t="n"/>
      <c r="N118" s="108" t="n"/>
      <c r="O118" s="114" t="n"/>
      <c r="P118" s="120">
        <f>IF(OR($D118="",$I118=""),"",IF(OR($J118="Tamamlandı",$J118="İptal"),"",$I118-TODAY()))</f>
        <v/>
      </c>
      <c r="Q118" s="112">
        <f>IF($D118="","",IF($E118="TANIMSIZ MÜŞTERİ","HATA",IF(OR($J118="Tamamlandı",$J118="İptal"),"KAPALI",IF(AND($C118="Görüşme",$N118=""),"SONRAKİ İŞLEM EKSİK",IF($I118="","TARİH EKSİK",IF($I118&lt;TODAY(),"GECİKMİŞ",IF($I118=TODAY(),"BUGÜN",IF($I118&lt;=TODAY()+7,"7 GÜN İÇİNDE","PLANLI"))))))))</f>
        <v/>
      </c>
      <c r="R118" s="6" t="n"/>
      <c r="S118" s="6" t="n"/>
    </row>
    <row r="119">
      <c r="A119" s="6" t="n"/>
      <c r="B119" s="112">
        <f>IF($D119="","","A"&amp;TEXT(ROW()-6,"00000"))</f>
        <v/>
      </c>
      <c r="C119" s="107" t="n"/>
      <c r="D119" s="107" t="n"/>
      <c r="E119" s="113">
        <f>IF($D119="","",IFERROR(INDEX(MUSTERILER!$C$7:$C$106,MATCH($D119,MUSTERILER!$B$7:$B$106,0)),"TANIMSIZ MÜŞTERİ"))</f>
        <v/>
      </c>
      <c r="F119" s="108" t="n"/>
      <c r="G119" s="107" t="n"/>
      <c r="H119" s="114" t="n"/>
      <c r="I119" s="114" t="n"/>
      <c r="J119" s="107" t="n"/>
      <c r="K119" s="107" t="n"/>
      <c r="L119" s="108" t="n"/>
      <c r="M119" s="108" t="n"/>
      <c r="N119" s="108" t="n"/>
      <c r="O119" s="114" t="n"/>
      <c r="P119" s="120">
        <f>IF(OR($D119="",$I119=""),"",IF(OR($J119="Tamamlandı",$J119="İptal"),"",$I119-TODAY()))</f>
        <v/>
      </c>
      <c r="Q119" s="112">
        <f>IF($D119="","",IF($E119="TANIMSIZ MÜŞTERİ","HATA",IF(OR($J119="Tamamlandı",$J119="İptal"),"KAPALI",IF(AND($C119="Görüşme",$N119=""),"SONRAKİ İŞLEM EKSİK",IF($I119="","TARİH EKSİK",IF($I119&lt;TODAY(),"GECİKMİŞ",IF($I119=TODAY(),"BUGÜN",IF($I119&lt;=TODAY()+7,"7 GÜN İÇİNDE","PLANLI"))))))))</f>
        <v/>
      </c>
      <c r="R119" s="6" t="n"/>
      <c r="S119" s="6" t="n"/>
    </row>
    <row r="120">
      <c r="A120" s="6" t="n"/>
      <c r="B120" s="112">
        <f>IF($D120="","","A"&amp;TEXT(ROW()-6,"00000"))</f>
        <v/>
      </c>
      <c r="C120" s="107" t="n"/>
      <c r="D120" s="107" t="n"/>
      <c r="E120" s="113">
        <f>IF($D120="","",IFERROR(INDEX(MUSTERILER!$C$7:$C$106,MATCH($D120,MUSTERILER!$B$7:$B$106,0)),"TANIMSIZ MÜŞTERİ"))</f>
        <v/>
      </c>
      <c r="F120" s="108" t="n"/>
      <c r="G120" s="107" t="n"/>
      <c r="H120" s="114" t="n"/>
      <c r="I120" s="114" t="n"/>
      <c r="J120" s="107" t="n"/>
      <c r="K120" s="107" t="n"/>
      <c r="L120" s="108" t="n"/>
      <c r="M120" s="108" t="n"/>
      <c r="N120" s="108" t="n"/>
      <c r="O120" s="114" t="n"/>
      <c r="P120" s="120">
        <f>IF(OR($D120="",$I120=""),"",IF(OR($J120="Tamamlandı",$J120="İptal"),"",$I120-TODAY()))</f>
        <v/>
      </c>
      <c r="Q120" s="112">
        <f>IF($D120="","",IF($E120="TANIMSIZ MÜŞTERİ","HATA",IF(OR($J120="Tamamlandı",$J120="İptal"),"KAPALI",IF(AND($C120="Görüşme",$N120=""),"SONRAKİ İŞLEM EKSİK",IF($I120="","TARİH EKSİK",IF($I120&lt;TODAY(),"GECİKMİŞ",IF($I120=TODAY(),"BUGÜN",IF($I120&lt;=TODAY()+7,"7 GÜN İÇİNDE","PLANLI"))))))))</f>
        <v/>
      </c>
      <c r="R120" s="6" t="n"/>
      <c r="S120" s="6" t="n"/>
    </row>
    <row r="121">
      <c r="A121" s="6" t="n"/>
      <c r="B121" s="112">
        <f>IF($D121="","","A"&amp;TEXT(ROW()-6,"00000"))</f>
        <v/>
      </c>
      <c r="C121" s="107" t="n"/>
      <c r="D121" s="107" t="n"/>
      <c r="E121" s="113">
        <f>IF($D121="","",IFERROR(INDEX(MUSTERILER!$C$7:$C$106,MATCH($D121,MUSTERILER!$B$7:$B$106,0)),"TANIMSIZ MÜŞTERİ"))</f>
        <v/>
      </c>
      <c r="F121" s="108" t="n"/>
      <c r="G121" s="107" t="n"/>
      <c r="H121" s="114" t="n"/>
      <c r="I121" s="114" t="n"/>
      <c r="J121" s="107" t="n"/>
      <c r="K121" s="107" t="n"/>
      <c r="L121" s="108" t="n"/>
      <c r="M121" s="108" t="n"/>
      <c r="N121" s="108" t="n"/>
      <c r="O121" s="114" t="n"/>
      <c r="P121" s="120">
        <f>IF(OR($D121="",$I121=""),"",IF(OR($J121="Tamamlandı",$J121="İptal"),"",$I121-TODAY()))</f>
        <v/>
      </c>
      <c r="Q121" s="112">
        <f>IF($D121="","",IF($E121="TANIMSIZ MÜŞTERİ","HATA",IF(OR($J121="Tamamlandı",$J121="İptal"),"KAPALI",IF(AND($C121="Görüşme",$N121=""),"SONRAKİ İŞLEM EKSİK",IF($I121="","TARİH EKSİK",IF($I121&lt;TODAY(),"GECİKMİŞ",IF($I121=TODAY(),"BUGÜN",IF($I121&lt;=TODAY()+7,"7 GÜN İÇİNDE","PLANLI"))))))))</f>
        <v/>
      </c>
      <c r="R121" s="6" t="n"/>
      <c r="S121" s="6" t="n"/>
    </row>
    <row r="122">
      <c r="A122" s="6" t="n"/>
      <c r="B122" s="112">
        <f>IF($D122="","","A"&amp;TEXT(ROW()-6,"00000"))</f>
        <v/>
      </c>
      <c r="C122" s="107" t="n"/>
      <c r="D122" s="107" t="n"/>
      <c r="E122" s="113">
        <f>IF($D122="","",IFERROR(INDEX(MUSTERILER!$C$7:$C$106,MATCH($D122,MUSTERILER!$B$7:$B$106,0)),"TANIMSIZ MÜŞTERİ"))</f>
        <v/>
      </c>
      <c r="F122" s="108" t="n"/>
      <c r="G122" s="107" t="n"/>
      <c r="H122" s="114" t="n"/>
      <c r="I122" s="114" t="n"/>
      <c r="J122" s="107" t="n"/>
      <c r="K122" s="107" t="n"/>
      <c r="L122" s="108" t="n"/>
      <c r="M122" s="108" t="n"/>
      <c r="N122" s="108" t="n"/>
      <c r="O122" s="114" t="n"/>
      <c r="P122" s="120">
        <f>IF(OR($D122="",$I122=""),"",IF(OR($J122="Tamamlandı",$J122="İptal"),"",$I122-TODAY()))</f>
        <v/>
      </c>
      <c r="Q122" s="112">
        <f>IF($D122="","",IF($E122="TANIMSIZ MÜŞTERİ","HATA",IF(OR($J122="Tamamlandı",$J122="İptal"),"KAPALI",IF(AND($C122="Görüşme",$N122=""),"SONRAKİ İŞLEM EKSİK",IF($I122="","TARİH EKSİK",IF($I122&lt;TODAY(),"GECİKMİŞ",IF($I122=TODAY(),"BUGÜN",IF($I122&lt;=TODAY()+7,"7 GÜN İÇİNDE","PLANLI"))))))))</f>
        <v/>
      </c>
      <c r="R122" s="6" t="n"/>
      <c r="S122" s="6" t="n"/>
    </row>
    <row r="123">
      <c r="A123" s="6" t="n"/>
      <c r="B123" s="112">
        <f>IF($D123="","","A"&amp;TEXT(ROW()-6,"00000"))</f>
        <v/>
      </c>
      <c r="C123" s="107" t="n"/>
      <c r="D123" s="107" t="n"/>
      <c r="E123" s="113">
        <f>IF($D123="","",IFERROR(INDEX(MUSTERILER!$C$7:$C$106,MATCH($D123,MUSTERILER!$B$7:$B$106,0)),"TANIMSIZ MÜŞTERİ"))</f>
        <v/>
      </c>
      <c r="F123" s="108" t="n"/>
      <c r="G123" s="107" t="n"/>
      <c r="H123" s="114" t="n"/>
      <c r="I123" s="114" t="n"/>
      <c r="J123" s="107" t="n"/>
      <c r="K123" s="107" t="n"/>
      <c r="L123" s="108" t="n"/>
      <c r="M123" s="108" t="n"/>
      <c r="N123" s="108" t="n"/>
      <c r="O123" s="114" t="n"/>
      <c r="P123" s="120">
        <f>IF(OR($D123="",$I123=""),"",IF(OR($J123="Tamamlandı",$J123="İptal"),"",$I123-TODAY()))</f>
        <v/>
      </c>
      <c r="Q123" s="112">
        <f>IF($D123="","",IF($E123="TANIMSIZ MÜŞTERİ","HATA",IF(OR($J123="Tamamlandı",$J123="İptal"),"KAPALI",IF(AND($C123="Görüşme",$N123=""),"SONRAKİ İŞLEM EKSİK",IF($I123="","TARİH EKSİK",IF($I123&lt;TODAY(),"GECİKMİŞ",IF($I123=TODAY(),"BUGÜN",IF($I123&lt;=TODAY()+7,"7 GÜN İÇİNDE","PLANLI"))))))))</f>
        <v/>
      </c>
      <c r="R123" s="6" t="n"/>
      <c r="S123" s="6" t="n"/>
    </row>
    <row r="124">
      <c r="A124" s="6" t="n"/>
      <c r="B124" s="112">
        <f>IF($D124="","","A"&amp;TEXT(ROW()-6,"00000"))</f>
        <v/>
      </c>
      <c r="C124" s="107" t="n"/>
      <c r="D124" s="107" t="n"/>
      <c r="E124" s="113">
        <f>IF($D124="","",IFERROR(INDEX(MUSTERILER!$C$7:$C$106,MATCH($D124,MUSTERILER!$B$7:$B$106,0)),"TANIMSIZ MÜŞTERİ"))</f>
        <v/>
      </c>
      <c r="F124" s="108" t="n"/>
      <c r="G124" s="107" t="n"/>
      <c r="H124" s="114" t="n"/>
      <c r="I124" s="114" t="n"/>
      <c r="J124" s="107" t="n"/>
      <c r="K124" s="107" t="n"/>
      <c r="L124" s="108" t="n"/>
      <c r="M124" s="108" t="n"/>
      <c r="N124" s="108" t="n"/>
      <c r="O124" s="114" t="n"/>
      <c r="P124" s="120">
        <f>IF(OR($D124="",$I124=""),"",IF(OR($J124="Tamamlandı",$J124="İptal"),"",$I124-TODAY()))</f>
        <v/>
      </c>
      <c r="Q124" s="112">
        <f>IF($D124="","",IF($E124="TANIMSIZ MÜŞTERİ","HATA",IF(OR($J124="Tamamlandı",$J124="İptal"),"KAPALI",IF(AND($C124="Görüşme",$N124=""),"SONRAKİ İŞLEM EKSİK",IF($I124="","TARİH EKSİK",IF($I124&lt;TODAY(),"GECİKMİŞ",IF($I124=TODAY(),"BUGÜN",IF($I124&lt;=TODAY()+7,"7 GÜN İÇİNDE","PLANLI"))))))))</f>
        <v/>
      </c>
      <c r="R124" s="6" t="n"/>
      <c r="S124" s="6" t="n"/>
    </row>
    <row r="125">
      <c r="A125" s="6" t="n"/>
      <c r="B125" s="112">
        <f>IF($D125="","","A"&amp;TEXT(ROW()-6,"00000"))</f>
        <v/>
      </c>
      <c r="C125" s="107" t="n"/>
      <c r="D125" s="107" t="n"/>
      <c r="E125" s="113">
        <f>IF($D125="","",IFERROR(INDEX(MUSTERILER!$C$7:$C$106,MATCH($D125,MUSTERILER!$B$7:$B$106,0)),"TANIMSIZ MÜŞTERİ"))</f>
        <v/>
      </c>
      <c r="F125" s="108" t="n"/>
      <c r="G125" s="107" t="n"/>
      <c r="H125" s="114" t="n"/>
      <c r="I125" s="114" t="n"/>
      <c r="J125" s="107" t="n"/>
      <c r="K125" s="107" t="n"/>
      <c r="L125" s="108" t="n"/>
      <c r="M125" s="108" t="n"/>
      <c r="N125" s="108" t="n"/>
      <c r="O125" s="114" t="n"/>
      <c r="P125" s="120">
        <f>IF(OR($D125="",$I125=""),"",IF(OR($J125="Tamamlandı",$J125="İptal"),"",$I125-TODAY()))</f>
        <v/>
      </c>
      <c r="Q125" s="112">
        <f>IF($D125="","",IF($E125="TANIMSIZ MÜŞTERİ","HATA",IF(OR($J125="Tamamlandı",$J125="İptal"),"KAPALI",IF(AND($C125="Görüşme",$N125=""),"SONRAKİ İŞLEM EKSİK",IF($I125="","TARİH EKSİK",IF($I125&lt;TODAY(),"GECİKMİŞ",IF($I125=TODAY(),"BUGÜN",IF($I125&lt;=TODAY()+7,"7 GÜN İÇİNDE","PLANLI"))))))))</f>
        <v/>
      </c>
      <c r="R125" s="6" t="n"/>
      <c r="S125" s="6" t="n"/>
    </row>
    <row r="126">
      <c r="A126" s="6" t="n"/>
      <c r="B126" s="112">
        <f>IF($D126="","","A"&amp;TEXT(ROW()-6,"00000"))</f>
        <v/>
      </c>
      <c r="C126" s="107" t="n"/>
      <c r="D126" s="107" t="n"/>
      <c r="E126" s="113">
        <f>IF($D126="","",IFERROR(INDEX(MUSTERILER!$C$7:$C$106,MATCH($D126,MUSTERILER!$B$7:$B$106,0)),"TANIMSIZ MÜŞTERİ"))</f>
        <v/>
      </c>
      <c r="F126" s="108" t="n"/>
      <c r="G126" s="107" t="n"/>
      <c r="H126" s="114" t="n"/>
      <c r="I126" s="114" t="n"/>
      <c r="J126" s="107" t="n"/>
      <c r="K126" s="107" t="n"/>
      <c r="L126" s="108" t="n"/>
      <c r="M126" s="108" t="n"/>
      <c r="N126" s="108" t="n"/>
      <c r="O126" s="114" t="n"/>
      <c r="P126" s="120">
        <f>IF(OR($D126="",$I126=""),"",IF(OR($J126="Tamamlandı",$J126="İptal"),"",$I126-TODAY()))</f>
        <v/>
      </c>
      <c r="Q126" s="112">
        <f>IF($D126="","",IF($E126="TANIMSIZ MÜŞTERİ","HATA",IF(OR($J126="Tamamlandı",$J126="İptal"),"KAPALI",IF(AND($C126="Görüşme",$N126=""),"SONRAKİ İŞLEM EKSİK",IF($I126="","TARİH EKSİK",IF($I126&lt;TODAY(),"GECİKMİŞ",IF($I126=TODAY(),"BUGÜN",IF($I126&lt;=TODAY()+7,"7 GÜN İÇİNDE","PLANLI"))))))))</f>
        <v/>
      </c>
      <c r="R126" s="6" t="n"/>
      <c r="S126" s="6" t="n"/>
    </row>
    <row r="127">
      <c r="A127" s="6" t="n"/>
      <c r="B127" s="112">
        <f>IF($D127="","","A"&amp;TEXT(ROW()-6,"00000"))</f>
        <v/>
      </c>
      <c r="C127" s="107" t="n"/>
      <c r="D127" s="107" t="n"/>
      <c r="E127" s="113">
        <f>IF($D127="","",IFERROR(INDEX(MUSTERILER!$C$7:$C$106,MATCH($D127,MUSTERILER!$B$7:$B$106,0)),"TANIMSIZ MÜŞTERİ"))</f>
        <v/>
      </c>
      <c r="F127" s="108" t="n"/>
      <c r="G127" s="107" t="n"/>
      <c r="H127" s="114" t="n"/>
      <c r="I127" s="114" t="n"/>
      <c r="J127" s="107" t="n"/>
      <c r="K127" s="107" t="n"/>
      <c r="L127" s="108" t="n"/>
      <c r="M127" s="108" t="n"/>
      <c r="N127" s="108" t="n"/>
      <c r="O127" s="114" t="n"/>
      <c r="P127" s="120">
        <f>IF(OR($D127="",$I127=""),"",IF(OR($J127="Tamamlandı",$J127="İptal"),"",$I127-TODAY()))</f>
        <v/>
      </c>
      <c r="Q127" s="112">
        <f>IF($D127="","",IF($E127="TANIMSIZ MÜŞTERİ","HATA",IF(OR($J127="Tamamlandı",$J127="İptal"),"KAPALI",IF(AND($C127="Görüşme",$N127=""),"SONRAKİ İŞLEM EKSİK",IF($I127="","TARİH EKSİK",IF($I127&lt;TODAY(),"GECİKMİŞ",IF($I127=TODAY(),"BUGÜN",IF($I127&lt;=TODAY()+7,"7 GÜN İÇİNDE","PLANLI"))))))))</f>
        <v/>
      </c>
      <c r="R127" s="6" t="n"/>
      <c r="S127" s="6" t="n"/>
    </row>
    <row r="128">
      <c r="A128" s="6" t="n"/>
      <c r="B128" s="112">
        <f>IF($D128="","","A"&amp;TEXT(ROW()-6,"00000"))</f>
        <v/>
      </c>
      <c r="C128" s="107" t="n"/>
      <c r="D128" s="107" t="n"/>
      <c r="E128" s="113">
        <f>IF($D128="","",IFERROR(INDEX(MUSTERILER!$C$7:$C$106,MATCH($D128,MUSTERILER!$B$7:$B$106,0)),"TANIMSIZ MÜŞTERİ"))</f>
        <v/>
      </c>
      <c r="F128" s="108" t="n"/>
      <c r="G128" s="107" t="n"/>
      <c r="H128" s="114" t="n"/>
      <c r="I128" s="114" t="n"/>
      <c r="J128" s="107" t="n"/>
      <c r="K128" s="107" t="n"/>
      <c r="L128" s="108" t="n"/>
      <c r="M128" s="108" t="n"/>
      <c r="N128" s="108" t="n"/>
      <c r="O128" s="114" t="n"/>
      <c r="P128" s="120">
        <f>IF(OR($D128="",$I128=""),"",IF(OR($J128="Tamamlandı",$J128="İptal"),"",$I128-TODAY()))</f>
        <v/>
      </c>
      <c r="Q128" s="112">
        <f>IF($D128="","",IF($E128="TANIMSIZ MÜŞTERİ","HATA",IF(OR($J128="Tamamlandı",$J128="İptal"),"KAPALI",IF(AND($C128="Görüşme",$N128=""),"SONRAKİ İŞLEM EKSİK",IF($I128="","TARİH EKSİK",IF($I128&lt;TODAY(),"GECİKMİŞ",IF($I128=TODAY(),"BUGÜN",IF($I128&lt;=TODAY()+7,"7 GÜN İÇİNDE","PLANLI"))))))))</f>
        <v/>
      </c>
      <c r="R128" s="6" t="n"/>
      <c r="S128" s="6" t="n"/>
    </row>
    <row r="129">
      <c r="A129" s="6" t="n"/>
      <c r="B129" s="112">
        <f>IF($D129="","","A"&amp;TEXT(ROW()-6,"00000"))</f>
        <v/>
      </c>
      <c r="C129" s="107" t="n"/>
      <c r="D129" s="107" t="n"/>
      <c r="E129" s="113">
        <f>IF($D129="","",IFERROR(INDEX(MUSTERILER!$C$7:$C$106,MATCH($D129,MUSTERILER!$B$7:$B$106,0)),"TANIMSIZ MÜŞTERİ"))</f>
        <v/>
      </c>
      <c r="F129" s="108" t="n"/>
      <c r="G129" s="107" t="n"/>
      <c r="H129" s="114" t="n"/>
      <c r="I129" s="114" t="n"/>
      <c r="J129" s="107" t="n"/>
      <c r="K129" s="107" t="n"/>
      <c r="L129" s="108" t="n"/>
      <c r="M129" s="108" t="n"/>
      <c r="N129" s="108" t="n"/>
      <c r="O129" s="114" t="n"/>
      <c r="P129" s="120">
        <f>IF(OR($D129="",$I129=""),"",IF(OR($J129="Tamamlandı",$J129="İptal"),"",$I129-TODAY()))</f>
        <v/>
      </c>
      <c r="Q129" s="112">
        <f>IF($D129="","",IF($E129="TANIMSIZ MÜŞTERİ","HATA",IF(OR($J129="Tamamlandı",$J129="İptal"),"KAPALI",IF(AND($C129="Görüşme",$N129=""),"SONRAKİ İŞLEM EKSİK",IF($I129="","TARİH EKSİK",IF($I129&lt;TODAY(),"GECİKMİŞ",IF($I129=TODAY(),"BUGÜN",IF($I129&lt;=TODAY()+7,"7 GÜN İÇİNDE","PLANLI"))))))))</f>
        <v/>
      </c>
      <c r="R129" s="6" t="n"/>
      <c r="S129" s="6" t="n"/>
    </row>
    <row r="130">
      <c r="A130" s="6" t="n"/>
      <c r="B130" s="112">
        <f>IF($D130="","","A"&amp;TEXT(ROW()-6,"00000"))</f>
        <v/>
      </c>
      <c r="C130" s="107" t="n"/>
      <c r="D130" s="107" t="n"/>
      <c r="E130" s="113">
        <f>IF($D130="","",IFERROR(INDEX(MUSTERILER!$C$7:$C$106,MATCH($D130,MUSTERILER!$B$7:$B$106,0)),"TANIMSIZ MÜŞTERİ"))</f>
        <v/>
      </c>
      <c r="F130" s="108" t="n"/>
      <c r="G130" s="107" t="n"/>
      <c r="H130" s="114" t="n"/>
      <c r="I130" s="114" t="n"/>
      <c r="J130" s="107" t="n"/>
      <c r="K130" s="107" t="n"/>
      <c r="L130" s="108" t="n"/>
      <c r="M130" s="108" t="n"/>
      <c r="N130" s="108" t="n"/>
      <c r="O130" s="114" t="n"/>
      <c r="P130" s="120">
        <f>IF(OR($D130="",$I130=""),"",IF(OR($J130="Tamamlandı",$J130="İptal"),"",$I130-TODAY()))</f>
        <v/>
      </c>
      <c r="Q130" s="112">
        <f>IF($D130="","",IF($E130="TANIMSIZ MÜŞTERİ","HATA",IF(OR($J130="Tamamlandı",$J130="İptal"),"KAPALI",IF(AND($C130="Görüşme",$N130=""),"SONRAKİ İŞLEM EKSİK",IF($I130="","TARİH EKSİK",IF($I130&lt;TODAY(),"GECİKMİŞ",IF($I130=TODAY(),"BUGÜN",IF($I130&lt;=TODAY()+7,"7 GÜN İÇİNDE","PLANLI"))))))))</f>
        <v/>
      </c>
      <c r="R130" s="6" t="n"/>
      <c r="S130" s="6" t="n"/>
    </row>
    <row r="131">
      <c r="A131" s="6" t="n"/>
      <c r="B131" s="112">
        <f>IF($D131="","","A"&amp;TEXT(ROW()-6,"00000"))</f>
        <v/>
      </c>
      <c r="C131" s="107" t="n"/>
      <c r="D131" s="107" t="n"/>
      <c r="E131" s="113">
        <f>IF($D131="","",IFERROR(INDEX(MUSTERILER!$C$7:$C$106,MATCH($D131,MUSTERILER!$B$7:$B$106,0)),"TANIMSIZ MÜŞTERİ"))</f>
        <v/>
      </c>
      <c r="F131" s="108" t="n"/>
      <c r="G131" s="107" t="n"/>
      <c r="H131" s="114" t="n"/>
      <c r="I131" s="114" t="n"/>
      <c r="J131" s="107" t="n"/>
      <c r="K131" s="107" t="n"/>
      <c r="L131" s="108" t="n"/>
      <c r="M131" s="108" t="n"/>
      <c r="N131" s="108" t="n"/>
      <c r="O131" s="114" t="n"/>
      <c r="P131" s="120">
        <f>IF(OR($D131="",$I131=""),"",IF(OR($J131="Tamamlandı",$J131="İptal"),"",$I131-TODAY()))</f>
        <v/>
      </c>
      <c r="Q131" s="112">
        <f>IF($D131="","",IF($E131="TANIMSIZ MÜŞTERİ","HATA",IF(OR($J131="Tamamlandı",$J131="İptal"),"KAPALI",IF(AND($C131="Görüşme",$N131=""),"SONRAKİ İŞLEM EKSİK",IF($I131="","TARİH EKSİK",IF($I131&lt;TODAY(),"GECİKMİŞ",IF($I131=TODAY(),"BUGÜN",IF($I131&lt;=TODAY()+7,"7 GÜN İÇİNDE","PLANLI"))))))))</f>
        <v/>
      </c>
      <c r="R131" s="6" t="n"/>
      <c r="S131" s="6" t="n"/>
    </row>
    <row r="132">
      <c r="A132" s="6" t="n"/>
      <c r="B132" s="112">
        <f>IF($D132="","","A"&amp;TEXT(ROW()-6,"00000"))</f>
        <v/>
      </c>
      <c r="C132" s="107" t="n"/>
      <c r="D132" s="107" t="n"/>
      <c r="E132" s="113">
        <f>IF($D132="","",IFERROR(INDEX(MUSTERILER!$C$7:$C$106,MATCH($D132,MUSTERILER!$B$7:$B$106,0)),"TANIMSIZ MÜŞTERİ"))</f>
        <v/>
      </c>
      <c r="F132" s="108" t="n"/>
      <c r="G132" s="107" t="n"/>
      <c r="H132" s="114" t="n"/>
      <c r="I132" s="114" t="n"/>
      <c r="J132" s="107" t="n"/>
      <c r="K132" s="107" t="n"/>
      <c r="L132" s="108" t="n"/>
      <c r="M132" s="108" t="n"/>
      <c r="N132" s="108" t="n"/>
      <c r="O132" s="114" t="n"/>
      <c r="P132" s="120">
        <f>IF(OR($D132="",$I132=""),"",IF(OR($J132="Tamamlandı",$J132="İptal"),"",$I132-TODAY()))</f>
        <v/>
      </c>
      <c r="Q132" s="112">
        <f>IF($D132="","",IF($E132="TANIMSIZ MÜŞTERİ","HATA",IF(OR($J132="Tamamlandı",$J132="İptal"),"KAPALI",IF(AND($C132="Görüşme",$N132=""),"SONRAKİ İŞLEM EKSİK",IF($I132="","TARİH EKSİK",IF($I132&lt;TODAY(),"GECİKMİŞ",IF($I132=TODAY(),"BUGÜN",IF($I132&lt;=TODAY()+7,"7 GÜN İÇİNDE","PLANLI"))))))))</f>
        <v/>
      </c>
      <c r="R132" s="6" t="n"/>
      <c r="S132" s="6" t="n"/>
    </row>
    <row r="133">
      <c r="A133" s="6" t="n"/>
      <c r="B133" s="112">
        <f>IF($D133="","","A"&amp;TEXT(ROW()-6,"00000"))</f>
        <v/>
      </c>
      <c r="C133" s="107" t="n"/>
      <c r="D133" s="107" t="n"/>
      <c r="E133" s="113">
        <f>IF($D133="","",IFERROR(INDEX(MUSTERILER!$C$7:$C$106,MATCH($D133,MUSTERILER!$B$7:$B$106,0)),"TANIMSIZ MÜŞTERİ"))</f>
        <v/>
      </c>
      <c r="F133" s="108" t="n"/>
      <c r="G133" s="107" t="n"/>
      <c r="H133" s="114" t="n"/>
      <c r="I133" s="114" t="n"/>
      <c r="J133" s="107" t="n"/>
      <c r="K133" s="107" t="n"/>
      <c r="L133" s="108" t="n"/>
      <c r="M133" s="108" t="n"/>
      <c r="N133" s="108" t="n"/>
      <c r="O133" s="114" t="n"/>
      <c r="P133" s="120">
        <f>IF(OR($D133="",$I133=""),"",IF(OR($J133="Tamamlandı",$J133="İptal"),"",$I133-TODAY()))</f>
        <v/>
      </c>
      <c r="Q133" s="112">
        <f>IF($D133="","",IF($E133="TANIMSIZ MÜŞTERİ","HATA",IF(OR($J133="Tamamlandı",$J133="İptal"),"KAPALI",IF(AND($C133="Görüşme",$N133=""),"SONRAKİ İŞLEM EKSİK",IF($I133="","TARİH EKSİK",IF($I133&lt;TODAY(),"GECİKMİŞ",IF($I133=TODAY(),"BUGÜN",IF($I133&lt;=TODAY()+7,"7 GÜN İÇİNDE","PLANLI"))))))))</f>
        <v/>
      </c>
      <c r="R133" s="6" t="n"/>
      <c r="S133" s="6" t="n"/>
    </row>
    <row r="134">
      <c r="A134" s="6" t="n"/>
      <c r="B134" s="112">
        <f>IF($D134="","","A"&amp;TEXT(ROW()-6,"00000"))</f>
        <v/>
      </c>
      <c r="C134" s="107" t="n"/>
      <c r="D134" s="107" t="n"/>
      <c r="E134" s="113">
        <f>IF($D134="","",IFERROR(INDEX(MUSTERILER!$C$7:$C$106,MATCH($D134,MUSTERILER!$B$7:$B$106,0)),"TANIMSIZ MÜŞTERİ"))</f>
        <v/>
      </c>
      <c r="F134" s="108" t="n"/>
      <c r="G134" s="107" t="n"/>
      <c r="H134" s="114" t="n"/>
      <c r="I134" s="114" t="n"/>
      <c r="J134" s="107" t="n"/>
      <c r="K134" s="107" t="n"/>
      <c r="L134" s="108" t="n"/>
      <c r="M134" s="108" t="n"/>
      <c r="N134" s="108" t="n"/>
      <c r="O134" s="114" t="n"/>
      <c r="P134" s="120">
        <f>IF(OR($D134="",$I134=""),"",IF(OR($J134="Tamamlandı",$J134="İptal"),"",$I134-TODAY()))</f>
        <v/>
      </c>
      <c r="Q134" s="112">
        <f>IF($D134="","",IF($E134="TANIMSIZ MÜŞTERİ","HATA",IF(OR($J134="Tamamlandı",$J134="İptal"),"KAPALI",IF(AND($C134="Görüşme",$N134=""),"SONRAKİ İŞLEM EKSİK",IF($I134="","TARİH EKSİK",IF($I134&lt;TODAY(),"GECİKMİŞ",IF($I134=TODAY(),"BUGÜN",IF($I134&lt;=TODAY()+7,"7 GÜN İÇİNDE","PLANLI"))))))))</f>
        <v/>
      </c>
      <c r="R134" s="6" t="n"/>
      <c r="S134" s="6" t="n"/>
    </row>
    <row r="135">
      <c r="A135" s="6" t="n"/>
      <c r="B135" s="112">
        <f>IF($D135="","","A"&amp;TEXT(ROW()-6,"00000"))</f>
        <v/>
      </c>
      <c r="C135" s="107" t="n"/>
      <c r="D135" s="107" t="n"/>
      <c r="E135" s="113">
        <f>IF($D135="","",IFERROR(INDEX(MUSTERILER!$C$7:$C$106,MATCH($D135,MUSTERILER!$B$7:$B$106,0)),"TANIMSIZ MÜŞTERİ"))</f>
        <v/>
      </c>
      <c r="F135" s="108" t="n"/>
      <c r="G135" s="107" t="n"/>
      <c r="H135" s="114" t="n"/>
      <c r="I135" s="114" t="n"/>
      <c r="J135" s="107" t="n"/>
      <c r="K135" s="107" t="n"/>
      <c r="L135" s="108" t="n"/>
      <c r="M135" s="108" t="n"/>
      <c r="N135" s="108" t="n"/>
      <c r="O135" s="114" t="n"/>
      <c r="P135" s="120">
        <f>IF(OR($D135="",$I135=""),"",IF(OR($J135="Tamamlandı",$J135="İptal"),"",$I135-TODAY()))</f>
        <v/>
      </c>
      <c r="Q135" s="112">
        <f>IF($D135="","",IF($E135="TANIMSIZ MÜŞTERİ","HATA",IF(OR($J135="Tamamlandı",$J135="İptal"),"KAPALI",IF(AND($C135="Görüşme",$N135=""),"SONRAKİ İŞLEM EKSİK",IF($I135="","TARİH EKSİK",IF($I135&lt;TODAY(),"GECİKMİŞ",IF($I135=TODAY(),"BUGÜN",IF($I135&lt;=TODAY()+7,"7 GÜN İÇİNDE","PLANLI"))))))))</f>
        <v/>
      </c>
      <c r="R135" s="6" t="n"/>
      <c r="S135" s="6" t="n"/>
    </row>
    <row r="136">
      <c r="A136" s="6" t="n"/>
      <c r="B136" s="112">
        <f>IF($D136="","","A"&amp;TEXT(ROW()-6,"00000"))</f>
        <v/>
      </c>
      <c r="C136" s="107" t="n"/>
      <c r="D136" s="107" t="n"/>
      <c r="E136" s="113">
        <f>IF($D136="","",IFERROR(INDEX(MUSTERILER!$C$7:$C$106,MATCH($D136,MUSTERILER!$B$7:$B$106,0)),"TANIMSIZ MÜŞTERİ"))</f>
        <v/>
      </c>
      <c r="F136" s="108" t="n"/>
      <c r="G136" s="107" t="n"/>
      <c r="H136" s="114" t="n"/>
      <c r="I136" s="114" t="n"/>
      <c r="J136" s="107" t="n"/>
      <c r="K136" s="107" t="n"/>
      <c r="L136" s="108" t="n"/>
      <c r="M136" s="108" t="n"/>
      <c r="N136" s="108" t="n"/>
      <c r="O136" s="114" t="n"/>
      <c r="P136" s="120">
        <f>IF(OR($D136="",$I136=""),"",IF(OR($J136="Tamamlandı",$J136="İptal"),"",$I136-TODAY()))</f>
        <v/>
      </c>
      <c r="Q136" s="112">
        <f>IF($D136="","",IF($E136="TANIMSIZ MÜŞTERİ","HATA",IF(OR($J136="Tamamlandı",$J136="İptal"),"KAPALI",IF(AND($C136="Görüşme",$N136=""),"SONRAKİ İŞLEM EKSİK",IF($I136="","TARİH EKSİK",IF($I136&lt;TODAY(),"GECİKMİŞ",IF($I136=TODAY(),"BUGÜN",IF($I136&lt;=TODAY()+7,"7 GÜN İÇİNDE","PLANLI"))))))))</f>
        <v/>
      </c>
      <c r="R136" s="6" t="n"/>
      <c r="S136" s="6" t="n"/>
    </row>
    <row r="137">
      <c r="A137" s="6" t="n"/>
      <c r="B137" s="112">
        <f>IF($D137="","","A"&amp;TEXT(ROW()-6,"00000"))</f>
        <v/>
      </c>
      <c r="C137" s="107" t="n"/>
      <c r="D137" s="107" t="n"/>
      <c r="E137" s="113">
        <f>IF($D137="","",IFERROR(INDEX(MUSTERILER!$C$7:$C$106,MATCH($D137,MUSTERILER!$B$7:$B$106,0)),"TANIMSIZ MÜŞTERİ"))</f>
        <v/>
      </c>
      <c r="F137" s="108" t="n"/>
      <c r="G137" s="107" t="n"/>
      <c r="H137" s="114" t="n"/>
      <c r="I137" s="114" t="n"/>
      <c r="J137" s="107" t="n"/>
      <c r="K137" s="107" t="n"/>
      <c r="L137" s="108" t="n"/>
      <c r="M137" s="108" t="n"/>
      <c r="N137" s="108" t="n"/>
      <c r="O137" s="114" t="n"/>
      <c r="P137" s="120">
        <f>IF(OR($D137="",$I137=""),"",IF(OR($J137="Tamamlandı",$J137="İptal"),"",$I137-TODAY()))</f>
        <v/>
      </c>
      <c r="Q137" s="112">
        <f>IF($D137="","",IF($E137="TANIMSIZ MÜŞTERİ","HATA",IF(OR($J137="Tamamlandı",$J137="İptal"),"KAPALI",IF(AND($C137="Görüşme",$N137=""),"SONRAKİ İŞLEM EKSİK",IF($I137="","TARİH EKSİK",IF($I137&lt;TODAY(),"GECİKMİŞ",IF($I137=TODAY(),"BUGÜN",IF($I137&lt;=TODAY()+7,"7 GÜN İÇİNDE","PLANLI"))))))))</f>
        <v/>
      </c>
      <c r="R137" s="6" t="n"/>
      <c r="S137" s="6" t="n"/>
    </row>
    <row r="138">
      <c r="A138" s="6" t="n"/>
      <c r="B138" s="112">
        <f>IF($D138="","","A"&amp;TEXT(ROW()-6,"00000"))</f>
        <v/>
      </c>
      <c r="C138" s="107" t="n"/>
      <c r="D138" s="107" t="n"/>
      <c r="E138" s="113">
        <f>IF($D138="","",IFERROR(INDEX(MUSTERILER!$C$7:$C$106,MATCH($D138,MUSTERILER!$B$7:$B$106,0)),"TANIMSIZ MÜŞTERİ"))</f>
        <v/>
      </c>
      <c r="F138" s="108" t="n"/>
      <c r="G138" s="107" t="n"/>
      <c r="H138" s="114" t="n"/>
      <c r="I138" s="114" t="n"/>
      <c r="J138" s="107" t="n"/>
      <c r="K138" s="107" t="n"/>
      <c r="L138" s="108" t="n"/>
      <c r="M138" s="108" t="n"/>
      <c r="N138" s="108" t="n"/>
      <c r="O138" s="114" t="n"/>
      <c r="P138" s="120">
        <f>IF(OR($D138="",$I138=""),"",IF(OR($J138="Tamamlandı",$J138="İptal"),"",$I138-TODAY()))</f>
        <v/>
      </c>
      <c r="Q138" s="112">
        <f>IF($D138="","",IF($E138="TANIMSIZ MÜŞTERİ","HATA",IF(OR($J138="Tamamlandı",$J138="İptal"),"KAPALI",IF(AND($C138="Görüşme",$N138=""),"SONRAKİ İŞLEM EKSİK",IF($I138="","TARİH EKSİK",IF($I138&lt;TODAY(),"GECİKMİŞ",IF($I138=TODAY(),"BUGÜN",IF($I138&lt;=TODAY()+7,"7 GÜN İÇİNDE","PLANLI"))))))))</f>
        <v/>
      </c>
      <c r="R138" s="6" t="n"/>
      <c r="S138" s="6" t="n"/>
    </row>
    <row r="139">
      <c r="A139" s="6" t="n"/>
      <c r="B139" s="112">
        <f>IF($D139="","","A"&amp;TEXT(ROW()-6,"00000"))</f>
        <v/>
      </c>
      <c r="C139" s="107" t="n"/>
      <c r="D139" s="107" t="n"/>
      <c r="E139" s="113">
        <f>IF($D139="","",IFERROR(INDEX(MUSTERILER!$C$7:$C$106,MATCH($D139,MUSTERILER!$B$7:$B$106,0)),"TANIMSIZ MÜŞTERİ"))</f>
        <v/>
      </c>
      <c r="F139" s="108" t="n"/>
      <c r="G139" s="107" t="n"/>
      <c r="H139" s="114" t="n"/>
      <c r="I139" s="114" t="n"/>
      <c r="J139" s="107" t="n"/>
      <c r="K139" s="107" t="n"/>
      <c r="L139" s="108" t="n"/>
      <c r="M139" s="108" t="n"/>
      <c r="N139" s="108" t="n"/>
      <c r="O139" s="114" t="n"/>
      <c r="P139" s="120">
        <f>IF(OR($D139="",$I139=""),"",IF(OR($J139="Tamamlandı",$J139="İptal"),"",$I139-TODAY()))</f>
        <v/>
      </c>
      <c r="Q139" s="112">
        <f>IF($D139="","",IF($E139="TANIMSIZ MÜŞTERİ","HATA",IF(OR($J139="Tamamlandı",$J139="İptal"),"KAPALI",IF(AND($C139="Görüşme",$N139=""),"SONRAKİ İŞLEM EKSİK",IF($I139="","TARİH EKSİK",IF($I139&lt;TODAY(),"GECİKMİŞ",IF($I139=TODAY(),"BUGÜN",IF($I139&lt;=TODAY()+7,"7 GÜN İÇİNDE","PLANLI"))))))))</f>
        <v/>
      </c>
      <c r="R139" s="6" t="n"/>
      <c r="S139" s="6" t="n"/>
    </row>
    <row r="140">
      <c r="A140" s="6" t="n"/>
      <c r="B140" s="112">
        <f>IF($D140="","","A"&amp;TEXT(ROW()-6,"00000"))</f>
        <v/>
      </c>
      <c r="C140" s="107" t="n"/>
      <c r="D140" s="107" t="n"/>
      <c r="E140" s="113">
        <f>IF($D140="","",IFERROR(INDEX(MUSTERILER!$C$7:$C$106,MATCH($D140,MUSTERILER!$B$7:$B$106,0)),"TANIMSIZ MÜŞTERİ"))</f>
        <v/>
      </c>
      <c r="F140" s="108" t="n"/>
      <c r="G140" s="107" t="n"/>
      <c r="H140" s="114" t="n"/>
      <c r="I140" s="114" t="n"/>
      <c r="J140" s="107" t="n"/>
      <c r="K140" s="107" t="n"/>
      <c r="L140" s="108" t="n"/>
      <c r="M140" s="108" t="n"/>
      <c r="N140" s="108" t="n"/>
      <c r="O140" s="114" t="n"/>
      <c r="P140" s="120">
        <f>IF(OR($D140="",$I140=""),"",IF(OR($J140="Tamamlandı",$J140="İptal"),"",$I140-TODAY()))</f>
        <v/>
      </c>
      <c r="Q140" s="112">
        <f>IF($D140="","",IF($E140="TANIMSIZ MÜŞTERİ","HATA",IF(OR($J140="Tamamlandı",$J140="İptal"),"KAPALI",IF(AND($C140="Görüşme",$N140=""),"SONRAKİ İŞLEM EKSİK",IF($I140="","TARİH EKSİK",IF($I140&lt;TODAY(),"GECİKMİŞ",IF($I140=TODAY(),"BUGÜN",IF($I140&lt;=TODAY()+7,"7 GÜN İÇİNDE","PLANLI"))))))))</f>
        <v/>
      </c>
      <c r="R140" s="6" t="n"/>
      <c r="S140" s="6" t="n"/>
    </row>
    <row r="141">
      <c r="A141" s="6" t="n"/>
      <c r="B141" s="112">
        <f>IF($D141="","","A"&amp;TEXT(ROW()-6,"00000"))</f>
        <v/>
      </c>
      <c r="C141" s="107" t="n"/>
      <c r="D141" s="107" t="n"/>
      <c r="E141" s="113">
        <f>IF($D141="","",IFERROR(INDEX(MUSTERILER!$C$7:$C$106,MATCH($D141,MUSTERILER!$B$7:$B$106,0)),"TANIMSIZ MÜŞTERİ"))</f>
        <v/>
      </c>
      <c r="F141" s="108" t="n"/>
      <c r="G141" s="107" t="n"/>
      <c r="H141" s="114" t="n"/>
      <c r="I141" s="114" t="n"/>
      <c r="J141" s="107" t="n"/>
      <c r="K141" s="107" t="n"/>
      <c r="L141" s="108" t="n"/>
      <c r="M141" s="108" t="n"/>
      <c r="N141" s="108" t="n"/>
      <c r="O141" s="114" t="n"/>
      <c r="P141" s="120">
        <f>IF(OR($D141="",$I141=""),"",IF(OR($J141="Tamamlandı",$J141="İptal"),"",$I141-TODAY()))</f>
        <v/>
      </c>
      <c r="Q141" s="112">
        <f>IF($D141="","",IF($E141="TANIMSIZ MÜŞTERİ","HATA",IF(OR($J141="Tamamlandı",$J141="İptal"),"KAPALI",IF(AND($C141="Görüşme",$N141=""),"SONRAKİ İŞLEM EKSİK",IF($I141="","TARİH EKSİK",IF($I141&lt;TODAY(),"GECİKMİŞ",IF($I141=TODAY(),"BUGÜN",IF($I141&lt;=TODAY()+7,"7 GÜN İÇİNDE","PLANLI"))))))))</f>
        <v/>
      </c>
      <c r="R141" s="6" t="n"/>
      <c r="S141" s="6" t="n"/>
    </row>
    <row r="142">
      <c r="A142" s="6" t="n"/>
      <c r="B142" s="112">
        <f>IF($D142="","","A"&amp;TEXT(ROW()-6,"00000"))</f>
        <v/>
      </c>
      <c r="C142" s="107" t="n"/>
      <c r="D142" s="107" t="n"/>
      <c r="E142" s="113">
        <f>IF($D142="","",IFERROR(INDEX(MUSTERILER!$C$7:$C$106,MATCH($D142,MUSTERILER!$B$7:$B$106,0)),"TANIMSIZ MÜŞTERİ"))</f>
        <v/>
      </c>
      <c r="F142" s="108" t="n"/>
      <c r="G142" s="107" t="n"/>
      <c r="H142" s="114" t="n"/>
      <c r="I142" s="114" t="n"/>
      <c r="J142" s="107" t="n"/>
      <c r="K142" s="107" t="n"/>
      <c r="L142" s="108" t="n"/>
      <c r="M142" s="108" t="n"/>
      <c r="N142" s="108" t="n"/>
      <c r="O142" s="114" t="n"/>
      <c r="P142" s="120">
        <f>IF(OR($D142="",$I142=""),"",IF(OR($J142="Tamamlandı",$J142="İptal"),"",$I142-TODAY()))</f>
        <v/>
      </c>
      <c r="Q142" s="112">
        <f>IF($D142="","",IF($E142="TANIMSIZ MÜŞTERİ","HATA",IF(OR($J142="Tamamlandı",$J142="İptal"),"KAPALI",IF(AND($C142="Görüşme",$N142=""),"SONRAKİ İŞLEM EKSİK",IF($I142="","TARİH EKSİK",IF($I142&lt;TODAY(),"GECİKMİŞ",IF($I142=TODAY(),"BUGÜN",IF($I142&lt;=TODAY()+7,"7 GÜN İÇİNDE","PLANLI"))))))))</f>
        <v/>
      </c>
      <c r="R142" s="6" t="n"/>
      <c r="S142" s="6" t="n"/>
    </row>
    <row r="143">
      <c r="A143" s="6" t="n"/>
      <c r="B143" s="112">
        <f>IF($D143="","","A"&amp;TEXT(ROW()-6,"00000"))</f>
        <v/>
      </c>
      <c r="C143" s="107" t="n"/>
      <c r="D143" s="107" t="n"/>
      <c r="E143" s="113">
        <f>IF($D143="","",IFERROR(INDEX(MUSTERILER!$C$7:$C$106,MATCH($D143,MUSTERILER!$B$7:$B$106,0)),"TANIMSIZ MÜŞTERİ"))</f>
        <v/>
      </c>
      <c r="F143" s="108" t="n"/>
      <c r="G143" s="107" t="n"/>
      <c r="H143" s="114" t="n"/>
      <c r="I143" s="114" t="n"/>
      <c r="J143" s="107" t="n"/>
      <c r="K143" s="107" t="n"/>
      <c r="L143" s="108" t="n"/>
      <c r="M143" s="108" t="n"/>
      <c r="N143" s="108" t="n"/>
      <c r="O143" s="114" t="n"/>
      <c r="P143" s="120">
        <f>IF(OR($D143="",$I143=""),"",IF(OR($J143="Tamamlandı",$J143="İptal"),"",$I143-TODAY()))</f>
        <v/>
      </c>
      <c r="Q143" s="112">
        <f>IF($D143="","",IF($E143="TANIMSIZ MÜŞTERİ","HATA",IF(OR($J143="Tamamlandı",$J143="İptal"),"KAPALI",IF(AND($C143="Görüşme",$N143=""),"SONRAKİ İŞLEM EKSİK",IF($I143="","TARİH EKSİK",IF($I143&lt;TODAY(),"GECİKMİŞ",IF($I143=TODAY(),"BUGÜN",IF($I143&lt;=TODAY()+7,"7 GÜN İÇİNDE","PLANLI"))))))))</f>
        <v/>
      </c>
      <c r="R143" s="6" t="n"/>
      <c r="S143" s="6" t="n"/>
    </row>
    <row r="144">
      <c r="A144" s="6" t="n"/>
      <c r="B144" s="112">
        <f>IF($D144="","","A"&amp;TEXT(ROW()-6,"00000"))</f>
        <v/>
      </c>
      <c r="C144" s="107" t="n"/>
      <c r="D144" s="107" t="n"/>
      <c r="E144" s="113">
        <f>IF($D144="","",IFERROR(INDEX(MUSTERILER!$C$7:$C$106,MATCH($D144,MUSTERILER!$B$7:$B$106,0)),"TANIMSIZ MÜŞTERİ"))</f>
        <v/>
      </c>
      <c r="F144" s="108" t="n"/>
      <c r="G144" s="107" t="n"/>
      <c r="H144" s="114" t="n"/>
      <c r="I144" s="114" t="n"/>
      <c r="J144" s="107" t="n"/>
      <c r="K144" s="107" t="n"/>
      <c r="L144" s="108" t="n"/>
      <c r="M144" s="108" t="n"/>
      <c r="N144" s="108" t="n"/>
      <c r="O144" s="114" t="n"/>
      <c r="P144" s="120">
        <f>IF(OR($D144="",$I144=""),"",IF(OR($J144="Tamamlandı",$J144="İptal"),"",$I144-TODAY()))</f>
        <v/>
      </c>
      <c r="Q144" s="112">
        <f>IF($D144="","",IF($E144="TANIMSIZ MÜŞTERİ","HATA",IF(OR($J144="Tamamlandı",$J144="İptal"),"KAPALI",IF(AND($C144="Görüşme",$N144=""),"SONRAKİ İŞLEM EKSİK",IF($I144="","TARİH EKSİK",IF($I144&lt;TODAY(),"GECİKMİŞ",IF($I144=TODAY(),"BUGÜN",IF($I144&lt;=TODAY()+7,"7 GÜN İÇİNDE","PLANLI"))))))))</f>
        <v/>
      </c>
      <c r="R144" s="6" t="n"/>
      <c r="S144" s="6" t="n"/>
    </row>
    <row r="145">
      <c r="A145" s="6" t="n"/>
      <c r="B145" s="112">
        <f>IF($D145="","","A"&amp;TEXT(ROW()-6,"00000"))</f>
        <v/>
      </c>
      <c r="C145" s="107" t="n"/>
      <c r="D145" s="107" t="n"/>
      <c r="E145" s="113">
        <f>IF($D145="","",IFERROR(INDEX(MUSTERILER!$C$7:$C$106,MATCH($D145,MUSTERILER!$B$7:$B$106,0)),"TANIMSIZ MÜŞTERİ"))</f>
        <v/>
      </c>
      <c r="F145" s="108" t="n"/>
      <c r="G145" s="107" t="n"/>
      <c r="H145" s="114" t="n"/>
      <c r="I145" s="114" t="n"/>
      <c r="J145" s="107" t="n"/>
      <c r="K145" s="107" t="n"/>
      <c r="L145" s="108" t="n"/>
      <c r="M145" s="108" t="n"/>
      <c r="N145" s="108" t="n"/>
      <c r="O145" s="114" t="n"/>
      <c r="P145" s="120">
        <f>IF(OR($D145="",$I145=""),"",IF(OR($J145="Tamamlandı",$J145="İptal"),"",$I145-TODAY()))</f>
        <v/>
      </c>
      <c r="Q145" s="112">
        <f>IF($D145="","",IF($E145="TANIMSIZ MÜŞTERİ","HATA",IF(OR($J145="Tamamlandı",$J145="İptal"),"KAPALI",IF(AND($C145="Görüşme",$N145=""),"SONRAKİ İŞLEM EKSİK",IF($I145="","TARİH EKSİK",IF($I145&lt;TODAY(),"GECİKMİŞ",IF($I145=TODAY(),"BUGÜN",IF($I145&lt;=TODAY()+7,"7 GÜN İÇİNDE","PLANLI"))))))))</f>
        <v/>
      </c>
      <c r="R145" s="6" t="n"/>
      <c r="S145" s="6" t="n"/>
    </row>
    <row r="146">
      <c r="A146" s="6" t="n"/>
      <c r="B146" s="112">
        <f>IF($D146="","","A"&amp;TEXT(ROW()-6,"00000"))</f>
        <v/>
      </c>
      <c r="C146" s="107" t="n"/>
      <c r="D146" s="107" t="n"/>
      <c r="E146" s="113">
        <f>IF($D146="","",IFERROR(INDEX(MUSTERILER!$C$7:$C$106,MATCH($D146,MUSTERILER!$B$7:$B$106,0)),"TANIMSIZ MÜŞTERİ"))</f>
        <v/>
      </c>
      <c r="F146" s="108" t="n"/>
      <c r="G146" s="107" t="n"/>
      <c r="H146" s="114" t="n"/>
      <c r="I146" s="114" t="n"/>
      <c r="J146" s="107" t="n"/>
      <c r="K146" s="107" t="n"/>
      <c r="L146" s="108" t="n"/>
      <c r="M146" s="108" t="n"/>
      <c r="N146" s="108" t="n"/>
      <c r="O146" s="114" t="n"/>
      <c r="P146" s="120">
        <f>IF(OR($D146="",$I146=""),"",IF(OR($J146="Tamamlandı",$J146="İptal"),"",$I146-TODAY()))</f>
        <v/>
      </c>
      <c r="Q146" s="112">
        <f>IF($D146="","",IF($E146="TANIMSIZ MÜŞTERİ","HATA",IF(OR($J146="Tamamlandı",$J146="İptal"),"KAPALI",IF(AND($C146="Görüşme",$N146=""),"SONRAKİ İŞLEM EKSİK",IF($I146="","TARİH EKSİK",IF($I146&lt;TODAY(),"GECİKMİŞ",IF($I146=TODAY(),"BUGÜN",IF($I146&lt;=TODAY()+7,"7 GÜN İÇİNDE","PLANLI"))))))))</f>
        <v/>
      </c>
      <c r="R146" s="6" t="n"/>
      <c r="S146" s="6" t="n"/>
    </row>
    <row r="147">
      <c r="A147" s="6" t="n"/>
      <c r="B147" s="112">
        <f>IF($D147="","","A"&amp;TEXT(ROW()-6,"00000"))</f>
        <v/>
      </c>
      <c r="C147" s="107" t="n"/>
      <c r="D147" s="107" t="n"/>
      <c r="E147" s="113">
        <f>IF($D147="","",IFERROR(INDEX(MUSTERILER!$C$7:$C$106,MATCH($D147,MUSTERILER!$B$7:$B$106,0)),"TANIMSIZ MÜŞTERİ"))</f>
        <v/>
      </c>
      <c r="F147" s="108" t="n"/>
      <c r="G147" s="107" t="n"/>
      <c r="H147" s="114" t="n"/>
      <c r="I147" s="114" t="n"/>
      <c r="J147" s="107" t="n"/>
      <c r="K147" s="107" t="n"/>
      <c r="L147" s="108" t="n"/>
      <c r="M147" s="108" t="n"/>
      <c r="N147" s="108" t="n"/>
      <c r="O147" s="114" t="n"/>
      <c r="P147" s="120">
        <f>IF(OR($D147="",$I147=""),"",IF(OR($J147="Tamamlandı",$J147="İptal"),"",$I147-TODAY()))</f>
        <v/>
      </c>
      <c r="Q147" s="112">
        <f>IF($D147="","",IF($E147="TANIMSIZ MÜŞTERİ","HATA",IF(OR($J147="Tamamlandı",$J147="İptal"),"KAPALI",IF(AND($C147="Görüşme",$N147=""),"SONRAKİ İŞLEM EKSİK",IF($I147="","TARİH EKSİK",IF($I147&lt;TODAY(),"GECİKMİŞ",IF($I147=TODAY(),"BUGÜN",IF($I147&lt;=TODAY()+7,"7 GÜN İÇİNDE","PLANLI"))))))))</f>
        <v/>
      </c>
      <c r="R147" s="6" t="n"/>
      <c r="S147" s="6" t="n"/>
    </row>
    <row r="148">
      <c r="A148" s="6" t="n"/>
      <c r="B148" s="112">
        <f>IF($D148="","","A"&amp;TEXT(ROW()-6,"00000"))</f>
        <v/>
      </c>
      <c r="C148" s="107" t="n"/>
      <c r="D148" s="107" t="n"/>
      <c r="E148" s="113">
        <f>IF($D148="","",IFERROR(INDEX(MUSTERILER!$C$7:$C$106,MATCH($D148,MUSTERILER!$B$7:$B$106,0)),"TANIMSIZ MÜŞTERİ"))</f>
        <v/>
      </c>
      <c r="F148" s="108" t="n"/>
      <c r="G148" s="107" t="n"/>
      <c r="H148" s="114" t="n"/>
      <c r="I148" s="114" t="n"/>
      <c r="J148" s="107" t="n"/>
      <c r="K148" s="107" t="n"/>
      <c r="L148" s="108" t="n"/>
      <c r="M148" s="108" t="n"/>
      <c r="N148" s="108" t="n"/>
      <c r="O148" s="114" t="n"/>
      <c r="P148" s="120">
        <f>IF(OR($D148="",$I148=""),"",IF(OR($J148="Tamamlandı",$J148="İptal"),"",$I148-TODAY()))</f>
        <v/>
      </c>
      <c r="Q148" s="112">
        <f>IF($D148="","",IF($E148="TANIMSIZ MÜŞTERİ","HATA",IF(OR($J148="Tamamlandı",$J148="İptal"),"KAPALI",IF(AND($C148="Görüşme",$N148=""),"SONRAKİ İŞLEM EKSİK",IF($I148="","TARİH EKSİK",IF($I148&lt;TODAY(),"GECİKMİŞ",IF($I148=TODAY(),"BUGÜN",IF($I148&lt;=TODAY()+7,"7 GÜN İÇİNDE","PLANLI"))))))))</f>
        <v/>
      </c>
      <c r="R148" s="6" t="n"/>
      <c r="S148" s="6" t="n"/>
    </row>
    <row r="149">
      <c r="A149" s="6" t="n"/>
      <c r="B149" s="112">
        <f>IF($D149="","","A"&amp;TEXT(ROW()-6,"00000"))</f>
        <v/>
      </c>
      <c r="C149" s="107" t="n"/>
      <c r="D149" s="107" t="n"/>
      <c r="E149" s="113">
        <f>IF($D149="","",IFERROR(INDEX(MUSTERILER!$C$7:$C$106,MATCH($D149,MUSTERILER!$B$7:$B$106,0)),"TANIMSIZ MÜŞTERİ"))</f>
        <v/>
      </c>
      <c r="F149" s="108" t="n"/>
      <c r="G149" s="107" t="n"/>
      <c r="H149" s="114" t="n"/>
      <c r="I149" s="114" t="n"/>
      <c r="J149" s="107" t="n"/>
      <c r="K149" s="107" t="n"/>
      <c r="L149" s="108" t="n"/>
      <c r="M149" s="108" t="n"/>
      <c r="N149" s="108" t="n"/>
      <c r="O149" s="114" t="n"/>
      <c r="P149" s="120">
        <f>IF(OR($D149="",$I149=""),"",IF(OR($J149="Tamamlandı",$J149="İptal"),"",$I149-TODAY()))</f>
        <v/>
      </c>
      <c r="Q149" s="112">
        <f>IF($D149="","",IF($E149="TANIMSIZ MÜŞTERİ","HATA",IF(OR($J149="Tamamlandı",$J149="İptal"),"KAPALI",IF(AND($C149="Görüşme",$N149=""),"SONRAKİ İŞLEM EKSİK",IF($I149="","TARİH EKSİK",IF($I149&lt;TODAY(),"GECİKMİŞ",IF($I149=TODAY(),"BUGÜN",IF($I149&lt;=TODAY()+7,"7 GÜN İÇİNDE","PLANLI"))))))))</f>
        <v/>
      </c>
      <c r="R149" s="6" t="n"/>
      <c r="S149" s="6" t="n"/>
    </row>
    <row r="150">
      <c r="A150" s="6" t="n"/>
      <c r="B150" s="112">
        <f>IF($D150="","","A"&amp;TEXT(ROW()-6,"00000"))</f>
        <v/>
      </c>
      <c r="C150" s="107" t="n"/>
      <c r="D150" s="107" t="n"/>
      <c r="E150" s="113">
        <f>IF($D150="","",IFERROR(INDEX(MUSTERILER!$C$7:$C$106,MATCH($D150,MUSTERILER!$B$7:$B$106,0)),"TANIMSIZ MÜŞTERİ"))</f>
        <v/>
      </c>
      <c r="F150" s="108" t="n"/>
      <c r="G150" s="107" t="n"/>
      <c r="H150" s="114" t="n"/>
      <c r="I150" s="114" t="n"/>
      <c r="J150" s="107" t="n"/>
      <c r="K150" s="107" t="n"/>
      <c r="L150" s="108" t="n"/>
      <c r="M150" s="108" t="n"/>
      <c r="N150" s="108" t="n"/>
      <c r="O150" s="114" t="n"/>
      <c r="P150" s="120">
        <f>IF(OR($D150="",$I150=""),"",IF(OR($J150="Tamamlandı",$J150="İptal"),"",$I150-TODAY()))</f>
        <v/>
      </c>
      <c r="Q150" s="112">
        <f>IF($D150="","",IF($E150="TANIMSIZ MÜŞTERİ","HATA",IF(OR($J150="Tamamlandı",$J150="İptal"),"KAPALI",IF(AND($C150="Görüşme",$N150=""),"SONRAKİ İŞLEM EKSİK",IF($I150="","TARİH EKSİK",IF($I150&lt;TODAY(),"GECİKMİŞ",IF($I150=TODAY(),"BUGÜN",IF($I150&lt;=TODAY()+7,"7 GÜN İÇİNDE","PLANLI"))))))))</f>
        <v/>
      </c>
      <c r="R150" s="6" t="n"/>
      <c r="S150" s="6" t="n"/>
    </row>
    <row r="151">
      <c r="A151" s="6" t="n"/>
      <c r="B151" s="112">
        <f>IF($D151="","","A"&amp;TEXT(ROW()-6,"00000"))</f>
        <v/>
      </c>
      <c r="C151" s="107" t="n"/>
      <c r="D151" s="107" t="n"/>
      <c r="E151" s="113">
        <f>IF($D151="","",IFERROR(INDEX(MUSTERILER!$C$7:$C$106,MATCH($D151,MUSTERILER!$B$7:$B$106,0)),"TANIMSIZ MÜŞTERİ"))</f>
        <v/>
      </c>
      <c r="F151" s="108" t="n"/>
      <c r="G151" s="107" t="n"/>
      <c r="H151" s="114" t="n"/>
      <c r="I151" s="114" t="n"/>
      <c r="J151" s="107" t="n"/>
      <c r="K151" s="107" t="n"/>
      <c r="L151" s="108" t="n"/>
      <c r="M151" s="108" t="n"/>
      <c r="N151" s="108" t="n"/>
      <c r="O151" s="114" t="n"/>
      <c r="P151" s="120">
        <f>IF(OR($D151="",$I151=""),"",IF(OR($J151="Tamamlandı",$J151="İptal"),"",$I151-TODAY()))</f>
        <v/>
      </c>
      <c r="Q151" s="112">
        <f>IF($D151="","",IF($E151="TANIMSIZ MÜŞTERİ","HATA",IF(OR($J151="Tamamlandı",$J151="İptal"),"KAPALI",IF(AND($C151="Görüşme",$N151=""),"SONRAKİ İŞLEM EKSİK",IF($I151="","TARİH EKSİK",IF($I151&lt;TODAY(),"GECİKMİŞ",IF($I151=TODAY(),"BUGÜN",IF($I151&lt;=TODAY()+7,"7 GÜN İÇİNDE","PLANLI"))))))))</f>
        <v/>
      </c>
      <c r="R151" s="6" t="n"/>
      <c r="S151" s="6" t="n"/>
    </row>
    <row r="152">
      <c r="A152" s="6" t="n"/>
      <c r="B152" s="112">
        <f>IF($D152="","","A"&amp;TEXT(ROW()-6,"00000"))</f>
        <v/>
      </c>
      <c r="C152" s="107" t="n"/>
      <c r="D152" s="107" t="n"/>
      <c r="E152" s="113">
        <f>IF($D152="","",IFERROR(INDEX(MUSTERILER!$C$7:$C$106,MATCH($D152,MUSTERILER!$B$7:$B$106,0)),"TANIMSIZ MÜŞTERİ"))</f>
        <v/>
      </c>
      <c r="F152" s="108" t="n"/>
      <c r="G152" s="107" t="n"/>
      <c r="H152" s="114" t="n"/>
      <c r="I152" s="114" t="n"/>
      <c r="J152" s="107" t="n"/>
      <c r="K152" s="107" t="n"/>
      <c r="L152" s="108" t="n"/>
      <c r="M152" s="108" t="n"/>
      <c r="N152" s="108" t="n"/>
      <c r="O152" s="114" t="n"/>
      <c r="P152" s="120">
        <f>IF(OR($D152="",$I152=""),"",IF(OR($J152="Tamamlandı",$J152="İptal"),"",$I152-TODAY()))</f>
        <v/>
      </c>
      <c r="Q152" s="112">
        <f>IF($D152="","",IF($E152="TANIMSIZ MÜŞTERİ","HATA",IF(OR($J152="Tamamlandı",$J152="İptal"),"KAPALI",IF(AND($C152="Görüşme",$N152=""),"SONRAKİ İŞLEM EKSİK",IF($I152="","TARİH EKSİK",IF($I152&lt;TODAY(),"GECİKMİŞ",IF($I152=TODAY(),"BUGÜN",IF($I152&lt;=TODAY()+7,"7 GÜN İÇİNDE","PLANLI"))))))))</f>
        <v/>
      </c>
      <c r="R152" s="6" t="n"/>
      <c r="S152" s="6" t="n"/>
    </row>
    <row r="153">
      <c r="A153" s="6" t="n"/>
      <c r="B153" s="112">
        <f>IF($D153="","","A"&amp;TEXT(ROW()-6,"00000"))</f>
        <v/>
      </c>
      <c r="C153" s="107" t="n"/>
      <c r="D153" s="107" t="n"/>
      <c r="E153" s="113">
        <f>IF($D153="","",IFERROR(INDEX(MUSTERILER!$C$7:$C$106,MATCH($D153,MUSTERILER!$B$7:$B$106,0)),"TANIMSIZ MÜŞTERİ"))</f>
        <v/>
      </c>
      <c r="F153" s="108" t="n"/>
      <c r="G153" s="107" t="n"/>
      <c r="H153" s="114" t="n"/>
      <c r="I153" s="114" t="n"/>
      <c r="J153" s="107" t="n"/>
      <c r="K153" s="107" t="n"/>
      <c r="L153" s="108" t="n"/>
      <c r="M153" s="108" t="n"/>
      <c r="N153" s="108" t="n"/>
      <c r="O153" s="114" t="n"/>
      <c r="P153" s="120">
        <f>IF(OR($D153="",$I153=""),"",IF(OR($J153="Tamamlandı",$J153="İptal"),"",$I153-TODAY()))</f>
        <v/>
      </c>
      <c r="Q153" s="112">
        <f>IF($D153="","",IF($E153="TANIMSIZ MÜŞTERİ","HATA",IF(OR($J153="Tamamlandı",$J153="İptal"),"KAPALI",IF(AND($C153="Görüşme",$N153=""),"SONRAKİ İŞLEM EKSİK",IF($I153="","TARİH EKSİK",IF($I153&lt;TODAY(),"GECİKMİŞ",IF($I153=TODAY(),"BUGÜN",IF($I153&lt;=TODAY()+7,"7 GÜN İÇİNDE","PLANLI"))))))))</f>
        <v/>
      </c>
      <c r="R153" s="6" t="n"/>
      <c r="S153" s="6" t="n"/>
    </row>
    <row r="154">
      <c r="A154" s="6" t="n"/>
      <c r="B154" s="112">
        <f>IF($D154="","","A"&amp;TEXT(ROW()-6,"00000"))</f>
        <v/>
      </c>
      <c r="C154" s="107" t="n"/>
      <c r="D154" s="107" t="n"/>
      <c r="E154" s="113">
        <f>IF($D154="","",IFERROR(INDEX(MUSTERILER!$C$7:$C$106,MATCH($D154,MUSTERILER!$B$7:$B$106,0)),"TANIMSIZ MÜŞTERİ"))</f>
        <v/>
      </c>
      <c r="F154" s="108" t="n"/>
      <c r="G154" s="107" t="n"/>
      <c r="H154" s="114" t="n"/>
      <c r="I154" s="114" t="n"/>
      <c r="J154" s="107" t="n"/>
      <c r="K154" s="107" t="n"/>
      <c r="L154" s="108" t="n"/>
      <c r="M154" s="108" t="n"/>
      <c r="N154" s="108" t="n"/>
      <c r="O154" s="114" t="n"/>
      <c r="P154" s="120">
        <f>IF(OR($D154="",$I154=""),"",IF(OR($J154="Tamamlandı",$J154="İptal"),"",$I154-TODAY()))</f>
        <v/>
      </c>
      <c r="Q154" s="112">
        <f>IF($D154="","",IF($E154="TANIMSIZ MÜŞTERİ","HATA",IF(OR($J154="Tamamlandı",$J154="İptal"),"KAPALI",IF(AND($C154="Görüşme",$N154=""),"SONRAKİ İŞLEM EKSİK",IF($I154="","TARİH EKSİK",IF($I154&lt;TODAY(),"GECİKMİŞ",IF($I154=TODAY(),"BUGÜN",IF($I154&lt;=TODAY()+7,"7 GÜN İÇİNDE","PLANLI"))))))))</f>
        <v/>
      </c>
      <c r="R154" s="6" t="n"/>
      <c r="S154" s="6" t="n"/>
    </row>
    <row r="155">
      <c r="A155" s="6" t="n"/>
      <c r="B155" s="112">
        <f>IF($D155="","","A"&amp;TEXT(ROW()-6,"00000"))</f>
        <v/>
      </c>
      <c r="C155" s="107" t="n"/>
      <c r="D155" s="107" t="n"/>
      <c r="E155" s="113">
        <f>IF($D155="","",IFERROR(INDEX(MUSTERILER!$C$7:$C$106,MATCH($D155,MUSTERILER!$B$7:$B$106,0)),"TANIMSIZ MÜŞTERİ"))</f>
        <v/>
      </c>
      <c r="F155" s="108" t="n"/>
      <c r="G155" s="107" t="n"/>
      <c r="H155" s="114" t="n"/>
      <c r="I155" s="114" t="n"/>
      <c r="J155" s="107" t="n"/>
      <c r="K155" s="107" t="n"/>
      <c r="L155" s="108" t="n"/>
      <c r="M155" s="108" t="n"/>
      <c r="N155" s="108" t="n"/>
      <c r="O155" s="114" t="n"/>
      <c r="P155" s="120">
        <f>IF(OR($D155="",$I155=""),"",IF(OR($J155="Tamamlandı",$J155="İptal"),"",$I155-TODAY()))</f>
        <v/>
      </c>
      <c r="Q155" s="112">
        <f>IF($D155="","",IF($E155="TANIMSIZ MÜŞTERİ","HATA",IF(OR($J155="Tamamlandı",$J155="İptal"),"KAPALI",IF(AND($C155="Görüşme",$N155=""),"SONRAKİ İŞLEM EKSİK",IF($I155="","TARİH EKSİK",IF($I155&lt;TODAY(),"GECİKMİŞ",IF($I155=TODAY(),"BUGÜN",IF($I155&lt;=TODAY()+7,"7 GÜN İÇİNDE","PLANLI"))))))))</f>
        <v/>
      </c>
      <c r="R155" s="6" t="n"/>
      <c r="S155" s="6" t="n"/>
    </row>
    <row r="156">
      <c r="A156" s="6" t="n"/>
      <c r="B156" s="112">
        <f>IF($D156="","","A"&amp;TEXT(ROW()-6,"00000"))</f>
        <v/>
      </c>
      <c r="C156" s="107" t="n"/>
      <c r="D156" s="107" t="n"/>
      <c r="E156" s="113">
        <f>IF($D156="","",IFERROR(INDEX(MUSTERILER!$C$7:$C$106,MATCH($D156,MUSTERILER!$B$7:$B$106,0)),"TANIMSIZ MÜŞTERİ"))</f>
        <v/>
      </c>
      <c r="F156" s="108" t="n"/>
      <c r="G156" s="107" t="n"/>
      <c r="H156" s="114" t="n"/>
      <c r="I156" s="114" t="n"/>
      <c r="J156" s="107" t="n"/>
      <c r="K156" s="107" t="n"/>
      <c r="L156" s="108" t="n"/>
      <c r="M156" s="108" t="n"/>
      <c r="N156" s="108" t="n"/>
      <c r="O156" s="114" t="n"/>
      <c r="P156" s="120">
        <f>IF(OR($D156="",$I156=""),"",IF(OR($J156="Tamamlandı",$J156="İptal"),"",$I156-TODAY()))</f>
        <v/>
      </c>
      <c r="Q156" s="112">
        <f>IF($D156="","",IF($E156="TANIMSIZ MÜŞTERİ","HATA",IF(OR($J156="Tamamlandı",$J156="İptal"),"KAPALI",IF(AND($C156="Görüşme",$N156=""),"SONRAKİ İŞLEM EKSİK",IF($I156="","TARİH EKSİK",IF($I156&lt;TODAY(),"GECİKMİŞ",IF($I156=TODAY(),"BUGÜN",IF($I156&lt;=TODAY()+7,"7 GÜN İÇİNDE","PLANLI"))))))))</f>
        <v/>
      </c>
      <c r="R156" s="6" t="n"/>
      <c r="S156" s="6" t="n"/>
    </row>
    <row r="157">
      <c r="A157" s="6" t="n"/>
      <c r="B157" s="112">
        <f>IF($D157="","","A"&amp;TEXT(ROW()-6,"00000"))</f>
        <v/>
      </c>
      <c r="C157" s="107" t="n"/>
      <c r="D157" s="107" t="n"/>
      <c r="E157" s="113">
        <f>IF($D157="","",IFERROR(INDEX(MUSTERILER!$C$7:$C$106,MATCH($D157,MUSTERILER!$B$7:$B$106,0)),"TANIMSIZ MÜŞTERİ"))</f>
        <v/>
      </c>
      <c r="F157" s="108" t="n"/>
      <c r="G157" s="107" t="n"/>
      <c r="H157" s="114" t="n"/>
      <c r="I157" s="114" t="n"/>
      <c r="J157" s="107" t="n"/>
      <c r="K157" s="107" t="n"/>
      <c r="L157" s="108" t="n"/>
      <c r="M157" s="108" t="n"/>
      <c r="N157" s="108" t="n"/>
      <c r="O157" s="114" t="n"/>
      <c r="P157" s="120">
        <f>IF(OR($D157="",$I157=""),"",IF(OR($J157="Tamamlandı",$J157="İptal"),"",$I157-TODAY()))</f>
        <v/>
      </c>
      <c r="Q157" s="112">
        <f>IF($D157="","",IF($E157="TANIMSIZ MÜŞTERİ","HATA",IF(OR($J157="Tamamlandı",$J157="İptal"),"KAPALI",IF(AND($C157="Görüşme",$N157=""),"SONRAKİ İŞLEM EKSİK",IF($I157="","TARİH EKSİK",IF($I157&lt;TODAY(),"GECİKMİŞ",IF($I157=TODAY(),"BUGÜN",IF($I157&lt;=TODAY()+7,"7 GÜN İÇİNDE","PLANLI"))))))))</f>
        <v/>
      </c>
      <c r="R157" s="6" t="n"/>
      <c r="S157" s="6" t="n"/>
    </row>
    <row r="158">
      <c r="A158" s="6" t="n"/>
      <c r="B158" s="112">
        <f>IF($D158="","","A"&amp;TEXT(ROW()-6,"00000"))</f>
        <v/>
      </c>
      <c r="C158" s="107" t="n"/>
      <c r="D158" s="107" t="n"/>
      <c r="E158" s="113">
        <f>IF($D158="","",IFERROR(INDEX(MUSTERILER!$C$7:$C$106,MATCH($D158,MUSTERILER!$B$7:$B$106,0)),"TANIMSIZ MÜŞTERİ"))</f>
        <v/>
      </c>
      <c r="F158" s="108" t="n"/>
      <c r="G158" s="107" t="n"/>
      <c r="H158" s="114" t="n"/>
      <c r="I158" s="114" t="n"/>
      <c r="J158" s="107" t="n"/>
      <c r="K158" s="107" t="n"/>
      <c r="L158" s="108" t="n"/>
      <c r="M158" s="108" t="n"/>
      <c r="N158" s="108" t="n"/>
      <c r="O158" s="114" t="n"/>
      <c r="P158" s="120">
        <f>IF(OR($D158="",$I158=""),"",IF(OR($J158="Tamamlandı",$J158="İptal"),"",$I158-TODAY()))</f>
        <v/>
      </c>
      <c r="Q158" s="112">
        <f>IF($D158="","",IF($E158="TANIMSIZ MÜŞTERİ","HATA",IF(OR($J158="Tamamlandı",$J158="İptal"),"KAPALI",IF(AND($C158="Görüşme",$N158=""),"SONRAKİ İŞLEM EKSİK",IF($I158="","TARİH EKSİK",IF($I158&lt;TODAY(),"GECİKMİŞ",IF($I158=TODAY(),"BUGÜN",IF($I158&lt;=TODAY()+7,"7 GÜN İÇİNDE","PLANLI"))))))))</f>
        <v/>
      </c>
      <c r="R158" s="6" t="n"/>
      <c r="S158" s="6" t="n"/>
    </row>
    <row r="159">
      <c r="A159" s="6" t="n"/>
      <c r="B159" s="112">
        <f>IF($D159="","","A"&amp;TEXT(ROW()-6,"00000"))</f>
        <v/>
      </c>
      <c r="C159" s="107" t="n"/>
      <c r="D159" s="107" t="n"/>
      <c r="E159" s="113">
        <f>IF($D159="","",IFERROR(INDEX(MUSTERILER!$C$7:$C$106,MATCH($D159,MUSTERILER!$B$7:$B$106,0)),"TANIMSIZ MÜŞTERİ"))</f>
        <v/>
      </c>
      <c r="F159" s="108" t="n"/>
      <c r="G159" s="107" t="n"/>
      <c r="H159" s="114" t="n"/>
      <c r="I159" s="114" t="n"/>
      <c r="J159" s="107" t="n"/>
      <c r="K159" s="107" t="n"/>
      <c r="L159" s="108" t="n"/>
      <c r="M159" s="108" t="n"/>
      <c r="N159" s="108" t="n"/>
      <c r="O159" s="114" t="n"/>
      <c r="P159" s="120">
        <f>IF(OR($D159="",$I159=""),"",IF(OR($J159="Tamamlandı",$J159="İptal"),"",$I159-TODAY()))</f>
        <v/>
      </c>
      <c r="Q159" s="112">
        <f>IF($D159="","",IF($E159="TANIMSIZ MÜŞTERİ","HATA",IF(OR($J159="Tamamlandı",$J159="İptal"),"KAPALI",IF(AND($C159="Görüşme",$N159=""),"SONRAKİ İŞLEM EKSİK",IF($I159="","TARİH EKSİK",IF($I159&lt;TODAY(),"GECİKMİŞ",IF($I159=TODAY(),"BUGÜN",IF($I159&lt;=TODAY()+7,"7 GÜN İÇİNDE","PLANLI"))))))))</f>
        <v/>
      </c>
      <c r="R159" s="6" t="n"/>
      <c r="S159" s="6" t="n"/>
    </row>
    <row r="160">
      <c r="A160" s="6" t="n"/>
      <c r="B160" s="112">
        <f>IF($D160="","","A"&amp;TEXT(ROW()-6,"00000"))</f>
        <v/>
      </c>
      <c r="C160" s="107" t="n"/>
      <c r="D160" s="107" t="n"/>
      <c r="E160" s="113">
        <f>IF($D160="","",IFERROR(INDEX(MUSTERILER!$C$7:$C$106,MATCH($D160,MUSTERILER!$B$7:$B$106,0)),"TANIMSIZ MÜŞTERİ"))</f>
        <v/>
      </c>
      <c r="F160" s="108" t="n"/>
      <c r="G160" s="107" t="n"/>
      <c r="H160" s="114" t="n"/>
      <c r="I160" s="114" t="n"/>
      <c r="J160" s="107" t="n"/>
      <c r="K160" s="107" t="n"/>
      <c r="L160" s="108" t="n"/>
      <c r="M160" s="108" t="n"/>
      <c r="N160" s="108" t="n"/>
      <c r="O160" s="114" t="n"/>
      <c r="P160" s="120">
        <f>IF(OR($D160="",$I160=""),"",IF(OR($J160="Tamamlandı",$J160="İptal"),"",$I160-TODAY()))</f>
        <v/>
      </c>
      <c r="Q160" s="112">
        <f>IF($D160="","",IF($E160="TANIMSIZ MÜŞTERİ","HATA",IF(OR($J160="Tamamlandı",$J160="İptal"),"KAPALI",IF(AND($C160="Görüşme",$N160=""),"SONRAKİ İŞLEM EKSİK",IF($I160="","TARİH EKSİK",IF($I160&lt;TODAY(),"GECİKMİŞ",IF($I160=TODAY(),"BUGÜN",IF($I160&lt;=TODAY()+7,"7 GÜN İÇİNDE","PLANLI"))))))))</f>
        <v/>
      </c>
      <c r="R160" s="6" t="n"/>
      <c r="S160" s="6" t="n"/>
    </row>
    <row r="161">
      <c r="A161" s="6" t="n"/>
      <c r="B161" s="112">
        <f>IF($D161="","","A"&amp;TEXT(ROW()-6,"00000"))</f>
        <v/>
      </c>
      <c r="C161" s="107" t="n"/>
      <c r="D161" s="107" t="n"/>
      <c r="E161" s="113">
        <f>IF($D161="","",IFERROR(INDEX(MUSTERILER!$C$7:$C$106,MATCH($D161,MUSTERILER!$B$7:$B$106,0)),"TANIMSIZ MÜŞTERİ"))</f>
        <v/>
      </c>
      <c r="F161" s="108" t="n"/>
      <c r="G161" s="107" t="n"/>
      <c r="H161" s="114" t="n"/>
      <c r="I161" s="114" t="n"/>
      <c r="J161" s="107" t="n"/>
      <c r="K161" s="107" t="n"/>
      <c r="L161" s="108" t="n"/>
      <c r="M161" s="108" t="n"/>
      <c r="N161" s="108" t="n"/>
      <c r="O161" s="114" t="n"/>
      <c r="P161" s="120">
        <f>IF(OR($D161="",$I161=""),"",IF(OR($J161="Tamamlandı",$J161="İptal"),"",$I161-TODAY()))</f>
        <v/>
      </c>
      <c r="Q161" s="112">
        <f>IF($D161="","",IF($E161="TANIMSIZ MÜŞTERİ","HATA",IF(OR($J161="Tamamlandı",$J161="İptal"),"KAPALI",IF(AND($C161="Görüşme",$N161=""),"SONRAKİ İŞLEM EKSİK",IF($I161="","TARİH EKSİK",IF($I161&lt;TODAY(),"GECİKMİŞ",IF($I161=TODAY(),"BUGÜN",IF($I161&lt;=TODAY()+7,"7 GÜN İÇİNDE","PLANLI"))))))))</f>
        <v/>
      </c>
      <c r="R161" s="6" t="n"/>
      <c r="S161" s="6" t="n"/>
    </row>
    <row r="162">
      <c r="A162" s="6" t="n"/>
      <c r="B162" s="112">
        <f>IF($D162="","","A"&amp;TEXT(ROW()-6,"00000"))</f>
        <v/>
      </c>
      <c r="C162" s="107" t="n"/>
      <c r="D162" s="107" t="n"/>
      <c r="E162" s="113">
        <f>IF($D162="","",IFERROR(INDEX(MUSTERILER!$C$7:$C$106,MATCH($D162,MUSTERILER!$B$7:$B$106,0)),"TANIMSIZ MÜŞTERİ"))</f>
        <v/>
      </c>
      <c r="F162" s="108" t="n"/>
      <c r="G162" s="107" t="n"/>
      <c r="H162" s="114" t="n"/>
      <c r="I162" s="114" t="n"/>
      <c r="J162" s="107" t="n"/>
      <c r="K162" s="107" t="n"/>
      <c r="L162" s="108" t="n"/>
      <c r="M162" s="108" t="n"/>
      <c r="N162" s="108" t="n"/>
      <c r="O162" s="114" t="n"/>
      <c r="P162" s="120">
        <f>IF(OR($D162="",$I162=""),"",IF(OR($J162="Tamamlandı",$J162="İptal"),"",$I162-TODAY()))</f>
        <v/>
      </c>
      <c r="Q162" s="112">
        <f>IF($D162="","",IF($E162="TANIMSIZ MÜŞTERİ","HATA",IF(OR($J162="Tamamlandı",$J162="İptal"),"KAPALI",IF(AND($C162="Görüşme",$N162=""),"SONRAKİ İŞLEM EKSİK",IF($I162="","TARİH EKSİK",IF($I162&lt;TODAY(),"GECİKMİŞ",IF($I162=TODAY(),"BUGÜN",IF($I162&lt;=TODAY()+7,"7 GÜN İÇİNDE","PLANLI"))))))))</f>
        <v/>
      </c>
      <c r="R162" s="6" t="n"/>
      <c r="S162" s="6" t="n"/>
    </row>
    <row r="163">
      <c r="A163" s="6" t="n"/>
      <c r="B163" s="112">
        <f>IF($D163="","","A"&amp;TEXT(ROW()-6,"00000"))</f>
        <v/>
      </c>
      <c r="C163" s="107" t="n"/>
      <c r="D163" s="107" t="n"/>
      <c r="E163" s="113">
        <f>IF($D163="","",IFERROR(INDEX(MUSTERILER!$C$7:$C$106,MATCH($D163,MUSTERILER!$B$7:$B$106,0)),"TANIMSIZ MÜŞTERİ"))</f>
        <v/>
      </c>
      <c r="F163" s="108" t="n"/>
      <c r="G163" s="107" t="n"/>
      <c r="H163" s="114" t="n"/>
      <c r="I163" s="114" t="n"/>
      <c r="J163" s="107" t="n"/>
      <c r="K163" s="107" t="n"/>
      <c r="L163" s="108" t="n"/>
      <c r="M163" s="108" t="n"/>
      <c r="N163" s="108" t="n"/>
      <c r="O163" s="114" t="n"/>
      <c r="P163" s="120">
        <f>IF(OR($D163="",$I163=""),"",IF(OR($J163="Tamamlandı",$J163="İptal"),"",$I163-TODAY()))</f>
        <v/>
      </c>
      <c r="Q163" s="112">
        <f>IF($D163="","",IF($E163="TANIMSIZ MÜŞTERİ","HATA",IF(OR($J163="Tamamlandı",$J163="İptal"),"KAPALI",IF(AND($C163="Görüşme",$N163=""),"SONRAKİ İŞLEM EKSİK",IF($I163="","TARİH EKSİK",IF($I163&lt;TODAY(),"GECİKMİŞ",IF($I163=TODAY(),"BUGÜN",IF($I163&lt;=TODAY()+7,"7 GÜN İÇİNDE","PLANLI"))))))))</f>
        <v/>
      </c>
      <c r="R163" s="6" t="n"/>
      <c r="S163" s="6" t="n"/>
    </row>
    <row r="164">
      <c r="A164" s="6" t="n"/>
      <c r="B164" s="112">
        <f>IF($D164="","","A"&amp;TEXT(ROW()-6,"00000"))</f>
        <v/>
      </c>
      <c r="C164" s="107" t="n"/>
      <c r="D164" s="107" t="n"/>
      <c r="E164" s="113">
        <f>IF($D164="","",IFERROR(INDEX(MUSTERILER!$C$7:$C$106,MATCH($D164,MUSTERILER!$B$7:$B$106,0)),"TANIMSIZ MÜŞTERİ"))</f>
        <v/>
      </c>
      <c r="F164" s="108" t="n"/>
      <c r="G164" s="107" t="n"/>
      <c r="H164" s="114" t="n"/>
      <c r="I164" s="114" t="n"/>
      <c r="J164" s="107" t="n"/>
      <c r="K164" s="107" t="n"/>
      <c r="L164" s="108" t="n"/>
      <c r="M164" s="108" t="n"/>
      <c r="N164" s="108" t="n"/>
      <c r="O164" s="114" t="n"/>
      <c r="P164" s="120">
        <f>IF(OR($D164="",$I164=""),"",IF(OR($J164="Tamamlandı",$J164="İptal"),"",$I164-TODAY()))</f>
        <v/>
      </c>
      <c r="Q164" s="112">
        <f>IF($D164="","",IF($E164="TANIMSIZ MÜŞTERİ","HATA",IF(OR($J164="Tamamlandı",$J164="İptal"),"KAPALI",IF(AND($C164="Görüşme",$N164=""),"SONRAKİ İŞLEM EKSİK",IF($I164="","TARİH EKSİK",IF($I164&lt;TODAY(),"GECİKMİŞ",IF($I164=TODAY(),"BUGÜN",IF($I164&lt;=TODAY()+7,"7 GÜN İÇİNDE","PLANLI"))))))))</f>
        <v/>
      </c>
      <c r="R164" s="6" t="n"/>
      <c r="S164" s="6" t="n"/>
    </row>
    <row r="165">
      <c r="A165" s="6" t="n"/>
      <c r="B165" s="112">
        <f>IF($D165="","","A"&amp;TEXT(ROW()-6,"00000"))</f>
        <v/>
      </c>
      <c r="C165" s="107" t="n"/>
      <c r="D165" s="107" t="n"/>
      <c r="E165" s="113">
        <f>IF($D165="","",IFERROR(INDEX(MUSTERILER!$C$7:$C$106,MATCH($D165,MUSTERILER!$B$7:$B$106,0)),"TANIMSIZ MÜŞTERİ"))</f>
        <v/>
      </c>
      <c r="F165" s="108" t="n"/>
      <c r="G165" s="107" t="n"/>
      <c r="H165" s="114" t="n"/>
      <c r="I165" s="114" t="n"/>
      <c r="J165" s="107" t="n"/>
      <c r="K165" s="107" t="n"/>
      <c r="L165" s="108" t="n"/>
      <c r="M165" s="108" t="n"/>
      <c r="N165" s="108" t="n"/>
      <c r="O165" s="114" t="n"/>
      <c r="P165" s="120">
        <f>IF(OR($D165="",$I165=""),"",IF(OR($J165="Tamamlandı",$J165="İptal"),"",$I165-TODAY()))</f>
        <v/>
      </c>
      <c r="Q165" s="112">
        <f>IF($D165="","",IF($E165="TANIMSIZ MÜŞTERİ","HATA",IF(OR($J165="Tamamlandı",$J165="İptal"),"KAPALI",IF(AND($C165="Görüşme",$N165=""),"SONRAKİ İŞLEM EKSİK",IF($I165="","TARİH EKSİK",IF($I165&lt;TODAY(),"GECİKMİŞ",IF($I165=TODAY(),"BUGÜN",IF($I165&lt;=TODAY()+7,"7 GÜN İÇİNDE","PLANLI"))))))))</f>
        <v/>
      </c>
      <c r="R165" s="6" t="n"/>
      <c r="S165" s="6" t="n"/>
    </row>
    <row r="166">
      <c r="A166" s="6" t="n"/>
      <c r="B166" s="112">
        <f>IF($D166="","","A"&amp;TEXT(ROW()-6,"00000"))</f>
        <v/>
      </c>
      <c r="C166" s="107" t="n"/>
      <c r="D166" s="107" t="n"/>
      <c r="E166" s="113">
        <f>IF($D166="","",IFERROR(INDEX(MUSTERILER!$C$7:$C$106,MATCH($D166,MUSTERILER!$B$7:$B$106,0)),"TANIMSIZ MÜŞTERİ"))</f>
        <v/>
      </c>
      <c r="F166" s="108" t="n"/>
      <c r="G166" s="107" t="n"/>
      <c r="H166" s="114" t="n"/>
      <c r="I166" s="114" t="n"/>
      <c r="J166" s="107" t="n"/>
      <c r="K166" s="107" t="n"/>
      <c r="L166" s="108" t="n"/>
      <c r="M166" s="108" t="n"/>
      <c r="N166" s="108" t="n"/>
      <c r="O166" s="114" t="n"/>
      <c r="P166" s="120">
        <f>IF(OR($D166="",$I166=""),"",IF(OR($J166="Tamamlandı",$J166="İptal"),"",$I166-TODAY()))</f>
        <v/>
      </c>
      <c r="Q166" s="112">
        <f>IF($D166="","",IF($E166="TANIMSIZ MÜŞTERİ","HATA",IF(OR($J166="Tamamlandı",$J166="İptal"),"KAPALI",IF(AND($C166="Görüşme",$N166=""),"SONRAKİ İŞLEM EKSİK",IF($I166="","TARİH EKSİK",IF($I166&lt;TODAY(),"GECİKMİŞ",IF($I166=TODAY(),"BUGÜN",IF($I166&lt;=TODAY()+7,"7 GÜN İÇİNDE","PLANLI"))))))))</f>
        <v/>
      </c>
      <c r="R166" s="6" t="n"/>
      <c r="S166" s="6" t="n"/>
    </row>
    <row r="167">
      <c r="A167" s="6" t="n"/>
      <c r="B167" s="112">
        <f>IF($D167="","","A"&amp;TEXT(ROW()-6,"00000"))</f>
        <v/>
      </c>
      <c r="C167" s="107" t="n"/>
      <c r="D167" s="107" t="n"/>
      <c r="E167" s="113">
        <f>IF($D167="","",IFERROR(INDEX(MUSTERILER!$C$7:$C$106,MATCH($D167,MUSTERILER!$B$7:$B$106,0)),"TANIMSIZ MÜŞTERİ"))</f>
        <v/>
      </c>
      <c r="F167" s="108" t="n"/>
      <c r="G167" s="107" t="n"/>
      <c r="H167" s="114" t="n"/>
      <c r="I167" s="114" t="n"/>
      <c r="J167" s="107" t="n"/>
      <c r="K167" s="107" t="n"/>
      <c r="L167" s="108" t="n"/>
      <c r="M167" s="108" t="n"/>
      <c r="N167" s="108" t="n"/>
      <c r="O167" s="114" t="n"/>
      <c r="P167" s="120">
        <f>IF(OR($D167="",$I167=""),"",IF(OR($J167="Tamamlandı",$J167="İptal"),"",$I167-TODAY()))</f>
        <v/>
      </c>
      <c r="Q167" s="112">
        <f>IF($D167="","",IF($E167="TANIMSIZ MÜŞTERİ","HATA",IF(OR($J167="Tamamlandı",$J167="İptal"),"KAPALI",IF(AND($C167="Görüşme",$N167=""),"SONRAKİ İŞLEM EKSİK",IF($I167="","TARİH EKSİK",IF($I167&lt;TODAY(),"GECİKMİŞ",IF($I167=TODAY(),"BUGÜN",IF($I167&lt;=TODAY()+7,"7 GÜN İÇİNDE","PLANLI"))))))))</f>
        <v/>
      </c>
      <c r="R167" s="6" t="n"/>
      <c r="S167" s="6" t="n"/>
    </row>
    <row r="168">
      <c r="A168" s="6" t="n"/>
      <c r="B168" s="112">
        <f>IF($D168="","","A"&amp;TEXT(ROW()-6,"00000"))</f>
        <v/>
      </c>
      <c r="C168" s="107" t="n"/>
      <c r="D168" s="107" t="n"/>
      <c r="E168" s="113">
        <f>IF($D168="","",IFERROR(INDEX(MUSTERILER!$C$7:$C$106,MATCH($D168,MUSTERILER!$B$7:$B$106,0)),"TANIMSIZ MÜŞTERİ"))</f>
        <v/>
      </c>
      <c r="F168" s="108" t="n"/>
      <c r="G168" s="107" t="n"/>
      <c r="H168" s="114" t="n"/>
      <c r="I168" s="114" t="n"/>
      <c r="J168" s="107" t="n"/>
      <c r="K168" s="107" t="n"/>
      <c r="L168" s="108" t="n"/>
      <c r="M168" s="108" t="n"/>
      <c r="N168" s="108" t="n"/>
      <c r="O168" s="114" t="n"/>
      <c r="P168" s="120">
        <f>IF(OR($D168="",$I168=""),"",IF(OR($J168="Tamamlandı",$J168="İptal"),"",$I168-TODAY()))</f>
        <v/>
      </c>
      <c r="Q168" s="112">
        <f>IF($D168="","",IF($E168="TANIMSIZ MÜŞTERİ","HATA",IF(OR($J168="Tamamlandı",$J168="İptal"),"KAPALI",IF(AND($C168="Görüşme",$N168=""),"SONRAKİ İŞLEM EKSİK",IF($I168="","TARİH EKSİK",IF($I168&lt;TODAY(),"GECİKMİŞ",IF($I168=TODAY(),"BUGÜN",IF($I168&lt;=TODAY()+7,"7 GÜN İÇİNDE","PLANLI"))))))))</f>
        <v/>
      </c>
      <c r="R168" s="6" t="n"/>
      <c r="S168" s="6" t="n"/>
    </row>
    <row r="169">
      <c r="A169" s="6" t="n"/>
      <c r="B169" s="112">
        <f>IF($D169="","","A"&amp;TEXT(ROW()-6,"00000"))</f>
        <v/>
      </c>
      <c r="C169" s="107" t="n"/>
      <c r="D169" s="107" t="n"/>
      <c r="E169" s="113">
        <f>IF($D169="","",IFERROR(INDEX(MUSTERILER!$C$7:$C$106,MATCH($D169,MUSTERILER!$B$7:$B$106,0)),"TANIMSIZ MÜŞTERİ"))</f>
        <v/>
      </c>
      <c r="F169" s="108" t="n"/>
      <c r="G169" s="107" t="n"/>
      <c r="H169" s="114" t="n"/>
      <c r="I169" s="114" t="n"/>
      <c r="J169" s="107" t="n"/>
      <c r="K169" s="107" t="n"/>
      <c r="L169" s="108" t="n"/>
      <c r="M169" s="108" t="n"/>
      <c r="N169" s="108" t="n"/>
      <c r="O169" s="114" t="n"/>
      <c r="P169" s="120">
        <f>IF(OR($D169="",$I169=""),"",IF(OR($J169="Tamamlandı",$J169="İptal"),"",$I169-TODAY()))</f>
        <v/>
      </c>
      <c r="Q169" s="112">
        <f>IF($D169="","",IF($E169="TANIMSIZ MÜŞTERİ","HATA",IF(OR($J169="Tamamlandı",$J169="İptal"),"KAPALI",IF(AND($C169="Görüşme",$N169=""),"SONRAKİ İŞLEM EKSİK",IF($I169="","TARİH EKSİK",IF($I169&lt;TODAY(),"GECİKMİŞ",IF($I169=TODAY(),"BUGÜN",IF($I169&lt;=TODAY()+7,"7 GÜN İÇİNDE","PLANLI"))))))))</f>
        <v/>
      </c>
      <c r="R169" s="6" t="n"/>
      <c r="S169" s="6" t="n"/>
    </row>
    <row r="170">
      <c r="A170" s="6" t="n"/>
      <c r="B170" s="112">
        <f>IF($D170="","","A"&amp;TEXT(ROW()-6,"00000"))</f>
        <v/>
      </c>
      <c r="C170" s="107" t="n"/>
      <c r="D170" s="107" t="n"/>
      <c r="E170" s="113">
        <f>IF($D170="","",IFERROR(INDEX(MUSTERILER!$C$7:$C$106,MATCH($D170,MUSTERILER!$B$7:$B$106,0)),"TANIMSIZ MÜŞTERİ"))</f>
        <v/>
      </c>
      <c r="F170" s="108" t="n"/>
      <c r="G170" s="107" t="n"/>
      <c r="H170" s="114" t="n"/>
      <c r="I170" s="114" t="n"/>
      <c r="J170" s="107" t="n"/>
      <c r="K170" s="107" t="n"/>
      <c r="L170" s="108" t="n"/>
      <c r="M170" s="108" t="n"/>
      <c r="N170" s="108" t="n"/>
      <c r="O170" s="114" t="n"/>
      <c r="P170" s="120">
        <f>IF(OR($D170="",$I170=""),"",IF(OR($J170="Tamamlandı",$J170="İptal"),"",$I170-TODAY()))</f>
        <v/>
      </c>
      <c r="Q170" s="112">
        <f>IF($D170="","",IF($E170="TANIMSIZ MÜŞTERİ","HATA",IF(OR($J170="Tamamlandı",$J170="İptal"),"KAPALI",IF(AND($C170="Görüşme",$N170=""),"SONRAKİ İŞLEM EKSİK",IF($I170="","TARİH EKSİK",IF($I170&lt;TODAY(),"GECİKMİŞ",IF($I170=TODAY(),"BUGÜN",IF($I170&lt;=TODAY()+7,"7 GÜN İÇİNDE","PLANLI"))))))))</f>
        <v/>
      </c>
      <c r="R170" s="6" t="n"/>
      <c r="S170" s="6" t="n"/>
    </row>
    <row r="171">
      <c r="A171" s="6" t="n"/>
      <c r="B171" s="112">
        <f>IF($D171="","","A"&amp;TEXT(ROW()-6,"00000"))</f>
        <v/>
      </c>
      <c r="C171" s="107" t="n"/>
      <c r="D171" s="107" t="n"/>
      <c r="E171" s="113">
        <f>IF($D171="","",IFERROR(INDEX(MUSTERILER!$C$7:$C$106,MATCH($D171,MUSTERILER!$B$7:$B$106,0)),"TANIMSIZ MÜŞTERİ"))</f>
        <v/>
      </c>
      <c r="F171" s="108" t="n"/>
      <c r="G171" s="107" t="n"/>
      <c r="H171" s="114" t="n"/>
      <c r="I171" s="114" t="n"/>
      <c r="J171" s="107" t="n"/>
      <c r="K171" s="107" t="n"/>
      <c r="L171" s="108" t="n"/>
      <c r="M171" s="108" t="n"/>
      <c r="N171" s="108" t="n"/>
      <c r="O171" s="114" t="n"/>
      <c r="P171" s="120">
        <f>IF(OR($D171="",$I171=""),"",IF(OR($J171="Tamamlandı",$J171="İptal"),"",$I171-TODAY()))</f>
        <v/>
      </c>
      <c r="Q171" s="112">
        <f>IF($D171="","",IF($E171="TANIMSIZ MÜŞTERİ","HATA",IF(OR($J171="Tamamlandı",$J171="İptal"),"KAPALI",IF(AND($C171="Görüşme",$N171=""),"SONRAKİ İŞLEM EKSİK",IF($I171="","TARİH EKSİK",IF($I171&lt;TODAY(),"GECİKMİŞ",IF($I171=TODAY(),"BUGÜN",IF($I171&lt;=TODAY()+7,"7 GÜN İÇİNDE","PLANLI"))))))))</f>
        <v/>
      </c>
      <c r="R171" s="6" t="n"/>
      <c r="S171" s="6" t="n"/>
    </row>
    <row r="172">
      <c r="A172" s="6" t="n"/>
      <c r="B172" s="112">
        <f>IF($D172="","","A"&amp;TEXT(ROW()-6,"00000"))</f>
        <v/>
      </c>
      <c r="C172" s="107" t="n"/>
      <c r="D172" s="107" t="n"/>
      <c r="E172" s="113">
        <f>IF($D172="","",IFERROR(INDEX(MUSTERILER!$C$7:$C$106,MATCH($D172,MUSTERILER!$B$7:$B$106,0)),"TANIMSIZ MÜŞTERİ"))</f>
        <v/>
      </c>
      <c r="F172" s="108" t="n"/>
      <c r="G172" s="107" t="n"/>
      <c r="H172" s="114" t="n"/>
      <c r="I172" s="114" t="n"/>
      <c r="J172" s="107" t="n"/>
      <c r="K172" s="107" t="n"/>
      <c r="L172" s="108" t="n"/>
      <c r="M172" s="108" t="n"/>
      <c r="N172" s="108" t="n"/>
      <c r="O172" s="114" t="n"/>
      <c r="P172" s="120">
        <f>IF(OR($D172="",$I172=""),"",IF(OR($J172="Tamamlandı",$J172="İptal"),"",$I172-TODAY()))</f>
        <v/>
      </c>
      <c r="Q172" s="112">
        <f>IF($D172="","",IF($E172="TANIMSIZ MÜŞTERİ","HATA",IF(OR($J172="Tamamlandı",$J172="İptal"),"KAPALI",IF(AND($C172="Görüşme",$N172=""),"SONRAKİ İŞLEM EKSİK",IF($I172="","TARİH EKSİK",IF($I172&lt;TODAY(),"GECİKMİŞ",IF($I172=TODAY(),"BUGÜN",IF($I172&lt;=TODAY()+7,"7 GÜN İÇİNDE","PLANLI"))))))))</f>
        <v/>
      </c>
      <c r="R172" s="6" t="n"/>
      <c r="S172" s="6" t="n"/>
    </row>
    <row r="173">
      <c r="A173" s="6" t="n"/>
      <c r="B173" s="112">
        <f>IF($D173="","","A"&amp;TEXT(ROW()-6,"00000"))</f>
        <v/>
      </c>
      <c r="C173" s="107" t="n"/>
      <c r="D173" s="107" t="n"/>
      <c r="E173" s="113">
        <f>IF($D173="","",IFERROR(INDEX(MUSTERILER!$C$7:$C$106,MATCH($D173,MUSTERILER!$B$7:$B$106,0)),"TANIMSIZ MÜŞTERİ"))</f>
        <v/>
      </c>
      <c r="F173" s="108" t="n"/>
      <c r="G173" s="107" t="n"/>
      <c r="H173" s="114" t="n"/>
      <c r="I173" s="114" t="n"/>
      <c r="J173" s="107" t="n"/>
      <c r="K173" s="107" t="n"/>
      <c r="L173" s="108" t="n"/>
      <c r="M173" s="108" t="n"/>
      <c r="N173" s="108" t="n"/>
      <c r="O173" s="114" t="n"/>
      <c r="P173" s="120">
        <f>IF(OR($D173="",$I173=""),"",IF(OR($J173="Tamamlandı",$J173="İptal"),"",$I173-TODAY()))</f>
        <v/>
      </c>
      <c r="Q173" s="112">
        <f>IF($D173="","",IF($E173="TANIMSIZ MÜŞTERİ","HATA",IF(OR($J173="Tamamlandı",$J173="İptal"),"KAPALI",IF(AND($C173="Görüşme",$N173=""),"SONRAKİ İŞLEM EKSİK",IF($I173="","TARİH EKSİK",IF($I173&lt;TODAY(),"GECİKMİŞ",IF($I173=TODAY(),"BUGÜN",IF($I173&lt;=TODAY()+7,"7 GÜN İÇİNDE","PLANLI"))))))))</f>
        <v/>
      </c>
      <c r="R173" s="6" t="n"/>
      <c r="S173" s="6" t="n"/>
    </row>
    <row r="174">
      <c r="A174" s="6" t="n"/>
      <c r="B174" s="112">
        <f>IF($D174="","","A"&amp;TEXT(ROW()-6,"00000"))</f>
        <v/>
      </c>
      <c r="C174" s="107" t="n"/>
      <c r="D174" s="107" t="n"/>
      <c r="E174" s="113">
        <f>IF($D174="","",IFERROR(INDEX(MUSTERILER!$C$7:$C$106,MATCH($D174,MUSTERILER!$B$7:$B$106,0)),"TANIMSIZ MÜŞTERİ"))</f>
        <v/>
      </c>
      <c r="F174" s="108" t="n"/>
      <c r="G174" s="107" t="n"/>
      <c r="H174" s="114" t="n"/>
      <c r="I174" s="114" t="n"/>
      <c r="J174" s="107" t="n"/>
      <c r="K174" s="107" t="n"/>
      <c r="L174" s="108" t="n"/>
      <c r="M174" s="108" t="n"/>
      <c r="N174" s="108" t="n"/>
      <c r="O174" s="114" t="n"/>
      <c r="P174" s="120">
        <f>IF(OR($D174="",$I174=""),"",IF(OR($J174="Tamamlandı",$J174="İptal"),"",$I174-TODAY()))</f>
        <v/>
      </c>
      <c r="Q174" s="112">
        <f>IF($D174="","",IF($E174="TANIMSIZ MÜŞTERİ","HATA",IF(OR($J174="Tamamlandı",$J174="İptal"),"KAPALI",IF(AND($C174="Görüşme",$N174=""),"SONRAKİ İŞLEM EKSİK",IF($I174="","TARİH EKSİK",IF($I174&lt;TODAY(),"GECİKMİŞ",IF($I174=TODAY(),"BUGÜN",IF($I174&lt;=TODAY()+7,"7 GÜN İÇİNDE","PLANLI"))))))))</f>
        <v/>
      </c>
      <c r="R174" s="6" t="n"/>
      <c r="S174" s="6" t="n"/>
    </row>
    <row r="175">
      <c r="A175" s="6" t="n"/>
      <c r="B175" s="112">
        <f>IF($D175="","","A"&amp;TEXT(ROW()-6,"00000"))</f>
        <v/>
      </c>
      <c r="C175" s="107" t="n"/>
      <c r="D175" s="107" t="n"/>
      <c r="E175" s="113">
        <f>IF($D175="","",IFERROR(INDEX(MUSTERILER!$C$7:$C$106,MATCH($D175,MUSTERILER!$B$7:$B$106,0)),"TANIMSIZ MÜŞTERİ"))</f>
        <v/>
      </c>
      <c r="F175" s="108" t="n"/>
      <c r="G175" s="107" t="n"/>
      <c r="H175" s="114" t="n"/>
      <c r="I175" s="114" t="n"/>
      <c r="J175" s="107" t="n"/>
      <c r="K175" s="107" t="n"/>
      <c r="L175" s="108" t="n"/>
      <c r="M175" s="108" t="n"/>
      <c r="N175" s="108" t="n"/>
      <c r="O175" s="114" t="n"/>
      <c r="P175" s="120">
        <f>IF(OR($D175="",$I175=""),"",IF(OR($J175="Tamamlandı",$J175="İptal"),"",$I175-TODAY()))</f>
        <v/>
      </c>
      <c r="Q175" s="112">
        <f>IF($D175="","",IF($E175="TANIMSIZ MÜŞTERİ","HATA",IF(OR($J175="Tamamlandı",$J175="İptal"),"KAPALI",IF(AND($C175="Görüşme",$N175=""),"SONRAKİ İŞLEM EKSİK",IF($I175="","TARİH EKSİK",IF($I175&lt;TODAY(),"GECİKMİŞ",IF($I175=TODAY(),"BUGÜN",IF($I175&lt;=TODAY()+7,"7 GÜN İÇİNDE","PLANLI"))))))))</f>
        <v/>
      </c>
      <c r="R175" s="6" t="n"/>
      <c r="S175" s="6" t="n"/>
    </row>
    <row r="176">
      <c r="A176" s="6" t="n"/>
      <c r="B176" s="112">
        <f>IF($D176="","","A"&amp;TEXT(ROW()-6,"00000"))</f>
        <v/>
      </c>
      <c r="C176" s="107" t="n"/>
      <c r="D176" s="107" t="n"/>
      <c r="E176" s="113">
        <f>IF($D176="","",IFERROR(INDEX(MUSTERILER!$C$7:$C$106,MATCH($D176,MUSTERILER!$B$7:$B$106,0)),"TANIMSIZ MÜŞTERİ"))</f>
        <v/>
      </c>
      <c r="F176" s="108" t="n"/>
      <c r="G176" s="107" t="n"/>
      <c r="H176" s="114" t="n"/>
      <c r="I176" s="114" t="n"/>
      <c r="J176" s="107" t="n"/>
      <c r="K176" s="107" t="n"/>
      <c r="L176" s="108" t="n"/>
      <c r="M176" s="108" t="n"/>
      <c r="N176" s="108" t="n"/>
      <c r="O176" s="114" t="n"/>
      <c r="P176" s="120">
        <f>IF(OR($D176="",$I176=""),"",IF(OR($J176="Tamamlandı",$J176="İptal"),"",$I176-TODAY()))</f>
        <v/>
      </c>
      <c r="Q176" s="112">
        <f>IF($D176="","",IF($E176="TANIMSIZ MÜŞTERİ","HATA",IF(OR($J176="Tamamlandı",$J176="İptal"),"KAPALI",IF(AND($C176="Görüşme",$N176=""),"SONRAKİ İŞLEM EKSİK",IF($I176="","TARİH EKSİK",IF($I176&lt;TODAY(),"GECİKMİŞ",IF($I176=TODAY(),"BUGÜN",IF($I176&lt;=TODAY()+7,"7 GÜN İÇİNDE","PLANLI"))))))))</f>
        <v/>
      </c>
      <c r="R176" s="6" t="n"/>
      <c r="S176" s="6" t="n"/>
    </row>
    <row r="177">
      <c r="A177" s="6" t="n"/>
      <c r="B177" s="112">
        <f>IF($D177="","","A"&amp;TEXT(ROW()-6,"00000"))</f>
        <v/>
      </c>
      <c r="C177" s="107" t="n"/>
      <c r="D177" s="107" t="n"/>
      <c r="E177" s="113">
        <f>IF($D177="","",IFERROR(INDEX(MUSTERILER!$C$7:$C$106,MATCH($D177,MUSTERILER!$B$7:$B$106,0)),"TANIMSIZ MÜŞTERİ"))</f>
        <v/>
      </c>
      <c r="F177" s="108" t="n"/>
      <c r="G177" s="107" t="n"/>
      <c r="H177" s="114" t="n"/>
      <c r="I177" s="114" t="n"/>
      <c r="J177" s="107" t="n"/>
      <c r="K177" s="107" t="n"/>
      <c r="L177" s="108" t="n"/>
      <c r="M177" s="108" t="n"/>
      <c r="N177" s="108" t="n"/>
      <c r="O177" s="114" t="n"/>
      <c r="P177" s="120">
        <f>IF(OR($D177="",$I177=""),"",IF(OR($J177="Tamamlandı",$J177="İptal"),"",$I177-TODAY()))</f>
        <v/>
      </c>
      <c r="Q177" s="112">
        <f>IF($D177="","",IF($E177="TANIMSIZ MÜŞTERİ","HATA",IF(OR($J177="Tamamlandı",$J177="İptal"),"KAPALI",IF(AND($C177="Görüşme",$N177=""),"SONRAKİ İŞLEM EKSİK",IF($I177="","TARİH EKSİK",IF($I177&lt;TODAY(),"GECİKMİŞ",IF($I177=TODAY(),"BUGÜN",IF($I177&lt;=TODAY()+7,"7 GÜN İÇİNDE","PLANLI"))))))))</f>
        <v/>
      </c>
      <c r="R177" s="6" t="n"/>
      <c r="S177" s="6" t="n"/>
    </row>
    <row r="178">
      <c r="A178" s="6" t="n"/>
      <c r="B178" s="112">
        <f>IF($D178="","","A"&amp;TEXT(ROW()-6,"00000"))</f>
        <v/>
      </c>
      <c r="C178" s="107" t="n"/>
      <c r="D178" s="107" t="n"/>
      <c r="E178" s="113">
        <f>IF($D178="","",IFERROR(INDEX(MUSTERILER!$C$7:$C$106,MATCH($D178,MUSTERILER!$B$7:$B$106,0)),"TANIMSIZ MÜŞTERİ"))</f>
        <v/>
      </c>
      <c r="F178" s="108" t="n"/>
      <c r="G178" s="107" t="n"/>
      <c r="H178" s="114" t="n"/>
      <c r="I178" s="114" t="n"/>
      <c r="J178" s="107" t="n"/>
      <c r="K178" s="107" t="n"/>
      <c r="L178" s="108" t="n"/>
      <c r="M178" s="108" t="n"/>
      <c r="N178" s="108" t="n"/>
      <c r="O178" s="114" t="n"/>
      <c r="P178" s="120">
        <f>IF(OR($D178="",$I178=""),"",IF(OR($J178="Tamamlandı",$J178="İptal"),"",$I178-TODAY()))</f>
        <v/>
      </c>
      <c r="Q178" s="112">
        <f>IF($D178="","",IF($E178="TANIMSIZ MÜŞTERİ","HATA",IF(OR($J178="Tamamlandı",$J178="İptal"),"KAPALI",IF(AND($C178="Görüşme",$N178=""),"SONRAKİ İŞLEM EKSİK",IF($I178="","TARİH EKSİK",IF($I178&lt;TODAY(),"GECİKMİŞ",IF($I178=TODAY(),"BUGÜN",IF($I178&lt;=TODAY()+7,"7 GÜN İÇİNDE","PLANLI"))))))))</f>
        <v/>
      </c>
      <c r="R178" s="6" t="n"/>
      <c r="S178" s="6" t="n"/>
    </row>
    <row r="179">
      <c r="A179" s="6" t="n"/>
      <c r="B179" s="112">
        <f>IF($D179="","","A"&amp;TEXT(ROW()-6,"00000"))</f>
        <v/>
      </c>
      <c r="C179" s="107" t="n"/>
      <c r="D179" s="107" t="n"/>
      <c r="E179" s="113">
        <f>IF($D179="","",IFERROR(INDEX(MUSTERILER!$C$7:$C$106,MATCH($D179,MUSTERILER!$B$7:$B$106,0)),"TANIMSIZ MÜŞTERİ"))</f>
        <v/>
      </c>
      <c r="F179" s="108" t="n"/>
      <c r="G179" s="107" t="n"/>
      <c r="H179" s="114" t="n"/>
      <c r="I179" s="114" t="n"/>
      <c r="J179" s="107" t="n"/>
      <c r="K179" s="107" t="n"/>
      <c r="L179" s="108" t="n"/>
      <c r="M179" s="108" t="n"/>
      <c r="N179" s="108" t="n"/>
      <c r="O179" s="114" t="n"/>
      <c r="P179" s="120">
        <f>IF(OR($D179="",$I179=""),"",IF(OR($J179="Tamamlandı",$J179="İptal"),"",$I179-TODAY()))</f>
        <v/>
      </c>
      <c r="Q179" s="112">
        <f>IF($D179="","",IF($E179="TANIMSIZ MÜŞTERİ","HATA",IF(OR($J179="Tamamlandı",$J179="İptal"),"KAPALI",IF(AND($C179="Görüşme",$N179=""),"SONRAKİ İŞLEM EKSİK",IF($I179="","TARİH EKSİK",IF($I179&lt;TODAY(),"GECİKMİŞ",IF($I179=TODAY(),"BUGÜN",IF($I179&lt;=TODAY()+7,"7 GÜN İÇİNDE","PLANLI"))))))))</f>
        <v/>
      </c>
      <c r="R179" s="6" t="n"/>
      <c r="S179" s="6" t="n"/>
    </row>
    <row r="180">
      <c r="A180" s="6" t="n"/>
      <c r="B180" s="112">
        <f>IF($D180="","","A"&amp;TEXT(ROW()-6,"00000"))</f>
        <v/>
      </c>
      <c r="C180" s="107" t="n"/>
      <c r="D180" s="107" t="n"/>
      <c r="E180" s="113">
        <f>IF($D180="","",IFERROR(INDEX(MUSTERILER!$C$7:$C$106,MATCH($D180,MUSTERILER!$B$7:$B$106,0)),"TANIMSIZ MÜŞTERİ"))</f>
        <v/>
      </c>
      <c r="F180" s="108" t="n"/>
      <c r="G180" s="107" t="n"/>
      <c r="H180" s="114" t="n"/>
      <c r="I180" s="114" t="n"/>
      <c r="J180" s="107" t="n"/>
      <c r="K180" s="107" t="n"/>
      <c r="L180" s="108" t="n"/>
      <c r="M180" s="108" t="n"/>
      <c r="N180" s="108" t="n"/>
      <c r="O180" s="114" t="n"/>
      <c r="P180" s="120">
        <f>IF(OR($D180="",$I180=""),"",IF(OR($J180="Tamamlandı",$J180="İptal"),"",$I180-TODAY()))</f>
        <v/>
      </c>
      <c r="Q180" s="112">
        <f>IF($D180="","",IF($E180="TANIMSIZ MÜŞTERİ","HATA",IF(OR($J180="Tamamlandı",$J180="İptal"),"KAPALI",IF(AND($C180="Görüşme",$N180=""),"SONRAKİ İŞLEM EKSİK",IF($I180="","TARİH EKSİK",IF($I180&lt;TODAY(),"GECİKMİŞ",IF($I180=TODAY(),"BUGÜN",IF($I180&lt;=TODAY()+7,"7 GÜN İÇİNDE","PLANLI"))))))))</f>
        <v/>
      </c>
      <c r="R180" s="6" t="n"/>
      <c r="S180" s="6" t="n"/>
    </row>
    <row r="181">
      <c r="A181" s="6" t="n"/>
      <c r="B181" s="112">
        <f>IF($D181="","","A"&amp;TEXT(ROW()-6,"00000"))</f>
        <v/>
      </c>
      <c r="C181" s="107" t="n"/>
      <c r="D181" s="107" t="n"/>
      <c r="E181" s="113">
        <f>IF($D181="","",IFERROR(INDEX(MUSTERILER!$C$7:$C$106,MATCH($D181,MUSTERILER!$B$7:$B$106,0)),"TANIMSIZ MÜŞTERİ"))</f>
        <v/>
      </c>
      <c r="F181" s="108" t="n"/>
      <c r="G181" s="107" t="n"/>
      <c r="H181" s="114" t="n"/>
      <c r="I181" s="114" t="n"/>
      <c r="J181" s="107" t="n"/>
      <c r="K181" s="107" t="n"/>
      <c r="L181" s="108" t="n"/>
      <c r="M181" s="108" t="n"/>
      <c r="N181" s="108" t="n"/>
      <c r="O181" s="114" t="n"/>
      <c r="P181" s="120">
        <f>IF(OR($D181="",$I181=""),"",IF(OR($J181="Tamamlandı",$J181="İptal"),"",$I181-TODAY()))</f>
        <v/>
      </c>
      <c r="Q181" s="112">
        <f>IF($D181="","",IF($E181="TANIMSIZ MÜŞTERİ","HATA",IF(OR($J181="Tamamlandı",$J181="İptal"),"KAPALI",IF(AND($C181="Görüşme",$N181=""),"SONRAKİ İŞLEM EKSİK",IF($I181="","TARİH EKSİK",IF($I181&lt;TODAY(),"GECİKMİŞ",IF($I181=TODAY(),"BUGÜN",IF($I181&lt;=TODAY()+7,"7 GÜN İÇİNDE","PLANLI"))))))))</f>
        <v/>
      </c>
      <c r="R181" s="6" t="n"/>
      <c r="S181" s="6" t="n"/>
    </row>
    <row r="182">
      <c r="A182" s="6" t="n"/>
      <c r="B182" s="112">
        <f>IF($D182="","","A"&amp;TEXT(ROW()-6,"00000"))</f>
        <v/>
      </c>
      <c r="C182" s="107" t="n"/>
      <c r="D182" s="107" t="n"/>
      <c r="E182" s="113">
        <f>IF($D182="","",IFERROR(INDEX(MUSTERILER!$C$7:$C$106,MATCH($D182,MUSTERILER!$B$7:$B$106,0)),"TANIMSIZ MÜŞTERİ"))</f>
        <v/>
      </c>
      <c r="F182" s="108" t="n"/>
      <c r="G182" s="107" t="n"/>
      <c r="H182" s="114" t="n"/>
      <c r="I182" s="114" t="n"/>
      <c r="J182" s="107" t="n"/>
      <c r="K182" s="107" t="n"/>
      <c r="L182" s="108" t="n"/>
      <c r="M182" s="108" t="n"/>
      <c r="N182" s="108" t="n"/>
      <c r="O182" s="114" t="n"/>
      <c r="P182" s="120">
        <f>IF(OR($D182="",$I182=""),"",IF(OR($J182="Tamamlandı",$J182="İptal"),"",$I182-TODAY()))</f>
        <v/>
      </c>
      <c r="Q182" s="112">
        <f>IF($D182="","",IF($E182="TANIMSIZ MÜŞTERİ","HATA",IF(OR($J182="Tamamlandı",$J182="İptal"),"KAPALI",IF(AND($C182="Görüşme",$N182=""),"SONRAKİ İŞLEM EKSİK",IF($I182="","TARİH EKSİK",IF($I182&lt;TODAY(),"GECİKMİŞ",IF($I182=TODAY(),"BUGÜN",IF($I182&lt;=TODAY()+7,"7 GÜN İÇİNDE","PLANLI"))))))))</f>
        <v/>
      </c>
      <c r="R182" s="6" t="n"/>
      <c r="S182" s="6" t="n"/>
    </row>
    <row r="183">
      <c r="A183" s="6" t="n"/>
      <c r="B183" s="112">
        <f>IF($D183="","","A"&amp;TEXT(ROW()-6,"00000"))</f>
        <v/>
      </c>
      <c r="C183" s="107" t="n"/>
      <c r="D183" s="107" t="n"/>
      <c r="E183" s="113">
        <f>IF($D183="","",IFERROR(INDEX(MUSTERILER!$C$7:$C$106,MATCH($D183,MUSTERILER!$B$7:$B$106,0)),"TANIMSIZ MÜŞTERİ"))</f>
        <v/>
      </c>
      <c r="F183" s="108" t="n"/>
      <c r="G183" s="107" t="n"/>
      <c r="H183" s="114" t="n"/>
      <c r="I183" s="114" t="n"/>
      <c r="J183" s="107" t="n"/>
      <c r="K183" s="107" t="n"/>
      <c r="L183" s="108" t="n"/>
      <c r="M183" s="108" t="n"/>
      <c r="N183" s="108" t="n"/>
      <c r="O183" s="114" t="n"/>
      <c r="P183" s="120">
        <f>IF(OR($D183="",$I183=""),"",IF(OR($J183="Tamamlandı",$J183="İptal"),"",$I183-TODAY()))</f>
        <v/>
      </c>
      <c r="Q183" s="112">
        <f>IF($D183="","",IF($E183="TANIMSIZ MÜŞTERİ","HATA",IF(OR($J183="Tamamlandı",$J183="İptal"),"KAPALI",IF(AND($C183="Görüşme",$N183=""),"SONRAKİ İŞLEM EKSİK",IF($I183="","TARİH EKSİK",IF($I183&lt;TODAY(),"GECİKMİŞ",IF($I183=TODAY(),"BUGÜN",IF($I183&lt;=TODAY()+7,"7 GÜN İÇİNDE","PLANLI"))))))))</f>
        <v/>
      </c>
      <c r="R183" s="6" t="n"/>
      <c r="S183" s="6" t="n"/>
    </row>
    <row r="184">
      <c r="A184" s="6" t="n"/>
      <c r="B184" s="112">
        <f>IF($D184="","","A"&amp;TEXT(ROW()-6,"00000"))</f>
        <v/>
      </c>
      <c r="C184" s="107" t="n"/>
      <c r="D184" s="107" t="n"/>
      <c r="E184" s="113">
        <f>IF($D184="","",IFERROR(INDEX(MUSTERILER!$C$7:$C$106,MATCH($D184,MUSTERILER!$B$7:$B$106,0)),"TANIMSIZ MÜŞTERİ"))</f>
        <v/>
      </c>
      <c r="F184" s="108" t="n"/>
      <c r="G184" s="107" t="n"/>
      <c r="H184" s="114" t="n"/>
      <c r="I184" s="114" t="n"/>
      <c r="J184" s="107" t="n"/>
      <c r="K184" s="107" t="n"/>
      <c r="L184" s="108" t="n"/>
      <c r="M184" s="108" t="n"/>
      <c r="N184" s="108" t="n"/>
      <c r="O184" s="114" t="n"/>
      <c r="P184" s="120">
        <f>IF(OR($D184="",$I184=""),"",IF(OR($J184="Tamamlandı",$J184="İptal"),"",$I184-TODAY()))</f>
        <v/>
      </c>
      <c r="Q184" s="112">
        <f>IF($D184="","",IF($E184="TANIMSIZ MÜŞTERİ","HATA",IF(OR($J184="Tamamlandı",$J184="İptal"),"KAPALI",IF(AND($C184="Görüşme",$N184=""),"SONRAKİ İŞLEM EKSİK",IF($I184="","TARİH EKSİK",IF($I184&lt;TODAY(),"GECİKMİŞ",IF($I184=TODAY(),"BUGÜN",IF($I184&lt;=TODAY()+7,"7 GÜN İÇİNDE","PLANLI"))))))))</f>
        <v/>
      </c>
      <c r="R184" s="6" t="n"/>
      <c r="S184" s="6" t="n"/>
    </row>
    <row r="185">
      <c r="A185" s="6" t="n"/>
      <c r="B185" s="112">
        <f>IF($D185="","","A"&amp;TEXT(ROW()-6,"00000"))</f>
        <v/>
      </c>
      <c r="C185" s="107" t="n"/>
      <c r="D185" s="107" t="n"/>
      <c r="E185" s="113">
        <f>IF($D185="","",IFERROR(INDEX(MUSTERILER!$C$7:$C$106,MATCH($D185,MUSTERILER!$B$7:$B$106,0)),"TANIMSIZ MÜŞTERİ"))</f>
        <v/>
      </c>
      <c r="F185" s="108" t="n"/>
      <c r="G185" s="107" t="n"/>
      <c r="H185" s="114" t="n"/>
      <c r="I185" s="114" t="n"/>
      <c r="J185" s="107" t="n"/>
      <c r="K185" s="107" t="n"/>
      <c r="L185" s="108" t="n"/>
      <c r="M185" s="108" t="n"/>
      <c r="N185" s="108" t="n"/>
      <c r="O185" s="114" t="n"/>
      <c r="P185" s="120">
        <f>IF(OR($D185="",$I185=""),"",IF(OR($J185="Tamamlandı",$J185="İptal"),"",$I185-TODAY()))</f>
        <v/>
      </c>
      <c r="Q185" s="112">
        <f>IF($D185="","",IF($E185="TANIMSIZ MÜŞTERİ","HATA",IF(OR($J185="Tamamlandı",$J185="İptal"),"KAPALI",IF(AND($C185="Görüşme",$N185=""),"SONRAKİ İŞLEM EKSİK",IF($I185="","TARİH EKSİK",IF($I185&lt;TODAY(),"GECİKMİŞ",IF($I185=TODAY(),"BUGÜN",IF($I185&lt;=TODAY()+7,"7 GÜN İÇİNDE","PLANLI"))))))))</f>
        <v/>
      </c>
      <c r="R185" s="6" t="n"/>
      <c r="S185" s="6" t="n"/>
    </row>
    <row r="186">
      <c r="A186" s="6" t="n"/>
      <c r="B186" s="112">
        <f>IF($D186="","","A"&amp;TEXT(ROW()-6,"00000"))</f>
        <v/>
      </c>
      <c r="C186" s="107" t="n"/>
      <c r="D186" s="107" t="n"/>
      <c r="E186" s="113">
        <f>IF($D186="","",IFERROR(INDEX(MUSTERILER!$C$7:$C$106,MATCH($D186,MUSTERILER!$B$7:$B$106,0)),"TANIMSIZ MÜŞTERİ"))</f>
        <v/>
      </c>
      <c r="F186" s="108" t="n"/>
      <c r="G186" s="107" t="n"/>
      <c r="H186" s="114" t="n"/>
      <c r="I186" s="114" t="n"/>
      <c r="J186" s="107" t="n"/>
      <c r="K186" s="107" t="n"/>
      <c r="L186" s="108" t="n"/>
      <c r="M186" s="108" t="n"/>
      <c r="N186" s="108" t="n"/>
      <c r="O186" s="114" t="n"/>
      <c r="P186" s="120">
        <f>IF(OR($D186="",$I186=""),"",IF(OR($J186="Tamamlandı",$J186="İptal"),"",$I186-TODAY()))</f>
        <v/>
      </c>
      <c r="Q186" s="112">
        <f>IF($D186="","",IF($E186="TANIMSIZ MÜŞTERİ","HATA",IF(OR($J186="Tamamlandı",$J186="İptal"),"KAPALI",IF(AND($C186="Görüşme",$N186=""),"SONRAKİ İŞLEM EKSİK",IF($I186="","TARİH EKSİK",IF($I186&lt;TODAY(),"GECİKMİŞ",IF($I186=TODAY(),"BUGÜN",IF($I186&lt;=TODAY()+7,"7 GÜN İÇİNDE","PLANLI"))))))))</f>
        <v/>
      </c>
      <c r="R186" s="6" t="n"/>
      <c r="S186" s="6" t="n"/>
    </row>
    <row r="187">
      <c r="A187" s="6" t="n"/>
      <c r="B187" s="112">
        <f>IF($D187="","","A"&amp;TEXT(ROW()-6,"00000"))</f>
        <v/>
      </c>
      <c r="C187" s="107" t="n"/>
      <c r="D187" s="107" t="n"/>
      <c r="E187" s="113">
        <f>IF($D187="","",IFERROR(INDEX(MUSTERILER!$C$7:$C$106,MATCH($D187,MUSTERILER!$B$7:$B$106,0)),"TANIMSIZ MÜŞTERİ"))</f>
        <v/>
      </c>
      <c r="F187" s="108" t="n"/>
      <c r="G187" s="107" t="n"/>
      <c r="H187" s="114" t="n"/>
      <c r="I187" s="114" t="n"/>
      <c r="J187" s="107" t="n"/>
      <c r="K187" s="107" t="n"/>
      <c r="L187" s="108" t="n"/>
      <c r="M187" s="108" t="n"/>
      <c r="N187" s="108" t="n"/>
      <c r="O187" s="114" t="n"/>
      <c r="P187" s="120">
        <f>IF(OR($D187="",$I187=""),"",IF(OR($J187="Tamamlandı",$J187="İptal"),"",$I187-TODAY()))</f>
        <v/>
      </c>
      <c r="Q187" s="112">
        <f>IF($D187="","",IF($E187="TANIMSIZ MÜŞTERİ","HATA",IF(OR($J187="Tamamlandı",$J187="İptal"),"KAPALI",IF(AND($C187="Görüşme",$N187=""),"SONRAKİ İŞLEM EKSİK",IF($I187="","TARİH EKSİK",IF($I187&lt;TODAY(),"GECİKMİŞ",IF($I187=TODAY(),"BUGÜN",IF($I187&lt;=TODAY()+7,"7 GÜN İÇİNDE","PLANLI"))))))))</f>
        <v/>
      </c>
      <c r="R187" s="6" t="n"/>
      <c r="S187" s="6" t="n"/>
    </row>
    <row r="188">
      <c r="A188" s="6" t="n"/>
      <c r="B188" s="112">
        <f>IF($D188="","","A"&amp;TEXT(ROW()-6,"00000"))</f>
        <v/>
      </c>
      <c r="C188" s="107" t="n"/>
      <c r="D188" s="107" t="n"/>
      <c r="E188" s="113">
        <f>IF($D188="","",IFERROR(INDEX(MUSTERILER!$C$7:$C$106,MATCH($D188,MUSTERILER!$B$7:$B$106,0)),"TANIMSIZ MÜŞTERİ"))</f>
        <v/>
      </c>
      <c r="F188" s="108" t="n"/>
      <c r="G188" s="107" t="n"/>
      <c r="H188" s="114" t="n"/>
      <c r="I188" s="114" t="n"/>
      <c r="J188" s="107" t="n"/>
      <c r="K188" s="107" t="n"/>
      <c r="L188" s="108" t="n"/>
      <c r="M188" s="108" t="n"/>
      <c r="N188" s="108" t="n"/>
      <c r="O188" s="114" t="n"/>
      <c r="P188" s="120">
        <f>IF(OR($D188="",$I188=""),"",IF(OR($J188="Tamamlandı",$J188="İptal"),"",$I188-TODAY()))</f>
        <v/>
      </c>
      <c r="Q188" s="112">
        <f>IF($D188="","",IF($E188="TANIMSIZ MÜŞTERİ","HATA",IF(OR($J188="Tamamlandı",$J188="İptal"),"KAPALI",IF(AND($C188="Görüşme",$N188=""),"SONRAKİ İŞLEM EKSİK",IF($I188="","TARİH EKSİK",IF($I188&lt;TODAY(),"GECİKMİŞ",IF($I188=TODAY(),"BUGÜN",IF($I188&lt;=TODAY()+7,"7 GÜN İÇİNDE","PLANLI"))))))))</f>
        <v/>
      </c>
      <c r="R188" s="6" t="n"/>
      <c r="S188" s="6" t="n"/>
    </row>
    <row r="189">
      <c r="A189" s="6" t="n"/>
      <c r="B189" s="112">
        <f>IF($D189="","","A"&amp;TEXT(ROW()-6,"00000"))</f>
        <v/>
      </c>
      <c r="C189" s="107" t="n"/>
      <c r="D189" s="107" t="n"/>
      <c r="E189" s="113">
        <f>IF($D189="","",IFERROR(INDEX(MUSTERILER!$C$7:$C$106,MATCH($D189,MUSTERILER!$B$7:$B$106,0)),"TANIMSIZ MÜŞTERİ"))</f>
        <v/>
      </c>
      <c r="F189" s="108" t="n"/>
      <c r="G189" s="107" t="n"/>
      <c r="H189" s="114" t="n"/>
      <c r="I189" s="114" t="n"/>
      <c r="J189" s="107" t="n"/>
      <c r="K189" s="107" t="n"/>
      <c r="L189" s="108" t="n"/>
      <c r="M189" s="108" t="n"/>
      <c r="N189" s="108" t="n"/>
      <c r="O189" s="114" t="n"/>
      <c r="P189" s="120">
        <f>IF(OR($D189="",$I189=""),"",IF(OR($J189="Tamamlandı",$J189="İptal"),"",$I189-TODAY()))</f>
        <v/>
      </c>
      <c r="Q189" s="112">
        <f>IF($D189="","",IF($E189="TANIMSIZ MÜŞTERİ","HATA",IF(OR($J189="Tamamlandı",$J189="İptal"),"KAPALI",IF(AND($C189="Görüşme",$N189=""),"SONRAKİ İŞLEM EKSİK",IF($I189="","TARİH EKSİK",IF($I189&lt;TODAY(),"GECİKMİŞ",IF($I189=TODAY(),"BUGÜN",IF($I189&lt;=TODAY()+7,"7 GÜN İÇİNDE","PLANLI"))))))))</f>
        <v/>
      </c>
      <c r="R189" s="6" t="n"/>
      <c r="S189" s="6" t="n"/>
    </row>
    <row r="190">
      <c r="A190" s="6" t="n"/>
      <c r="B190" s="112">
        <f>IF($D190="","","A"&amp;TEXT(ROW()-6,"00000"))</f>
        <v/>
      </c>
      <c r="C190" s="107" t="n"/>
      <c r="D190" s="107" t="n"/>
      <c r="E190" s="113">
        <f>IF($D190="","",IFERROR(INDEX(MUSTERILER!$C$7:$C$106,MATCH($D190,MUSTERILER!$B$7:$B$106,0)),"TANIMSIZ MÜŞTERİ"))</f>
        <v/>
      </c>
      <c r="F190" s="108" t="n"/>
      <c r="G190" s="107" t="n"/>
      <c r="H190" s="114" t="n"/>
      <c r="I190" s="114" t="n"/>
      <c r="J190" s="107" t="n"/>
      <c r="K190" s="107" t="n"/>
      <c r="L190" s="108" t="n"/>
      <c r="M190" s="108" t="n"/>
      <c r="N190" s="108" t="n"/>
      <c r="O190" s="114" t="n"/>
      <c r="P190" s="120">
        <f>IF(OR($D190="",$I190=""),"",IF(OR($J190="Tamamlandı",$J190="İptal"),"",$I190-TODAY()))</f>
        <v/>
      </c>
      <c r="Q190" s="112">
        <f>IF($D190="","",IF($E190="TANIMSIZ MÜŞTERİ","HATA",IF(OR($J190="Tamamlandı",$J190="İptal"),"KAPALI",IF(AND($C190="Görüşme",$N190=""),"SONRAKİ İŞLEM EKSİK",IF($I190="","TARİH EKSİK",IF($I190&lt;TODAY(),"GECİKMİŞ",IF($I190=TODAY(),"BUGÜN",IF($I190&lt;=TODAY()+7,"7 GÜN İÇİNDE","PLANLI"))))))))</f>
        <v/>
      </c>
      <c r="R190" s="6" t="n"/>
      <c r="S190" s="6" t="n"/>
    </row>
    <row r="191">
      <c r="A191" s="6" t="n"/>
      <c r="B191" s="112">
        <f>IF($D191="","","A"&amp;TEXT(ROW()-6,"00000"))</f>
        <v/>
      </c>
      <c r="C191" s="107" t="n"/>
      <c r="D191" s="107" t="n"/>
      <c r="E191" s="113">
        <f>IF($D191="","",IFERROR(INDEX(MUSTERILER!$C$7:$C$106,MATCH($D191,MUSTERILER!$B$7:$B$106,0)),"TANIMSIZ MÜŞTERİ"))</f>
        <v/>
      </c>
      <c r="F191" s="108" t="n"/>
      <c r="G191" s="107" t="n"/>
      <c r="H191" s="114" t="n"/>
      <c r="I191" s="114" t="n"/>
      <c r="J191" s="107" t="n"/>
      <c r="K191" s="107" t="n"/>
      <c r="L191" s="108" t="n"/>
      <c r="M191" s="108" t="n"/>
      <c r="N191" s="108" t="n"/>
      <c r="O191" s="114" t="n"/>
      <c r="P191" s="120">
        <f>IF(OR($D191="",$I191=""),"",IF(OR($J191="Tamamlandı",$J191="İptal"),"",$I191-TODAY()))</f>
        <v/>
      </c>
      <c r="Q191" s="112">
        <f>IF($D191="","",IF($E191="TANIMSIZ MÜŞTERİ","HATA",IF(OR($J191="Tamamlandı",$J191="İptal"),"KAPALI",IF(AND($C191="Görüşme",$N191=""),"SONRAKİ İŞLEM EKSİK",IF($I191="","TARİH EKSİK",IF($I191&lt;TODAY(),"GECİKMİŞ",IF($I191=TODAY(),"BUGÜN",IF($I191&lt;=TODAY()+7,"7 GÜN İÇİNDE","PLANLI"))))))))</f>
        <v/>
      </c>
      <c r="R191" s="6" t="n"/>
      <c r="S191" s="6" t="n"/>
    </row>
    <row r="192">
      <c r="A192" s="6" t="n"/>
      <c r="B192" s="112">
        <f>IF($D192="","","A"&amp;TEXT(ROW()-6,"00000"))</f>
        <v/>
      </c>
      <c r="C192" s="107" t="n"/>
      <c r="D192" s="107" t="n"/>
      <c r="E192" s="113">
        <f>IF($D192="","",IFERROR(INDEX(MUSTERILER!$C$7:$C$106,MATCH($D192,MUSTERILER!$B$7:$B$106,0)),"TANIMSIZ MÜŞTERİ"))</f>
        <v/>
      </c>
      <c r="F192" s="108" t="n"/>
      <c r="G192" s="107" t="n"/>
      <c r="H192" s="114" t="n"/>
      <c r="I192" s="114" t="n"/>
      <c r="J192" s="107" t="n"/>
      <c r="K192" s="107" t="n"/>
      <c r="L192" s="108" t="n"/>
      <c r="M192" s="108" t="n"/>
      <c r="N192" s="108" t="n"/>
      <c r="O192" s="114" t="n"/>
      <c r="P192" s="120">
        <f>IF(OR($D192="",$I192=""),"",IF(OR($J192="Tamamlandı",$J192="İptal"),"",$I192-TODAY()))</f>
        <v/>
      </c>
      <c r="Q192" s="112">
        <f>IF($D192="","",IF($E192="TANIMSIZ MÜŞTERİ","HATA",IF(OR($J192="Tamamlandı",$J192="İptal"),"KAPALI",IF(AND($C192="Görüşme",$N192=""),"SONRAKİ İŞLEM EKSİK",IF($I192="","TARİH EKSİK",IF($I192&lt;TODAY(),"GECİKMİŞ",IF($I192=TODAY(),"BUGÜN",IF($I192&lt;=TODAY()+7,"7 GÜN İÇİNDE","PLANLI"))))))))</f>
        <v/>
      </c>
      <c r="R192" s="6" t="n"/>
      <c r="S192" s="6" t="n"/>
    </row>
    <row r="193">
      <c r="A193" s="6" t="n"/>
      <c r="B193" s="112">
        <f>IF($D193="","","A"&amp;TEXT(ROW()-6,"00000"))</f>
        <v/>
      </c>
      <c r="C193" s="107" t="n"/>
      <c r="D193" s="107" t="n"/>
      <c r="E193" s="113">
        <f>IF($D193="","",IFERROR(INDEX(MUSTERILER!$C$7:$C$106,MATCH($D193,MUSTERILER!$B$7:$B$106,0)),"TANIMSIZ MÜŞTERİ"))</f>
        <v/>
      </c>
      <c r="F193" s="108" t="n"/>
      <c r="G193" s="107" t="n"/>
      <c r="H193" s="114" t="n"/>
      <c r="I193" s="114" t="n"/>
      <c r="J193" s="107" t="n"/>
      <c r="K193" s="107" t="n"/>
      <c r="L193" s="108" t="n"/>
      <c r="M193" s="108" t="n"/>
      <c r="N193" s="108" t="n"/>
      <c r="O193" s="114" t="n"/>
      <c r="P193" s="120">
        <f>IF(OR($D193="",$I193=""),"",IF(OR($J193="Tamamlandı",$J193="İptal"),"",$I193-TODAY()))</f>
        <v/>
      </c>
      <c r="Q193" s="112">
        <f>IF($D193="","",IF($E193="TANIMSIZ MÜŞTERİ","HATA",IF(OR($J193="Tamamlandı",$J193="İptal"),"KAPALI",IF(AND($C193="Görüşme",$N193=""),"SONRAKİ İŞLEM EKSİK",IF($I193="","TARİH EKSİK",IF($I193&lt;TODAY(),"GECİKMİŞ",IF($I193=TODAY(),"BUGÜN",IF($I193&lt;=TODAY()+7,"7 GÜN İÇİNDE","PLANLI"))))))))</f>
        <v/>
      </c>
      <c r="R193" s="6" t="n"/>
      <c r="S193" s="6" t="n"/>
    </row>
    <row r="194">
      <c r="A194" s="6" t="n"/>
      <c r="B194" s="112">
        <f>IF($D194="","","A"&amp;TEXT(ROW()-6,"00000"))</f>
        <v/>
      </c>
      <c r="C194" s="107" t="n"/>
      <c r="D194" s="107" t="n"/>
      <c r="E194" s="113">
        <f>IF($D194="","",IFERROR(INDEX(MUSTERILER!$C$7:$C$106,MATCH($D194,MUSTERILER!$B$7:$B$106,0)),"TANIMSIZ MÜŞTERİ"))</f>
        <v/>
      </c>
      <c r="F194" s="108" t="n"/>
      <c r="G194" s="107" t="n"/>
      <c r="H194" s="114" t="n"/>
      <c r="I194" s="114" t="n"/>
      <c r="J194" s="107" t="n"/>
      <c r="K194" s="107" t="n"/>
      <c r="L194" s="108" t="n"/>
      <c r="M194" s="108" t="n"/>
      <c r="N194" s="108" t="n"/>
      <c r="O194" s="114" t="n"/>
      <c r="P194" s="120">
        <f>IF(OR($D194="",$I194=""),"",IF(OR($J194="Tamamlandı",$J194="İptal"),"",$I194-TODAY()))</f>
        <v/>
      </c>
      <c r="Q194" s="112">
        <f>IF($D194="","",IF($E194="TANIMSIZ MÜŞTERİ","HATA",IF(OR($J194="Tamamlandı",$J194="İptal"),"KAPALI",IF(AND($C194="Görüşme",$N194=""),"SONRAKİ İŞLEM EKSİK",IF($I194="","TARİH EKSİK",IF($I194&lt;TODAY(),"GECİKMİŞ",IF($I194=TODAY(),"BUGÜN",IF($I194&lt;=TODAY()+7,"7 GÜN İÇİNDE","PLANLI"))))))))</f>
        <v/>
      </c>
      <c r="R194" s="6" t="n"/>
      <c r="S194" s="6" t="n"/>
    </row>
    <row r="195">
      <c r="A195" s="6" t="n"/>
      <c r="B195" s="112">
        <f>IF($D195="","","A"&amp;TEXT(ROW()-6,"00000"))</f>
        <v/>
      </c>
      <c r="C195" s="107" t="n"/>
      <c r="D195" s="107" t="n"/>
      <c r="E195" s="113">
        <f>IF($D195="","",IFERROR(INDEX(MUSTERILER!$C$7:$C$106,MATCH($D195,MUSTERILER!$B$7:$B$106,0)),"TANIMSIZ MÜŞTERİ"))</f>
        <v/>
      </c>
      <c r="F195" s="108" t="n"/>
      <c r="G195" s="107" t="n"/>
      <c r="H195" s="114" t="n"/>
      <c r="I195" s="114" t="n"/>
      <c r="J195" s="107" t="n"/>
      <c r="K195" s="107" t="n"/>
      <c r="L195" s="108" t="n"/>
      <c r="M195" s="108" t="n"/>
      <c r="N195" s="108" t="n"/>
      <c r="O195" s="114" t="n"/>
      <c r="P195" s="120">
        <f>IF(OR($D195="",$I195=""),"",IF(OR($J195="Tamamlandı",$J195="İptal"),"",$I195-TODAY()))</f>
        <v/>
      </c>
      <c r="Q195" s="112">
        <f>IF($D195="","",IF($E195="TANIMSIZ MÜŞTERİ","HATA",IF(OR($J195="Tamamlandı",$J195="İptal"),"KAPALI",IF(AND($C195="Görüşme",$N195=""),"SONRAKİ İŞLEM EKSİK",IF($I195="","TARİH EKSİK",IF($I195&lt;TODAY(),"GECİKMİŞ",IF($I195=TODAY(),"BUGÜN",IF($I195&lt;=TODAY()+7,"7 GÜN İÇİNDE","PLANLI"))))))))</f>
        <v/>
      </c>
      <c r="R195" s="6" t="n"/>
      <c r="S195" s="6" t="n"/>
    </row>
    <row r="196">
      <c r="A196" s="6" t="n"/>
      <c r="B196" s="112">
        <f>IF($D196="","","A"&amp;TEXT(ROW()-6,"00000"))</f>
        <v/>
      </c>
      <c r="C196" s="107" t="n"/>
      <c r="D196" s="107" t="n"/>
      <c r="E196" s="113">
        <f>IF($D196="","",IFERROR(INDEX(MUSTERILER!$C$7:$C$106,MATCH($D196,MUSTERILER!$B$7:$B$106,0)),"TANIMSIZ MÜŞTERİ"))</f>
        <v/>
      </c>
      <c r="F196" s="108" t="n"/>
      <c r="G196" s="107" t="n"/>
      <c r="H196" s="114" t="n"/>
      <c r="I196" s="114" t="n"/>
      <c r="J196" s="107" t="n"/>
      <c r="K196" s="107" t="n"/>
      <c r="L196" s="108" t="n"/>
      <c r="M196" s="108" t="n"/>
      <c r="N196" s="108" t="n"/>
      <c r="O196" s="114" t="n"/>
      <c r="P196" s="120">
        <f>IF(OR($D196="",$I196=""),"",IF(OR($J196="Tamamlandı",$J196="İptal"),"",$I196-TODAY()))</f>
        <v/>
      </c>
      <c r="Q196" s="112">
        <f>IF($D196="","",IF($E196="TANIMSIZ MÜŞTERİ","HATA",IF(OR($J196="Tamamlandı",$J196="İptal"),"KAPALI",IF(AND($C196="Görüşme",$N196=""),"SONRAKİ İŞLEM EKSİK",IF($I196="","TARİH EKSİK",IF($I196&lt;TODAY(),"GECİKMİŞ",IF($I196=TODAY(),"BUGÜN",IF($I196&lt;=TODAY()+7,"7 GÜN İÇİNDE","PLANLI"))))))))</f>
        <v/>
      </c>
      <c r="R196" s="6" t="n"/>
      <c r="S196" s="6" t="n"/>
    </row>
    <row r="197">
      <c r="A197" s="6" t="n"/>
      <c r="B197" s="112">
        <f>IF($D197="","","A"&amp;TEXT(ROW()-6,"00000"))</f>
        <v/>
      </c>
      <c r="C197" s="107" t="n"/>
      <c r="D197" s="107" t="n"/>
      <c r="E197" s="113">
        <f>IF($D197="","",IFERROR(INDEX(MUSTERILER!$C$7:$C$106,MATCH($D197,MUSTERILER!$B$7:$B$106,0)),"TANIMSIZ MÜŞTERİ"))</f>
        <v/>
      </c>
      <c r="F197" s="108" t="n"/>
      <c r="G197" s="107" t="n"/>
      <c r="H197" s="114" t="n"/>
      <c r="I197" s="114" t="n"/>
      <c r="J197" s="107" t="n"/>
      <c r="K197" s="107" t="n"/>
      <c r="L197" s="108" t="n"/>
      <c r="M197" s="108" t="n"/>
      <c r="N197" s="108" t="n"/>
      <c r="O197" s="114" t="n"/>
      <c r="P197" s="120">
        <f>IF(OR($D197="",$I197=""),"",IF(OR($J197="Tamamlandı",$J197="İptal"),"",$I197-TODAY()))</f>
        <v/>
      </c>
      <c r="Q197" s="112">
        <f>IF($D197="","",IF($E197="TANIMSIZ MÜŞTERİ","HATA",IF(OR($J197="Tamamlandı",$J197="İptal"),"KAPALI",IF(AND($C197="Görüşme",$N197=""),"SONRAKİ İŞLEM EKSİK",IF($I197="","TARİH EKSİK",IF($I197&lt;TODAY(),"GECİKMİŞ",IF($I197=TODAY(),"BUGÜN",IF($I197&lt;=TODAY()+7,"7 GÜN İÇİNDE","PLANLI"))))))))</f>
        <v/>
      </c>
      <c r="R197" s="6" t="n"/>
      <c r="S197" s="6" t="n"/>
    </row>
    <row r="198">
      <c r="A198" s="6" t="n"/>
      <c r="B198" s="112">
        <f>IF($D198="","","A"&amp;TEXT(ROW()-6,"00000"))</f>
        <v/>
      </c>
      <c r="C198" s="107" t="n"/>
      <c r="D198" s="107" t="n"/>
      <c r="E198" s="113">
        <f>IF($D198="","",IFERROR(INDEX(MUSTERILER!$C$7:$C$106,MATCH($D198,MUSTERILER!$B$7:$B$106,0)),"TANIMSIZ MÜŞTERİ"))</f>
        <v/>
      </c>
      <c r="F198" s="108" t="n"/>
      <c r="G198" s="107" t="n"/>
      <c r="H198" s="114" t="n"/>
      <c r="I198" s="114" t="n"/>
      <c r="J198" s="107" t="n"/>
      <c r="K198" s="107" t="n"/>
      <c r="L198" s="108" t="n"/>
      <c r="M198" s="108" t="n"/>
      <c r="N198" s="108" t="n"/>
      <c r="O198" s="114" t="n"/>
      <c r="P198" s="120">
        <f>IF(OR($D198="",$I198=""),"",IF(OR($J198="Tamamlandı",$J198="İptal"),"",$I198-TODAY()))</f>
        <v/>
      </c>
      <c r="Q198" s="112">
        <f>IF($D198="","",IF($E198="TANIMSIZ MÜŞTERİ","HATA",IF(OR($J198="Tamamlandı",$J198="İptal"),"KAPALI",IF(AND($C198="Görüşme",$N198=""),"SONRAKİ İŞLEM EKSİK",IF($I198="","TARİH EKSİK",IF($I198&lt;TODAY(),"GECİKMİŞ",IF($I198=TODAY(),"BUGÜN",IF($I198&lt;=TODAY()+7,"7 GÜN İÇİNDE","PLANLI"))))))))</f>
        <v/>
      </c>
      <c r="R198" s="6" t="n"/>
      <c r="S198" s="6" t="n"/>
    </row>
    <row r="199">
      <c r="A199" s="6" t="n"/>
      <c r="B199" s="112">
        <f>IF($D199="","","A"&amp;TEXT(ROW()-6,"00000"))</f>
        <v/>
      </c>
      <c r="C199" s="107" t="n"/>
      <c r="D199" s="107" t="n"/>
      <c r="E199" s="113">
        <f>IF($D199="","",IFERROR(INDEX(MUSTERILER!$C$7:$C$106,MATCH($D199,MUSTERILER!$B$7:$B$106,0)),"TANIMSIZ MÜŞTERİ"))</f>
        <v/>
      </c>
      <c r="F199" s="108" t="n"/>
      <c r="G199" s="107" t="n"/>
      <c r="H199" s="114" t="n"/>
      <c r="I199" s="114" t="n"/>
      <c r="J199" s="107" t="n"/>
      <c r="K199" s="107" t="n"/>
      <c r="L199" s="108" t="n"/>
      <c r="M199" s="108" t="n"/>
      <c r="N199" s="108" t="n"/>
      <c r="O199" s="114" t="n"/>
      <c r="P199" s="120">
        <f>IF(OR($D199="",$I199=""),"",IF(OR($J199="Tamamlandı",$J199="İptal"),"",$I199-TODAY()))</f>
        <v/>
      </c>
      <c r="Q199" s="112">
        <f>IF($D199="","",IF($E199="TANIMSIZ MÜŞTERİ","HATA",IF(OR($J199="Tamamlandı",$J199="İptal"),"KAPALI",IF(AND($C199="Görüşme",$N199=""),"SONRAKİ İŞLEM EKSİK",IF($I199="","TARİH EKSİK",IF($I199&lt;TODAY(),"GECİKMİŞ",IF($I199=TODAY(),"BUGÜN",IF($I199&lt;=TODAY()+7,"7 GÜN İÇİNDE","PLANLI"))))))))</f>
        <v/>
      </c>
      <c r="R199" s="6" t="n"/>
      <c r="S199" s="6" t="n"/>
    </row>
    <row r="200">
      <c r="A200" s="6" t="n"/>
      <c r="B200" s="112">
        <f>IF($D200="","","A"&amp;TEXT(ROW()-6,"00000"))</f>
        <v/>
      </c>
      <c r="C200" s="107" t="n"/>
      <c r="D200" s="107" t="n"/>
      <c r="E200" s="113">
        <f>IF($D200="","",IFERROR(INDEX(MUSTERILER!$C$7:$C$106,MATCH($D200,MUSTERILER!$B$7:$B$106,0)),"TANIMSIZ MÜŞTERİ"))</f>
        <v/>
      </c>
      <c r="F200" s="108" t="n"/>
      <c r="G200" s="107" t="n"/>
      <c r="H200" s="114" t="n"/>
      <c r="I200" s="114" t="n"/>
      <c r="J200" s="107" t="n"/>
      <c r="K200" s="107" t="n"/>
      <c r="L200" s="108" t="n"/>
      <c r="M200" s="108" t="n"/>
      <c r="N200" s="108" t="n"/>
      <c r="O200" s="114" t="n"/>
      <c r="P200" s="120">
        <f>IF(OR($D200="",$I200=""),"",IF(OR($J200="Tamamlandı",$J200="İptal"),"",$I200-TODAY()))</f>
        <v/>
      </c>
      <c r="Q200" s="112">
        <f>IF($D200="","",IF($E200="TANIMSIZ MÜŞTERİ","HATA",IF(OR($J200="Tamamlandı",$J200="İptal"),"KAPALI",IF(AND($C200="Görüşme",$N200=""),"SONRAKİ İŞLEM EKSİK",IF($I200="","TARİH EKSİK",IF($I200&lt;TODAY(),"GECİKMİŞ",IF($I200=TODAY(),"BUGÜN",IF($I200&lt;=TODAY()+7,"7 GÜN İÇİNDE","PLANLI"))))))))</f>
        <v/>
      </c>
      <c r="R200" s="6" t="n"/>
      <c r="S200" s="6" t="n"/>
    </row>
    <row r="201">
      <c r="A201" s="6" t="n"/>
      <c r="B201" s="112">
        <f>IF($D201="","","A"&amp;TEXT(ROW()-6,"00000"))</f>
        <v/>
      </c>
      <c r="C201" s="107" t="n"/>
      <c r="D201" s="107" t="n"/>
      <c r="E201" s="113">
        <f>IF($D201="","",IFERROR(INDEX(MUSTERILER!$C$7:$C$106,MATCH($D201,MUSTERILER!$B$7:$B$106,0)),"TANIMSIZ MÜŞTERİ"))</f>
        <v/>
      </c>
      <c r="F201" s="108" t="n"/>
      <c r="G201" s="107" t="n"/>
      <c r="H201" s="114" t="n"/>
      <c r="I201" s="114" t="n"/>
      <c r="J201" s="107" t="n"/>
      <c r="K201" s="107" t="n"/>
      <c r="L201" s="108" t="n"/>
      <c r="M201" s="108" t="n"/>
      <c r="N201" s="108" t="n"/>
      <c r="O201" s="114" t="n"/>
      <c r="P201" s="120">
        <f>IF(OR($D201="",$I201=""),"",IF(OR($J201="Tamamlandı",$J201="İptal"),"",$I201-TODAY()))</f>
        <v/>
      </c>
      <c r="Q201" s="112">
        <f>IF($D201="","",IF($E201="TANIMSIZ MÜŞTERİ","HATA",IF(OR($J201="Tamamlandı",$J201="İptal"),"KAPALI",IF(AND($C201="Görüşme",$N201=""),"SONRAKİ İŞLEM EKSİK",IF($I201="","TARİH EKSİK",IF($I201&lt;TODAY(),"GECİKMİŞ",IF($I201=TODAY(),"BUGÜN",IF($I201&lt;=TODAY()+7,"7 GÜN İÇİNDE","PLANLI"))))))))</f>
        <v/>
      </c>
      <c r="R201" s="6" t="n"/>
      <c r="S201" s="6" t="n"/>
    </row>
    <row r="202">
      <c r="A202" s="6" t="n"/>
      <c r="B202" s="112">
        <f>IF($D202="","","A"&amp;TEXT(ROW()-6,"00000"))</f>
        <v/>
      </c>
      <c r="C202" s="107" t="n"/>
      <c r="D202" s="107" t="n"/>
      <c r="E202" s="113">
        <f>IF($D202="","",IFERROR(INDEX(MUSTERILER!$C$7:$C$106,MATCH($D202,MUSTERILER!$B$7:$B$106,0)),"TANIMSIZ MÜŞTERİ"))</f>
        <v/>
      </c>
      <c r="F202" s="108" t="n"/>
      <c r="G202" s="107" t="n"/>
      <c r="H202" s="114" t="n"/>
      <c r="I202" s="114" t="n"/>
      <c r="J202" s="107" t="n"/>
      <c r="K202" s="107" t="n"/>
      <c r="L202" s="108" t="n"/>
      <c r="M202" s="108" t="n"/>
      <c r="N202" s="108" t="n"/>
      <c r="O202" s="114" t="n"/>
      <c r="P202" s="120">
        <f>IF(OR($D202="",$I202=""),"",IF(OR($J202="Tamamlandı",$J202="İptal"),"",$I202-TODAY()))</f>
        <v/>
      </c>
      <c r="Q202" s="112">
        <f>IF($D202="","",IF($E202="TANIMSIZ MÜŞTERİ","HATA",IF(OR($J202="Tamamlandı",$J202="İptal"),"KAPALI",IF(AND($C202="Görüşme",$N202=""),"SONRAKİ İŞLEM EKSİK",IF($I202="","TARİH EKSİK",IF($I202&lt;TODAY(),"GECİKMİŞ",IF($I202=TODAY(),"BUGÜN",IF($I202&lt;=TODAY()+7,"7 GÜN İÇİNDE","PLANLI"))))))))</f>
        <v/>
      </c>
      <c r="R202" s="6" t="n"/>
      <c r="S202" s="6" t="n"/>
    </row>
    <row r="203">
      <c r="A203" s="6" t="n"/>
      <c r="B203" s="112">
        <f>IF($D203="","","A"&amp;TEXT(ROW()-6,"00000"))</f>
        <v/>
      </c>
      <c r="C203" s="107" t="n"/>
      <c r="D203" s="107" t="n"/>
      <c r="E203" s="113">
        <f>IF($D203="","",IFERROR(INDEX(MUSTERILER!$C$7:$C$106,MATCH($D203,MUSTERILER!$B$7:$B$106,0)),"TANIMSIZ MÜŞTERİ"))</f>
        <v/>
      </c>
      <c r="F203" s="108" t="n"/>
      <c r="G203" s="107" t="n"/>
      <c r="H203" s="114" t="n"/>
      <c r="I203" s="114" t="n"/>
      <c r="J203" s="107" t="n"/>
      <c r="K203" s="107" t="n"/>
      <c r="L203" s="108" t="n"/>
      <c r="M203" s="108" t="n"/>
      <c r="N203" s="108" t="n"/>
      <c r="O203" s="114" t="n"/>
      <c r="P203" s="120">
        <f>IF(OR($D203="",$I203=""),"",IF(OR($J203="Tamamlandı",$J203="İptal"),"",$I203-TODAY()))</f>
        <v/>
      </c>
      <c r="Q203" s="112">
        <f>IF($D203="","",IF($E203="TANIMSIZ MÜŞTERİ","HATA",IF(OR($J203="Tamamlandı",$J203="İptal"),"KAPALI",IF(AND($C203="Görüşme",$N203=""),"SONRAKİ İŞLEM EKSİK",IF($I203="","TARİH EKSİK",IF($I203&lt;TODAY(),"GECİKMİŞ",IF($I203=TODAY(),"BUGÜN",IF($I203&lt;=TODAY()+7,"7 GÜN İÇİNDE","PLANLI"))))))))</f>
        <v/>
      </c>
      <c r="R203" s="6" t="n"/>
      <c r="S203" s="6" t="n"/>
    </row>
    <row r="204">
      <c r="A204" s="6" t="n"/>
      <c r="B204" s="112">
        <f>IF($D204="","","A"&amp;TEXT(ROW()-6,"00000"))</f>
        <v/>
      </c>
      <c r="C204" s="107" t="n"/>
      <c r="D204" s="107" t="n"/>
      <c r="E204" s="113">
        <f>IF($D204="","",IFERROR(INDEX(MUSTERILER!$C$7:$C$106,MATCH($D204,MUSTERILER!$B$7:$B$106,0)),"TANIMSIZ MÜŞTERİ"))</f>
        <v/>
      </c>
      <c r="F204" s="108" t="n"/>
      <c r="G204" s="107" t="n"/>
      <c r="H204" s="114" t="n"/>
      <c r="I204" s="114" t="n"/>
      <c r="J204" s="107" t="n"/>
      <c r="K204" s="107" t="n"/>
      <c r="L204" s="108" t="n"/>
      <c r="M204" s="108" t="n"/>
      <c r="N204" s="108" t="n"/>
      <c r="O204" s="114" t="n"/>
      <c r="P204" s="120">
        <f>IF(OR($D204="",$I204=""),"",IF(OR($J204="Tamamlandı",$J204="İptal"),"",$I204-TODAY()))</f>
        <v/>
      </c>
      <c r="Q204" s="112">
        <f>IF($D204="","",IF($E204="TANIMSIZ MÜŞTERİ","HATA",IF(OR($J204="Tamamlandı",$J204="İptal"),"KAPALI",IF(AND($C204="Görüşme",$N204=""),"SONRAKİ İŞLEM EKSİK",IF($I204="","TARİH EKSİK",IF($I204&lt;TODAY(),"GECİKMİŞ",IF($I204=TODAY(),"BUGÜN",IF($I204&lt;=TODAY()+7,"7 GÜN İÇİNDE","PLANLI"))))))))</f>
        <v/>
      </c>
      <c r="R204" s="6" t="n"/>
      <c r="S204" s="6" t="n"/>
    </row>
    <row r="205">
      <c r="A205" s="6" t="n"/>
      <c r="B205" s="112">
        <f>IF($D205="","","A"&amp;TEXT(ROW()-6,"00000"))</f>
        <v/>
      </c>
      <c r="C205" s="107" t="n"/>
      <c r="D205" s="107" t="n"/>
      <c r="E205" s="113">
        <f>IF($D205="","",IFERROR(INDEX(MUSTERILER!$C$7:$C$106,MATCH($D205,MUSTERILER!$B$7:$B$106,0)),"TANIMSIZ MÜŞTERİ"))</f>
        <v/>
      </c>
      <c r="F205" s="108" t="n"/>
      <c r="G205" s="107" t="n"/>
      <c r="H205" s="114" t="n"/>
      <c r="I205" s="114" t="n"/>
      <c r="J205" s="107" t="n"/>
      <c r="K205" s="107" t="n"/>
      <c r="L205" s="108" t="n"/>
      <c r="M205" s="108" t="n"/>
      <c r="N205" s="108" t="n"/>
      <c r="O205" s="114" t="n"/>
      <c r="P205" s="120">
        <f>IF(OR($D205="",$I205=""),"",IF(OR($J205="Tamamlandı",$J205="İptal"),"",$I205-TODAY()))</f>
        <v/>
      </c>
      <c r="Q205" s="112">
        <f>IF($D205="","",IF($E205="TANIMSIZ MÜŞTERİ","HATA",IF(OR($J205="Tamamlandı",$J205="İptal"),"KAPALI",IF(AND($C205="Görüşme",$N205=""),"SONRAKİ İŞLEM EKSİK",IF($I205="","TARİH EKSİK",IF($I205&lt;TODAY(),"GECİKMİŞ",IF($I205=TODAY(),"BUGÜN",IF($I205&lt;=TODAY()+7,"7 GÜN İÇİNDE","PLANLI"))))))))</f>
        <v/>
      </c>
      <c r="R205" s="6" t="n"/>
      <c r="S205" s="6" t="n"/>
    </row>
    <row r="206">
      <c r="A206" s="6" t="n"/>
      <c r="B206" s="112">
        <f>IF($D206="","","A"&amp;TEXT(ROW()-6,"00000"))</f>
        <v/>
      </c>
      <c r="C206" s="107" t="n"/>
      <c r="D206" s="107" t="n"/>
      <c r="E206" s="113">
        <f>IF($D206="","",IFERROR(INDEX(MUSTERILER!$C$7:$C$106,MATCH($D206,MUSTERILER!$B$7:$B$106,0)),"TANIMSIZ MÜŞTERİ"))</f>
        <v/>
      </c>
      <c r="F206" s="108" t="n"/>
      <c r="G206" s="107" t="n"/>
      <c r="H206" s="114" t="n"/>
      <c r="I206" s="114" t="n"/>
      <c r="J206" s="107" t="n"/>
      <c r="K206" s="107" t="n"/>
      <c r="L206" s="108" t="n"/>
      <c r="M206" s="108" t="n"/>
      <c r="N206" s="108" t="n"/>
      <c r="O206" s="114" t="n"/>
      <c r="P206" s="120">
        <f>IF(OR($D206="",$I206=""),"",IF(OR($J206="Tamamlandı",$J206="İptal"),"",$I206-TODAY()))</f>
        <v/>
      </c>
      <c r="Q206" s="112">
        <f>IF($D206="","",IF($E206="TANIMSIZ MÜŞTERİ","HATA",IF(OR($J206="Tamamlandı",$J206="İptal"),"KAPALI",IF(AND($C206="Görüşme",$N206=""),"SONRAKİ İŞLEM EKSİK",IF($I206="","TARİH EKSİK",IF($I206&lt;TODAY(),"GECİKMİŞ",IF($I206=TODAY(),"BUGÜN",IF($I206&lt;=TODAY()+7,"7 GÜN İÇİNDE","PLANLI"))))))))</f>
        <v/>
      </c>
      <c r="R206" s="6" t="n"/>
      <c r="S206" s="6" t="n"/>
    </row>
    <row r="207">
      <c r="A207" s="6" t="n"/>
      <c r="B207" s="112">
        <f>IF($D207="","","A"&amp;TEXT(ROW()-6,"00000"))</f>
        <v/>
      </c>
      <c r="C207" s="107" t="n"/>
      <c r="D207" s="107" t="n"/>
      <c r="E207" s="113">
        <f>IF($D207="","",IFERROR(INDEX(MUSTERILER!$C$7:$C$106,MATCH($D207,MUSTERILER!$B$7:$B$106,0)),"TANIMSIZ MÜŞTERİ"))</f>
        <v/>
      </c>
      <c r="F207" s="108" t="n"/>
      <c r="G207" s="107" t="n"/>
      <c r="H207" s="114" t="n"/>
      <c r="I207" s="114" t="n"/>
      <c r="J207" s="107" t="n"/>
      <c r="K207" s="107" t="n"/>
      <c r="L207" s="108" t="n"/>
      <c r="M207" s="108" t="n"/>
      <c r="N207" s="108" t="n"/>
      <c r="O207" s="114" t="n"/>
      <c r="P207" s="120">
        <f>IF(OR($D207="",$I207=""),"",IF(OR($J207="Tamamlandı",$J207="İptal"),"",$I207-TODAY()))</f>
        <v/>
      </c>
      <c r="Q207" s="112">
        <f>IF($D207="","",IF($E207="TANIMSIZ MÜŞTERİ","HATA",IF(OR($J207="Tamamlandı",$J207="İptal"),"KAPALI",IF(AND($C207="Görüşme",$N207=""),"SONRAKİ İŞLEM EKSİK",IF($I207="","TARİH EKSİK",IF($I207&lt;TODAY(),"GECİKMİŞ",IF($I207=TODAY(),"BUGÜN",IF($I207&lt;=TODAY()+7,"7 GÜN İÇİNDE","PLANLI"))))))))</f>
        <v/>
      </c>
      <c r="R207" s="6" t="n"/>
      <c r="S207" s="6" t="n"/>
    </row>
    <row r="208">
      <c r="A208" s="6" t="n"/>
      <c r="B208" s="112">
        <f>IF($D208="","","A"&amp;TEXT(ROW()-6,"00000"))</f>
        <v/>
      </c>
      <c r="C208" s="107" t="n"/>
      <c r="D208" s="107" t="n"/>
      <c r="E208" s="113">
        <f>IF($D208="","",IFERROR(INDEX(MUSTERILER!$C$7:$C$106,MATCH($D208,MUSTERILER!$B$7:$B$106,0)),"TANIMSIZ MÜŞTERİ"))</f>
        <v/>
      </c>
      <c r="F208" s="108" t="n"/>
      <c r="G208" s="107" t="n"/>
      <c r="H208" s="114" t="n"/>
      <c r="I208" s="114" t="n"/>
      <c r="J208" s="107" t="n"/>
      <c r="K208" s="107" t="n"/>
      <c r="L208" s="108" t="n"/>
      <c r="M208" s="108" t="n"/>
      <c r="N208" s="108" t="n"/>
      <c r="O208" s="114" t="n"/>
      <c r="P208" s="120">
        <f>IF(OR($D208="",$I208=""),"",IF(OR($J208="Tamamlandı",$J208="İptal"),"",$I208-TODAY()))</f>
        <v/>
      </c>
      <c r="Q208" s="112">
        <f>IF($D208="","",IF($E208="TANIMSIZ MÜŞTERİ","HATA",IF(OR($J208="Tamamlandı",$J208="İptal"),"KAPALI",IF(AND($C208="Görüşme",$N208=""),"SONRAKİ İŞLEM EKSİK",IF($I208="","TARİH EKSİK",IF($I208&lt;TODAY(),"GECİKMİŞ",IF($I208=TODAY(),"BUGÜN",IF($I208&lt;=TODAY()+7,"7 GÜN İÇİNDE","PLANLI"))))))))</f>
        <v/>
      </c>
      <c r="R208" s="6" t="n"/>
      <c r="S208" s="6" t="n"/>
    </row>
    <row r="209">
      <c r="A209" s="6" t="n"/>
      <c r="B209" s="112">
        <f>IF($D209="","","A"&amp;TEXT(ROW()-6,"00000"))</f>
        <v/>
      </c>
      <c r="C209" s="107" t="n"/>
      <c r="D209" s="107" t="n"/>
      <c r="E209" s="113">
        <f>IF($D209="","",IFERROR(INDEX(MUSTERILER!$C$7:$C$106,MATCH($D209,MUSTERILER!$B$7:$B$106,0)),"TANIMSIZ MÜŞTERİ"))</f>
        <v/>
      </c>
      <c r="F209" s="108" t="n"/>
      <c r="G209" s="107" t="n"/>
      <c r="H209" s="114" t="n"/>
      <c r="I209" s="114" t="n"/>
      <c r="J209" s="107" t="n"/>
      <c r="K209" s="107" t="n"/>
      <c r="L209" s="108" t="n"/>
      <c r="M209" s="108" t="n"/>
      <c r="N209" s="108" t="n"/>
      <c r="O209" s="114" t="n"/>
      <c r="P209" s="120">
        <f>IF(OR($D209="",$I209=""),"",IF(OR($J209="Tamamlandı",$J209="İptal"),"",$I209-TODAY()))</f>
        <v/>
      </c>
      <c r="Q209" s="112">
        <f>IF($D209="","",IF($E209="TANIMSIZ MÜŞTERİ","HATA",IF(OR($J209="Tamamlandı",$J209="İptal"),"KAPALI",IF(AND($C209="Görüşme",$N209=""),"SONRAKİ İŞLEM EKSİK",IF($I209="","TARİH EKSİK",IF($I209&lt;TODAY(),"GECİKMİŞ",IF($I209=TODAY(),"BUGÜN",IF($I209&lt;=TODAY()+7,"7 GÜN İÇİNDE","PLANLI"))))))))</f>
        <v/>
      </c>
      <c r="R209" s="6" t="n"/>
      <c r="S209" s="6" t="n"/>
    </row>
    <row r="210">
      <c r="A210" s="6" t="n"/>
      <c r="B210" s="112">
        <f>IF($D210="","","A"&amp;TEXT(ROW()-6,"00000"))</f>
        <v/>
      </c>
      <c r="C210" s="107" t="n"/>
      <c r="D210" s="107" t="n"/>
      <c r="E210" s="113">
        <f>IF($D210="","",IFERROR(INDEX(MUSTERILER!$C$7:$C$106,MATCH($D210,MUSTERILER!$B$7:$B$106,0)),"TANIMSIZ MÜŞTERİ"))</f>
        <v/>
      </c>
      <c r="F210" s="108" t="n"/>
      <c r="G210" s="107" t="n"/>
      <c r="H210" s="114" t="n"/>
      <c r="I210" s="114" t="n"/>
      <c r="J210" s="107" t="n"/>
      <c r="K210" s="107" t="n"/>
      <c r="L210" s="108" t="n"/>
      <c r="M210" s="108" t="n"/>
      <c r="N210" s="108" t="n"/>
      <c r="O210" s="114" t="n"/>
      <c r="P210" s="120">
        <f>IF(OR($D210="",$I210=""),"",IF(OR($J210="Tamamlandı",$J210="İptal"),"",$I210-TODAY()))</f>
        <v/>
      </c>
      <c r="Q210" s="112">
        <f>IF($D210="","",IF($E210="TANIMSIZ MÜŞTERİ","HATA",IF(OR($J210="Tamamlandı",$J210="İptal"),"KAPALI",IF(AND($C210="Görüşme",$N210=""),"SONRAKİ İŞLEM EKSİK",IF($I210="","TARİH EKSİK",IF($I210&lt;TODAY(),"GECİKMİŞ",IF($I210=TODAY(),"BUGÜN",IF($I210&lt;=TODAY()+7,"7 GÜN İÇİNDE","PLANLI"))))))))</f>
        <v/>
      </c>
      <c r="R210" s="6" t="n"/>
      <c r="S210" s="6" t="n"/>
    </row>
    <row r="211">
      <c r="A211" s="6" t="n"/>
      <c r="B211" s="112">
        <f>IF($D211="","","A"&amp;TEXT(ROW()-6,"00000"))</f>
        <v/>
      </c>
      <c r="C211" s="107" t="n"/>
      <c r="D211" s="107" t="n"/>
      <c r="E211" s="113">
        <f>IF($D211="","",IFERROR(INDEX(MUSTERILER!$C$7:$C$106,MATCH($D211,MUSTERILER!$B$7:$B$106,0)),"TANIMSIZ MÜŞTERİ"))</f>
        <v/>
      </c>
      <c r="F211" s="108" t="n"/>
      <c r="G211" s="107" t="n"/>
      <c r="H211" s="114" t="n"/>
      <c r="I211" s="114" t="n"/>
      <c r="J211" s="107" t="n"/>
      <c r="K211" s="107" t="n"/>
      <c r="L211" s="108" t="n"/>
      <c r="M211" s="108" t="n"/>
      <c r="N211" s="108" t="n"/>
      <c r="O211" s="114" t="n"/>
      <c r="P211" s="120">
        <f>IF(OR($D211="",$I211=""),"",IF(OR($J211="Tamamlandı",$J211="İptal"),"",$I211-TODAY()))</f>
        <v/>
      </c>
      <c r="Q211" s="112">
        <f>IF($D211="","",IF($E211="TANIMSIZ MÜŞTERİ","HATA",IF(OR($J211="Tamamlandı",$J211="İptal"),"KAPALI",IF(AND($C211="Görüşme",$N211=""),"SONRAKİ İŞLEM EKSİK",IF($I211="","TARİH EKSİK",IF($I211&lt;TODAY(),"GECİKMİŞ",IF($I211=TODAY(),"BUGÜN",IF($I211&lt;=TODAY()+7,"7 GÜN İÇİNDE","PLANLI"))))))))</f>
        <v/>
      </c>
      <c r="R211" s="6" t="n"/>
      <c r="S211" s="6" t="n"/>
    </row>
    <row r="212">
      <c r="A212" s="6" t="n"/>
      <c r="B212" s="112">
        <f>IF($D212="","","A"&amp;TEXT(ROW()-6,"00000"))</f>
        <v/>
      </c>
      <c r="C212" s="107" t="n"/>
      <c r="D212" s="107" t="n"/>
      <c r="E212" s="113">
        <f>IF($D212="","",IFERROR(INDEX(MUSTERILER!$C$7:$C$106,MATCH($D212,MUSTERILER!$B$7:$B$106,0)),"TANIMSIZ MÜŞTERİ"))</f>
        <v/>
      </c>
      <c r="F212" s="108" t="n"/>
      <c r="G212" s="107" t="n"/>
      <c r="H212" s="114" t="n"/>
      <c r="I212" s="114" t="n"/>
      <c r="J212" s="107" t="n"/>
      <c r="K212" s="107" t="n"/>
      <c r="L212" s="108" t="n"/>
      <c r="M212" s="108" t="n"/>
      <c r="N212" s="108" t="n"/>
      <c r="O212" s="114" t="n"/>
      <c r="P212" s="120">
        <f>IF(OR($D212="",$I212=""),"",IF(OR($J212="Tamamlandı",$J212="İptal"),"",$I212-TODAY()))</f>
        <v/>
      </c>
      <c r="Q212" s="112">
        <f>IF($D212="","",IF($E212="TANIMSIZ MÜŞTERİ","HATA",IF(OR($J212="Tamamlandı",$J212="İptal"),"KAPALI",IF(AND($C212="Görüşme",$N212=""),"SONRAKİ İŞLEM EKSİK",IF($I212="","TARİH EKSİK",IF($I212&lt;TODAY(),"GECİKMİŞ",IF($I212=TODAY(),"BUGÜN",IF($I212&lt;=TODAY()+7,"7 GÜN İÇİNDE","PLANLI"))))))))</f>
        <v/>
      </c>
      <c r="R212" s="6" t="n"/>
      <c r="S212" s="6" t="n"/>
    </row>
    <row r="213">
      <c r="A213" s="6" t="n"/>
      <c r="B213" s="112">
        <f>IF($D213="","","A"&amp;TEXT(ROW()-6,"00000"))</f>
        <v/>
      </c>
      <c r="C213" s="107" t="n"/>
      <c r="D213" s="107" t="n"/>
      <c r="E213" s="113">
        <f>IF($D213="","",IFERROR(INDEX(MUSTERILER!$C$7:$C$106,MATCH($D213,MUSTERILER!$B$7:$B$106,0)),"TANIMSIZ MÜŞTERİ"))</f>
        <v/>
      </c>
      <c r="F213" s="108" t="n"/>
      <c r="G213" s="107" t="n"/>
      <c r="H213" s="114" t="n"/>
      <c r="I213" s="114" t="n"/>
      <c r="J213" s="107" t="n"/>
      <c r="K213" s="107" t="n"/>
      <c r="L213" s="108" t="n"/>
      <c r="M213" s="108" t="n"/>
      <c r="N213" s="108" t="n"/>
      <c r="O213" s="114" t="n"/>
      <c r="P213" s="120">
        <f>IF(OR($D213="",$I213=""),"",IF(OR($J213="Tamamlandı",$J213="İptal"),"",$I213-TODAY()))</f>
        <v/>
      </c>
      <c r="Q213" s="112">
        <f>IF($D213="","",IF($E213="TANIMSIZ MÜŞTERİ","HATA",IF(OR($J213="Tamamlandı",$J213="İptal"),"KAPALI",IF(AND($C213="Görüşme",$N213=""),"SONRAKİ İŞLEM EKSİK",IF($I213="","TARİH EKSİK",IF($I213&lt;TODAY(),"GECİKMİŞ",IF($I213=TODAY(),"BUGÜN",IF($I213&lt;=TODAY()+7,"7 GÜN İÇİNDE","PLANLI"))))))))</f>
        <v/>
      </c>
      <c r="R213" s="6" t="n"/>
      <c r="S213" s="6" t="n"/>
    </row>
    <row r="214">
      <c r="A214" s="6" t="n"/>
      <c r="B214" s="112">
        <f>IF($D214="","","A"&amp;TEXT(ROW()-6,"00000"))</f>
        <v/>
      </c>
      <c r="C214" s="107" t="n"/>
      <c r="D214" s="107" t="n"/>
      <c r="E214" s="113">
        <f>IF($D214="","",IFERROR(INDEX(MUSTERILER!$C$7:$C$106,MATCH($D214,MUSTERILER!$B$7:$B$106,0)),"TANIMSIZ MÜŞTERİ"))</f>
        <v/>
      </c>
      <c r="F214" s="108" t="n"/>
      <c r="G214" s="107" t="n"/>
      <c r="H214" s="114" t="n"/>
      <c r="I214" s="114" t="n"/>
      <c r="J214" s="107" t="n"/>
      <c r="K214" s="107" t="n"/>
      <c r="L214" s="108" t="n"/>
      <c r="M214" s="108" t="n"/>
      <c r="N214" s="108" t="n"/>
      <c r="O214" s="114" t="n"/>
      <c r="P214" s="120">
        <f>IF(OR($D214="",$I214=""),"",IF(OR($J214="Tamamlandı",$J214="İptal"),"",$I214-TODAY()))</f>
        <v/>
      </c>
      <c r="Q214" s="112">
        <f>IF($D214="","",IF($E214="TANIMSIZ MÜŞTERİ","HATA",IF(OR($J214="Tamamlandı",$J214="İptal"),"KAPALI",IF(AND($C214="Görüşme",$N214=""),"SONRAKİ İŞLEM EKSİK",IF($I214="","TARİH EKSİK",IF($I214&lt;TODAY(),"GECİKMİŞ",IF($I214=TODAY(),"BUGÜN",IF($I214&lt;=TODAY()+7,"7 GÜN İÇİNDE","PLANLI"))))))))</f>
        <v/>
      </c>
      <c r="R214" s="6" t="n"/>
      <c r="S214" s="6" t="n"/>
    </row>
    <row r="215">
      <c r="A215" s="6" t="n"/>
      <c r="B215" s="112">
        <f>IF($D215="","","A"&amp;TEXT(ROW()-6,"00000"))</f>
        <v/>
      </c>
      <c r="C215" s="107" t="n"/>
      <c r="D215" s="107" t="n"/>
      <c r="E215" s="113">
        <f>IF($D215="","",IFERROR(INDEX(MUSTERILER!$C$7:$C$106,MATCH($D215,MUSTERILER!$B$7:$B$106,0)),"TANIMSIZ MÜŞTERİ"))</f>
        <v/>
      </c>
      <c r="F215" s="108" t="n"/>
      <c r="G215" s="107" t="n"/>
      <c r="H215" s="114" t="n"/>
      <c r="I215" s="114" t="n"/>
      <c r="J215" s="107" t="n"/>
      <c r="K215" s="107" t="n"/>
      <c r="L215" s="108" t="n"/>
      <c r="M215" s="108" t="n"/>
      <c r="N215" s="108" t="n"/>
      <c r="O215" s="114" t="n"/>
      <c r="P215" s="120">
        <f>IF(OR($D215="",$I215=""),"",IF(OR($J215="Tamamlandı",$J215="İptal"),"",$I215-TODAY()))</f>
        <v/>
      </c>
      <c r="Q215" s="112">
        <f>IF($D215="","",IF($E215="TANIMSIZ MÜŞTERİ","HATA",IF(OR($J215="Tamamlandı",$J215="İptal"),"KAPALI",IF(AND($C215="Görüşme",$N215=""),"SONRAKİ İŞLEM EKSİK",IF($I215="","TARİH EKSİK",IF($I215&lt;TODAY(),"GECİKMİŞ",IF($I215=TODAY(),"BUGÜN",IF($I215&lt;=TODAY()+7,"7 GÜN İÇİNDE","PLANLI"))))))))</f>
        <v/>
      </c>
      <c r="R215" s="6" t="n"/>
      <c r="S215" s="6" t="n"/>
    </row>
    <row r="216">
      <c r="A216" s="6" t="n"/>
      <c r="B216" s="112">
        <f>IF($D216="","","A"&amp;TEXT(ROW()-6,"00000"))</f>
        <v/>
      </c>
      <c r="C216" s="107" t="n"/>
      <c r="D216" s="107" t="n"/>
      <c r="E216" s="113">
        <f>IF($D216="","",IFERROR(INDEX(MUSTERILER!$C$7:$C$106,MATCH($D216,MUSTERILER!$B$7:$B$106,0)),"TANIMSIZ MÜŞTERİ"))</f>
        <v/>
      </c>
      <c r="F216" s="108" t="n"/>
      <c r="G216" s="107" t="n"/>
      <c r="H216" s="114" t="n"/>
      <c r="I216" s="114" t="n"/>
      <c r="J216" s="107" t="n"/>
      <c r="K216" s="107" t="n"/>
      <c r="L216" s="108" t="n"/>
      <c r="M216" s="108" t="n"/>
      <c r="N216" s="108" t="n"/>
      <c r="O216" s="114" t="n"/>
      <c r="P216" s="120">
        <f>IF(OR($D216="",$I216=""),"",IF(OR($J216="Tamamlandı",$J216="İptal"),"",$I216-TODAY()))</f>
        <v/>
      </c>
      <c r="Q216" s="112">
        <f>IF($D216="","",IF($E216="TANIMSIZ MÜŞTERİ","HATA",IF(OR($J216="Tamamlandı",$J216="İptal"),"KAPALI",IF(AND($C216="Görüşme",$N216=""),"SONRAKİ İŞLEM EKSİK",IF($I216="","TARİH EKSİK",IF($I216&lt;TODAY(),"GECİKMİŞ",IF($I216=TODAY(),"BUGÜN",IF($I216&lt;=TODAY()+7,"7 GÜN İÇİNDE","PLANLI"))))))))</f>
        <v/>
      </c>
      <c r="R216" s="6" t="n"/>
      <c r="S216" s="6" t="n"/>
    </row>
    <row r="217">
      <c r="A217" s="6" t="n"/>
      <c r="B217" s="112">
        <f>IF($D217="","","A"&amp;TEXT(ROW()-6,"00000"))</f>
        <v/>
      </c>
      <c r="C217" s="107" t="n"/>
      <c r="D217" s="107" t="n"/>
      <c r="E217" s="113">
        <f>IF($D217="","",IFERROR(INDEX(MUSTERILER!$C$7:$C$106,MATCH($D217,MUSTERILER!$B$7:$B$106,0)),"TANIMSIZ MÜŞTERİ"))</f>
        <v/>
      </c>
      <c r="F217" s="108" t="n"/>
      <c r="G217" s="107" t="n"/>
      <c r="H217" s="114" t="n"/>
      <c r="I217" s="114" t="n"/>
      <c r="J217" s="107" t="n"/>
      <c r="K217" s="107" t="n"/>
      <c r="L217" s="108" t="n"/>
      <c r="M217" s="108" t="n"/>
      <c r="N217" s="108" t="n"/>
      <c r="O217" s="114" t="n"/>
      <c r="P217" s="120">
        <f>IF(OR($D217="",$I217=""),"",IF(OR($J217="Tamamlandı",$J217="İptal"),"",$I217-TODAY()))</f>
        <v/>
      </c>
      <c r="Q217" s="112">
        <f>IF($D217="","",IF($E217="TANIMSIZ MÜŞTERİ","HATA",IF(OR($J217="Tamamlandı",$J217="İptal"),"KAPALI",IF(AND($C217="Görüşme",$N217=""),"SONRAKİ İŞLEM EKSİK",IF($I217="","TARİH EKSİK",IF($I217&lt;TODAY(),"GECİKMİŞ",IF($I217=TODAY(),"BUGÜN",IF($I217&lt;=TODAY()+7,"7 GÜN İÇİNDE","PLANLI"))))))))</f>
        <v/>
      </c>
      <c r="R217" s="6" t="n"/>
      <c r="S217" s="6" t="n"/>
    </row>
    <row r="218">
      <c r="A218" s="6" t="n"/>
      <c r="B218" s="112">
        <f>IF($D218="","","A"&amp;TEXT(ROW()-6,"00000"))</f>
        <v/>
      </c>
      <c r="C218" s="107" t="n"/>
      <c r="D218" s="107" t="n"/>
      <c r="E218" s="113">
        <f>IF($D218="","",IFERROR(INDEX(MUSTERILER!$C$7:$C$106,MATCH($D218,MUSTERILER!$B$7:$B$106,0)),"TANIMSIZ MÜŞTERİ"))</f>
        <v/>
      </c>
      <c r="F218" s="108" t="n"/>
      <c r="G218" s="107" t="n"/>
      <c r="H218" s="114" t="n"/>
      <c r="I218" s="114" t="n"/>
      <c r="J218" s="107" t="n"/>
      <c r="K218" s="107" t="n"/>
      <c r="L218" s="108" t="n"/>
      <c r="M218" s="108" t="n"/>
      <c r="N218" s="108" t="n"/>
      <c r="O218" s="114" t="n"/>
      <c r="P218" s="120">
        <f>IF(OR($D218="",$I218=""),"",IF(OR($J218="Tamamlandı",$J218="İptal"),"",$I218-TODAY()))</f>
        <v/>
      </c>
      <c r="Q218" s="112">
        <f>IF($D218="","",IF($E218="TANIMSIZ MÜŞTERİ","HATA",IF(OR($J218="Tamamlandı",$J218="İptal"),"KAPALI",IF(AND($C218="Görüşme",$N218=""),"SONRAKİ İŞLEM EKSİK",IF($I218="","TARİH EKSİK",IF($I218&lt;TODAY(),"GECİKMİŞ",IF($I218=TODAY(),"BUGÜN",IF($I218&lt;=TODAY()+7,"7 GÜN İÇİNDE","PLANLI"))))))))</f>
        <v/>
      </c>
      <c r="R218" s="6" t="n"/>
      <c r="S218" s="6" t="n"/>
    </row>
    <row r="219">
      <c r="A219" s="6" t="n"/>
      <c r="B219" s="112">
        <f>IF($D219="","","A"&amp;TEXT(ROW()-6,"00000"))</f>
        <v/>
      </c>
      <c r="C219" s="107" t="n"/>
      <c r="D219" s="107" t="n"/>
      <c r="E219" s="113">
        <f>IF($D219="","",IFERROR(INDEX(MUSTERILER!$C$7:$C$106,MATCH($D219,MUSTERILER!$B$7:$B$106,0)),"TANIMSIZ MÜŞTERİ"))</f>
        <v/>
      </c>
      <c r="F219" s="108" t="n"/>
      <c r="G219" s="107" t="n"/>
      <c r="H219" s="114" t="n"/>
      <c r="I219" s="114" t="n"/>
      <c r="J219" s="107" t="n"/>
      <c r="K219" s="107" t="n"/>
      <c r="L219" s="108" t="n"/>
      <c r="M219" s="108" t="n"/>
      <c r="N219" s="108" t="n"/>
      <c r="O219" s="114" t="n"/>
      <c r="P219" s="120">
        <f>IF(OR($D219="",$I219=""),"",IF(OR($J219="Tamamlandı",$J219="İptal"),"",$I219-TODAY()))</f>
        <v/>
      </c>
      <c r="Q219" s="112">
        <f>IF($D219="","",IF($E219="TANIMSIZ MÜŞTERİ","HATA",IF(OR($J219="Tamamlandı",$J219="İptal"),"KAPALI",IF(AND($C219="Görüşme",$N219=""),"SONRAKİ İŞLEM EKSİK",IF($I219="","TARİH EKSİK",IF($I219&lt;TODAY(),"GECİKMİŞ",IF($I219=TODAY(),"BUGÜN",IF($I219&lt;=TODAY()+7,"7 GÜN İÇİNDE","PLANLI"))))))))</f>
        <v/>
      </c>
      <c r="R219" s="6" t="n"/>
      <c r="S219" s="6" t="n"/>
    </row>
    <row r="220">
      <c r="A220" s="6" t="n"/>
      <c r="B220" s="112">
        <f>IF($D220="","","A"&amp;TEXT(ROW()-6,"00000"))</f>
        <v/>
      </c>
      <c r="C220" s="107" t="n"/>
      <c r="D220" s="107" t="n"/>
      <c r="E220" s="113">
        <f>IF($D220="","",IFERROR(INDEX(MUSTERILER!$C$7:$C$106,MATCH($D220,MUSTERILER!$B$7:$B$106,0)),"TANIMSIZ MÜŞTERİ"))</f>
        <v/>
      </c>
      <c r="F220" s="108" t="n"/>
      <c r="G220" s="107" t="n"/>
      <c r="H220" s="114" t="n"/>
      <c r="I220" s="114" t="n"/>
      <c r="J220" s="107" t="n"/>
      <c r="K220" s="107" t="n"/>
      <c r="L220" s="108" t="n"/>
      <c r="M220" s="108" t="n"/>
      <c r="N220" s="108" t="n"/>
      <c r="O220" s="114" t="n"/>
      <c r="P220" s="120">
        <f>IF(OR($D220="",$I220=""),"",IF(OR($J220="Tamamlandı",$J220="İptal"),"",$I220-TODAY()))</f>
        <v/>
      </c>
      <c r="Q220" s="112">
        <f>IF($D220="","",IF($E220="TANIMSIZ MÜŞTERİ","HATA",IF(OR($J220="Tamamlandı",$J220="İptal"),"KAPALI",IF(AND($C220="Görüşme",$N220=""),"SONRAKİ İŞLEM EKSİK",IF($I220="","TARİH EKSİK",IF($I220&lt;TODAY(),"GECİKMİŞ",IF($I220=TODAY(),"BUGÜN",IF($I220&lt;=TODAY()+7,"7 GÜN İÇİNDE","PLANLI"))))))))</f>
        <v/>
      </c>
      <c r="R220" s="6" t="n"/>
      <c r="S220" s="6" t="n"/>
    </row>
    <row r="221">
      <c r="A221" s="6" t="n"/>
      <c r="B221" s="112">
        <f>IF($D221="","","A"&amp;TEXT(ROW()-6,"00000"))</f>
        <v/>
      </c>
      <c r="C221" s="107" t="n"/>
      <c r="D221" s="107" t="n"/>
      <c r="E221" s="113">
        <f>IF($D221="","",IFERROR(INDEX(MUSTERILER!$C$7:$C$106,MATCH($D221,MUSTERILER!$B$7:$B$106,0)),"TANIMSIZ MÜŞTERİ"))</f>
        <v/>
      </c>
      <c r="F221" s="108" t="n"/>
      <c r="G221" s="107" t="n"/>
      <c r="H221" s="114" t="n"/>
      <c r="I221" s="114" t="n"/>
      <c r="J221" s="107" t="n"/>
      <c r="K221" s="107" t="n"/>
      <c r="L221" s="108" t="n"/>
      <c r="M221" s="108" t="n"/>
      <c r="N221" s="108" t="n"/>
      <c r="O221" s="114" t="n"/>
      <c r="P221" s="120">
        <f>IF(OR($D221="",$I221=""),"",IF(OR($J221="Tamamlandı",$J221="İptal"),"",$I221-TODAY()))</f>
        <v/>
      </c>
      <c r="Q221" s="112">
        <f>IF($D221="","",IF($E221="TANIMSIZ MÜŞTERİ","HATA",IF(OR($J221="Tamamlandı",$J221="İptal"),"KAPALI",IF(AND($C221="Görüşme",$N221=""),"SONRAKİ İŞLEM EKSİK",IF($I221="","TARİH EKSİK",IF($I221&lt;TODAY(),"GECİKMİŞ",IF($I221=TODAY(),"BUGÜN",IF($I221&lt;=TODAY()+7,"7 GÜN İÇİNDE","PLANLI"))))))))</f>
        <v/>
      </c>
      <c r="R221" s="6" t="n"/>
      <c r="S221" s="6" t="n"/>
    </row>
    <row r="222">
      <c r="A222" s="6" t="n"/>
      <c r="B222" s="112">
        <f>IF($D222="","","A"&amp;TEXT(ROW()-6,"00000"))</f>
        <v/>
      </c>
      <c r="C222" s="107" t="n"/>
      <c r="D222" s="107" t="n"/>
      <c r="E222" s="113">
        <f>IF($D222="","",IFERROR(INDEX(MUSTERILER!$C$7:$C$106,MATCH($D222,MUSTERILER!$B$7:$B$106,0)),"TANIMSIZ MÜŞTERİ"))</f>
        <v/>
      </c>
      <c r="F222" s="108" t="n"/>
      <c r="G222" s="107" t="n"/>
      <c r="H222" s="114" t="n"/>
      <c r="I222" s="114" t="n"/>
      <c r="J222" s="107" t="n"/>
      <c r="K222" s="107" t="n"/>
      <c r="L222" s="108" t="n"/>
      <c r="M222" s="108" t="n"/>
      <c r="N222" s="108" t="n"/>
      <c r="O222" s="114" t="n"/>
      <c r="P222" s="120">
        <f>IF(OR($D222="",$I222=""),"",IF(OR($J222="Tamamlandı",$J222="İptal"),"",$I222-TODAY()))</f>
        <v/>
      </c>
      <c r="Q222" s="112">
        <f>IF($D222="","",IF($E222="TANIMSIZ MÜŞTERİ","HATA",IF(OR($J222="Tamamlandı",$J222="İptal"),"KAPALI",IF(AND($C222="Görüşme",$N222=""),"SONRAKİ İŞLEM EKSİK",IF($I222="","TARİH EKSİK",IF($I222&lt;TODAY(),"GECİKMİŞ",IF($I222=TODAY(),"BUGÜN",IF($I222&lt;=TODAY()+7,"7 GÜN İÇİNDE","PLANLI"))))))))</f>
        <v/>
      </c>
      <c r="R222" s="6" t="n"/>
      <c r="S222" s="6" t="n"/>
    </row>
    <row r="223">
      <c r="A223" s="6" t="n"/>
      <c r="B223" s="112">
        <f>IF($D223="","","A"&amp;TEXT(ROW()-6,"00000"))</f>
        <v/>
      </c>
      <c r="C223" s="107" t="n"/>
      <c r="D223" s="107" t="n"/>
      <c r="E223" s="113">
        <f>IF($D223="","",IFERROR(INDEX(MUSTERILER!$C$7:$C$106,MATCH($D223,MUSTERILER!$B$7:$B$106,0)),"TANIMSIZ MÜŞTERİ"))</f>
        <v/>
      </c>
      <c r="F223" s="108" t="n"/>
      <c r="G223" s="107" t="n"/>
      <c r="H223" s="114" t="n"/>
      <c r="I223" s="114" t="n"/>
      <c r="J223" s="107" t="n"/>
      <c r="K223" s="107" t="n"/>
      <c r="L223" s="108" t="n"/>
      <c r="M223" s="108" t="n"/>
      <c r="N223" s="108" t="n"/>
      <c r="O223" s="114" t="n"/>
      <c r="P223" s="120">
        <f>IF(OR($D223="",$I223=""),"",IF(OR($J223="Tamamlandı",$J223="İptal"),"",$I223-TODAY()))</f>
        <v/>
      </c>
      <c r="Q223" s="112">
        <f>IF($D223="","",IF($E223="TANIMSIZ MÜŞTERİ","HATA",IF(OR($J223="Tamamlandı",$J223="İptal"),"KAPALI",IF(AND($C223="Görüşme",$N223=""),"SONRAKİ İŞLEM EKSİK",IF($I223="","TARİH EKSİK",IF($I223&lt;TODAY(),"GECİKMİŞ",IF($I223=TODAY(),"BUGÜN",IF($I223&lt;=TODAY()+7,"7 GÜN İÇİNDE","PLANLI"))))))))</f>
        <v/>
      </c>
      <c r="R223" s="6" t="n"/>
      <c r="S223" s="6" t="n"/>
    </row>
    <row r="224">
      <c r="A224" s="6" t="n"/>
      <c r="B224" s="112">
        <f>IF($D224="","","A"&amp;TEXT(ROW()-6,"00000"))</f>
        <v/>
      </c>
      <c r="C224" s="107" t="n"/>
      <c r="D224" s="107" t="n"/>
      <c r="E224" s="113">
        <f>IF($D224="","",IFERROR(INDEX(MUSTERILER!$C$7:$C$106,MATCH($D224,MUSTERILER!$B$7:$B$106,0)),"TANIMSIZ MÜŞTERİ"))</f>
        <v/>
      </c>
      <c r="F224" s="108" t="n"/>
      <c r="G224" s="107" t="n"/>
      <c r="H224" s="114" t="n"/>
      <c r="I224" s="114" t="n"/>
      <c r="J224" s="107" t="n"/>
      <c r="K224" s="107" t="n"/>
      <c r="L224" s="108" t="n"/>
      <c r="M224" s="108" t="n"/>
      <c r="N224" s="108" t="n"/>
      <c r="O224" s="114" t="n"/>
      <c r="P224" s="120">
        <f>IF(OR($D224="",$I224=""),"",IF(OR($J224="Tamamlandı",$J224="İptal"),"",$I224-TODAY()))</f>
        <v/>
      </c>
      <c r="Q224" s="112">
        <f>IF($D224="","",IF($E224="TANIMSIZ MÜŞTERİ","HATA",IF(OR($J224="Tamamlandı",$J224="İptal"),"KAPALI",IF(AND($C224="Görüşme",$N224=""),"SONRAKİ İŞLEM EKSİK",IF($I224="","TARİH EKSİK",IF($I224&lt;TODAY(),"GECİKMİŞ",IF($I224=TODAY(),"BUGÜN",IF($I224&lt;=TODAY()+7,"7 GÜN İÇİNDE","PLANLI"))))))))</f>
        <v/>
      </c>
      <c r="R224" s="6" t="n"/>
      <c r="S224" s="6" t="n"/>
    </row>
    <row r="225">
      <c r="A225" s="6" t="n"/>
      <c r="B225" s="112">
        <f>IF($D225="","","A"&amp;TEXT(ROW()-6,"00000"))</f>
        <v/>
      </c>
      <c r="C225" s="107" t="n"/>
      <c r="D225" s="107" t="n"/>
      <c r="E225" s="113">
        <f>IF($D225="","",IFERROR(INDEX(MUSTERILER!$C$7:$C$106,MATCH($D225,MUSTERILER!$B$7:$B$106,0)),"TANIMSIZ MÜŞTERİ"))</f>
        <v/>
      </c>
      <c r="F225" s="108" t="n"/>
      <c r="G225" s="107" t="n"/>
      <c r="H225" s="114" t="n"/>
      <c r="I225" s="114" t="n"/>
      <c r="J225" s="107" t="n"/>
      <c r="K225" s="107" t="n"/>
      <c r="L225" s="108" t="n"/>
      <c r="M225" s="108" t="n"/>
      <c r="N225" s="108" t="n"/>
      <c r="O225" s="114" t="n"/>
      <c r="P225" s="120">
        <f>IF(OR($D225="",$I225=""),"",IF(OR($J225="Tamamlandı",$J225="İptal"),"",$I225-TODAY()))</f>
        <v/>
      </c>
      <c r="Q225" s="112">
        <f>IF($D225="","",IF($E225="TANIMSIZ MÜŞTERİ","HATA",IF(OR($J225="Tamamlandı",$J225="İptal"),"KAPALI",IF(AND($C225="Görüşme",$N225=""),"SONRAKİ İŞLEM EKSİK",IF($I225="","TARİH EKSİK",IF($I225&lt;TODAY(),"GECİKMİŞ",IF($I225=TODAY(),"BUGÜN",IF($I225&lt;=TODAY()+7,"7 GÜN İÇİNDE","PLANLI"))))))))</f>
        <v/>
      </c>
      <c r="R225" s="6" t="n"/>
      <c r="S225" s="6" t="n"/>
    </row>
    <row r="226">
      <c r="A226" s="6" t="n"/>
      <c r="B226" s="112">
        <f>IF($D226="","","A"&amp;TEXT(ROW()-6,"00000"))</f>
        <v/>
      </c>
      <c r="C226" s="107" t="n"/>
      <c r="D226" s="107" t="n"/>
      <c r="E226" s="113">
        <f>IF($D226="","",IFERROR(INDEX(MUSTERILER!$C$7:$C$106,MATCH($D226,MUSTERILER!$B$7:$B$106,0)),"TANIMSIZ MÜŞTERİ"))</f>
        <v/>
      </c>
      <c r="F226" s="108" t="n"/>
      <c r="G226" s="107" t="n"/>
      <c r="H226" s="114" t="n"/>
      <c r="I226" s="114" t="n"/>
      <c r="J226" s="107" t="n"/>
      <c r="K226" s="107" t="n"/>
      <c r="L226" s="108" t="n"/>
      <c r="M226" s="108" t="n"/>
      <c r="N226" s="108" t="n"/>
      <c r="O226" s="114" t="n"/>
      <c r="P226" s="120">
        <f>IF(OR($D226="",$I226=""),"",IF(OR($J226="Tamamlandı",$J226="İptal"),"",$I226-TODAY()))</f>
        <v/>
      </c>
      <c r="Q226" s="112">
        <f>IF($D226="","",IF($E226="TANIMSIZ MÜŞTERİ","HATA",IF(OR($J226="Tamamlandı",$J226="İptal"),"KAPALI",IF(AND($C226="Görüşme",$N226=""),"SONRAKİ İŞLEM EKSİK",IF($I226="","TARİH EKSİK",IF($I226&lt;TODAY(),"GECİKMİŞ",IF($I226=TODAY(),"BUGÜN",IF($I226&lt;=TODAY()+7,"7 GÜN İÇİNDE","PLANLI"))))))))</f>
        <v/>
      </c>
      <c r="R226" s="6" t="n"/>
      <c r="S226" s="6" t="n"/>
    </row>
    <row r="227">
      <c r="A227" s="6" t="n"/>
      <c r="B227" s="112">
        <f>IF($D227="","","A"&amp;TEXT(ROW()-6,"00000"))</f>
        <v/>
      </c>
      <c r="C227" s="107" t="n"/>
      <c r="D227" s="107" t="n"/>
      <c r="E227" s="113">
        <f>IF($D227="","",IFERROR(INDEX(MUSTERILER!$C$7:$C$106,MATCH($D227,MUSTERILER!$B$7:$B$106,0)),"TANIMSIZ MÜŞTERİ"))</f>
        <v/>
      </c>
      <c r="F227" s="108" t="n"/>
      <c r="G227" s="107" t="n"/>
      <c r="H227" s="114" t="n"/>
      <c r="I227" s="114" t="n"/>
      <c r="J227" s="107" t="n"/>
      <c r="K227" s="107" t="n"/>
      <c r="L227" s="108" t="n"/>
      <c r="M227" s="108" t="n"/>
      <c r="N227" s="108" t="n"/>
      <c r="O227" s="114" t="n"/>
      <c r="P227" s="120">
        <f>IF(OR($D227="",$I227=""),"",IF(OR($J227="Tamamlandı",$J227="İptal"),"",$I227-TODAY()))</f>
        <v/>
      </c>
      <c r="Q227" s="112">
        <f>IF($D227="","",IF($E227="TANIMSIZ MÜŞTERİ","HATA",IF(OR($J227="Tamamlandı",$J227="İptal"),"KAPALI",IF(AND($C227="Görüşme",$N227=""),"SONRAKİ İŞLEM EKSİK",IF($I227="","TARİH EKSİK",IF($I227&lt;TODAY(),"GECİKMİŞ",IF($I227=TODAY(),"BUGÜN",IF($I227&lt;=TODAY()+7,"7 GÜN İÇİNDE","PLANLI"))))))))</f>
        <v/>
      </c>
      <c r="R227" s="6" t="n"/>
      <c r="S227" s="6" t="n"/>
    </row>
    <row r="228">
      <c r="A228" s="6" t="n"/>
      <c r="B228" s="112">
        <f>IF($D228="","","A"&amp;TEXT(ROW()-6,"00000"))</f>
        <v/>
      </c>
      <c r="C228" s="107" t="n"/>
      <c r="D228" s="107" t="n"/>
      <c r="E228" s="113">
        <f>IF($D228="","",IFERROR(INDEX(MUSTERILER!$C$7:$C$106,MATCH($D228,MUSTERILER!$B$7:$B$106,0)),"TANIMSIZ MÜŞTERİ"))</f>
        <v/>
      </c>
      <c r="F228" s="108" t="n"/>
      <c r="G228" s="107" t="n"/>
      <c r="H228" s="114" t="n"/>
      <c r="I228" s="114" t="n"/>
      <c r="J228" s="107" t="n"/>
      <c r="K228" s="107" t="n"/>
      <c r="L228" s="108" t="n"/>
      <c r="M228" s="108" t="n"/>
      <c r="N228" s="108" t="n"/>
      <c r="O228" s="114" t="n"/>
      <c r="P228" s="120">
        <f>IF(OR($D228="",$I228=""),"",IF(OR($J228="Tamamlandı",$J228="İptal"),"",$I228-TODAY()))</f>
        <v/>
      </c>
      <c r="Q228" s="112">
        <f>IF($D228="","",IF($E228="TANIMSIZ MÜŞTERİ","HATA",IF(OR($J228="Tamamlandı",$J228="İptal"),"KAPALI",IF(AND($C228="Görüşme",$N228=""),"SONRAKİ İŞLEM EKSİK",IF($I228="","TARİH EKSİK",IF($I228&lt;TODAY(),"GECİKMİŞ",IF($I228=TODAY(),"BUGÜN",IF($I228&lt;=TODAY()+7,"7 GÜN İÇİNDE","PLANLI"))))))))</f>
        <v/>
      </c>
      <c r="R228" s="6" t="n"/>
      <c r="S228" s="6" t="n"/>
    </row>
    <row r="229">
      <c r="A229" s="6" t="n"/>
      <c r="B229" s="112">
        <f>IF($D229="","","A"&amp;TEXT(ROW()-6,"00000"))</f>
        <v/>
      </c>
      <c r="C229" s="107" t="n"/>
      <c r="D229" s="107" t="n"/>
      <c r="E229" s="113">
        <f>IF($D229="","",IFERROR(INDEX(MUSTERILER!$C$7:$C$106,MATCH($D229,MUSTERILER!$B$7:$B$106,0)),"TANIMSIZ MÜŞTERİ"))</f>
        <v/>
      </c>
      <c r="F229" s="108" t="n"/>
      <c r="G229" s="107" t="n"/>
      <c r="H229" s="114" t="n"/>
      <c r="I229" s="114" t="n"/>
      <c r="J229" s="107" t="n"/>
      <c r="K229" s="107" t="n"/>
      <c r="L229" s="108" t="n"/>
      <c r="M229" s="108" t="n"/>
      <c r="N229" s="108" t="n"/>
      <c r="O229" s="114" t="n"/>
      <c r="P229" s="120">
        <f>IF(OR($D229="",$I229=""),"",IF(OR($J229="Tamamlandı",$J229="İptal"),"",$I229-TODAY()))</f>
        <v/>
      </c>
      <c r="Q229" s="112">
        <f>IF($D229="","",IF($E229="TANIMSIZ MÜŞTERİ","HATA",IF(OR($J229="Tamamlandı",$J229="İptal"),"KAPALI",IF(AND($C229="Görüşme",$N229=""),"SONRAKİ İŞLEM EKSİK",IF($I229="","TARİH EKSİK",IF($I229&lt;TODAY(),"GECİKMİŞ",IF($I229=TODAY(),"BUGÜN",IF($I229&lt;=TODAY()+7,"7 GÜN İÇİNDE","PLANLI"))))))))</f>
        <v/>
      </c>
      <c r="R229" s="6" t="n"/>
      <c r="S229" s="6" t="n"/>
    </row>
    <row r="230">
      <c r="A230" s="6" t="n"/>
      <c r="B230" s="112">
        <f>IF($D230="","","A"&amp;TEXT(ROW()-6,"00000"))</f>
        <v/>
      </c>
      <c r="C230" s="107" t="n"/>
      <c r="D230" s="107" t="n"/>
      <c r="E230" s="113">
        <f>IF($D230="","",IFERROR(INDEX(MUSTERILER!$C$7:$C$106,MATCH($D230,MUSTERILER!$B$7:$B$106,0)),"TANIMSIZ MÜŞTERİ"))</f>
        <v/>
      </c>
      <c r="F230" s="108" t="n"/>
      <c r="G230" s="107" t="n"/>
      <c r="H230" s="114" t="n"/>
      <c r="I230" s="114" t="n"/>
      <c r="J230" s="107" t="n"/>
      <c r="K230" s="107" t="n"/>
      <c r="L230" s="108" t="n"/>
      <c r="M230" s="108" t="n"/>
      <c r="N230" s="108" t="n"/>
      <c r="O230" s="114" t="n"/>
      <c r="P230" s="120">
        <f>IF(OR($D230="",$I230=""),"",IF(OR($J230="Tamamlandı",$J230="İptal"),"",$I230-TODAY()))</f>
        <v/>
      </c>
      <c r="Q230" s="112">
        <f>IF($D230="","",IF($E230="TANIMSIZ MÜŞTERİ","HATA",IF(OR($J230="Tamamlandı",$J230="İptal"),"KAPALI",IF(AND($C230="Görüşme",$N230=""),"SONRAKİ İŞLEM EKSİK",IF($I230="","TARİH EKSİK",IF($I230&lt;TODAY(),"GECİKMİŞ",IF($I230=TODAY(),"BUGÜN",IF($I230&lt;=TODAY()+7,"7 GÜN İÇİNDE","PLANLI"))))))))</f>
        <v/>
      </c>
      <c r="R230" s="6" t="n"/>
      <c r="S230" s="6" t="n"/>
    </row>
    <row r="231">
      <c r="A231" s="6" t="n"/>
      <c r="B231" s="112">
        <f>IF($D231="","","A"&amp;TEXT(ROW()-6,"00000"))</f>
        <v/>
      </c>
      <c r="C231" s="107" t="n"/>
      <c r="D231" s="107" t="n"/>
      <c r="E231" s="113">
        <f>IF($D231="","",IFERROR(INDEX(MUSTERILER!$C$7:$C$106,MATCH($D231,MUSTERILER!$B$7:$B$106,0)),"TANIMSIZ MÜŞTERİ"))</f>
        <v/>
      </c>
      <c r="F231" s="108" t="n"/>
      <c r="G231" s="107" t="n"/>
      <c r="H231" s="114" t="n"/>
      <c r="I231" s="114" t="n"/>
      <c r="J231" s="107" t="n"/>
      <c r="K231" s="107" t="n"/>
      <c r="L231" s="108" t="n"/>
      <c r="M231" s="108" t="n"/>
      <c r="N231" s="108" t="n"/>
      <c r="O231" s="114" t="n"/>
      <c r="P231" s="120">
        <f>IF(OR($D231="",$I231=""),"",IF(OR($J231="Tamamlandı",$J231="İptal"),"",$I231-TODAY()))</f>
        <v/>
      </c>
      <c r="Q231" s="112">
        <f>IF($D231="","",IF($E231="TANIMSIZ MÜŞTERİ","HATA",IF(OR($J231="Tamamlandı",$J231="İptal"),"KAPALI",IF(AND($C231="Görüşme",$N231=""),"SONRAKİ İŞLEM EKSİK",IF($I231="","TARİH EKSİK",IF($I231&lt;TODAY(),"GECİKMİŞ",IF($I231=TODAY(),"BUGÜN",IF($I231&lt;=TODAY()+7,"7 GÜN İÇİNDE","PLANLI"))))))))</f>
        <v/>
      </c>
      <c r="R231" s="6" t="n"/>
      <c r="S231" s="6" t="n"/>
    </row>
    <row r="232">
      <c r="A232" s="6" t="n"/>
      <c r="B232" s="112">
        <f>IF($D232="","","A"&amp;TEXT(ROW()-6,"00000"))</f>
        <v/>
      </c>
      <c r="C232" s="107" t="n"/>
      <c r="D232" s="107" t="n"/>
      <c r="E232" s="113">
        <f>IF($D232="","",IFERROR(INDEX(MUSTERILER!$C$7:$C$106,MATCH($D232,MUSTERILER!$B$7:$B$106,0)),"TANIMSIZ MÜŞTERİ"))</f>
        <v/>
      </c>
      <c r="F232" s="108" t="n"/>
      <c r="G232" s="107" t="n"/>
      <c r="H232" s="114" t="n"/>
      <c r="I232" s="114" t="n"/>
      <c r="J232" s="107" t="n"/>
      <c r="K232" s="107" t="n"/>
      <c r="L232" s="108" t="n"/>
      <c r="M232" s="108" t="n"/>
      <c r="N232" s="108" t="n"/>
      <c r="O232" s="114" t="n"/>
      <c r="P232" s="120">
        <f>IF(OR($D232="",$I232=""),"",IF(OR($J232="Tamamlandı",$J232="İptal"),"",$I232-TODAY()))</f>
        <v/>
      </c>
      <c r="Q232" s="112">
        <f>IF($D232="","",IF($E232="TANIMSIZ MÜŞTERİ","HATA",IF(OR($J232="Tamamlandı",$J232="İptal"),"KAPALI",IF(AND($C232="Görüşme",$N232=""),"SONRAKİ İŞLEM EKSİK",IF($I232="","TARİH EKSİK",IF($I232&lt;TODAY(),"GECİKMİŞ",IF($I232=TODAY(),"BUGÜN",IF($I232&lt;=TODAY()+7,"7 GÜN İÇİNDE","PLANLI"))))))))</f>
        <v/>
      </c>
      <c r="R232" s="6" t="n"/>
      <c r="S232" s="6" t="n"/>
    </row>
    <row r="233">
      <c r="A233" s="6" t="n"/>
      <c r="B233" s="112">
        <f>IF($D233="","","A"&amp;TEXT(ROW()-6,"00000"))</f>
        <v/>
      </c>
      <c r="C233" s="107" t="n"/>
      <c r="D233" s="107" t="n"/>
      <c r="E233" s="113">
        <f>IF($D233="","",IFERROR(INDEX(MUSTERILER!$C$7:$C$106,MATCH($D233,MUSTERILER!$B$7:$B$106,0)),"TANIMSIZ MÜŞTERİ"))</f>
        <v/>
      </c>
      <c r="F233" s="108" t="n"/>
      <c r="G233" s="107" t="n"/>
      <c r="H233" s="114" t="n"/>
      <c r="I233" s="114" t="n"/>
      <c r="J233" s="107" t="n"/>
      <c r="K233" s="107" t="n"/>
      <c r="L233" s="108" t="n"/>
      <c r="M233" s="108" t="n"/>
      <c r="N233" s="108" t="n"/>
      <c r="O233" s="114" t="n"/>
      <c r="P233" s="120">
        <f>IF(OR($D233="",$I233=""),"",IF(OR($J233="Tamamlandı",$J233="İptal"),"",$I233-TODAY()))</f>
        <v/>
      </c>
      <c r="Q233" s="112">
        <f>IF($D233="","",IF($E233="TANIMSIZ MÜŞTERİ","HATA",IF(OR($J233="Tamamlandı",$J233="İptal"),"KAPALI",IF(AND($C233="Görüşme",$N233=""),"SONRAKİ İŞLEM EKSİK",IF($I233="","TARİH EKSİK",IF($I233&lt;TODAY(),"GECİKMİŞ",IF($I233=TODAY(),"BUGÜN",IF($I233&lt;=TODAY()+7,"7 GÜN İÇİNDE","PLANLI"))))))))</f>
        <v/>
      </c>
      <c r="R233" s="6" t="n"/>
      <c r="S233" s="6" t="n"/>
    </row>
    <row r="234">
      <c r="A234" s="6" t="n"/>
      <c r="B234" s="112">
        <f>IF($D234="","","A"&amp;TEXT(ROW()-6,"00000"))</f>
        <v/>
      </c>
      <c r="C234" s="107" t="n"/>
      <c r="D234" s="107" t="n"/>
      <c r="E234" s="113">
        <f>IF($D234="","",IFERROR(INDEX(MUSTERILER!$C$7:$C$106,MATCH($D234,MUSTERILER!$B$7:$B$106,0)),"TANIMSIZ MÜŞTERİ"))</f>
        <v/>
      </c>
      <c r="F234" s="108" t="n"/>
      <c r="G234" s="107" t="n"/>
      <c r="H234" s="114" t="n"/>
      <c r="I234" s="114" t="n"/>
      <c r="J234" s="107" t="n"/>
      <c r="K234" s="107" t="n"/>
      <c r="L234" s="108" t="n"/>
      <c r="M234" s="108" t="n"/>
      <c r="N234" s="108" t="n"/>
      <c r="O234" s="114" t="n"/>
      <c r="P234" s="120">
        <f>IF(OR($D234="",$I234=""),"",IF(OR($J234="Tamamlandı",$J234="İptal"),"",$I234-TODAY()))</f>
        <v/>
      </c>
      <c r="Q234" s="112">
        <f>IF($D234="","",IF($E234="TANIMSIZ MÜŞTERİ","HATA",IF(OR($J234="Tamamlandı",$J234="İptal"),"KAPALI",IF(AND($C234="Görüşme",$N234=""),"SONRAKİ İŞLEM EKSİK",IF($I234="","TARİH EKSİK",IF($I234&lt;TODAY(),"GECİKMİŞ",IF($I234=TODAY(),"BUGÜN",IF($I234&lt;=TODAY()+7,"7 GÜN İÇİNDE","PLANLI"))))))))</f>
        <v/>
      </c>
      <c r="R234" s="6" t="n"/>
      <c r="S234" s="6" t="n"/>
    </row>
    <row r="235">
      <c r="A235" s="6" t="n"/>
      <c r="B235" s="112">
        <f>IF($D235="","","A"&amp;TEXT(ROW()-6,"00000"))</f>
        <v/>
      </c>
      <c r="C235" s="107" t="n"/>
      <c r="D235" s="107" t="n"/>
      <c r="E235" s="113">
        <f>IF($D235="","",IFERROR(INDEX(MUSTERILER!$C$7:$C$106,MATCH($D235,MUSTERILER!$B$7:$B$106,0)),"TANIMSIZ MÜŞTERİ"))</f>
        <v/>
      </c>
      <c r="F235" s="108" t="n"/>
      <c r="G235" s="107" t="n"/>
      <c r="H235" s="114" t="n"/>
      <c r="I235" s="114" t="n"/>
      <c r="J235" s="107" t="n"/>
      <c r="K235" s="107" t="n"/>
      <c r="L235" s="108" t="n"/>
      <c r="M235" s="108" t="n"/>
      <c r="N235" s="108" t="n"/>
      <c r="O235" s="114" t="n"/>
      <c r="P235" s="120">
        <f>IF(OR($D235="",$I235=""),"",IF(OR($J235="Tamamlandı",$J235="İptal"),"",$I235-TODAY()))</f>
        <v/>
      </c>
      <c r="Q235" s="112">
        <f>IF($D235="","",IF($E235="TANIMSIZ MÜŞTERİ","HATA",IF(OR($J235="Tamamlandı",$J235="İptal"),"KAPALI",IF(AND($C235="Görüşme",$N235=""),"SONRAKİ İŞLEM EKSİK",IF($I235="","TARİH EKSİK",IF($I235&lt;TODAY(),"GECİKMİŞ",IF($I235=TODAY(),"BUGÜN",IF($I235&lt;=TODAY()+7,"7 GÜN İÇİNDE","PLANLI"))))))))</f>
        <v/>
      </c>
      <c r="R235" s="6" t="n"/>
      <c r="S235" s="6" t="n"/>
    </row>
    <row r="236">
      <c r="A236" s="6" t="n"/>
      <c r="B236" s="112">
        <f>IF($D236="","","A"&amp;TEXT(ROW()-6,"00000"))</f>
        <v/>
      </c>
      <c r="C236" s="107" t="n"/>
      <c r="D236" s="107" t="n"/>
      <c r="E236" s="113">
        <f>IF($D236="","",IFERROR(INDEX(MUSTERILER!$C$7:$C$106,MATCH($D236,MUSTERILER!$B$7:$B$106,0)),"TANIMSIZ MÜŞTERİ"))</f>
        <v/>
      </c>
      <c r="F236" s="108" t="n"/>
      <c r="G236" s="107" t="n"/>
      <c r="H236" s="114" t="n"/>
      <c r="I236" s="114" t="n"/>
      <c r="J236" s="107" t="n"/>
      <c r="K236" s="107" t="n"/>
      <c r="L236" s="108" t="n"/>
      <c r="M236" s="108" t="n"/>
      <c r="N236" s="108" t="n"/>
      <c r="O236" s="114" t="n"/>
      <c r="P236" s="120">
        <f>IF(OR($D236="",$I236=""),"",IF(OR($J236="Tamamlandı",$J236="İptal"),"",$I236-TODAY()))</f>
        <v/>
      </c>
      <c r="Q236" s="112">
        <f>IF($D236="","",IF($E236="TANIMSIZ MÜŞTERİ","HATA",IF(OR($J236="Tamamlandı",$J236="İptal"),"KAPALI",IF(AND($C236="Görüşme",$N236=""),"SONRAKİ İŞLEM EKSİK",IF($I236="","TARİH EKSİK",IF($I236&lt;TODAY(),"GECİKMİŞ",IF($I236=TODAY(),"BUGÜN",IF($I236&lt;=TODAY()+7,"7 GÜN İÇİNDE","PLANLI"))))))))</f>
        <v/>
      </c>
      <c r="R236" s="6" t="n"/>
      <c r="S236" s="6" t="n"/>
    </row>
    <row r="237">
      <c r="A237" s="6" t="n"/>
      <c r="B237" s="112">
        <f>IF($D237="","","A"&amp;TEXT(ROW()-6,"00000"))</f>
        <v/>
      </c>
      <c r="C237" s="107" t="n"/>
      <c r="D237" s="107" t="n"/>
      <c r="E237" s="113">
        <f>IF($D237="","",IFERROR(INDEX(MUSTERILER!$C$7:$C$106,MATCH($D237,MUSTERILER!$B$7:$B$106,0)),"TANIMSIZ MÜŞTERİ"))</f>
        <v/>
      </c>
      <c r="F237" s="108" t="n"/>
      <c r="G237" s="107" t="n"/>
      <c r="H237" s="114" t="n"/>
      <c r="I237" s="114" t="n"/>
      <c r="J237" s="107" t="n"/>
      <c r="K237" s="107" t="n"/>
      <c r="L237" s="108" t="n"/>
      <c r="M237" s="108" t="n"/>
      <c r="N237" s="108" t="n"/>
      <c r="O237" s="114" t="n"/>
      <c r="P237" s="120">
        <f>IF(OR($D237="",$I237=""),"",IF(OR($J237="Tamamlandı",$J237="İptal"),"",$I237-TODAY()))</f>
        <v/>
      </c>
      <c r="Q237" s="112">
        <f>IF($D237="","",IF($E237="TANIMSIZ MÜŞTERİ","HATA",IF(OR($J237="Tamamlandı",$J237="İptal"),"KAPALI",IF(AND($C237="Görüşme",$N237=""),"SONRAKİ İŞLEM EKSİK",IF($I237="","TARİH EKSİK",IF($I237&lt;TODAY(),"GECİKMİŞ",IF($I237=TODAY(),"BUGÜN",IF($I237&lt;=TODAY()+7,"7 GÜN İÇİNDE","PLANLI"))))))))</f>
        <v/>
      </c>
      <c r="R237" s="6" t="n"/>
      <c r="S237" s="6" t="n"/>
    </row>
    <row r="238">
      <c r="A238" s="6" t="n"/>
      <c r="B238" s="112">
        <f>IF($D238="","","A"&amp;TEXT(ROW()-6,"00000"))</f>
        <v/>
      </c>
      <c r="C238" s="107" t="n"/>
      <c r="D238" s="107" t="n"/>
      <c r="E238" s="113">
        <f>IF($D238="","",IFERROR(INDEX(MUSTERILER!$C$7:$C$106,MATCH($D238,MUSTERILER!$B$7:$B$106,0)),"TANIMSIZ MÜŞTERİ"))</f>
        <v/>
      </c>
      <c r="F238" s="108" t="n"/>
      <c r="G238" s="107" t="n"/>
      <c r="H238" s="114" t="n"/>
      <c r="I238" s="114" t="n"/>
      <c r="J238" s="107" t="n"/>
      <c r="K238" s="107" t="n"/>
      <c r="L238" s="108" t="n"/>
      <c r="M238" s="108" t="n"/>
      <c r="N238" s="108" t="n"/>
      <c r="O238" s="114" t="n"/>
      <c r="P238" s="120">
        <f>IF(OR($D238="",$I238=""),"",IF(OR($J238="Tamamlandı",$J238="İptal"),"",$I238-TODAY()))</f>
        <v/>
      </c>
      <c r="Q238" s="112">
        <f>IF($D238="","",IF($E238="TANIMSIZ MÜŞTERİ","HATA",IF(OR($J238="Tamamlandı",$J238="İptal"),"KAPALI",IF(AND($C238="Görüşme",$N238=""),"SONRAKİ İŞLEM EKSİK",IF($I238="","TARİH EKSİK",IF($I238&lt;TODAY(),"GECİKMİŞ",IF($I238=TODAY(),"BUGÜN",IF($I238&lt;=TODAY()+7,"7 GÜN İÇİNDE","PLANLI"))))))))</f>
        <v/>
      </c>
      <c r="R238" s="6" t="n"/>
      <c r="S238" s="6" t="n"/>
    </row>
    <row r="239">
      <c r="A239" s="6" t="n"/>
      <c r="B239" s="112">
        <f>IF($D239="","","A"&amp;TEXT(ROW()-6,"00000"))</f>
        <v/>
      </c>
      <c r="C239" s="107" t="n"/>
      <c r="D239" s="107" t="n"/>
      <c r="E239" s="113">
        <f>IF($D239="","",IFERROR(INDEX(MUSTERILER!$C$7:$C$106,MATCH($D239,MUSTERILER!$B$7:$B$106,0)),"TANIMSIZ MÜŞTERİ"))</f>
        <v/>
      </c>
      <c r="F239" s="108" t="n"/>
      <c r="G239" s="107" t="n"/>
      <c r="H239" s="114" t="n"/>
      <c r="I239" s="114" t="n"/>
      <c r="J239" s="107" t="n"/>
      <c r="K239" s="107" t="n"/>
      <c r="L239" s="108" t="n"/>
      <c r="M239" s="108" t="n"/>
      <c r="N239" s="108" t="n"/>
      <c r="O239" s="114" t="n"/>
      <c r="P239" s="120">
        <f>IF(OR($D239="",$I239=""),"",IF(OR($J239="Tamamlandı",$J239="İptal"),"",$I239-TODAY()))</f>
        <v/>
      </c>
      <c r="Q239" s="112">
        <f>IF($D239="","",IF($E239="TANIMSIZ MÜŞTERİ","HATA",IF(OR($J239="Tamamlandı",$J239="İptal"),"KAPALI",IF(AND($C239="Görüşme",$N239=""),"SONRAKİ İŞLEM EKSİK",IF($I239="","TARİH EKSİK",IF($I239&lt;TODAY(),"GECİKMİŞ",IF($I239=TODAY(),"BUGÜN",IF($I239&lt;=TODAY()+7,"7 GÜN İÇİNDE","PLANLI"))))))))</f>
        <v/>
      </c>
      <c r="R239" s="6" t="n"/>
      <c r="S239" s="6" t="n"/>
    </row>
    <row r="240">
      <c r="A240" s="6" t="n"/>
      <c r="B240" s="112">
        <f>IF($D240="","","A"&amp;TEXT(ROW()-6,"00000"))</f>
        <v/>
      </c>
      <c r="C240" s="107" t="n"/>
      <c r="D240" s="107" t="n"/>
      <c r="E240" s="113">
        <f>IF($D240="","",IFERROR(INDEX(MUSTERILER!$C$7:$C$106,MATCH($D240,MUSTERILER!$B$7:$B$106,0)),"TANIMSIZ MÜŞTERİ"))</f>
        <v/>
      </c>
      <c r="F240" s="108" t="n"/>
      <c r="G240" s="107" t="n"/>
      <c r="H240" s="114" t="n"/>
      <c r="I240" s="114" t="n"/>
      <c r="J240" s="107" t="n"/>
      <c r="K240" s="107" t="n"/>
      <c r="L240" s="108" t="n"/>
      <c r="M240" s="108" t="n"/>
      <c r="N240" s="108" t="n"/>
      <c r="O240" s="114" t="n"/>
      <c r="P240" s="120">
        <f>IF(OR($D240="",$I240=""),"",IF(OR($J240="Tamamlandı",$J240="İptal"),"",$I240-TODAY()))</f>
        <v/>
      </c>
      <c r="Q240" s="112">
        <f>IF($D240="","",IF($E240="TANIMSIZ MÜŞTERİ","HATA",IF(OR($J240="Tamamlandı",$J240="İptal"),"KAPALI",IF(AND($C240="Görüşme",$N240=""),"SONRAKİ İŞLEM EKSİK",IF($I240="","TARİH EKSİK",IF($I240&lt;TODAY(),"GECİKMİŞ",IF($I240=TODAY(),"BUGÜN",IF($I240&lt;=TODAY()+7,"7 GÜN İÇİNDE","PLANLI"))))))))</f>
        <v/>
      </c>
      <c r="R240" s="6" t="n"/>
      <c r="S240" s="6" t="n"/>
    </row>
    <row r="241">
      <c r="A241" s="6" t="n"/>
      <c r="B241" s="112">
        <f>IF($D241="","","A"&amp;TEXT(ROW()-6,"00000"))</f>
        <v/>
      </c>
      <c r="C241" s="107" t="n"/>
      <c r="D241" s="107" t="n"/>
      <c r="E241" s="113">
        <f>IF($D241="","",IFERROR(INDEX(MUSTERILER!$C$7:$C$106,MATCH($D241,MUSTERILER!$B$7:$B$106,0)),"TANIMSIZ MÜŞTERİ"))</f>
        <v/>
      </c>
      <c r="F241" s="108" t="n"/>
      <c r="G241" s="107" t="n"/>
      <c r="H241" s="114" t="n"/>
      <c r="I241" s="114" t="n"/>
      <c r="J241" s="107" t="n"/>
      <c r="K241" s="107" t="n"/>
      <c r="L241" s="108" t="n"/>
      <c r="M241" s="108" t="n"/>
      <c r="N241" s="108" t="n"/>
      <c r="O241" s="114" t="n"/>
      <c r="P241" s="120">
        <f>IF(OR($D241="",$I241=""),"",IF(OR($J241="Tamamlandı",$J241="İptal"),"",$I241-TODAY()))</f>
        <v/>
      </c>
      <c r="Q241" s="112">
        <f>IF($D241="","",IF($E241="TANIMSIZ MÜŞTERİ","HATA",IF(OR($J241="Tamamlandı",$J241="İptal"),"KAPALI",IF(AND($C241="Görüşme",$N241=""),"SONRAKİ İŞLEM EKSİK",IF($I241="","TARİH EKSİK",IF($I241&lt;TODAY(),"GECİKMİŞ",IF($I241=TODAY(),"BUGÜN",IF($I241&lt;=TODAY()+7,"7 GÜN İÇİNDE","PLANLI"))))))))</f>
        <v/>
      </c>
      <c r="R241" s="6" t="n"/>
      <c r="S241" s="6" t="n"/>
    </row>
    <row r="242">
      <c r="A242" s="6" t="n"/>
      <c r="B242" s="112">
        <f>IF($D242="","","A"&amp;TEXT(ROW()-6,"00000"))</f>
        <v/>
      </c>
      <c r="C242" s="107" t="n"/>
      <c r="D242" s="107" t="n"/>
      <c r="E242" s="113">
        <f>IF($D242="","",IFERROR(INDEX(MUSTERILER!$C$7:$C$106,MATCH($D242,MUSTERILER!$B$7:$B$106,0)),"TANIMSIZ MÜŞTERİ"))</f>
        <v/>
      </c>
      <c r="F242" s="108" t="n"/>
      <c r="G242" s="107" t="n"/>
      <c r="H242" s="114" t="n"/>
      <c r="I242" s="114" t="n"/>
      <c r="J242" s="107" t="n"/>
      <c r="K242" s="107" t="n"/>
      <c r="L242" s="108" t="n"/>
      <c r="M242" s="108" t="n"/>
      <c r="N242" s="108" t="n"/>
      <c r="O242" s="114" t="n"/>
      <c r="P242" s="120">
        <f>IF(OR($D242="",$I242=""),"",IF(OR($J242="Tamamlandı",$J242="İptal"),"",$I242-TODAY()))</f>
        <v/>
      </c>
      <c r="Q242" s="112">
        <f>IF($D242="","",IF($E242="TANIMSIZ MÜŞTERİ","HATA",IF(OR($J242="Tamamlandı",$J242="İptal"),"KAPALI",IF(AND($C242="Görüşme",$N242=""),"SONRAKİ İŞLEM EKSİK",IF($I242="","TARİH EKSİK",IF($I242&lt;TODAY(),"GECİKMİŞ",IF($I242=TODAY(),"BUGÜN",IF($I242&lt;=TODAY()+7,"7 GÜN İÇİNDE","PLANLI"))))))))</f>
        <v/>
      </c>
      <c r="R242" s="6" t="n"/>
      <c r="S242" s="6" t="n"/>
    </row>
    <row r="243">
      <c r="A243" s="6" t="n"/>
      <c r="B243" s="112">
        <f>IF($D243="","","A"&amp;TEXT(ROW()-6,"00000"))</f>
        <v/>
      </c>
      <c r="C243" s="107" t="n"/>
      <c r="D243" s="107" t="n"/>
      <c r="E243" s="113">
        <f>IF($D243="","",IFERROR(INDEX(MUSTERILER!$C$7:$C$106,MATCH($D243,MUSTERILER!$B$7:$B$106,0)),"TANIMSIZ MÜŞTERİ"))</f>
        <v/>
      </c>
      <c r="F243" s="108" t="n"/>
      <c r="G243" s="107" t="n"/>
      <c r="H243" s="114" t="n"/>
      <c r="I243" s="114" t="n"/>
      <c r="J243" s="107" t="n"/>
      <c r="K243" s="107" t="n"/>
      <c r="L243" s="108" t="n"/>
      <c r="M243" s="108" t="n"/>
      <c r="N243" s="108" t="n"/>
      <c r="O243" s="114" t="n"/>
      <c r="P243" s="120">
        <f>IF(OR($D243="",$I243=""),"",IF(OR($J243="Tamamlandı",$J243="İptal"),"",$I243-TODAY()))</f>
        <v/>
      </c>
      <c r="Q243" s="112">
        <f>IF($D243="","",IF($E243="TANIMSIZ MÜŞTERİ","HATA",IF(OR($J243="Tamamlandı",$J243="İptal"),"KAPALI",IF(AND($C243="Görüşme",$N243=""),"SONRAKİ İŞLEM EKSİK",IF($I243="","TARİH EKSİK",IF($I243&lt;TODAY(),"GECİKMİŞ",IF($I243=TODAY(),"BUGÜN",IF($I243&lt;=TODAY()+7,"7 GÜN İÇİNDE","PLANLI"))))))))</f>
        <v/>
      </c>
      <c r="R243" s="6" t="n"/>
      <c r="S243" s="6" t="n"/>
    </row>
    <row r="244">
      <c r="A244" s="6" t="n"/>
      <c r="B244" s="112">
        <f>IF($D244="","","A"&amp;TEXT(ROW()-6,"00000"))</f>
        <v/>
      </c>
      <c r="C244" s="107" t="n"/>
      <c r="D244" s="107" t="n"/>
      <c r="E244" s="113">
        <f>IF($D244="","",IFERROR(INDEX(MUSTERILER!$C$7:$C$106,MATCH($D244,MUSTERILER!$B$7:$B$106,0)),"TANIMSIZ MÜŞTERİ"))</f>
        <v/>
      </c>
      <c r="F244" s="108" t="n"/>
      <c r="G244" s="107" t="n"/>
      <c r="H244" s="114" t="n"/>
      <c r="I244" s="114" t="n"/>
      <c r="J244" s="107" t="n"/>
      <c r="K244" s="107" t="n"/>
      <c r="L244" s="108" t="n"/>
      <c r="M244" s="108" t="n"/>
      <c r="N244" s="108" t="n"/>
      <c r="O244" s="114" t="n"/>
      <c r="P244" s="120">
        <f>IF(OR($D244="",$I244=""),"",IF(OR($J244="Tamamlandı",$J244="İptal"),"",$I244-TODAY()))</f>
        <v/>
      </c>
      <c r="Q244" s="112">
        <f>IF($D244="","",IF($E244="TANIMSIZ MÜŞTERİ","HATA",IF(OR($J244="Tamamlandı",$J244="İptal"),"KAPALI",IF(AND($C244="Görüşme",$N244=""),"SONRAKİ İŞLEM EKSİK",IF($I244="","TARİH EKSİK",IF($I244&lt;TODAY(),"GECİKMİŞ",IF($I244=TODAY(),"BUGÜN",IF($I244&lt;=TODAY()+7,"7 GÜN İÇİNDE","PLANLI"))))))))</f>
        <v/>
      </c>
      <c r="R244" s="6" t="n"/>
      <c r="S244" s="6" t="n"/>
    </row>
    <row r="245">
      <c r="A245" s="6" t="n"/>
      <c r="B245" s="112">
        <f>IF($D245="","","A"&amp;TEXT(ROW()-6,"00000"))</f>
        <v/>
      </c>
      <c r="C245" s="107" t="n"/>
      <c r="D245" s="107" t="n"/>
      <c r="E245" s="113">
        <f>IF($D245="","",IFERROR(INDEX(MUSTERILER!$C$7:$C$106,MATCH($D245,MUSTERILER!$B$7:$B$106,0)),"TANIMSIZ MÜŞTERİ"))</f>
        <v/>
      </c>
      <c r="F245" s="108" t="n"/>
      <c r="G245" s="107" t="n"/>
      <c r="H245" s="114" t="n"/>
      <c r="I245" s="114" t="n"/>
      <c r="J245" s="107" t="n"/>
      <c r="K245" s="107" t="n"/>
      <c r="L245" s="108" t="n"/>
      <c r="M245" s="108" t="n"/>
      <c r="N245" s="108" t="n"/>
      <c r="O245" s="114" t="n"/>
      <c r="P245" s="120">
        <f>IF(OR($D245="",$I245=""),"",IF(OR($J245="Tamamlandı",$J245="İptal"),"",$I245-TODAY()))</f>
        <v/>
      </c>
      <c r="Q245" s="112">
        <f>IF($D245="","",IF($E245="TANIMSIZ MÜŞTERİ","HATA",IF(OR($J245="Tamamlandı",$J245="İptal"),"KAPALI",IF(AND($C245="Görüşme",$N245=""),"SONRAKİ İŞLEM EKSİK",IF($I245="","TARİH EKSİK",IF($I245&lt;TODAY(),"GECİKMİŞ",IF($I245=TODAY(),"BUGÜN",IF($I245&lt;=TODAY()+7,"7 GÜN İÇİNDE","PLANLI"))))))))</f>
        <v/>
      </c>
      <c r="R245" s="6" t="n"/>
      <c r="S245" s="6" t="n"/>
    </row>
    <row r="246">
      <c r="A246" s="6" t="n"/>
      <c r="B246" s="112">
        <f>IF($D246="","","A"&amp;TEXT(ROW()-6,"00000"))</f>
        <v/>
      </c>
      <c r="C246" s="107" t="n"/>
      <c r="D246" s="107" t="n"/>
      <c r="E246" s="113">
        <f>IF($D246="","",IFERROR(INDEX(MUSTERILER!$C$7:$C$106,MATCH($D246,MUSTERILER!$B$7:$B$106,0)),"TANIMSIZ MÜŞTERİ"))</f>
        <v/>
      </c>
      <c r="F246" s="108" t="n"/>
      <c r="G246" s="107" t="n"/>
      <c r="H246" s="114" t="n"/>
      <c r="I246" s="114" t="n"/>
      <c r="J246" s="107" t="n"/>
      <c r="K246" s="107" t="n"/>
      <c r="L246" s="108" t="n"/>
      <c r="M246" s="108" t="n"/>
      <c r="N246" s="108" t="n"/>
      <c r="O246" s="114" t="n"/>
      <c r="P246" s="120">
        <f>IF(OR($D246="",$I246=""),"",IF(OR($J246="Tamamlandı",$J246="İptal"),"",$I246-TODAY()))</f>
        <v/>
      </c>
      <c r="Q246" s="112">
        <f>IF($D246="","",IF($E246="TANIMSIZ MÜŞTERİ","HATA",IF(OR($J246="Tamamlandı",$J246="İptal"),"KAPALI",IF(AND($C246="Görüşme",$N246=""),"SONRAKİ İŞLEM EKSİK",IF($I246="","TARİH EKSİK",IF($I246&lt;TODAY(),"GECİKMİŞ",IF($I246=TODAY(),"BUGÜN",IF($I246&lt;=TODAY()+7,"7 GÜN İÇİNDE","PLANLI"))))))))</f>
        <v/>
      </c>
      <c r="R246" s="6" t="n"/>
      <c r="S246" s="6" t="n"/>
    </row>
    <row r="247">
      <c r="A247" s="6" t="n"/>
      <c r="B247" s="112">
        <f>IF($D247="","","A"&amp;TEXT(ROW()-6,"00000"))</f>
        <v/>
      </c>
      <c r="C247" s="107" t="n"/>
      <c r="D247" s="107" t="n"/>
      <c r="E247" s="113">
        <f>IF($D247="","",IFERROR(INDEX(MUSTERILER!$C$7:$C$106,MATCH($D247,MUSTERILER!$B$7:$B$106,0)),"TANIMSIZ MÜŞTERİ"))</f>
        <v/>
      </c>
      <c r="F247" s="108" t="n"/>
      <c r="G247" s="107" t="n"/>
      <c r="H247" s="114" t="n"/>
      <c r="I247" s="114" t="n"/>
      <c r="J247" s="107" t="n"/>
      <c r="K247" s="107" t="n"/>
      <c r="L247" s="108" t="n"/>
      <c r="M247" s="108" t="n"/>
      <c r="N247" s="108" t="n"/>
      <c r="O247" s="114" t="n"/>
      <c r="P247" s="120">
        <f>IF(OR($D247="",$I247=""),"",IF(OR($J247="Tamamlandı",$J247="İptal"),"",$I247-TODAY()))</f>
        <v/>
      </c>
      <c r="Q247" s="112">
        <f>IF($D247="","",IF($E247="TANIMSIZ MÜŞTERİ","HATA",IF(OR($J247="Tamamlandı",$J247="İptal"),"KAPALI",IF(AND($C247="Görüşme",$N247=""),"SONRAKİ İŞLEM EKSİK",IF($I247="","TARİH EKSİK",IF($I247&lt;TODAY(),"GECİKMİŞ",IF($I247=TODAY(),"BUGÜN",IF($I247&lt;=TODAY()+7,"7 GÜN İÇİNDE","PLANLI"))))))))</f>
        <v/>
      </c>
      <c r="R247" s="6" t="n"/>
      <c r="S247" s="6" t="n"/>
    </row>
    <row r="248">
      <c r="A248" s="6" t="n"/>
      <c r="B248" s="112">
        <f>IF($D248="","","A"&amp;TEXT(ROW()-6,"00000"))</f>
        <v/>
      </c>
      <c r="C248" s="107" t="n"/>
      <c r="D248" s="107" t="n"/>
      <c r="E248" s="113">
        <f>IF($D248="","",IFERROR(INDEX(MUSTERILER!$C$7:$C$106,MATCH($D248,MUSTERILER!$B$7:$B$106,0)),"TANIMSIZ MÜŞTERİ"))</f>
        <v/>
      </c>
      <c r="F248" s="108" t="n"/>
      <c r="G248" s="107" t="n"/>
      <c r="H248" s="114" t="n"/>
      <c r="I248" s="114" t="n"/>
      <c r="J248" s="107" t="n"/>
      <c r="K248" s="107" t="n"/>
      <c r="L248" s="108" t="n"/>
      <c r="M248" s="108" t="n"/>
      <c r="N248" s="108" t="n"/>
      <c r="O248" s="114" t="n"/>
      <c r="P248" s="120">
        <f>IF(OR($D248="",$I248=""),"",IF(OR($J248="Tamamlandı",$J248="İptal"),"",$I248-TODAY()))</f>
        <v/>
      </c>
      <c r="Q248" s="112">
        <f>IF($D248="","",IF($E248="TANIMSIZ MÜŞTERİ","HATA",IF(OR($J248="Tamamlandı",$J248="İptal"),"KAPALI",IF(AND($C248="Görüşme",$N248=""),"SONRAKİ İŞLEM EKSİK",IF($I248="","TARİH EKSİK",IF($I248&lt;TODAY(),"GECİKMİŞ",IF($I248=TODAY(),"BUGÜN",IF($I248&lt;=TODAY()+7,"7 GÜN İÇİNDE","PLANLI"))))))))</f>
        <v/>
      </c>
      <c r="R248" s="6" t="n"/>
      <c r="S248" s="6" t="n"/>
    </row>
    <row r="249">
      <c r="A249" s="6" t="n"/>
      <c r="B249" s="112">
        <f>IF($D249="","","A"&amp;TEXT(ROW()-6,"00000"))</f>
        <v/>
      </c>
      <c r="C249" s="107" t="n"/>
      <c r="D249" s="107" t="n"/>
      <c r="E249" s="113">
        <f>IF($D249="","",IFERROR(INDEX(MUSTERILER!$C$7:$C$106,MATCH($D249,MUSTERILER!$B$7:$B$106,0)),"TANIMSIZ MÜŞTERİ"))</f>
        <v/>
      </c>
      <c r="F249" s="108" t="n"/>
      <c r="G249" s="107" t="n"/>
      <c r="H249" s="114" t="n"/>
      <c r="I249" s="114" t="n"/>
      <c r="J249" s="107" t="n"/>
      <c r="K249" s="107" t="n"/>
      <c r="L249" s="108" t="n"/>
      <c r="M249" s="108" t="n"/>
      <c r="N249" s="108" t="n"/>
      <c r="O249" s="114" t="n"/>
      <c r="P249" s="120">
        <f>IF(OR($D249="",$I249=""),"",IF(OR($J249="Tamamlandı",$J249="İptal"),"",$I249-TODAY()))</f>
        <v/>
      </c>
      <c r="Q249" s="112">
        <f>IF($D249="","",IF($E249="TANIMSIZ MÜŞTERİ","HATA",IF(OR($J249="Tamamlandı",$J249="İptal"),"KAPALI",IF(AND($C249="Görüşme",$N249=""),"SONRAKİ İŞLEM EKSİK",IF($I249="","TARİH EKSİK",IF($I249&lt;TODAY(),"GECİKMİŞ",IF($I249=TODAY(),"BUGÜN",IF($I249&lt;=TODAY()+7,"7 GÜN İÇİNDE","PLANLI"))))))))</f>
        <v/>
      </c>
      <c r="R249" s="6" t="n"/>
      <c r="S249" s="6" t="n"/>
    </row>
    <row r="250">
      <c r="A250" s="6" t="n"/>
      <c r="B250" s="112">
        <f>IF($D250="","","A"&amp;TEXT(ROW()-6,"00000"))</f>
        <v/>
      </c>
      <c r="C250" s="107" t="n"/>
      <c r="D250" s="107" t="n"/>
      <c r="E250" s="113">
        <f>IF($D250="","",IFERROR(INDEX(MUSTERILER!$C$7:$C$106,MATCH($D250,MUSTERILER!$B$7:$B$106,0)),"TANIMSIZ MÜŞTERİ"))</f>
        <v/>
      </c>
      <c r="F250" s="108" t="n"/>
      <c r="G250" s="107" t="n"/>
      <c r="H250" s="114" t="n"/>
      <c r="I250" s="114" t="n"/>
      <c r="J250" s="107" t="n"/>
      <c r="K250" s="107" t="n"/>
      <c r="L250" s="108" t="n"/>
      <c r="M250" s="108" t="n"/>
      <c r="N250" s="108" t="n"/>
      <c r="O250" s="114" t="n"/>
      <c r="P250" s="120">
        <f>IF(OR($D250="",$I250=""),"",IF(OR($J250="Tamamlandı",$J250="İptal"),"",$I250-TODAY()))</f>
        <v/>
      </c>
      <c r="Q250" s="112">
        <f>IF($D250="","",IF($E250="TANIMSIZ MÜŞTERİ","HATA",IF(OR($J250="Tamamlandı",$J250="İptal"),"KAPALI",IF(AND($C250="Görüşme",$N250=""),"SONRAKİ İŞLEM EKSİK",IF($I250="","TARİH EKSİK",IF($I250&lt;TODAY(),"GECİKMİŞ",IF($I250=TODAY(),"BUGÜN",IF($I250&lt;=TODAY()+7,"7 GÜN İÇİNDE","PLANLI"))))))))</f>
        <v/>
      </c>
      <c r="R250" s="6" t="n"/>
      <c r="S250" s="6" t="n"/>
    </row>
    <row r="251">
      <c r="A251" s="6" t="n"/>
      <c r="B251" s="112">
        <f>IF($D251="","","A"&amp;TEXT(ROW()-6,"00000"))</f>
        <v/>
      </c>
      <c r="C251" s="107" t="n"/>
      <c r="D251" s="107" t="n"/>
      <c r="E251" s="113">
        <f>IF($D251="","",IFERROR(INDEX(MUSTERILER!$C$7:$C$106,MATCH($D251,MUSTERILER!$B$7:$B$106,0)),"TANIMSIZ MÜŞTERİ"))</f>
        <v/>
      </c>
      <c r="F251" s="108" t="n"/>
      <c r="G251" s="107" t="n"/>
      <c r="H251" s="114" t="n"/>
      <c r="I251" s="114" t="n"/>
      <c r="J251" s="107" t="n"/>
      <c r="K251" s="107" t="n"/>
      <c r="L251" s="108" t="n"/>
      <c r="M251" s="108" t="n"/>
      <c r="N251" s="108" t="n"/>
      <c r="O251" s="114" t="n"/>
      <c r="P251" s="120">
        <f>IF(OR($D251="",$I251=""),"",IF(OR($J251="Tamamlandı",$J251="İptal"),"",$I251-TODAY()))</f>
        <v/>
      </c>
      <c r="Q251" s="112">
        <f>IF($D251="","",IF($E251="TANIMSIZ MÜŞTERİ","HATA",IF(OR($J251="Tamamlandı",$J251="İptal"),"KAPALI",IF(AND($C251="Görüşme",$N251=""),"SONRAKİ İŞLEM EKSİK",IF($I251="","TARİH EKSİK",IF($I251&lt;TODAY(),"GECİKMİŞ",IF($I251=TODAY(),"BUGÜN",IF($I251&lt;=TODAY()+7,"7 GÜN İÇİNDE","PLANLI"))))))))</f>
        <v/>
      </c>
      <c r="R251" s="6" t="n"/>
      <c r="S251" s="6" t="n"/>
    </row>
    <row r="252">
      <c r="A252" s="6" t="n"/>
      <c r="B252" s="112">
        <f>IF($D252="","","A"&amp;TEXT(ROW()-6,"00000"))</f>
        <v/>
      </c>
      <c r="C252" s="107" t="n"/>
      <c r="D252" s="107" t="n"/>
      <c r="E252" s="113">
        <f>IF($D252="","",IFERROR(INDEX(MUSTERILER!$C$7:$C$106,MATCH($D252,MUSTERILER!$B$7:$B$106,0)),"TANIMSIZ MÜŞTERİ"))</f>
        <v/>
      </c>
      <c r="F252" s="108" t="n"/>
      <c r="G252" s="107" t="n"/>
      <c r="H252" s="114" t="n"/>
      <c r="I252" s="114" t="n"/>
      <c r="J252" s="107" t="n"/>
      <c r="K252" s="107" t="n"/>
      <c r="L252" s="108" t="n"/>
      <c r="M252" s="108" t="n"/>
      <c r="N252" s="108" t="n"/>
      <c r="O252" s="114" t="n"/>
      <c r="P252" s="120">
        <f>IF(OR($D252="",$I252=""),"",IF(OR($J252="Tamamlandı",$J252="İptal"),"",$I252-TODAY()))</f>
        <v/>
      </c>
      <c r="Q252" s="112">
        <f>IF($D252="","",IF($E252="TANIMSIZ MÜŞTERİ","HATA",IF(OR($J252="Tamamlandı",$J252="İptal"),"KAPALI",IF(AND($C252="Görüşme",$N252=""),"SONRAKİ İŞLEM EKSİK",IF($I252="","TARİH EKSİK",IF($I252&lt;TODAY(),"GECİKMİŞ",IF($I252=TODAY(),"BUGÜN",IF($I252&lt;=TODAY()+7,"7 GÜN İÇİNDE","PLANLI"))))))))</f>
        <v/>
      </c>
      <c r="R252" s="6" t="n"/>
      <c r="S252" s="6" t="n"/>
    </row>
    <row r="253">
      <c r="A253" s="6" t="n"/>
      <c r="B253" s="112">
        <f>IF($D253="","","A"&amp;TEXT(ROW()-6,"00000"))</f>
        <v/>
      </c>
      <c r="C253" s="107" t="n"/>
      <c r="D253" s="107" t="n"/>
      <c r="E253" s="113">
        <f>IF($D253="","",IFERROR(INDEX(MUSTERILER!$C$7:$C$106,MATCH($D253,MUSTERILER!$B$7:$B$106,0)),"TANIMSIZ MÜŞTERİ"))</f>
        <v/>
      </c>
      <c r="F253" s="108" t="n"/>
      <c r="G253" s="107" t="n"/>
      <c r="H253" s="114" t="n"/>
      <c r="I253" s="114" t="n"/>
      <c r="J253" s="107" t="n"/>
      <c r="K253" s="107" t="n"/>
      <c r="L253" s="108" t="n"/>
      <c r="M253" s="108" t="n"/>
      <c r="N253" s="108" t="n"/>
      <c r="O253" s="114" t="n"/>
      <c r="P253" s="120">
        <f>IF(OR($D253="",$I253=""),"",IF(OR($J253="Tamamlandı",$J253="İptal"),"",$I253-TODAY()))</f>
        <v/>
      </c>
      <c r="Q253" s="112">
        <f>IF($D253="","",IF($E253="TANIMSIZ MÜŞTERİ","HATA",IF(OR($J253="Tamamlandı",$J253="İptal"),"KAPALI",IF(AND($C253="Görüşme",$N253=""),"SONRAKİ İŞLEM EKSİK",IF($I253="","TARİH EKSİK",IF($I253&lt;TODAY(),"GECİKMİŞ",IF($I253=TODAY(),"BUGÜN",IF($I253&lt;=TODAY()+7,"7 GÜN İÇİNDE","PLANLI"))))))))</f>
        <v/>
      </c>
      <c r="R253" s="6" t="n"/>
      <c r="S253" s="6" t="n"/>
    </row>
    <row r="254">
      <c r="A254" s="6" t="n"/>
      <c r="B254" s="112">
        <f>IF($D254="","","A"&amp;TEXT(ROW()-6,"00000"))</f>
        <v/>
      </c>
      <c r="C254" s="107" t="n"/>
      <c r="D254" s="107" t="n"/>
      <c r="E254" s="113">
        <f>IF($D254="","",IFERROR(INDEX(MUSTERILER!$C$7:$C$106,MATCH($D254,MUSTERILER!$B$7:$B$106,0)),"TANIMSIZ MÜŞTERİ"))</f>
        <v/>
      </c>
      <c r="F254" s="108" t="n"/>
      <c r="G254" s="107" t="n"/>
      <c r="H254" s="114" t="n"/>
      <c r="I254" s="114" t="n"/>
      <c r="J254" s="107" t="n"/>
      <c r="K254" s="107" t="n"/>
      <c r="L254" s="108" t="n"/>
      <c r="M254" s="108" t="n"/>
      <c r="N254" s="108" t="n"/>
      <c r="O254" s="114" t="n"/>
      <c r="P254" s="120">
        <f>IF(OR($D254="",$I254=""),"",IF(OR($J254="Tamamlandı",$J254="İptal"),"",$I254-TODAY()))</f>
        <v/>
      </c>
      <c r="Q254" s="112">
        <f>IF($D254="","",IF($E254="TANIMSIZ MÜŞTERİ","HATA",IF(OR($J254="Tamamlandı",$J254="İptal"),"KAPALI",IF(AND($C254="Görüşme",$N254=""),"SONRAKİ İŞLEM EKSİK",IF($I254="","TARİH EKSİK",IF($I254&lt;TODAY(),"GECİKMİŞ",IF($I254=TODAY(),"BUGÜN",IF($I254&lt;=TODAY()+7,"7 GÜN İÇİNDE","PLANLI"))))))))</f>
        <v/>
      </c>
      <c r="R254" s="6" t="n"/>
      <c r="S254" s="6" t="n"/>
    </row>
    <row r="255">
      <c r="A255" s="6" t="n"/>
      <c r="B255" s="112">
        <f>IF($D255="","","A"&amp;TEXT(ROW()-6,"00000"))</f>
        <v/>
      </c>
      <c r="C255" s="107" t="n"/>
      <c r="D255" s="107" t="n"/>
      <c r="E255" s="113">
        <f>IF($D255="","",IFERROR(INDEX(MUSTERILER!$C$7:$C$106,MATCH($D255,MUSTERILER!$B$7:$B$106,0)),"TANIMSIZ MÜŞTERİ"))</f>
        <v/>
      </c>
      <c r="F255" s="108" t="n"/>
      <c r="G255" s="107" t="n"/>
      <c r="H255" s="114" t="n"/>
      <c r="I255" s="114" t="n"/>
      <c r="J255" s="107" t="n"/>
      <c r="K255" s="107" t="n"/>
      <c r="L255" s="108" t="n"/>
      <c r="M255" s="108" t="n"/>
      <c r="N255" s="108" t="n"/>
      <c r="O255" s="114" t="n"/>
      <c r="P255" s="120">
        <f>IF(OR($D255="",$I255=""),"",IF(OR($J255="Tamamlandı",$J255="İptal"),"",$I255-TODAY()))</f>
        <v/>
      </c>
      <c r="Q255" s="112">
        <f>IF($D255="","",IF($E255="TANIMSIZ MÜŞTERİ","HATA",IF(OR($J255="Tamamlandı",$J255="İptal"),"KAPALI",IF(AND($C255="Görüşme",$N255=""),"SONRAKİ İŞLEM EKSİK",IF($I255="","TARİH EKSİK",IF($I255&lt;TODAY(),"GECİKMİŞ",IF($I255=TODAY(),"BUGÜN",IF($I255&lt;=TODAY()+7,"7 GÜN İÇİNDE","PLANLI"))))))))</f>
        <v/>
      </c>
      <c r="R255" s="6" t="n"/>
      <c r="S255" s="6" t="n"/>
    </row>
    <row r="256">
      <c r="A256" s="6" t="n"/>
      <c r="B256" s="112">
        <f>IF($D256="","","A"&amp;TEXT(ROW()-6,"00000"))</f>
        <v/>
      </c>
      <c r="C256" s="107" t="n"/>
      <c r="D256" s="107" t="n"/>
      <c r="E256" s="113">
        <f>IF($D256="","",IFERROR(INDEX(MUSTERILER!$C$7:$C$106,MATCH($D256,MUSTERILER!$B$7:$B$106,0)),"TANIMSIZ MÜŞTERİ"))</f>
        <v/>
      </c>
      <c r="F256" s="108" t="n"/>
      <c r="G256" s="107" t="n"/>
      <c r="H256" s="114" t="n"/>
      <c r="I256" s="114" t="n"/>
      <c r="J256" s="107" t="n"/>
      <c r="K256" s="107" t="n"/>
      <c r="L256" s="108" t="n"/>
      <c r="M256" s="108" t="n"/>
      <c r="N256" s="108" t="n"/>
      <c r="O256" s="114" t="n"/>
      <c r="P256" s="120">
        <f>IF(OR($D256="",$I256=""),"",IF(OR($J256="Tamamlandı",$J256="İptal"),"",$I256-TODAY()))</f>
        <v/>
      </c>
      <c r="Q256" s="112">
        <f>IF($D256="","",IF($E256="TANIMSIZ MÜŞTERİ","HATA",IF(OR($J256="Tamamlandı",$J256="İptal"),"KAPALI",IF(AND($C256="Görüşme",$N256=""),"SONRAKİ İŞLEM EKSİK",IF($I256="","TARİH EKSİK",IF($I256&lt;TODAY(),"GECİKMİŞ",IF($I256=TODAY(),"BUGÜN",IF($I256&lt;=TODAY()+7,"7 GÜN İÇİNDE","PLANLI"))))))))</f>
        <v/>
      </c>
      <c r="R256" s="6" t="n"/>
      <c r="S256" s="6" t="n"/>
    </row>
    <row r="257">
      <c r="A257" s="6" t="n"/>
      <c r="B257" s="112">
        <f>IF($D257="","","A"&amp;TEXT(ROW()-6,"00000"))</f>
        <v/>
      </c>
      <c r="C257" s="107" t="n"/>
      <c r="D257" s="107" t="n"/>
      <c r="E257" s="113">
        <f>IF($D257="","",IFERROR(INDEX(MUSTERILER!$C$7:$C$106,MATCH($D257,MUSTERILER!$B$7:$B$106,0)),"TANIMSIZ MÜŞTERİ"))</f>
        <v/>
      </c>
      <c r="F257" s="108" t="n"/>
      <c r="G257" s="107" t="n"/>
      <c r="H257" s="114" t="n"/>
      <c r="I257" s="114" t="n"/>
      <c r="J257" s="107" t="n"/>
      <c r="K257" s="107" t="n"/>
      <c r="L257" s="108" t="n"/>
      <c r="M257" s="108" t="n"/>
      <c r="N257" s="108" t="n"/>
      <c r="O257" s="114" t="n"/>
      <c r="P257" s="120">
        <f>IF(OR($D257="",$I257=""),"",IF(OR($J257="Tamamlandı",$J257="İptal"),"",$I257-TODAY()))</f>
        <v/>
      </c>
      <c r="Q257" s="112">
        <f>IF($D257="","",IF($E257="TANIMSIZ MÜŞTERİ","HATA",IF(OR($J257="Tamamlandı",$J257="İptal"),"KAPALI",IF(AND($C257="Görüşme",$N257=""),"SONRAKİ İŞLEM EKSİK",IF($I257="","TARİH EKSİK",IF($I257&lt;TODAY(),"GECİKMİŞ",IF($I257=TODAY(),"BUGÜN",IF($I257&lt;=TODAY()+7,"7 GÜN İÇİNDE","PLANLI"))))))))</f>
        <v/>
      </c>
      <c r="R257" s="6" t="n"/>
      <c r="S257" s="6" t="n"/>
    </row>
    <row r="258">
      <c r="A258" s="6" t="n"/>
      <c r="B258" s="112">
        <f>IF($D258="","","A"&amp;TEXT(ROW()-6,"00000"))</f>
        <v/>
      </c>
      <c r="C258" s="107" t="n"/>
      <c r="D258" s="107" t="n"/>
      <c r="E258" s="113">
        <f>IF($D258="","",IFERROR(INDEX(MUSTERILER!$C$7:$C$106,MATCH($D258,MUSTERILER!$B$7:$B$106,0)),"TANIMSIZ MÜŞTERİ"))</f>
        <v/>
      </c>
      <c r="F258" s="108" t="n"/>
      <c r="G258" s="107" t="n"/>
      <c r="H258" s="114" t="n"/>
      <c r="I258" s="114" t="n"/>
      <c r="J258" s="107" t="n"/>
      <c r="K258" s="107" t="n"/>
      <c r="L258" s="108" t="n"/>
      <c r="M258" s="108" t="n"/>
      <c r="N258" s="108" t="n"/>
      <c r="O258" s="114" t="n"/>
      <c r="P258" s="120">
        <f>IF(OR($D258="",$I258=""),"",IF(OR($J258="Tamamlandı",$J258="İptal"),"",$I258-TODAY()))</f>
        <v/>
      </c>
      <c r="Q258" s="112">
        <f>IF($D258="","",IF($E258="TANIMSIZ MÜŞTERİ","HATA",IF(OR($J258="Tamamlandı",$J258="İptal"),"KAPALI",IF(AND($C258="Görüşme",$N258=""),"SONRAKİ İŞLEM EKSİK",IF($I258="","TARİH EKSİK",IF($I258&lt;TODAY(),"GECİKMİŞ",IF($I258=TODAY(),"BUGÜN",IF($I258&lt;=TODAY()+7,"7 GÜN İÇİNDE","PLANLI"))))))))</f>
        <v/>
      </c>
      <c r="R258" s="6" t="n"/>
      <c r="S258" s="6" t="n"/>
    </row>
    <row r="259">
      <c r="A259" s="6" t="n"/>
      <c r="B259" s="112">
        <f>IF($D259="","","A"&amp;TEXT(ROW()-6,"00000"))</f>
        <v/>
      </c>
      <c r="C259" s="107" t="n"/>
      <c r="D259" s="107" t="n"/>
      <c r="E259" s="113">
        <f>IF($D259="","",IFERROR(INDEX(MUSTERILER!$C$7:$C$106,MATCH($D259,MUSTERILER!$B$7:$B$106,0)),"TANIMSIZ MÜŞTERİ"))</f>
        <v/>
      </c>
      <c r="F259" s="108" t="n"/>
      <c r="G259" s="107" t="n"/>
      <c r="H259" s="114" t="n"/>
      <c r="I259" s="114" t="n"/>
      <c r="J259" s="107" t="n"/>
      <c r="K259" s="107" t="n"/>
      <c r="L259" s="108" t="n"/>
      <c r="M259" s="108" t="n"/>
      <c r="N259" s="108" t="n"/>
      <c r="O259" s="114" t="n"/>
      <c r="P259" s="120">
        <f>IF(OR($D259="",$I259=""),"",IF(OR($J259="Tamamlandı",$J259="İptal"),"",$I259-TODAY()))</f>
        <v/>
      </c>
      <c r="Q259" s="112">
        <f>IF($D259="","",IF($E259="TANIMSIZ MÜŞTERİ","HATA",IF(OR($J259="Tamamlandı",$J259="İptal"),"KAPALI",IF(AND($C259="Görüşme",$N259=""),"SONRAKİ İŞLEM EKSİK",IF($I259="","TARİH EKSİK",IF($I259&lt;TODAY(),"GECİKMİŞ",IF($I259=TODAY(),"BUGÜN",IF($I259&lt;=TODAY()+7,"7 GÜN İÇİNDE","PLANLI"))))))))</f>
        <v/>
      </c>
      <c r="R259" s="6" t="n"/>
      <c r="S259" s="6" t="n"/>
    </row>
    <row r="260">
      <c r="A260" s="6" t="n"/>
      <c r="B260" s="112">
        <f>IF($D260="","","A"&amp;TEXT(ROW()-6,"00000"))</f>
        <v/>
      </c>
      <c r="C260" s="107" t="n"/>
      <c r="D260" s="107" t="n"/>
      <c r="E260" s="113">
        <f>IF($D260="","",IFERROR(INDEX(MUSTERILER!$C$7:$C$106,MATCH($D260,MUSTERILER!$B$7:$B$106,0)),"TANIMSIZ MÜŞTERİ"))</f>
        <v/>
      </c>
      <c r="F260" s="108" t="n"/>
      <c r="G260" s="107" t="n"/>
      <c r="H260" s="114" t="n"/>
      <c r="I260" s="114" t="n"/>
      <c r="J260" s="107" t="n"/>
      <c r="K260" s="107" t="n"/>
      <c r="L260" s="108" t="n"/>
      <c r="M260" s="108" t="n"/>
      <c r="N260" s="108" t="n"/>
      <c r="O260" s="114" t="n"/>
      <c r="P260" s="120">
        <f>IF(OR($D260="",$I260=""),"",IF(OR($J260="Tamamlandı",$J260="İptal"),"",$I260-TODAY()))</f>
        <v/>
      </c>
      <c r="Q260" s="112">
        <f>IF($D260="","",IF($E260="TANIMSIZ MÜŞTERİ","HATA",IF(OR($J260="Tamamlandı",$J260="İptal"),"KAPALI",IF(AND($C260="Görüşme",$N260=""),"SONRAKİ İŞLEM EKSİK",IF($I260="","TARİH EKSİK",IF($I260&lt;TODAY(),"GECİKMİŞ",IF($I260=TODAY(),"BUGÜN",IF($I260&lt;=TODAY()+7,"7 GÜN İÇİNDE","PLANLI"))))))))</f>
        <v/>
      </c>
      <c r="R260" s="6" t="n"/>
      <c r="S260" s="6" t="n"/>
    </row>
    <row r="261">
      <c r="A261" s="6" t="n"/>
      <c r="B261" s="112">
        <f>IF($D261="","","A"&amp;TEXT(ROW()-6,"00000"))</f>
        <v/>
      </c>
      <c r="C261" s="107" t="n"/>
      <c r="D261" s="107" t="n"/>
      <c r="E261" s="113">
        <f>IF($D261="","",IFERROR(INDEX(MUSTERILER!$C$7:$C$106,MATCH($D261,MUSTERILER!$B$7:$B$106,0)),"TANIMSIZ MÜŞTERİ"))</f>
        <v/>
      </c>
      <c r="F261" s="108" t="n"/>
      <c r="G261" s="107" t="n"/>
      <c r="H261" s="114" t="n"/>
      <c r="I261" s="114" t="n"/>
      <c r="J261" s="107" t="n"/>
      <c r="K261" s="107" t="n"/>
      <c r="L261" s="108" t="n"/>
      <c r="M261" s="108" t="n"/>
      <c r="N261" s="108" t="n"/>
      <c r="O261" s="114" t="n"/>
      <c r="P261" s="120">
        <f>IF(OR($D261="",$I261=""),"",IF(OR($J261="Tamamlandı",$J261="İptal"),"",$I261-TODAY()))</f>
        <v/>
      </c>
      <c r="Q261" s="112">
        <f>IF($D261="","",IF($E261="TANIMSIZ MÜŞTERİ","HATA",IF(OR($J261="Tamamlandı",$J261="İptal"),"KAPALI",IF(AND($C261="Görüşme",$N261=""),"SONRAKİ İŞLEM EKSİK",IF($I261="","TARİH EKSİK",IF($I261&lt;TODAY(),"GECİKMİŞ",IF($I261=TODAY(),"BUGÜN",IF($I261&lt;=TODAY()+7,"7 GÜN İÇİNDE","PLANLI"))))))))</f>
        <v/>
      </c>
      <c r="R261" s="6" t="n"/>
      <c r="S261" s="6" t="n"/>
    </row>
    <row r="262">
      <c r="A262" s="6" t="n"/>
      <c r="B262" s="112">
        <f>IF($D262="","","A"&amp;TEXT(ROW()-6,"00000"))</f>
        <v/>
      </c>
      <c r="C262" s="107" t="n"/>
      <c r="D262" s="107" t="n"/>
      <c r="E262" s="113">
        <f>IF($D262="","",IFERROR(INDEX(MUSTERILER!$C$7:$C$106,MATCH($D262,MUSTERILER!$B$7:$B$106,0)),"TANIMSIZ MÜŞTERİ"))</f>
        <v/>
      </c>
      <c r="F262" s="108" t="n"/>
      <c r="G262" s="107" t="n"/>
      <c r="H262" s="114" t="n"/>
      <c r="I262" s="114" t="n"/>
      <c r="J262" s="107" t="n"/>
      <c r="K262" s="107" t="n"/>
      <c r="L262" s="108" t="n"/>
      <c r="M262" s="108" t="n"/>
      <c r="N262" s="108" t="n"/>
      <c r="O262" s="114" t="n"/>
      <c r="P262" s="120">
        <f>IF(OR($D262="",$I262=""),"",IF(OR($J262="Tamamlandı",$J262="İptal"),"",$I262-TODAY()))</f>
        <v/>
      </c>
      <c r="Q262" s="112">
        <f>IF($D262="","",IF($E262="TANIMSIZ MÜŞTERİ","HATA",IF(OR($J262="Tamamlandı",$J262="İptal"),"KAPALI",IF(AND($C262="Görüşme",$N262=""),"SONRAKİ İŞLEM EKSİK",IF($I262="","TARİH EKSİK",IF($I262&lt;TODAY(),"GECİKMİŞ",IF($I262=TODAY(),"BUGÜN",IF($I262&lt;=TODAY()+7,"7 GÜN İÇİNDE","PLANLI"))))))))</f>
        <v/>
      </c>
      <c r="R262" s="6" t="n"/>
      <c r="S262" s="6" t="n"/>
    </row>
    <row r="263">
      <c r="A263" s="6" t="n"/>
      <c r="B263" s="112">
        <f>IF($D263="","","A"&amp;TEXT(ROW()-6,"00000"))</f>
        <v/>
      </c>
      <c r="C263" s="107" t="n"/>
      <c r="D263" s="107" t="n"/>
      <c r="E263" s="113">
        <f>IF($D263="","",IFERROR(INDEX(MUSTERILER!$C$7:$C$106,MATCH($D263,MUSTERILER!$B$7:$B$106,0)),"TANIMSIZ MÜŞTERİ"))</f>
        <v/>
      </c>
      <c r="F263" s="108" t="n"/>
      <c r="G263" s="107" t="n"/>
      <c r="H263" s="114" t="n"/>
      <c r="I263" s="114" t="n"/>
      <c r="J263" s="107" t="n"/>
      <c r="K263" s="107" t="n"/>
      <c r="L263" s="108" t="n"/>
      <c r="M263" s="108" t="n"/>
      <c r="N263" s="108" t="n"/>
      <c r="O263" s="114" t="n"/>
      <c r="P263" s="120">
        <f>IF(OR($D263="",$I263=""),"",IF(OR($J263="Tamamlandı",$J263="İptal"),"",$I263-TODAY()))</f>
        <v/>
      </c>
      <c r="Q263" s="112">
        <f>IF($D263="","",IF($E263="TANIMSIZ MÜŞTERİ","HATA",IF(OR($J263="Tamamlandı",$J263="İptal"),"KAPALI",IF(AND($C263="Görüşme",$N263=""),"SONRAKİ İŞLEM EKSİK",IF($I263="","TARİH EKSİK",IF($I263&lt;TODAY(),"GECİKMİŞ",IF($I263=TODAY(),"BUGÜN",IF($I263&lt;=TODAY()+7,"7 GÜN İÇİNDE","PLANLI"))))))))</f>
        <v/>
      </c>
      <c r="R263" s="6" t="n"/>
      <c r="S263" s="6" t="n"/>
    </row>
    <row r="264">
      <c r="A264" s="6" t="n"/>
      <c r="B264" s="112">
        <f>IF($D264="","","A"&amp;TEXT(ROW()-6,"00000"))</f>
        <v/>
      </c>
      <c r="C264" s="107" t="n"/>
      <c r="D264" s="107" t="n"/>
      <c r="E264" s="113">
        <f>IF($D264="","",IFERROR(INDEX(MUSTERILER!$C$7:$C$106,MATCH($D264,MUSTERILER!$B$7:$B$106,0)),"TANIMSIZ MÜŞTERİ"))</f>
        <v/>
      </c>
      <c r="F264" s="108" t="n"/>
      <c r="G264" s="107" t="n"/>
      <c r="H264" s="114" t="n"/>
      <c r="I264" s="114" t="n"/>
      <c r="J264" s="107" t="n"/>
      <c r="K264" s="107" t="n"/>
      <c r="L264" s="108" t="n"/>
      <c r="M264" s="108" t="n"/>
      <c r="N264" s="108" t="n"/>
      <c r="O264" s="114" t="n"/>
      <c r="P264" s="120">
        <f>IF(OR($D264="",$I264=""),"",IF(OR($J264="Tamamlandı",$J264="İptal"),"",$I264-TODAY()))</f>
        <v/>
      </c>
      <c r="Q264" s="112">
        <f>IF($D264="","",IF($E264="TANIMSIZ MÜŞTERİ","HATA",IF(OR($J264="Tamamlandı",$J264="İptal"),"KAPALI",IF(AND($C264="Görüşme",$N264=""),"SONRAKİ İŞLEM EKSİK",IF($I264="","TARİH EKSİK",IF($I264&lt;TODAY(),"GECİKMİŞ",IF($I264=TODAY(),"BUGÜN",IF($I264&lt;=TODAY()+7,"7 GÜN İÇİNDE","PLANLI"))))))))</f>
        <v/>
      </c>
      <c r="R264" s="6" t="n"/>
      <c r="S264" s="6" t="n"/>
    </row>
    <row r="265">
      <c r="A265" s="6" t="n"/>
      <c r="B265" s="112">
        <f>IF($D265="","","A"&amp;TEXT(ROW()-6,"00000"))</f>
        <v/>
      </c>
      <c r="C265" s="107" t="n"/>
      <c r="D265" s="107" t="n"/>
      <c r="E265" s="113">
        <f>IF($D265="","",IFERROR(INDEX(MUSTERILER!$C$7:$C$106,MATCH($D265,MUSTERILER!$B$7:$B$106,0)),"TANIMSIZ MÜŞTERİ"))</f>
        <v/>
      </c>
      <c r="F265" s="108" t="n"/>
      <c r="G265" s="107" t="n"/>
      <c r="H265" s="114" t="n"/>
      <c r="I265" s="114" t="n"/>
      <c r="J265" s="107" t="n"/>
      <c r="K265" s="107" t="n"/>
      <c r="L265" s="108" t="n"/>
      <c r="M265" s="108" t="n"/>
      <c r="N265" s="108" t="n"/>
      <c r="O265" s="114" t="n"/>
      <c r="P265" s="120">
        <f>IF(OR($D265="",$I265=""),"",IF(OR($J265="Tamamlandı",$J265="İptal"),"",$I265-TODAY()))</f>
        <v/>
      </c>
      <c r="Q265" s="112">
        <f>IF($D265="","",IF($E265="TANIMSIZ MÜŞTERİ","HATA",IF(OR($J265="Tamamlandı",$J265="İptal"),"KAPALI",IF(AND($C265="Görüşme",$N265=""),"SONRAKİ İŞLEM EKSİK",IF($I265="","TARİH EKSİK",IF($I265&lt;TODAY(),"GECİKMİŞ",IF($I265=TODAY(),"BUGÜN",IF($I265&lt;=TODAY()+7,"7 GÜN İÇİNDE","PLANLI"))))))))</f>
        <v/>
      </c>
      <c r="R265" s="6" t="n"/>
      <c r="S265" s="6" t="n"/>
    </row>
    <row r="266">
      <c r="A266" s="6" t="n"/>
      <c r="B266" s="112">
        <f>IF($D266="","","A"&amp;TEXT(ROW()-6,"00000"))</f>
        <v/>
      </c>
      <c r="C266" s="107" t="n"/>
      <c r="D266" s="107" t="n"/>
      <c r="E266" s="113">
        <f>IF($D266="","",IFERROR(INDEX(MUSTERILER!$C$7:$C$106,MATCH($D266,MUSTERILER!$B$7:$B$106,0)),"TANIMSIZ MÜŞTERİ"))</f>
        <v/>
      </c>
      <c r="F266" s="108" t="n"/>
      <c r="G266" s="107" t="n"/>
      <c r="H266" s="114" t="n"/>
      <c r="I266" s="114" t="n"/>
      <c r="J266" s="107" t="n"/>
      <c r="K266" s="107" t="n"/>
      <c r="L266" s="108" t="n"/>
      <c r="M266" s="108" t="n"/>
      <c r="N266" s="108" t="n"/>
      <c r="O266" s="114" t="n"/>
      <c r="P266" s="120">
        <f>IF(OR($D266="",$I266=""),"",IF(OR($J266="Tamamlandı",$J266="İptal"),"",$I266-TODAY()))</f>
        <v/>
      </c>
      <c r="Q266" s="112">
        <f>IF($D266="","",IF($E266="TANIMSIZ MÜŞTERİ","HATA",IF(OR($J266="Tamamlandı",$J266="İptal"),"KAPALI",IF(AND($C266="Görüşme",$N266=""),"SONRAKİ İŞLEM EKSİK",IF($I266="","TARİH EKSİK",IF($I266&lt;TODAY(),"GECİKMİŞ",IF($I266=TODAY(),"BUGÜN",IF($I266&lt;=TODAY()+7,"7 GÜN İÇİNDE","PLANLI"))))))))</f>
        <v/>
      </c>
      <c r="R266" s="6" t="n"/>
      <c r="S266" s="6" t="n"/>
    </row>
    <row r="267">
      <c r="A267" s="6" t="n"/>
      <c r="B267" s="112">
        <f>IF($D267="","","A"&amp;TEXT(ROW()-6,"00000"))</f>
        <v/>
      </c>
      <c r="C267" s="107" t="n"/>
      <c r="D267" s="107" t="n"/>
      <c r="E267" s="113">
        <f>IF($D267="","",IFERROR(INDEX(MUSTERILER!$C$7:$C$106,MATCH($D267,MUSTERILER!$B$7:$B$106,0)),"TANIMSIZ MÜŞTERİ"))</f>
        <v/>
      </c>
      <c r="F267" s="108" t="n"/>
      <c r="G267" s="107" t="n"/>
      <c r="H267" s="114" t="n"/>
      <c r="I267" s="114" t="n"/>
      <c r="J267" s="107" t="n"/>
      <c r="K267" s="107" t="n"/>
      <c r="L267" s="108" t="n"/>
      <c r="M267" s="108" t="n"/>
      <c r="N267" s="108" t="n"/>
      <c r="O267" s="114" t="n"/>
      <c r="P267" s="120">
        <f>IF(OR($D267="",$I267=""),"",IF(OR($J267="Tamamlandı",$J267="İptal"),"",$I267-TODAY()))</f>
        <v/>
      </c>
      <c r="Q267" s="112">
        <f>IF($D267="","",IF($E267="TANIMSIZ MÜŞTERİ","HATA",IF(OR($J267="Tamamlandı",$J267="İptal"),"KAPALI",IF(AND($C267="Görüşme",$N267=""),"SONRAKİ İŞLEM EKSİK",IF($I267="","TARİH EKSİK",IF($I267&lt;TODAY(),"GECİKMİŞ",IF($I267=TODAY(),"BUGÜN",IF($I267&lt;=TODAY()+7,"7 GÜN İÇİNDE","PLANLI"))))))))</f>
        <v/>
      </c>
      <c r="R267" s="6" t="n"/>
      <c r="S267" s="6" t="n"/>
    </row>
    <row r="268">
      <c r="A268" s="6" t="n"/>
      <c r="B268" s="112">
        <f>IF($D268="","","A"&amp;TEXT(ROW()-6,"00000"))</f>
        <v/>
      </c>
      <c r="C268" s="107" t="n"/>
      <c r="D268" s="107" t="n"/>
      <c r="E268" s="113">
        <f>IF($D268="","",IFERROR(INDEX(MUSTERILER!$C$7:$C$106,MATCH($D268,MUSTERILER!$B$7:$B$106,0)),"TANIMSIZ MÜŞTERİ"))</f>
        <v/>
      </c>
      <c r="F268" s="108" t="n"/>
      <c r="G268" s="107" t="n"/>
      <c r="H268" s="114" t="n"/>
      <c r="I268" s="114" t="n"/>
      <c r="J268" s="107" t="n"/>
      <c r="K268" s="107" t="n"/>
      <c r="L268" s="108" t="n"/>
      <c r="M268" s="108" t="n"/>
      <c r="N268" s="108" t="n"/>
      <c r="O268" s="114" t="n"/>
      <c r="P268" s="120">
        <f>IF(OR($D268="",$I268=""),"",IF(OR($J268="Tamamlandı",$J268="İptal"),"",$I268-TODAY()))</f>
        <v/>
      </c>
      <c r="Q268" s="112">
        <f>IF($D268="","",IF($E268="TANIMSIZ MÜŞTERİ","HATA",IF(OR($J268="Tamamlandı",$J268="İptal"),"KAPALI",IF(AND($C268="Görüşme",$N268=""),"SONRAKİ İŞLEM EKSİK",IF($I268="","TARİH EKSİK",IF($I268&lt;TODAY(),"GECİKMİŞ",IF($I268=TODAY(),"BUGÜN",IF($I268&lt;=TODAY()+7,"7 GÜN İÇİNDE","PLANLI"))))))))</f>
        <v/>
      </c>
      <c r="R268" s="6" t="n"/>
      <c r="S268" s="6" t="n"/>
    </row>
    <row r="269">
      <c r="A269" s="6" t="n"/>
      <c r="B269" s="112">
        <f>IF($D269="","","A"&amp;TEXT(ROW()-6,"00000"))</f>
        <v/>
      </c>
      <c r="C269" s="107" t="n"/>
      <c r="D269" s="107" t="n"/>
      <c r="E269" s="113">
        <f>IF($D269="","",IFERROR(INDEX(MUSTERILER!$C$7:$C$106,MATCH($D269,MUSTERILER!$B$7:$B$106,0)),"TANIMSIZ MÜŞTERİ"))</f>
        <v/>
      </c>
      <c r="F269" s="108" t="n"/>
      <c r="G269" s="107" t="n"/>
      <c r="H269" s="114" t="n"/>
      <c r="I269" s="114" t="n"/>
      <c r="J269" s="107" t="n"/>
      <c r="K269" s="107" t="n"/>
      <c r="L269" s="108" t="n"/>
      <c r="M269" s="108" t="n"/>
      <c r="N269" s="108" t="n"/>
      <c r="O269" s="114" t="n"/>
      <c r="P269" s="120">
        <f>IF(OR($D269="",$I269=""),"",IF(OR($J269="Tamamlandı",$J269="İptal"),"",$I269-TODAY()))</f>
        <v/>
      </c>
      <c r="Q269" s="112">
        <f>IF($D269="","",IF($E269="TANIMSIZ MÜŞTERİ","HATA",IF(OR($J269="Tamamlandı",$J269="İptal"),"KAPALI",IF(AND($C269="Görüşme",$N269=""),"SONRAKİ İŞLEM EKSİK",IF($I269="","TARİH EKSİK",IF($I269&lt;TODAY(),"GECİKMİŞ",IF($I269=TODAY(),"BUGÜN",IF($I269&lt;=TODAY()+7,"7 GÜN İÇİNDE","PLANLI"))))))))</f>
        <v/>
      </c>
      <c r="R269" s="6" t="n"/>
      <c r="S269" s="6" t="n"/>
    </row>
    <row r="270">
      <c r="A270" s="6" t="n"/>
      <c r="B270" s="112">
        <f>IF($D270="","","A"&amp;TEXT(ROW()-6,"00000"))</f>
        <v/>
      </c>
      <c r="C270" s="107" t="n"/>
      <c r="D270" s="107" t="n"/>
      <c r="E270" s="113">
        <f>IF($D270="","",IFERROR(INDEX(MUSTERILER!$C$7:$C$106,MATCH($D270,MUSTERILER!$B$7:$B$106,0)),"TANIMSIZ MÜŞTERİ"))</f>
        <v/>
      </c>
      <c r="F270" s="108" t="n"/>
      <c r="G270" s="107" t="n"/>
      <c r="H270" s="114" t="n"/>
      <c r="I270" s="114" t="n"/>
      <c r="J270" s="107" t="n"/>
      <c r="K270" s="107" t="n"/>
      <c r="L270" s="108" t="n"/>
      <c r="M270" s="108" t="n"/>
      <c r="N270" s="108" t="n"/>
      <c r="O270" s="114" t="n"/>
      <c r="P270" s="120">
        <f>IF(OR($D270="",$I270=""),"",IF(OR($J270="Tamamlandı",$J270="İptal"),"",$I270-TODAY()))</f>
        <v/>
      </c>
      <c r="Q270" s="112">
        <f>IF($D270="","",IF($E270="TANIMSIZ MÜŞTERİ","HATA",IF(OR($J270="Tamamlandı",$J270="İptal"),"KAPALI",IF(AND($C270="Görüşme",$N270=""),"SONRAKİ İŞLEM EKSİK",IF($I270="","TARİH EKSİK",IF($I270&lt;TODAY(),"GECİKMİŞ",IF($I270=TODAY(),"BUGÜN",IF($I270&lt;=TODAY()+7,"7 GÜN İÇİNDE","PLANLI"))))))))</f>
        <v/>
      </c>
      <c r="R270" s="6" t="n"/>
      <c r="S270" s="6" t="n"/>
    </row>
    <row r="271">
      <c r="A271" s="6" t="n"/>
      <c r="B271" s="112">
        <f>IF($D271="","","A"&amp;TEXT(ROW()-6,"00000"))</f>
        <v/>
      </c>
      <c r="C271" s="107" t="n"/>
      <c r="D271" s="107" t="n"/>
      <c r="E271" s="113">
        <f>IF($D271="","",IFERROR(INDEX(MUSTERILER!$C$7:$C$106,MATCH($D271,MUSTERILER!$B$7:$B$106,0)),"TANIMSIZ MÜŞTERİ"))</f>
        <v/>
      </c>
      <c r="F271" s="108" t="n"/>
      <c r="G271" s="107" t="n"/>
      <c r="H271" s="114" t="n"/>
      <c r="I271" s="114" t="n"/>
      <c r="J271" s="107" t="n"/>
      <c r="K271" s="107" t="n"/>
      <c r="L271" s="108" t="n"/>
      <c r="M271" s="108" t="n"/>
      <c r="N271" s="108" t="n"/>
      <c r="O271" s="114" t="n"/>
      <c r="P271" s="120">
        <f>IF(OR($D271="",$I271=""),"",IF(OR($J271="Tamamlandı",$J271="İptal"),"",$I271-TODAY()))</f>
        <v/>
      </c>
      <c r="Q271" s="112">
        <f>IF($D271="","",IF($E271="TANIMSIZ MÜŞTERİ","HATA",IF(OR($J271="Tamamlandı",$J271="İptal"),"KAPALI",IF(AND($C271="Görüşme",$N271=""),"SONRAKİ İŞLEM EKSİK",IF($I271="","TARİH EKSİK",IF($I271&lt;TODAY(),"GECİKMİŞ",IF($I271=TODAY(),"BUGÜN",IF($I271&lt;=TODAY()+7,"7 GÜN İÇİNDE","PLANLI"))))))))</f>
        <v/>
      </c>
      <c r="R271" s="6" t="n"/>
      <c r="S271" s="6" t="n"/>
    </row>
    <row r="272">
      <c r="A272" s="6" t="n"/>
      <c r="B272" s="112">
        <f>IF($D272="","","A"&amp;TEXT(ROW()-6,"00000"))</f>
        <v/>
      </c>
      <c r="C272" s="107" t="n"/>
      <c r="D272" s="107" t="n"/>
      <c r="E272" s="113">
        <f>IF($D272="","",IFERROR(INDEX(MUSTERILER!$C$7:$C$106,MATCH($D272,MUSTERILER!$B$7:$B$106,0)),"TANIMSIZ MÜŞTERİ"))</f>
        <v/>
      </c>
      <c r="F272" s="108" t="n"/>
      <c r="G272" s="107" t="n"/>
      <c r="H272" s="114" t="n"/>
      <c r="I272" s="114" t="n"/>
      <c r="J272" s="107" t="n"/>
      <c r="K272" s="107" t="n"/>
      <c r="L272" s="108" t="n"/>
      <c r="M272" s="108" t="n"/>
      <c r="N272" s="108" t="n"/>
      <c r="O272" s="114" t="n"/>
      <c r="P272" s="120">
        <f>IF(OR($D272="",$I272=""),"",IF(OR($J272="Tamamlandı",$J272="İptal"),"",$I272-TODAY()))</f>
        <v/>
      </c>
      <c r="Q272" s="112">
        <f>IF($D272="","",IF($E272="TANIMSIZ MÜŞTERİ","HATA",IF(OR($J272="Tamamlandı",$J272="İptal"),"KAPALI",IF(AND($C272="Görüşme",$N272=""),"SONRAKİ İŞLEM EKSİK",IF($I272="","TARİH EKSİK",IF($I272&lt;TODAY(),"GECİKMİŞ",IF($I272=TODAY(),"BUGÜN",IF($I272&lt;=TODAY()+7,"7 GÜN İÇİNDE","PLANLI"))))))))</f>
        <v/>
      </c>
      <c r="R272" s="6" t="n"/>
      <c r="S272" s="6" t="n"/>
    </row>
    <row r="273">
      <c r="A273" s="6" t="n"/>
      <c r="B273" s="112">
        <f>IF($D273="","","A"&amp;TEXT(ROW()-6,"00000"))</f>
        <v/>
      </c>
      <c r="C273" s="107" t="n"/>
      <c r="D273" s="107" t="n"/>
      <c r="E273" s="113">
        <f>IF($D273="","",IFERROR(INDEX(MUSTERILER!$C$7:$C$106,MATCH($D273,MUSTERILER!$B$7:$B$106,0)),"TANIMSIZ MÜŞTERİ"))</f>
        <v/>
      </c>
      <c r="F273" s="108" t="n"/>
      <c r="G273" s="107" t="n"/>
      <c r="H273" s="114" t="n"/>
      <c r="I273" s="114" t="n"/>
      <c r="J273" s="107" t="n"/>
      <c r="K273" s="107" t="n"/>
      <c r="L273" s="108" t="n"/>
      <c r="M273" s="108" t="n"/>
      <c r="N273" s="108" t="n"/>
      <c r="O273" s="114" t="n"/>
      <c r="P273" s="120">
        <f>IF(OR($D273="",$I273=""),"",IF(OR($J273="Tamamlandı",$J273="İptal"),"",$I273-TODAY()))</f>
        <v/>
      </c>
      <c r="Q273" s="112">
        <f>IF($D273="","",IF($E273="TANIMSIZ MÜŞTERİ","HATA",IF(OR($J273="Tamamlandı",$J273="İptal"),"KAPALI",IF(AND($C273="Görüşme",$N273=""),"SONRAKİ İŞLEM EKSİK",IF($I273="","TARİH EKSİK",IF($I273&lt;TODAY(),"GECİKMİŞ",IF($I273=TODAY(),"BUGÜN",IF($I273&lt;=TODAY()+7,"7 GÜN İÇİNDE","PLANLI"))))))))</f>
        <v/>
      </c>
      <c r="R273" s="6" t="n"/>
      <c r="S273" s="6" t="n"/>
    </row>
    <row r="274">
      <c r="A274" s="6" t="n"/>
      <c r="B274" s="112">
        <f>IF($D274="","","A"&amp;TEXT(ROW()-6,"00000"))</f>
        <v/>
      </c>
      <c r="C274" s="107" t="n"/>
      <c r="D274" s="107" t="n"/>
      <c r="E274" s="113">
        <f>IF($D274="","",IFERROR(INDEX(MUSTERILER!$C$7:$C$106,MATCH($D274,MUSTERILER!$B$7:$B$106,0)),"TANIMSIZ MÜŞTERİ"))</f>
        <v/>
      </c>
      <c r="F274" s="108" t="n"/>
      <c r="G274" s="107" t="n"/>
      <c r="H274" s="114" t="n"/>
      <c r="I274" s="114" t="n"/>
      <c r="J274" s="107" t="n"/>
      <c r="K274" s="107" t="n"/>
      <c r="L274" s="108" t="n"/>
      <c r="M274" s="108" t="n"/>
      <c r="N274" s="108" t="n"/>
      <c r="O274" s="114" t="n"/>
      <c r="P274" s="120">
        <f>IF(OR($D274="",$I274=""),"",IF(OR($J274="Tamamlandı",$J274="İptal"),"",$I274-TODAY()))</f>
        <v/>
      </c>
      <c r="Q274" s="112">
        <f>IF($D274="","",IF($E274="TANIMSIZ MÜŞTERİ","HATA",IF(OR($J274="Tamamlandı",$J274="İptal"),"KAPALI",IF(AND($C274="Görüşme",$N274=""),"SONRAKİ İŞLEM EKSİK",IF($I274="","TARİH EKSİK",IF($I274&lt;TODAY(),"GECİKMİŞ",IF($I274=TODAY(),"BUGÜN",IF($I274&lt;=TODAY()+7,"7 GÜN İÇİNDE","PLANLI"))))))))</f>
        <v/>
      </c>
      <c r="R274" s="6" t="n"/>
      <c r="S274" s="6" t="n"/>
    </row>
    <row r="275">
      <c r="A275" s="6" t="n"/>
      <c r="B275" s="112">
        <f>IF($D275="","","A"&amp;TEXT(ROW()-6,"00000"))</f>
        <v/>
      </c>
      <c r="C275" s="107" t="n"/>
      <c r="D275" s="107" t="n"/>
      <c r="E275" s="113">
        <f>IF($D275="","",IFERROR(INDEX(MUSTERILER!$C$7:$C$106,MATCH($D275,MUSTERILER!$B$7:$B$106,0)),"TANIMSIZ MÜŞTERİ"))</f>
        <v/>
      </c>
      <c r="F275" s="108" t="n"/>
      <c r="G275" s="107" t="n"/>
      <c r="H275" s="114" t="n"/>
      <c r="I275" s="114" t="n"/>
      <c r="J275" s="107" t="n"/>
      <c r="K275" s="107" t="n"/>
      <c r="L275" s="108" t="n"/>
      <c r="M275" s="108" t="n"/>
      <c r="N275" s="108" t="n"/>
      <c r="O275" s="114" t="n"/>
      <c r="P275" s="120">
        <f>IF(OR($D275="",$I275=""),"",IF(OR($J275="Tamamlandı",$J275="İptal"),"",$I275-TODAY()))</f>
        <v/>
      </c>
      <c r="Q275" s="112">
        <f>IF($D275="","",IF($E275="TANIMSIZ MÜŞTERİ","HATA",IF(OR($J275="Tamamlandı",$J275="İptal"),"KAPALI",IF(AND($C275="Görüşme",$N275=""),"SONRAKİ İŞLEM EKSİK",IF($I275="","TARİH EKSİK",IF($I275&lt;TODAY(),"GECİKMİŞ",IF($I275=TODAY(),"BUGÜN",IF($I275&lt;=TODAY()+7,"7 GÜN İÇİNDE","PLANLI"))))))))</f>
        <v/>
      </c>
      <c r="R275" s="6" t="n"/>
      <c r="S275" s="6" t="n"/>
    </row>
    <row r="276">
      <c r="A276" s="6" t="n"/>
      <c r="B276" s="112">
        <f>IF($D276="","","A"&amp;TEXT(ROW()-6,"00000"))</f>
        <v/>
      </c>
      <c r="C276" s="107" t="n"/>
      <c r="D276" s="107" t="n"/>
      <c r="E276" s="113">
        <f>IF($D276="","",IFERROR(INDEX(MUSTERILER!$C$7:$C$106,MATCH($D276,MUSTERILER!$B$7:$B$106,0)),"TANIMSIZ MÜŞTERİ"))</f>
        <v/>
      </c>
      <c r="F276" s="108" t="n"/>
      <c r="G276" s="107" t="n"/>
      <c r="H276" s="114" t="n"/>
      <c r="I276" s="114" t="n"/>
      <c r="J276" s="107" t="n"/>
      <c r="K276" s="107" t="n"/>
      <c r="L276" s="108" t="n"/>
      <c r="M276" s="108" t="n"/>
      <c r="N276" s="108" t="n"/>
      <c r="O276" s="114" t="n"/>
      <c r="P276" s="120">
        <f>IF(OR($D276="",$I276=""),"",IF(OR($J276="Tamamlandı",$J276="İptal"),"",$I276-TODAY()))</f>
        <v/>
      </c>
      <c r="Q276" s="112">
        <f>IF($D276="","",IF($E276="TANIMSIZ MÜŞTERİ","HATA",IF(OR($J276="Tamamlandı",$J276="İptal"),"KAPALI",IF(AND($C276="Görüşme",$N276=""),"SONRAKİ İŞLEM EKSİK",IF($I276="","TARİH EKSİK",IF($I276&lt;TODAY(),"GECİKMİŞ",IF($I276=TODAY(),"BUGÜN",IF($I276&lt;=TODAY()+7,"7 GÜN İÇİNDE","PLANLI"))))))))</f>
        <v/>
      </c>
      <c r="R276" s="6" t="n"/>
      <c r="S276" s="6" t="n"/>
    </row>
    <row r="277">
      <c r="A277" s="6" t="n"/>
      <c r="B277" s="112">
        <f>IF($D277="","","A"&amp;TEXT(ROW()-6,"00000"))</f>
        <v/>
      </c>
      <c r="C277" s="107" t="n"/>
      <c r="D277" s="107" t="n"/>
      <c r="E277" s="113">
        <f>IF($D277="","",IFERROR(INDEX(MUSTERILER!$C$7:$C$106,MATCH($D277,MUSTERILER!$B$7:$B$106,0)),"TANIMSIZ MÜŞTERİ"))</f>
        <v/>
      </c>
      <c r="F277" s="108" t="n"/>
      <c r="G277" s="107" t="n"/>
      <c r="H277" s="114" t="n"/>
      <c r="I277" s="114" t="n"/>
      <c r="J277" s="107" t="n"/>
      <c r="K277" s="107" t="n"/>
      <c r="L277" s="108" t="n"/>
      <c r="M277" s="108" t="n"/>
      <c r="N277" s="108" t="n"/>
      <c r="O277" s="114" t="n"/>
      <c r="P277" s="120">
        <f>IF(OR($D277="",$I277=""),"",IF(OR($J277="Tamamlandı",$J277="İptal"),"",$I277-TODAY()))</f>
        <v/>
      </c>
      <c r="Q277" s="112">
        <f>IF($D277="","",IF($E277="TANIMSIZ MÜŞTERİ","HATA",IF(OR($J277="Tamamlandı",$J277="İptal"),"KAPALI",IF(AND($C277="Görüşme",$N277=""),"SONRAKİ İŞLEM EKSİK",IF($I277="","TARİH EKSİK",IF($I277&lt;TODAY(),"GECİKMİŞ",IF($I277=TODAY(),"BUGÜN",IF($I277&lt;=TODAY()+7,"7 GÜN İÇİNDE","PLANLI"))))))))</f>
        <v/>
      </c>
      <c r="R277" s="6" t="n"/>
      <c r="S277" s="6" t="n"/>
    </row>
    <row r="278">
      <c r="A278" s="6" t="n"/>
      <c r="B278" s="112">
        <f>IF($D278="","","A"&amp;TEXT(ROW()-6,"00000"))</f>
        <v/>
      </c>
      <c r="C278" s="107" t="n"/>
      <c r="D278" s="107" t="n"/>
      <c r="E278" s="113">
        <f>IF($D278="","",IFERROR(INDEX(MUSTERILER!$C$7:$C$106,MATCH($D278,MUSTERILER!$B$7:$B$106,0)),"TANIMSIZ MÜŞTERİ"))</f>
        <v/>
      </c>
      <c r="F278" s="108" t="n"/>
      <c r="G278" s="107" t="n"/>
      <c r="H278" s="114" t="n"/>
      <c r="I278" s="114" t="n"/>
      <c r="J278" s="107" t="n"/>
      <c r="K278" s="107" t="n"/>
      <c r="L278" s="108" t="n"/>
      <c r="M278" s="108" t="n"/>
      <c r="N278" s="108" t="n"/>
      <c r="O278" s="114" t="n"/>
      <c r="P278" s="120">
        <f>IF(OR($D278="",$I278=""),"",IF(OR($J278="Tamamlandı",$J278="İptal"),"",$I278-TODAY()))</f>
        <v/>
      </c>
      <c r="Q278" s="112">
        <f>IF($D278="","",IF($E278="TANIMSIZ MÜŞTERİ","HATA",IF(OR($J278="Tamamlandı",$J278="İptal"),"KAPALI",IF(AND($C278="Görüşme",$N278=""),"SONRAKİ İŞLEM EKSİK",IF($I278="","TARİH EKSİK",IF($I278&lt;TODAY(),"GECİKMİŞ",IF($I278=TODAY(),"BUGÜN",IF($I278&lt;=TODAY()+7,"7 GÜN İÇİNDE","PLANLI"))))))))</f>
        <v/>
      </c>
      <c r="R278" s="6" t="n"/>
      <c r="S278" s="6" t="n"/>
    </row>
    <row r="279">
      <c r="A279" s="6" t="n"/>
      <c r="B279" s="112">
        <f>IF($D279="","","A"&amp;TEXT(ROW()-6,"00000"))</f>
        <v/>
      </c>
      <c r="C279" s="107" t="n"/>
      <c r="D279" s="107" t="n"/>
      <c r="E279" s="113">
        <f>IF($D279="","",IFERROR(INDEX(MUSTERILER!$C$7:$C$106,MATCH($D279,MUSTERILER!$B$7:$B$106,0)),"TANIMSIZ MÜŞTERİ"))</f>
        <v/>
      </c>
      <c r="F279" s="108" t="n"/>
      <c r="G279" s="107" t="n"/>
      <c r="H279" s="114" t="n"/>
      <c r="I279" s="114" t="n"/>
      <c r="J279" s="107" t="n"/>
      <c r="K279" s="107" t="n"/>
      <c r="L279" s="108" t="n"/>
      <c r="M279" s="108" t="n"/>
      <c r="N279" s="108" t="n"/>
      <c r="O279" s="114" t="n"/>
      <c r="P279" s="120">
        <f>IF(OR($D279="",$I279=""),"",IF(OR($J279="Tamamlandı",$J279="İptal"),"",$I279-TODAY()))</f>
        <v/>
      </c>
      <c r="Q279" s="112">
        <f>IF($D279="","",IF($E279="TANIMSIZ MÜŞTERİ","HATA",IF(OR($J279="Tamamlandı",$J279="İptal"),"KAPALI",IF(AND($C279="Görüşme",$N279=""),"SONRAKİ İŞLEM EKSİK",IF($I279="","TARİH EKSİK",IF($I279&lt;TODAY(),"GECİKMİŞ",IF($I279=TODAY(),"BUGÜN",IF($I279&lt;=TODAY()+7,"7 GÜN İÇİNDE","PLANLI"))))))))</f>
        <v/>
      </c>
      <c r="R279" s="6" t="n"/>
      <c r="S279" s="6" t="n"/>
    </row>
    <row r="280">
      <c r="A280" s="6" t="n"/>
      <c r="B280" s="112">
        <f>IF($D280="","","A"&amp;TEXT(ROW()-6,"00000"))</f>
        <v/>
      </c>
      <c r="C280" s="107" t="n"/>
      <c r="D280" s="107" t="n"/>
      <c r="E280" s="113">
        <f>IF($D280="","",IFERROR(INDEX(MUSTERILER!$C$7:$C$106,MATCH($D280,MUSTERILER!$B$7:$B$106,0)),"TANIMSIZ MÜŞTERİ"))</f>
        <v/>
      </c>
      <c r="F280" s="108" t="n"/>
      <c r="G280" s="107" t="n"/>
      <c r="H280" s="114" t="n"/>
      <c r="I280" s="114" t="n"/>
      <c r="J280" s="107" t="n"/>
      <c r="K280" s="107" t="n"/>
      <c r="L280" s="108" t="n"/>
      <c r="M280" s="108" t="n"/>
      <c r="N280" s="108" t="n"/>
      <c r="O280" s="114" t="n"/>
      <c r="P280" s="120">
        <f>IF(OR($D280="",$I280=""),"",IF(OR($J280="Tamamlandı",$J280="İptal"),"",$I280-TODAY()))</f>
        <v/>
      </c>
      <c r="Q280" s="112">
        <f>IF($D280="","",IF($E280="TANIMSIZ MÜŞTERİ","HATA",IF(OR($J280="Tamamlandı",$J280="İptal"),"KAPALI",IF(AND($C280="Görüşme",$N280=""),"SONRAKİ İŞLEM EKSİK",IF($I280="","TARİH EKSİK",IF($I280&lt;TODAY(),"GECİKMİŞ",IF($I280=TODAY(),"BUGÜN",IF($I280&lt;=TODAY()+7,"7 GÜN İÇİNDE","PLANLI"))))))))</f>
        <v/>
      </c>
      <c r="R280" s="6" t="n"/>
      <c r="S280" s="6" t="n"/>
    </row>
    <row r="281">
      <c r="A281" s="6" t="n"/>
      <c r="B281" s="112">
        <f>IF($D281="","","A"&amp;TEXT(ROW()-6,"00000"))</f>
        <v/>
      </c>
      <c r="C281" s="107" t="n"/>
      <c r="D281" s="107" t="n"/>
      <c r="E281" s="113">
        <f>IF($D281="","",IFERROR(INDEX(MUSTERILER!$C$7:$C$106,MATCH($D281,MUSTERILER!$B$7:$B$106,0)),"TANIMSIZ MÜŞTERİ"))</f>
        <v/>
      </c>
      <c r="F281" s="108" t="n"/>
      <c r="G281" s="107" t="n"/>
      <c r="H281" s="114" t="n"/>
      <c r="I281" s="114" t="n"/>
      <c r="J281" s="107" t="n"/>
      <c r="K281" s="107" t="n"/>
      <c r="L281" s="108" t="n"/>
      <c r="M281" s="108" t="n"/>
      <c r="N281" s="108" t="n"/>
      <c r="O281" s="114" t="n"/>
      <c r="P281" s="120">
        <f>IF(OR($D281="",$I281=""),"",IF(OR($J281="Tamamlandı",$J281="İptal"),"",$I281-TODAY()))</f>
        <v/>
      </c>
      <c r="Q281" s="112">
        <f>IF($D281="","",IF($E281="TANIMSIZ MÜŞTERİ","HATA",IF(OR($J281="Tamamlandı",$J281="İptal"),"KAPALI",IF(AND($C281="Görüşme",$N281=""),"SONRAKİ İŞLEM EKSİK",IF($I281="","TARİH EKSİK",IF($I281&lt;TODAY(),"GECİKMİŞ",IF($I281=TODAY(),"BUGÜN",IF($I281&lt;=TODAY()+7,"7 GÜN İÇİNDE","PLANLI"))))))))</f>
        <v/>
      </c>
      <c r="R281" s="6" t="n"/>
      <c r="S281" s="6" t="n"/>
    </row>
    <row r="282">
      <c r="A282" s="6" t="n"/>
      <c r="B282" s="112">
        <f>IF($D282="","","A"&amp;TEXT(ROW()-6,"00000"))</f>
        <v/>
      </c>
      <c r="C282" s="107" t="n"/>
      <c r="D282" s="107" t="n"/>
      <c r="E282" s="113">
        <f>IF($D282="","",IFERROR(INDEX(MUSTERILER!$C$7:$C$106,MATCH($D282,MUSTERILER!$B$7:$B$106,0)),"TANIMSIZ MÜŞTERİ"))</f>
        <v/>
      </c>
      <c r="F282" s="108" t="n"/>
      <c r="G282" s="107" t="n"/>
      <c r="H282" s="114" t="n"/>
      <c r="I282" s="114" t="n"/>
      <c r="J282" s="107" t="n"/>
      <c r="K282" s="107" t="n"/>
      <c r="L282" s="108" t="n"/>
      <c r="M282" s="108" t="n"/>
      <c r="N282" s="108" t="n"/>
      <c r="O282" s="114" t="n"/>
      <c r="P282" s="120">
        <f>IF(OR($D282="",$I282=""),"",IF(OR($J282="Tamamlandı",$J282="İptal"),"",$I282-TODAY()))</f>
        <v/>
      </c>
      <c r="Q282" s="112">
        <f>IF($D282="","",IF($E282="TANIMSIZ MÜŞTERİ","HATA",IF(OR($J282="Tamamlandı",$J282="İptal"),"KAPALI",IF(AND($C282="Görüşme",$N282=""),"SONRAKİ İŞLEM EKSİK",IF($I282="","TARİH EKSİK",IF($I282&lt;TODAY(),"GECİKMİŞ",IF($I282=TODAY(),"BUGÜN",IF($I282&lt;=TODAY()+7,"7 GÜN İÇİNDE","PLANLI"))))))))</f>
        <v/>
      </c>
      <c r="R282" s="6" t="n"/>
      <c r="S282" s="6" t="n"/>
    </row>
    <row r="283">
      <c r="A283" s="6" t="n"/>
      <c r="B283" s="112">
        <f>IF($D283="","","A"&amp;TEXT(ROW()-6,"00000"))</f>
        <v/>
      </c>
      <c r="C283" s="107" t="n"/>
      <c r="D283" s="107" t="n"/>
      <c r="E283" s="113">
        <f>IF($D283="","",IFERROR(INDEX(MUSTERILER!$C$7:$C$106,MATCH($D283,MUSTERILER!$B$7:$B$106,0)),"TANIMSIZ MÜŞTERİ"))</f>
        <v/>
      </c>
      <c r="F283" s="108" t="n"/>
      <c r="G283" s="107" t="n"/>
      <c r="H283" s="114" t="n"/>
      <c r="I283" s="114" t="n"/>
      <c r="J283" s="107" t="n"/>
      <c r="K283" s="107" t="n"/>
      <c r="L283" s="108" t="n"/>
      <c r="M283" s="108" t="n"/>
      <c r="N283" s="108" t="n"/>
      <c r="O283" s="114" t="n"/>
      <c r="P283" s="120">
        <f>IF(OR($D283="",$I283=""),"",IF(OR($J283="Tamamlandı",$J283="İptal"),"",$I283-TODAY()))</f>
        <v/>
      </c>
      <c r="Q283" s="112">
        <f>IF($D283="","",IF($E283="TANIMSIZ MÜŞTERİ","HATA",IF(OR($J283="Tamamlandı",$J283="İptal"),"KAPALI",IF(AND($C283="Görüşme",$N283=""),"SONRAKİ İŞLEM EKSİK",IF($I283="","TARİH EKSİK",IF($I283&lt;TODAY(),"GECİKMİŞ",IF($I283=TODAY(),"BUGÜN",IF($I283&lt;=TODAY()+7,"7 GÜN İÇİNDE","PLANLI"))))))))</f>
        <v/>
      </c>
      <c r="R283" s="6" t="n"/>
      <c r="S283" s="6" t="n"/>
    </row>
    <row r="284">
      <c r="A284" s="6" t="n"/>
      <c r="B284" s="112">
        <f>IF($D284="","","A"&amp;TEXT(ROW()-6,"00000"))</f>
        <v/>
      </c>
      <c r="C284" s="107" t="n"/>
      <c r="D284" s="107" t="n"/>
      <c r="E284" s="113">
        <f>IF($D284="","",IFERROR(INDEX(MUSTERILER!$C$7:$C$106,MATCH($D284,MUSTERILER!$B$7:$B$106,0)),"TANIMSIZ MÜŞTERİ"))</f>
        <v/>
      </c>
      <c r="F284" s="108" t="n"/>
      <c r="G284" s="107" t="n"/>
      <c r="H284" s="114" t="n"/>
      <c r="I284" s="114" t="n"/>
      <c r="J284" s="107" t="n"/>
      <c r="K284" s="107" t="n"/>
      <c r="L284" s="108" t="n"/>
      <c r="M284" s="108" t="n"/>
      <c r="N284" s="108" t="n"/>
      <c r="O284" s="114" t="n"/>
      <c r="P284" s="120">
        <f>IF(OR($D284="",$I284=""),"",IF(OR($J284="Tamamlandı",$J284="İptal"),"",$I284-TODAY()))</f>
        <v/>
      </c>
      <c r="Q284" s="112">
        <f>IF($D284="","",IF($E284="TANIMSIZ MÜŞTERİ","HATA",IF(OR($J284="Tamamlandı",$J284="İptal"),"KAPALI",IF(AND($C284="Görüşme",$N284=""),"SONRAKİ İŞLEM EKSİK",IF($I284="","TARİH EKSİK",IF($I284&lt;TODAY(),"GECİKMİŞ",IF($I284=TODAY(),"BUGÜN",IF($I284&lt;=TODAY()+7,"7 GÜN İÇİNDE","PLANLI"))))))))</f>
        <v/>
      </c>
      <c r="R284" s="6" t="n"/>
      <c r="S284" s="6" t="n"/>
    </row>
    <row r="285">
      <c r="A285" s="6" t="n"/>
      <c r="B285" s="112">
        <f>IF($D285="","","A"&amp;TEXT(ROW()-6,"00000"))</f>
        <v/>
      </c>
      <c r="C285" s="107" t="n"/>
      <c r="D285" s="107" t="n"/>
      <c r="E285" s="113">
        <f>IF($D285="","",IFERROR(INDEX(MUSTERILER!$C$7:$C$106,MATCH($D285,MUSTERILER!$B$7:$B$106,0)),"TANIMSIZ MÜŞTERİ"))</f>
        <v/>
      </c>
      <c r="F285" s="108" t="n"/>
      <c r="G285" s="107" t="n"/>
      <c r="H285" s="114" t="n"/>
      <c r="I285" s="114" t="n"/>
      <c r="J285" s="107" t="n"/>
      <c r="K285" s="107" t="n"/>
      <c r="L285" s="108" t="n"/>
      <c r="M285" s="108" t="n"/>
      <c r="N285" s="108" t="n"/>
      <c r="O285" s="114" t="n"/>
      <c r="P285" s="120">
        <f>IF(OR($D285="",$I285=""),"",IF(OR($J285="Tamamlandı",$J285="İptal"),"",$I285-TODAY()))</f>
        <v/>
      </c>
      <c r="Q285" s="112">
        <f>IF($D285="","",IF($E285="TANIMSIZ MÜŞTERİ","HATA",IF(OR($J285="Tamamlandı",$J285="İptal"),"KAPALI",IF(AND($C285="Görüşme",$N285=""),"SONRAKİ İŞLEM EKSİK",IF($I285="","TARİH EKSİK",IF($I285&lt;TODAY(),"GECİKMİŞ",IF($I285=TODAY(),"BUGÜN",IF($I285&lt;=TODAY()+7,"7 GÜN İÇİNDE","PLANLI"))))))))</f>
        <v/>
      </c>
      <c r="R285" s="6" t="n"/>
      <c r="S285" s="6" t="n"/>
    </row>
    <row r="286">
      <c r="A286" s="6" t="n"/>
      <c r="B286" s="112">
        <f>IF($D286="","","A"&amp;TEXT(ROW()-6,"00000"))</f>
        <v/>
      </c>
      <c r="C286" s="107" t="n"/>
      <c r="D286" s="107" t="n"/>
      <c r="E286" s="113">
        <f>IF($D286="","",IFERROR(INDEX(MUSTERILER!$C$7:$C$106,MATCH($D286,MUSTERILER!$B$7:$B$106,0)),"TANIMSIZ MÜŞTERİ"))</f>
        <v/>
      </c>
      <c r="F286" s="108" t="n"/>
      <c r="G286" s="107" t="n"/>
      <c r="H286" s="114" t="n"/>
      <c r="I286" s="114" t="n"/>
      <c r="J286" s="107" t="n"/>
      <c r="K286" s="107" t="n"/>
      <c r="L286" s="108" t="n"/>
      <c r="M286" s="108" t="n"/>
      <c r="N286" s="108" t="n"/>
      <c r="O286" s="114" t="n"/>
      <c r="P286" s="120">
        <f>IF(OR($D286="",$I286=""),"",IF(OR($J286="Tamamlandı",$J286="İptal"),"",$I286-TODAY()))</f>
        <v/>
      </c>
      <c r="Q286" s="112">
        <f>IF($D286="","",IF($E286="TANIMSIZ MÜŞTERİ","HATA",IF(OR($J286="Tamamlandı",$J286="İptal"),"KAPALI",IF(AND($C286="Görüşme",$N286=""),"SONRAKİ İŞLEM EKSİK",IF($I286="","TARİH EKSİK",IF($I286&lt;TODAY(),"GECİKMİŞ",IF($I286=TODAY(),"BUGÜN",IF($I286&lt;=TODAY()+7,"7 GÜN İÇİNDE","PLANLI"))))))))</f>
        <v/>
      </c>
      <c r="R286" s="6" t="n"/>
      <c r="S286" s="6" t="n"/>
    </row>
    <row r="287">
      <c r="A287" s="6" t="n"/>
      <c r="B287" s="112">
        <f>IF($D287="","","A"&amp;TEXT(ROW()-6,"00000"))</f>
        <v/>
      </c>
      <c r="C287" s="107" t="n"/>
      <c r="D287" s="107" t="n"/>
      <c r="E287" s="113">
        <f>IF($D287="","",IFERROR(INDEX(MUSTERILER!$C$7:$C$106,MATCH($D287,MUSTERILER!$B$7:$B$106,0)),"TANIMSIZ MÜŞTERİ"))</f>
        <v/>
      </c>
      <c r="F287" s="108" t="n"/>
      <c r="G287" s="107" t="n"/>
      <c r="H287" s="114" t="n"/>
      <c r="I287" s="114" t="n"/>
      <c r="J287" s="107" t="n"/>
      <c r="K287" s="107" t="n"/>
      <c r="L287" s="108" t="n"/>
      <c r="M287" s="108" t="n"/>
      <c r="N287" s="108" t="n"/>
      <c r="O287" s="114" t="n"/>
      <c r="P287" s="120">
        <f>IF(OR($D287="",$I287=""),"",IF(OR($J287="Tamamlandı",$J287="İptal"),"",$I287-TODAY()))</f>
        <v/>
      </c>
      <c r="Q287" s="112">
        <f>IF($D287="","",IF($E287="TANIMSIZ MÜŞTERİ","HATA",IF(OR($J287="Tamamlandı",$J287="İptal"),"KAPALI",IF(AND($C287="Görüşme",$N287=""),"SONRAKİ İŞLEM EKSİK",IF($I287="","TARİH EKSİK",IF($I287&lt;TODAY(),"GECİKMİŞ",IF($I287=TODAY(),"BUGÜN",IF($I287&lt;=TODAY()+7,"7 GÜN İÇİNDE","PLANLI"))))))))</f>
        <v/>
      </c>
      <c r="R287" s="6" t="n"/>
      <c r="S287" s="6" t="n"/>
    </row>
    <row r="288">
      <c r="A288" s="6" t="n"/>
      <c r="B288" s="112">
        <f>IF($D288="","","A"&amp;TEXT(ROW()-6,"00000"))</f>
        <v/>
      </c>
      <c r="C288" s="107" t="n"/>
      <c r="D288" s="107" t="n"/>
      <c r="E288" s="113">
        <f>IF($D288="","",IFERROR(INDEX(MUSTERILER!$C$7:$C$106,MATCH($D288,MUSTERILER!$B$7:$B$106,0)),"TANIMSIZ MÜŞTERİ"))</f>
        <v/>
      </c>
      <c r="F288" s="108" t="n"/>
      <c r="G288" s="107" t="n"/>
      <c r="H288" s="114" t="n"/>
      <c r="I288" s="114" t="n"/>
      <c r="J288" s="107" t="n"/>
      <c r="K288" s="107" t="n"/>
      <c r="L288" s="108" t="n"/>
      <c r="M288" s="108" t="n"/>
      <c r="N288" s="108" t="n"/>
      <c r="O288" s="114" t="n"/>
      <c r="P288" s="120">
        <f>IF(OR($D288="",$I288=""),"",IF(OR($J288="Tamamlandı",$J288="İptal"),"",$I288-TODAY()))</f>
        <v/>
      </c>
      <c r="Q288" s="112">
        <f>IF($D288="","",IF($E288="TANIMSIZ MÜŞTERİ","HATA",IF(OR($J288="Tamamlandı",$J288="İptal"),"KAPALI",IF(AND($C288="Görüşme",$N288=""),"SONRAKİ İŞLEM EKSİK",IF($I288="","TARİH EKSİK",IF($I288&lt;TODAY(),"GECİKMİŞ",IF($I288=TODAY(),"BUGÜN",IF($I288&lt;=TODAY()+7,"7 GÜN İÇİNDE","PLANLI"))))))))</f>
        <v/>
      </c>
      <c r="R288" s="6" t="n"/>
      <c r="S288" s="6" t="n"/>
    </row>
    <row r="289">
      <c r="A289" s="6" t="n"/>
      <c r="B289" s="112">
        <f>IF($D289="","","A"&amp;TEXT(ROW()-6,"00000"))</f>
        <v/>
      </c>
      <c r="C289" s="107" t="n"/>
      <c r="D289" s="107" t="n"/>
      <c r="E289" s="113">
        <f>IF($D289="","",IFERROR(INDEX(MUSTERILER!$C$7:$C$106,MATCH($D289,MUSTERILER!$B$7:$B$106,0)),"TANIMSIZ MÜŞTERİ"))</f>
        <v/>
      </c>
      <c r="F289" s="108" t="n"/>
      <c r="G289" s="107" t="n"/>
      <c r="H289" s="114" t="n"/>
      <c r="I289" s="114" t="n"/>
      <c r="J289" s="107" t="n"/>
      <c r="K289" s="107" t="n"/>
      <c r="L289" s="108" t="n"/>
      <c r="M289" s="108" t="n"/>
      <c r="N289" s="108" t="n"/>
      <c r="O289" s="114" t="n"/>
      <c r="P289" s="120">
        <f>IF(OR($D289="",$I289=""),"",IF(OR($J289="Tamamlandı",$J289="İptal"),"",$I289-TODAY()))</f>
        <v/>
      </c>
      <c r="Q289" s="112">
        <f>IF($D289="","",IF($E289="TANIMSIZ MÜŞTERİ","HATA",IF(OR($J289="Tamamlandı",$J289="İptal"),"KAPALI",IF(AND($C289="Görüşme",$N289=""),"SONRAKİ İŞLEM EKSİK",IF($I289="","TARİH EKSİK",IF($I289&lt;TODAY(),"GECİKMİŞ",IF($I289=TODAY(),"BUGÜN",IF($I289&lt;=TODAY()+7,"7 GÜN İÇİNDE","PLANLI"))))))))</f>
        <v/>
      </c>
      <c r="R289" s="6" t="n"/>
      <c r="S289" s="6" t="n"/>
    </row>
    <row r="290">
      <c r="A290" s="6" t="n"/>
      <c r="B290" s="112">
        <f>IF($D290="","","A"&amp;TEXT(ROW()-6,"00000"))</f>
        <v/>
      </c>
      <c r="C290" s="107" t="n"/>
      <c r="D290" s="107" t="n"/>
      <c r="E290" s="113">
        <f>IF($D290="","",IFERROR(INDEX(MUSTERILER!$C$7:$C$106,MATCH($D290,MUSTERILER!$B$7:$B$106,0)),"TANIMSIZ MÜŞTERİ"))</f>
        <v/>
      </c>
      <c r="F290" s="108" t="n"/>
      <c r="G290" s="107" t="n"/>
      <c r="H290" s="114" t="n"/>
      <c r="I290" s="114" t="n"/>
      <c r="J290" s="107" t="n"/>
      <c r="K290" s="107" t="n"/>
      <c r="L290" s="108" t="n"/>
      <c r="M290" s="108" t="n"/>
      <c r="N290" s="108" t="n"/>
      <c r="O290" s="114" t="n"/>
      <c r="P290" s="120">
        <f>IF(OR($D290="",$I290=""),"",IF(OR($J290="Tamamlandı",$J290="İptal"),"",$I290-TODAY()))</f>
        <v/>
      </c>
      <c r="Q290" s="112">
        <f>IF($D290="","",IF($E290="TANIMSIZ MÜŞTERİ","HATA",IF(OR($J290="Tamamlandı",$J290="İptal"),"KAPALI",IF(AND($C290="Görüşme",$N290=""),"SONRAKİ İŞLEM EKSİK",IF($I290="","TARİH EKSİK",IF($I290&lt;TODAY(),"GECİKMİŞ",IF($I290=TODAY(),"BUGÜN",IF($I290&lt;=TODAY()+7,"7 GÜN İÇİNDE","PLANLI"))))))))</f>
        <v/>
      </c>
      <c r="R290" s="6" t="n"/>
      <c r="S290" s="6" t="n"/>
    </row>
    <row r="291">
      <c r="A291" s="6" t="n"/>
      <c r="B291" s="112">
        <f>IF($D291="","","A"&amp;TEXT(ROW()-6,"00000"))</f>
        <v/>
      </c>
      <c r="C291" s="107" t="n"/>
      <c r="D291" s="107" t="n"/>
      <c r="E291" s="113">
        <f>IF($D291="","",IFERROR(INDEX(MUSTERILER!$C$7:$C$106,MATCH($D291,MUSTERILER!$B$7:$B$106,0)),"TANIMSIZ MÜŞTERİ"))</f>
        <v/>
      </c>
      <c r="F291" s="108" t="n"/>
      <c r="G291" s="107" t="n"/>
      <c r="H291" s="114" t="n"/>
      <c r="I291" s="114" t="n"/>
      <c r="J291" s="107" t="n"/>
      <c r="K291" s="107" t="n"/>
      <c r="L291" s="108" t="n"/>
      <c r="M291" s="108" t="n"/>
      <c r="N291" s="108" t="n"/>
      <c r="O291" s="114" t="n"/>
      <c r="P291" s="120">
        <f>IF(OR($D291="",$I291=""),"",IF(OR($J291="Tamamlandı",$J291="İptal"),"",$I291-TODAY()))</f>
        <v/>
      </c>
      <c r="Q291" s="112">
        <f>IF($D291="","",IF($E291="TANIMSIZ MÜŞTERİ","HATA",IF(OR($J291="Tamamlandı",$J291="İptal"),"KAPALI",IF(AND($C291="Görüşme",$N291=""),"SONRAKİ İŞLEM EKSİK",IF($I291="","TARİH EKSİK",IF($I291&lt;TODAY(),"GECİKMİŞ",IF($I291=TODAY(),"BUGÜN",IF($I291&lt;=TODAY()+7,"7 GÜN İÇİNDE","PLANLI"))))))))</f>
        <v/>
      </c>
      <c r="R291" s="6" t="n"/>
      <c r="S291" s="6" t="n"/>
    </row>
    <row r="292">
      <c r="A292" s="6" t="n"/>
      <c r="B292" s="112">
        <f>IF($D292="","","A"&amp;TEXT(ROW()-6,"00000"))</f>
        <v/>
      </c>
      <c r="C292" s="107" t="n"/>
      <c r="D292" s="107" t="n"/>
      <c r="E292" s="113">
        <f>IF($D292="","",IFERROR(INDEX(MUSTERILER!$C$7:$C$106,MATCH($D292,MUSTERILER!$B$7:$B$106,0)),"TANIMSIZ MÜŞTERİ"))</f>
        <v/>
      </c>
      <c r="F292" s="108" t="n"/>
      <c r="G292" s="107" t="n"/>
      <c r="H292" s="114" t="n"/>
      <c r="I292" s="114" t="n"/>
      <c r="J292" s="107" t="n"/>
      <c r="K292" s="107" t="n"/>
      <c r="L292" s="108" t="n"/>
      <c r="M292" s="108" t="n"/>
      <c r="N292" s="108" t="n"/>
      <c r="O292" s="114" t="n"/>
      <c r="P292" s="120">
        <f>IF(OR($D292="",$I292=""),"",IF(OR($J292="Tamamlandı",$J292="İptal"),"",$I292-TODAY()))</f>
        <v/>
      </c>
      <c r="Q292" s="112">
        <f>IF($D292="","",IF($E292="TANIMSIZ MÜŞTERİ","HATA",IF(OR($J292="Tamamlandı",$J292="İptal"),"KAPALI",IF(AND($C292="Görüşme",$N292=""),"SONRAKİ İŞLEM EKSİK",IF($I292="","TARİH EKSİK",IF($I292&lt;TODAY(),"GECİKMİŞ",IF($I292=TODAY(),"BUGÜN",IF($I292&lt;=TODAY()+7,"7 GÜN İÇİNDE","PLANLI"))))))))</f>
        <v/>
      </c>
      <c r="R292" s="6" t="n"/>
      <c r="S292" s="6" t="n"/>
    </row>
    <row r="293">
      <c r="A293" s="6" t="n"/>
      <c r="B293" s="112">
        <f>IF($D293="","","A"&amp;TEXT(ROW()-6,"00000"))</f>
        <v/>
      </c>
      <c r="C293" s="107" t="n"/>
      <c r="D293" s="107" t="n"/>
      <c r="E293" s="113">
        <f>IF($D293="","",IFERROR(INDEX(MUSTERILER!$C$7:$C$106,MATCH($D293,MUSTERILER!$B$7:$B$106,0)),"TANIMSIZ MÜŞTERİ"))</f>
        <v/>
      </c>
      <c r="F293" s="108" t="n"/>
      <c r="G293" s="107" t="n"/>
      <c r="H293" s="114" t="n"/>
      <c r="I293" s="114" t="n"/>
      <c r="J293" s="107" t="n"/>
      <c r="K293" s="107" t="n"/>
      <c r="L293" s="108" t="n"/>
      <c r="M293" s="108" t="n"/>
      <c r="N293" s="108" t="n"/>
      <c r="O293" s="114" t="n"/>
      <c r="P293" s="120">
        <f>IF(OR($D293="",$I293=""),"",IF(OR($J293="Tamamlandı",$J293="İptal"),"",$I293-TODAY()))</f>
        <v/>
      </c>
      <c r="Q293" s="112">
        <f>IF($D293="","",IF($E293="TANIMSIZ MÜŞTERİ","HATA",IF(OR($J293="Tamamlandı",$J293="İptal"),"KAPALI",IF(AND($C293="Görüşme",$N293=""),"SONRAKİ İŞLEM EKSİK",IF($I293="","TARİH EKSİK",IF($I293&lt;TODAY(),"GECİKMİŞ",IF($I293=TODAY(),"BUGÜN",IF($I293&lt;=TODAY()+7,"7 GÜN İÇİNDE","PLANLI"))))))))</f>
        <v/>
      </c>
      <c r="R293" s="6" t="n"/>
      <c r="S293" s="6" t="n"/>
    </row>
    <row r="294">
      <c r="A294" s="6" t="n"/>
      <c r="B294" s="112">
        <f>IF($D294="","","A"&amp;TEXT(ROW()-6,"00000"))</f>
        <v/>
      </c>
      <c r="C294" s="107" t="n"/>
      <c r="D294" s="107" t="n"/>
      <c r="E294" s="113">
        <f>IF($D294="","",IFERROR(INDEX(MUSTERILER!$C$7:$C$106,MATCH($D294,MUSTERILER!$B$7:$B$106,0)),"TANIMSIZ MÜŞTERİ"))</f>
        <v/>
      </c>
      <c r="F294" s="108" t="n"/>
      <c r="G294" s="107" t="n"/>
      <c r="H294" s="114" t="n"/>
      <c r="I294" s="114" t="n"/>
      <c r="J294" s="107" t="n"/>
      <c r="K294" s="107" t="n"/>
      <c r="L294" s="108" t="n"/>
      <c r="M294" s="108" t="n"/>
      <c r="N294" s="108" t="n"/>
      <c r="O294" s="114" t="n"/>
      <c r="P294" s="120">
        <f>IF(OR($D294="",$I294=""),"",IF(OR($J294="Tamamlandı",$J294="İptal"),"",$I294-TODAY()))</f>
        <v/>
      </c>
      <c r="Q294" s="112">
        <f>IF($D294="","",IF($E294="TANIMSIZ MÜŞTERİ","HATA",IF(OR($J294="Tamamlandı",$J294="İptal"),"KAPALI",IF(AND($C294="Görüşme",$N294=""),"SONRAKİ İŞLEM EKSİK",IF($I294="","TARİH EKSİK",IF($I294&lt;TODAY(),"GECİKMİŞ",IF($I294=TODAY(),"BUGÜN",IF($I294&lt;=TODAY()+7,"7 GÜN İÇİNDE","PLANLI"))))))))</f>
        <v/>
      </c>
      <c r="R294" s="6" t="n"/>
      <c r="S294" s="6" t="n"/>
    </row>
    <row r="295">
      <c r="A295" s="6" t="n"/>
      <c r="B295" s="112">
        <f>IF($D295="","","A"&amp;TEXT(ROW()-6,"00000"))</f>
        <v/>
      </c>
      <c r="C295" s="107" t="n"/>
      <c r="D295" s="107" t="n"/>
      <c r="E295" s="113">
        <f>IF($D295="","",IFERROR(INDEX(MUSTERILER!$C$7:$C$106,MATCH($D295,MUSTERILER!$B$7:$B$106,0)),"TANIMSIZ MÜŞTERİ"))</f>
        <v/>
      </c>
      <c r="F295" s="108" t="n"/>
      <c r="G295" s="107" t="n"/>
      <c r="H295" s="114" t="n"/>
      <c r="I295" s="114" t="n"/>
      <c r="J295" s="107" t="n"/>
      <c r="K295" s="107" t="n"/>
      <c r="L295" s="108" t="n"/>
      <c r="M295" s="108" t="n"/>
      <c r="N295" s="108" t="n"/>
      <c r="O295" s="114" t="n"/>
      <c r="P295" s="120">
        <f>IF(OR($D295="",$I295=""),"",IF(OR($J295="Tamamlandı",$J295="İptal"),"",$I295-TODAY()))</f>
        <v/>
      </c>
      <c r="Q295" s="112">
        <f>IF($D295="","",IF($E295="TANIMSIZ MÜŞTERİ","HATA",IF(OR($J295="Tamamlandı",$J295="İptal"),"KAPALI",IF(AND($C295="Görüşme",$N295=""),"SONRAKİ İŞLEM EKSİK",IF($I295="","TARİH EKSİK",IF($I295&lt;TODAY(),"GECİKMİŞ",IF($I295=TODAY(),"BUGÜN",IF($I295&lt;=TODAY()+7,"7 GÜN İÇİNDE","PLANLI"))))))))</f>
        <v/>
      </c>
      <c r="R295" s="6" t="n"/>
      <c r="S295" s="6" t="n"/>
    </row>
    <row r="296">
      <c r="A296" s="6" t="n"/>
      <c r="B296" s="112">
        <f>IF($D296="","","A"&amp;TEXT(ROW()-6,"00000"))</f>
        <v/>
      </c>
      <c r="C296" s="107" t="n"/>
      <c r="D296" s="107" t="n"/>
      <c r="E296" s="113">
        <f>IF($D296="","",IFERROR(INDEX(MUSTERILER!$C$7:$C$106,MATCH($D296,MUSTERILER!$B$7:$B$106,0)),"TANIMSIZ MÜŞTERİ"))</f>
        <v/>
      </c>
      <c r="F296" s="108" t="n"/>
      <c r="G296" s="107" t="n"/>
      <c r="H296" s="114" t="n"/>
      <c r="I296" s="114" t="n"/>
      <c r="J296" s="107" t="n"/>
      <c r="K296" s="107" t="n"/>
      <c r="L296" s="108" t="n"/>
      <c r="M296" s="108" t="n"/>
      <c r="N296" s="108" t="n"/>
      <c r="O296" s="114" t="n"/>
      <c r="P296" s="120">
        <f>IF(OR($D296="",$I296=""),"",IF(OR($J296="Tamamlandı",$J296="İptal"),"",$I296-TODAY()))</f>
        <v/>
      </c>
      <c r="Q296" s="112">
        <f>IF($D296="","",IF($E296="TANIMSIZ MÜŞTERİ","HATA",IF(OR($J296="Tamamlandı",$J296="İptal"),"KAPALI",IF(AND($C296="Görüşme",$N296=""),"SONRAKİ İŞLEM EKSİK",IF($I296="","TARİH EKSİK",IF($I296&lt;TODAY(),"GECİKMİŞ",IF($I296=TODAY(),"BUGÜN",IF($I296&lt;=TODAY()+7,"7 GÜN İÇİNDE","PLANLI"))))))))</f>
        <v/>
      </c>
      <c r="R296" s="6" t="n"/>
      <c r="S296" s="6" t="n"/>
    </row>
    <row r="297">
      <c r="A297" s="6" t="n"/>
      <c r="B297" s="112">
        <f>IF($D297="","","A"&amp;TEXT(ROW()-6,"00000"))</f>
        <v/>
      </c>
      <c r="C297" s="107" t="n"/>
      <c r="D297" s="107" t="n"/>
      <c r="E297" s="113">
        <f>IF($D297="","",IFERROR(INDEX(MUSTERILER!$C$7:$C$106,MATCH($D297,MUSTERILER!$B$7:$B$106,0)),"TANIMSIZ MÜŞTERİ"))</f>
        <v/>
      </c>
      <c r="F297" s="108" t="n"/>
      <c r="G297" s="107" t="n"/>
      <c r="H297" s="114" t="n"/>
      <c r="I297" s="114" t="n"/>
      <c r="J297" s="107" t="n"/>
      <c r="K297" s="107" t="n"/>
      <c r="L297" s="108" t="n"/>
      <c r="M297" s="108" t="n"/>
      <c r="N297" s="108" t="n"/>
      <c r="O297" s="114" t="n"/>
      <c r="P297" s="120">
        <f>IF(OR($D297="",$I297=""),"",IF(OR($J297="Tamamlandı",$J297="İptal"),"",$I297-TODAY()))</f>
        <v/>
      </c>
      <c r="Q297" s="112">
        <f>IF($D297="","",IF($E297="TANIMSIZ MÜŞTERİ","HATA",IF(OR($J297="Tamamlandı",$J297="İptal"),"KAPALI",IF(AND($C297="Görüşme",$N297=""),"SONRAKİ İŞLEM EKSİK",IF($I297="","TARİH EKSİK",IF($I297&lt;TODAY(),"GECİKMİŞ",IF($I297=TODAY(),"BUGÜN",IF($I297&lt;=TODAY()+7,"7 GÜN İÇİNDE","PLANLI"))))))))</f>
        <v/>
      </c>
      <c r="R297" s="6" t="n"/>
      <c r="S297" s="6" t="n"/>
    </row>
    <row r="298">
      <c r="A298" s="6" t="n"/>
      <c r="B298" s="112">
        <f>IF($D298="","","A"&amp;TEXT(ROW()-6,"00000"))</f>
        <v/>
      </c>
      <c r="C298" s="107" t="n"/>
      <c r="D298" s="107" t="n"/>
      <c r="E298" s="113">
        <f>IF($D298="","",IFERROR(INDEX(MUSTERILER!$C$7:$C$106,MATCH($D298,MUSTERILER!$B$7:$B$106,0)),"TANIMSIZ MÜŞTERİ"))</f>
        <v/>
      </c>
      <c r="F298" s="108" t="n"/>
      <c r="G298" s="107" t="n"/>
      <c r="H298" s="114" t="n"/>
      <c r="I298" s="114" t="n"/>
      <c r="J298" s="107" t="n"/>
      <c r="K298" s="107" t="n"/>
      <c r="L298" s="108" t="n"/>
      <c r="M298" s="108" t="n"/>
      <c r="N298" s="108" t="n"/>
      <c r="O298" s="114" t="n"/>
      <c r="P298" s="120">
        <f>IF(OR($D298="",$I298=""),"",IF(OR($J298="Tamamlandı",$J298="İptal"),"",$I298-TODAY()))</f>
        <v/>
      </c>
      <c r="Q298" s="112">
        <f>IF($D298="","",IF($E298="TANIMSIZ MÜŞTERİ","HATA",IF(OR($J298="Tamamlandı",$J298="İptal"),"KAPALI",IF(AND($C298="Görüşme",$N298=""),"SONRAKİ İŞLEM EKSİK",IF($I298="","TARİH EKSİK",IF($I298&lt;TODAY(),"GECİKMİŞ",IF($I298=TODAY(),"BUGÜN",IF($I298&lt;=TODAY()+7,"7 GÜN İÇİNDE","PLANLI"))))))))</f>
        <v/>
      </c>
      <c r="R298" s="6" t="n"/>
      <c r="S298" s="6" t="n"/>
    </row>
    <row r="299">
      <c r="A299" s="6" t="n"/>
      <c r="B299" s="112">
        <f>IF($D299="","","A"&amp;TEXT(ROW()-6,"00000"))</f>
        <v/>
      </c>
      <c r="C299" s="107" t="n"/>
      <c r="D299" s="107" t="n"/>
      <c r="E299" s="113">
        <f>IF($D299="","",IFERROR(INDEX(MUSTERILER!$C$7:$C$106,MATCH($D299,MUSTERILER!$B$7:$B$106,0)),"TANIMSIZ MÜŞTERİ"))</f>
        <v/>
      </c>
      <c r="F299" s="108" t="n"/>
      <c r="G299" s="107" t="n"/>
      <c r="H299" s="114" t="n"/>
      <c r="I299" s="114" t="n"/>
      <c r="J299" s="107" t="n"/>
      <c r="K299" s="107" t="n"/>
      <c r="L299" s="108" t="n"/>
      <c r="M299" s="108" t="n"/>
      <c r="N299" s="108" t="n"/>
      <c r="O299" s="114" t="n"/>
      <c r="P299" s="120">
        <f>IF(OR($D299="",$I299=""),"",IF(OR($J299="Tamamlandı",$J299="İptal"),"",$I299-TODAY()))</f>
        <v/>
      </c>
      <c r="Q299" s="112">
        <f>IF($D299="","",IF($E299="TANIMSIZ MÜŞTERİ","HATA",IF(OR($J299="Tamamlandı",$J299="İptal"),"KAPALI",IF(AND($C299="Görüşme",$N299=""),"SONRAKİ İŞLEM EKSİK",IF($I299="","TARİH EKSİK",IF($I299&lt;TODAY(),"GECİKMİŞ",IF($I299=TODAY(),"BUGÜN",IF($I299&lt;=TODAY()+7,"7 GÜN İÇİNDE","PLANLI"))))))))</f>
        <v/>
      </c>
      <c r="R299" s="6" t="n"/>
      <c r="S299" s="6" t="n"/>
    </row>
    <row r="300">
      <c r="A300" s="6" t="n"/>
      <c r="B300" s="112">
        <f>IF($D300="","","A"&amp;TEXT(ROW()-6,"00000"))</f>
        <v/>
      </c>
      <c r="C300" s="107" t="n"/>
      <c r="D300" s="107" t="n"/>
      <c r="E300" s="113">
        <f>IF($D300="","",IFERROR(INDEX(MUSTERILER!$C$7:$C$106,MATCH($D300,MUSTERILER!$B$7:$B$106,0)),"TANIMSIZ MÜŞTERİ"))</f>
        <v/>
      </c>
      <c r="F300" s="108" t="n"/>
      <c r="G300" s="107" t="n"/>
      <c r="H300" s="114" t="n"/>
      <c r="I300" s="114" t="n"/>
      <c r="J300" s="107" t="n"/>
      <c r="K300" s="107" t="n"/>
      <c r="L300" s="108" t="n"/>
      <c r="M300" s="108" t="n"/>
      <c r="N300" s="108" t="n"/>
      <c r="O300" s="114" t="n"/>
      <c r="P300" s="120">
        <f>IF(OR($D300="",$I300=""),"",IF(OR($J300="Tamamlandı",$J300="İptal"),"",$I300-TODAY()))</f>
        <v/>
      </c>
      <c r="Q300" s="112">
        <f>IF($D300="","",IF($E300="TANIMSIZ MÜŞTERİ","HATA",IF(OR($J300="Tamamlandı",$J300="İptal"),"KAPALI",IF(AND($C300="Görüşme",$N300=""),"SONRAKİ İŞLEM EKSİK",IF($I300="","TARİH EKSİK",IF($I300&lt;TODAY(),"GECİKMİŞ",IF($I300=TODAY(),"BUGÜN",IF($I300&lt;=TODAY()+7,"7 GÜN İÇİNDE","PLANLI"))))))))</f>
        <v/>
      </c>
      <c r="R300" s="6" t="n"/>
      <c r="S300" s="6" t="n"/>
    </row>
    <row r="301">
      <c r="A301" s="6" t="n"/>
      <c r="B301" s="112">
        <f>IF($D301="","","A"&amp;TEXT(ROW()-6,"00000"))</f>
        <v/>
      </c>
      <c r="C301" s="107" t="n"/>
      <c r="D301" s="107" t="n"/>
      <c r="E301" s="113">
        <f>IF($D301="","",IFERROR(INDEX(MUSTERILER!$C$7:$C$106,MATCH($D301,MUSTERILER!$B$7:$B$106,0)),"TANIMSIZ MÜŞTERİ"))</f>
        <v/>
      </c>
      <c r="F301" s="108" t="n"/>
      <c r="G301" s="107" t="n"/>
      <c r="H301" s="114" t="n"/>
      <c r="I301" s="114" t="n"/>
      <c r="J301" s="107" t="n"/>
      <c r="K301" s="107" t="n"/>
      <c r="L301" s="108" t="n"/>
      <c r="M301" s="108" t="n"/>
      <c r="N301" s="108" t="n"/>
      <c r="O301" s="114" t="n"/>
      <c r="P301" s="120">
        <f>IF(OR($D301="",$I301=""),"",IF(OR($J301="Tamamlandı",$J301="İptal"),"",$I301-TODAY()))</f>
        <v/>
      </c>
      <c r="Q301" s="112">
        <f>IF($D301="","",IF($E301="TANIMSIZ MÜŞTERİ","HATA",IF(OR($J301="Tamamlandı",$J301="İptal"),"KAPALI",IF(AND($C301="Görüşme",$N301=""),"SONRAKİ İŞLEM EKSİK",IF($I301="","TARİH EKSİK",IF($I301&lt;TODAY(),"GECİKMİŞ",IF($I301=TODAY(),"BUGÜN",IF($I301&lt;=TODAY()+7,"7 GÜN İÇİNDE","PLANLI"))))))))</f>
        <v/>
      </c>
      <c r="R301" s="6" t="n"/>
      <c r="S301" s="6" t="n"/>
    </row>
    <row r="302">
      <c r="A302" s="6" t="n"/>
      <c r="B302" s="112">
        <f>IF($D302="","","A"&amp;TEXT(ROW()-6,"00000"))</f>
        <v/>
      </c>
      <c r="C302" s="107" t="n"/>
      <c r="D302" s="107" t="n"/>
      <c r="E302" s="113">
        <f>IF($D302="","",IFERROR(INDEX(MUSTERILER!$C$7:$C$106,MATCH($D302,MUSTERILER!$B$7:$B$106,0)),"TANIMSIZ MÜŞTERİ"))</f>
        <v/>
      </c>
      <c r="F302" s="108" t="n"/>
      <c r="G302" s="107" t="n"/>
      <c r="H302" s="114" t="n"/>
      <c r="I302" s="114" t="n"/>
      <c r="J302" s="107" t="n"/>
      <c r="K302" s="107" t="n"/>
      <c r="L302" s="108" t="n"/>
      <c r="M302" s="108" t="n"/>
      <c r="N302" s="108" t="n"/>
      <c r="O302" s="114" t="n"/>
      <c r="P302" s="120">
        <f>IF(OR($D302="",$I302=""),"",IF(OR($J302="Tamamlandı",$J302="İptal"),"",$I302-TODAY()))</f>
        <v/>
      </c>
      <c r="Q302" s="112">
        <f>IF($D302="","",IF($E302="TANIMSIZ MÜŞTERİ","HATA",IF(OR($J302="Tamamlandı",$J302="İptal"),"KAPALI",IF(AND($C302="Görüşme",$N302=""),"SONRAKİ İŞLEM EKSİK",IF($I302="","TARİH EKSİK",IF($I302&lt;TODAY(),"GECİKMİŞ",IF($I302=TODAY(),"BUGÜN",IF($I302&lt;=TODAY()+7,"7 GÜN İÇİNDE","PLANLI"))))))))</f>
        <v/>
      </c>
      <c r="R302" s="6" t="n"/>
      <c r="S302" s="6" t="n"/>
    </row>
    <row r="303">
      <c r="A303" s="6" t="n"/>
      <c r="B303" s="112">
        <f>IF($D303="","","A"&amp;TEXT(ROW()-6,"00000"))</f>
        <v/>
      </c>
      <c r="C303" s="107" t="n"/>
      <c r="D303" s="107" t="n"/>
      <c r="E303" s="113">
        <f>IF($D303="","",IFERROR(INDEX(MUSTERILER!$C$7:$C$106,MATCH($D303,MUSTERILER!$B$7:$B$106,0)),"TANIMSIZ MÜŞTERİ"))</f>
        <v/>
      </c>
      <c r="F303" s="108" t="n"/>
      <c r="G303" s="107" t="n"/>
      <c r="H303" s="114" t="n"/>
      <c r="I303" s="114" t="n"/>
      <c r="J303" s="107" t="n"/>
      <c r="K303" s="107" t="n"/>
      <c r="L303" s="108" t="n"/>
      <c r="M303" s="108" t="n"/>
      <c r="N303" s="108" t="n"/>
      <c r="O303" s="114" t="n"/>
      <c r="P303" s="120">
        <f>IF(OR($D303="",$I303=""),"",IF(OR($J303="Tamamlandı",$J303="İptal"),"",$I303-TODAY()))</f>
        <v/>
      </c>
      <c r="Q303" s="112">
        <f>IF($D303="","",IF($E303="TANIMSIZ MÜŞTERİ","HATA",IF(OR($J303="Tamamlandı",$J303="İptal"),"KAPALI",IF(AND($C303="Görüşme",$N303=""),"SONRAKİ İŞLEM EKSİK",IF($I303="","TARİH EKSİK",IF($I303&lt;TODAY(),"GECİKMİŞ",IF($I303=TODAY(),"BUGÜN",IF($I303&lt;=TODAY()+7,"7 GÜN İÇİNDE","PLANLI"))))))))</f>
        <v/>
      </c>
      <c r="R303" s="6" t="n"/>
      <c r="S303" s="6" t="n"/>
    </row>
    <row r="304">
      <c r="A304" s="6" t="n"/>
      <c r="B304" s="112">
        <f>IF($D304="","","A"&amp;TEXT(ROW()-6,"00000"))</f>
        <v/>
      </c>
      <c r="C304" s="107" t="n"/>
      <c r="D304" s="107" t="n"/>
      <c r="E304" s="113">
        <f>IF($D304="","",IFERROR(INDEX(MUSTERILER!$C$7:$C$106,MATCH($D304,MUSTERILER!$B$7:$B$106,0)),"TANIMSIZ MÜŞTERİ"))</f>
        <v/>
      </c>
      <c r="F304" s="108" t="n"/>
      <c r="G304" s="107" t="n"/>
      <c r="H304" s="114" t="n"/>
      <c r="I304" s="114" t="n"/>
      <c r="J304" s="107" t="n"/>
      <c r="K304" s="107" t="n"/>
      <c r="L304" s="108" t="n"/>
      <c r="M304" s="108" t="n"/>
      <c r="N304" s="108" t="n"/>
      <c r="O304" s="114" t="n"/>
      <c r="P304" s="120">
        <f>IF(OR($D304="",$I304=""),"",IF(OR($J304="Tamamlandı",$J304="İptal"),"",$I304-TODAY()))</f>
        <v/>
      </c>
      <c r="Q304" s="112">
        <f>IF($D304="","",IF($E304="TANIMSIZ MÜŞTERİ","HATA",IF(OR($J304="Tamamlandı",$J304="İptal"),"KAPALI",IF(AND($C304="Görüşme",$N304=""),"SONRAKİ İŞLEM EKSİK",IF($I304="","TARİH EKSİK",IF($I304&lt;TODAY(),"GECİKMİŞ",IF($I304=TODAY(),"BUGÜN",IF($I304&lt;=TODAY()+7,"7 GÜN İÇİNDE","PLANLI"))))))))</f>
        <v/>
      </c>
      <c r="R304" s="6" t="n"/>
      <c r="S304" s="6" t="n"/>
    </row>
    <row r="305">
      <c r="A305" s="6" t="n"/>
      <c r="B305" s="112">
        <f>IF($D305="","","A"&amp;TEXT(ROW()-6,"00000"))</f>
        <v/>
      </c>
      <c r="C305" s="107" t="n"/>
      <c r="D305" s="107" t="n"/>
      <c r="E305" s="113">
        <f>IF($D305="","",IFERROR(INDEX(MUSTERILER!$C$7:$C$106,MATCH($D305,MUSTERILER!$B$7:$B$106,0)),"TANIMSIZ MÜŞTERİ"))</f>
        <v/>
      </c>
      <c r="F305" s="108" t="n"/>
      <c r="G305" s="107" t="n"/>
      <c r="H305" s="114" t="n"/>
      <c r="I305" s="114" t="n"/>
      <c r="J305" s="107" t="n"/>
      <c r="K305" s="107" t="n"/>
      <c r="L305" s="108" t="n"/>
      <c r="M305" s="108" t="n"/>
      <c r="N305" s="108" t="n"/>
      <c r="O305" s="114" t="n"/>
      <c r="P305" s="120">
        <f>IF(OR($D305="",$I305=""),"",IF(OR($J305="Tamamlandı",$J305="İptal"),"",$I305-TODAY()))</f>
        <v/>
      </c>
      <c r="Q305" s="112">
        <f>IF($D305="","",IF($E305="TANIMSIZ MÜŞTERİ","HATA",IF(OR($J305="Tamamlandı",$J305="İptal"),"KAPALI",IF(AND($C305="Görüşme",$N305=""),"SONRAKİ İŞLEM EKSİK",IF($I305="","TARİH EKSİK",IF($I305&lt;TODAY(),"GECİKMİŞ",IF($I305=TODAY(),"BUGÜN",IF($I305&lt;=TODAY()+7,"7 GÜN İÇİNDE","PLANLI"))))))))</f>
        <v/>
      </c>
      <c r="R305" s="6" t="n"/>
      <c r="S305" s="6" t="n"/>
    </row>
    <row r="306">
      <c r="A306" s="6" t="n"/>
      <c r="B306" s="112">
        <f>IF($D306="","","A"&amp;TEXT(ROW()-6,"00000"))</f>
        <v/>
      </c>
      <c r="C306" s="107" t="n"/>
      <c r="D306" s="107" t="n"/>
      <c r="E306" s="113">
        <f>IF($D306="","",IFERROR(INDEX(MUSTERILER!$C$7:$C$106,MATCH($D306,MUSTERILER!$B$7:$B$106,0)),"TANIMSIZ MÜŞTERİ"))</f>
        <v/>
      </c>
      <c r="F306" s="108" t="n"/>
      <c r="G306" s="107" t="n"/>
      <c r="H306" s="114" t="n"/>
      <c r="I306" s="114" t="n"/>
      <c r="J306" s="107" t="n"/>
      <c r="K306" s="107" t="n"/>
      <c r="L306" s="108" t="n"/>
      <c r="M306" s="108" t="n"/>
      <c r="N306" s="108" t="n"/>
      <c r="O306" s="114" t="n"/>
      <c r="P306" s="120">
        <f>IF(OR($D306="",$I306=""),"",IF(OR($J306="Tamamlandı",$J306="İptal"),"",$I306-TODAY()))</f>
        <v/>
      </c>
      <c r="Q306" s="112">
        <f>IF($D306="","",IF($E306="TANIMSIZ MÜŞTERİ","HATA",IF(OR($J306="Tamamlandı",$J306="İptal"),"KAPALI",IF(AND($C306="Görüşme",$N306=""),"SONRAKİ İŞLEM EKSİK",IF($I306="","TARİH EKSİK",IF($I306&lt;TODAY(),"GECİKMİŞ",IF($I306=TODAY(),"BUGÜN",IF($I306&lt;=TODAY()+7,"7 GÜN İÇİNDE","PLANLI"))))))))</f>
        <v/>
      </c>
      <c r="R306" s="6" t="n"/>
      <c r="S306" s="6" t="n"/>
    </row>
    <row r="307">
      <c r="A307" s="6" t="n"/>
      <c r="B307" s="112">
        <f>IF($D307="","","A"&amp;TEXT(ROW()-6,"00000"))</f>
        <v/>
      </c>
      <c r="C307" s="107" t="n"/>
      <c r="D307" s="107" t="n"/>
      <c r="E307" s="113">
        <f>IF($D307="","",IFERROR(INDEX(MUSTERILER!$C$7:$C$106,MATCH($D307,MUSTERILER!$B$7:$B$106,0)),"TANIMSIZ MÜŞTERİ"))</f>
        <v/>
      </c>
      <c r="F307" s="108" t="n"/>
      <c r="G307" s="107" t="n"/>
      <c r="H307" s="114" t="n"/>
      <c r="I307" s="114" t="n"/>
      <c r="J307" s="107" t="n"/>
      <c r="K307" s="107" t="n"/>
      <c r="L307" s="108" t="n"/>
      <c r="M307" s="108" t="n"/>
      <c r="N307" s="108" t="n"/>
      <c r="O307" s="114" t="n"/>
      <c r="P307" s="120">
        <f>IF(OR($D307="",$I307=""),"",IF(OR($J307="Tamamlandı",$J307="İptal"),"",$I307-TODAY()))</f>
        <v/>
      </c>
      <c r="Q307" s="112">
        <f>IF($D307="","",IF($E307="TANIMSIZ MÜŞTERİ","HATA",IF(OR($J307="Tamamlandı",$J307="İptal"),"KAPALI",IF(AND($C307="Görüşme",$N307=""),"SONRAKİ İŞLEM EKSİK",IF($I307="","TARİH EKSİK",IF($I307&lt;TODAY(),"GECİKMİŞ",IF($I307=TODAY(),"BUGÜN",IF($I307&lt;=TODAY()+7,"7 GÜN İÇİNDE","PLANLI"))))))))</f>
        <v/>
      </c>
      <c r="R307" s="6" t="n"/>
      <c r="S307" s="6" t="n"/>
    </row>
    <row r="308">
      <c r="A308" s="6" t="n"/>
      <c r="B308" s="112">
        <f>IF($D308="","","A"&amp;TEXT(ROW()-6,"00000"))</f>
        <v/>
      </c>
      <c r="C308" s="107" t="n"/>
      <c r="D308" s="107" t="n"/>
      <c r="E308" s="113">
        <f>IF($D308="","",IFERROR(INDEX(MUSTERILER!$C$7:$C$106,MATCH($D308,MUSTERILER!$B$7:$B$106,0)),"TANIMSIZ MÜŞTERİ"))</f>
        <v/>
      </c>
      <c r="F308" s="108" t="n"/>
      <c r="G308" s="107" t="n"/>
      <c r="H308" s="114" t="n"/>
      <c r="I308" s="114" t="n"/>
      <c r="J308" s="107" t="n"/>
      <c r="K308" s="107" t="n"/>
      <c r="L308" s="108" t="n"/>
      <c r="M308" s="108" t="n"/>
      <c r="N308" s="108" t="n"/>
      <c r="O308" s="114" t="n"/>
      <c r="P308" s="120">
        <f>IF(OR($D308="",$I308=""),"",IF(OR($J308="Tamamlandı",$J308="İptal"),"",$I308-TODAY()))</f>
        <v/>
      </c>
      <c r="Q308" s="112">
        <f>IF($D308="","",IF($E308="TANIMSIZ MÜŞTERİ","HATA",IF(OR($J308="Tamamlandı",$J308="İptal"),"KAPALI",IF(AND($C308="Görüşme",$N308=""),"SONRAKİ İŞLEM EKSİK",IF($I308="","TARİH EKSİK",IF($I308&lt;TODAY(),"GECİKMİŞ",IF($I308=TODAY(),"BUGÜN",IF($I308&lt;=TODAY()+7,"7 GÜN İÇİNDE","PLANLI"))))))))</f>
        <v/>
      </c>
      <c r="R308" s="6" t="n"/>
      <c r="S308" s="6" t="n"/>
    </row>
    <row r="309">
      <c r="A309" s="6" t="n"/>
      <c r="B309" s="112">
        <f>IF($D309="","","A"&amp;TEXT(ROW()-6,"00000"))</f>
        <v/>
      </c>
      <c r="C309" s="107" t="n"/>
      <c r="D309" s="107" t="n"/>
      <c r="E309" s="113">
        <f>IF($D309="","",IFERROR(INDEX(MUSTERILER!$C$7:$C$106,MATCH($D309,MUSTERILER!$B$7:$B$106,0)),"TANIMSIZ MÜŞTERİ"))</f>
        <v/>
      </c>
      <c r="F309" s="108" t="n"/>
      <c r="G309" s="107" t="n"/>
      <c r="H309" s="114" t="n"/>
      <c r="I309" s="114" t="n"/>
      <c r="J309" s="107" t="n"/>
      <c r="K309" s="107" t="n"/>
      <c r="L309" s="108" t="n"/>
      <c r="M309" s="108" t="n"/>
      <c r="N309" s="108" t="n"/>
      <c r="O309" s="114" t="n"/>
      <c r="P309" s="120">
        <f>IF(OR($D309="",$I309=""),"",IF(OR($J309="Tamamlandı",$J309="İptal"),"",$I309-TODAY()))</f>
        <v/>
      </c>
      <c r="Q309" s="112">
        <f>IF($D309="","",IF($E309="TANIMSIZ MÜŞTERİ","HATA",IF(OR($J309="Tamamlandı",$J309="İptal"),"KAPALI",IF(AND($C309="Görüşme",$N309=""),"SONRAKİ İŞLEM EKSİK",IF($I309="","TARİH EKSİK",IF($I309&lt;TODAY(),"GECİKMİŞ",IF($I309=TODAY(),"BUGÜN",IF($I309&lt;=TODAY()+7,"7 GÜN İÇİNDE","PLANLI"))))))))</f>
        <v/>
      </c>
      <c r="R309" s="6" t="n"/>
      <c r="S309" s="6" t="n"/>
    </row>
    <row r="310">
      <c r="A310" s="6" t="n"/>
      <c r="B310" s="112">
        <f>IF($D310="","","A"&amp;TEXT(ROW()-6,"00000"))</f>
        <v/>
      </c>
      <c r="C310" s="107" t="n"/>
      <c r="D310" s="107" t="n"/>
      <c r="E310" s="113">
        <f>IF($D310="","",IFERROR(INDEX(MUSTERILER!$C$7:$C$106,MATCH($D310,MUSTERILER!$B$7:$B$106,0)),"TANIMSIZ MÜŞTERİ"))</f>
        <v/>
      </c>
      <c r="F310" s="108" t="n"/>
      <c r="G310" s="107" t="n"/>
      <c r="H310" s="114" t="n"/>
      <c r="I310" s="114" t="n"/>
      <c r="J310" s="107" t="n"/>
      <c r="K310" s="107" t="n"/>
      <c r="L310" s="108" t="n"/>
      <c r="M310" s="108" t="n"/>
      <c r="N310" s="108" t="n"/>
      <c r="O310" s="114" t="n"/>
      <c r="P310" s="120">
        <f>IF(OR($D310="",$I310=""),"",IF(OR($J310="Tamamlandı",$J310="İptal"),"",$I310-TODAY()))</f>
        <v/>
      </c>
      <c r="Q310" s="112">
        <f>IF($D310="","",IF($E310="TANIMSIZ MÜŞTERİ","HATA",IF(OR($J310="Tamamlandı",$J310="İptal"),"KAPALI",IF(AND($C310="Görüşme",$N310=""),"SONRAKİ İŞLEM EKSİK",IF($I310="","TARİH EKSİK",IF($I310&lt;TODAY(),"GECİKMİŞ",IF($I310=TODAY(),"BUGÜN",IF($I310&lt;=TODAY()+7,"7 GÜN İÇİNDE","PLANLI"))))))))</f>
        <v/>
      </c>
      <c r="R310" s="6" t="n"/>
      <c r="S310" s="6" t="n"/>
    </row>
    <row r="311">
      <c r="A311" s="6" t="n"/>
      <c r="B311" s="112">
        <f>IF($D311="","","A"&amp;TEXT(ROW()-6,"00000"))</f>
        <v/>
      </c>
      <c r="C311" s="107" t="n"/>
      <c r="D311" s="107" t="n"/>
      <c r="E311" s="113">
        <f>IF($D311="","",IFERROR(INDEX(MUSTERILER!$C$7:$C$106,MATCH($D311,MUSTERILER!$B$7:$B$106,0)),"TANIMSIZ MÜŞTERİ"))</f>
        <v/>
      </c>
      <c r="F311" s="108" t="n"/>
      <c r="G311" s="107" t="n"/>
      <c r="H311" s="114" t="n"/>
      <c r="I311" s="114" t="n"/>
      <c r="J311" s="107" t="n"/>
      <c r="K311" s="107" t="n"/>
      <c r="L311" s="108" t="n"/>
      <c r="M311" s="108" t="n"/>
      <c r="N311" s="108" t="n"/>
      <c r="O311" s="114" t="n"/>
      <c r="P311" s="120">
        <f>IF(OR($D311="",$I311=""),"",IF(OR($J311="Tamamlandı",$J311="İptal"),"",$I311-TODAY()))</f>
        <v/>
      </c>
      <c r="Q311" s="112">
        <f>IF($D311="","",IF($E311="TANIMSIZ MÜŞTERİ","HATA",IF(OR($J311="Tamamlandı",$J311="İptal"),"KAPALI",IF(AND($C311="Görüşme",$N311=""),"SONRAKİ İŞLEM EKSİK",IF($I311="","TARİH EKSİK",IF($I311&lt;TODAY(),"GECİKMİŞ",IF($I311=TODAY(),"BUGÜN",IF($I311&lt;=TODAY()+7,"7 GÜN İÇİNDE","PLANLI"))))))))</f>
        <v/>
      </c>
      <c r="R311" s="6" t="n"/>
      <c r="S311" s="6" t="n"/>
    </row>
    <row r="312">
      <c r="A312" s="6" t="n"/>
      <c r="B312" s="112">
        <f>IF($D312="","","A"&amp;TEXT(ROW()-6,"00000"))</f>
        <v/>
      </c>
      <c r="C312" s="107" t="n"/>
      <c r="D312" s="107" t="n"/>
      <c r="E312" s="113">
        <f>IF($D312="","",IFERROR(INDEX(MUSTERILER!$C$7:$C$106,MATCH($D312,MUSTERILER!$B$7:$B$106,0)),"TANIMSIZ MÜŞTERİ"))</f>
        <v/>
      </c>
      <c r="F312" s="108" t="n"/>
      <c r="G312" s="107" t="n"/>
      <c r="H312" s="114" t="n"/>
      <c r="I312" s="114" t="n"/>
      <c r="J312" s="107" t="n"/>
      <c r="K312" s="107" t="n"/>
      <c r="L312" s="108" t="n"/>
      <c r="M312" s="108" t="n"/>
      <c r="N312" s="108" t="n"/>
      <c r="O312" s="114" t="n"/>
      <c r="P312" s="120">
        <f>IF(OR($D312="",$I312=""),"",IF(OR($J312="Tamamlandı",$J312="İptal"),"",$I312-TODAY()))</f>
        <v/>
      </c>
      <c r="Q312" s="112">
        <f>IF($D312="","",IF($E312="TANIMSIZ MÜŞTERİ","HATA",IF(OR($J312="Tamamlandı",$J312="İptal"),"KAPALI",IF(AND($C312="Görüşme",$N312=""),"SONRAKİ İŞLEM EKSİK",IF($I312="","TARİH EKSİK",IF($I312&lt;TODAY(),"GECİKMİŞ",IF($I312=TODAY(),"BUGÜN",IF($I312&lt;=TODAY()+7,"7 GÜN İÇİNDE","PLANLI"))))))))</f>
        <v/>
      </c>
      <c r="R312" s="6" t="n"/>
      <c r="S312" s="6" t="n"/>
    </row>
    <row r="313">
      <c r="A313" s="6" t="n"/>
      <c r="B313" s="112">
        <f>IF($D313="","","A"&amp;TEXT(ROW()-6,"00000"))</f>
        <v/>
      </c>
      <c r="C313" s="107" t="n"/>
      <c r="D313" s="107" t="n"/>
      <c r="E313" s="113">
        <f>IF($D313="","",IFERROR(INDEX(MUSTERILER!$C$7:$C$106,MATCH($D313,MUSTERILER!$B$7:$B$106,0)),"TANIMSIZ MÜŞTERİ"))</f>
        <v/>
      </c>
      <c r="F313" s="108" t="n"/>
      <c r="G313" s="107" t="n"/>
      <c r="H313" s="114" t="n"/>
      <c r="I313" s="114" t="n"/>
      <c r="J313" s="107" t="n"/>
      <c r="K313" s="107" t="n"/>
      <c r="L313" s="108" t="n"/>
      <c r="M313" s="108" t="n"/>
      <c r="N313" s="108" t="n"/>
      <c r="O313" s="114" t="n"/>
      <c r="P313" s="120">
        <f>IF(OR($D313="",$I313=""),"",IF(OR($J313="Tamamlandı",$J313="İptal"),"",$I313-TODAY()))</f>
        <v/>
      </c>
      <c r="Q313" s="112">
        <f>IF($D313="","",IF($E313="TANIMSIZ MÜŞTERİ","HATA",IF(OR($J313="Tamamlandı",$J313="İptal"),"KAPALI",IF(AND($C313="Görüşme",$N313=""),"SONRAKİ İŞLEM EKSİK",IF($I313="","TARİH EKSİK",IF($I313&lt;TODAY(),"GECİKMİŞ",IF($I313=TODAY(),"BUGÜN",IF($I313&lt;=TODAY()+7,"7 GÜN İÇİNDE","PLANLI"))))))))</f>
        <v/>
      </c>
      <c r="R313" s="6" t="n"/>
      <c r="S313" s="6" t="n"/>
    </row>
    <row r="314">
      <c r="A314" s="6" t="n"/>
      <c r="B314" s="112">
        <f>IF($D314="","","A"&amp;TEXT(ROW()-6,"00000"))</f>
        <v/>
      </c>
      <c r="C314" s="107" t="n"/>
      <c r="D314" s="107" t="n"/>
      <c r="E314" s="113">
        <f>IF($D314="","",IFERROR(INDEX(MUSTERILER!$C$7:$C$106,MATCH($D314,MUSTERILER!$B$7:$B$106,0)),"TANIMSIZ MÜŞTERİ"))</f>
        <v/>
      </c>
      <c r="F314" s="108" t="n"/>
      <c r="G314" s="107" t="n"/>
      <c r="H314" s="114" t="n"/>
      <c r="I314" s="114" t="n"/>
      <c r="J314" s="107" t="n"/>
      <c r="K314" s="107" t="n"/>
      <c r="L314" s="108" t="n"/>
      <c r="M314" s="108" t="n"/>
      <c r="N314" s="108" t="n"/>
      <c r="O314" s="114" t="n"/>
      <c r="P314" s="120">
        <f>IF(OR($D314="",$I314=""),"",IF(OR($J314="Tamamlandı",$J314="İptal"),"",$I314-TODAY()))</f>
        <v/>
      </c>
      <c r="Q314" s="112">
        <f>IF($D314="","",IF($E314="TANIMSIZ MÜŞTERİ","HATA",IF(OR($J314="Tamamlandı",$J314="İptal"),"KAPALI",IF(AND($C314="Görüşme",$N314=""),"SONRAKİ İŞLEM EKSİK",IF($I314="","TARİH EKSİK",IF($I314&lt;TODAY(),"GECİKMİŞ",IF($I314=TODAY(),"BUGÜN",IF($I314&lt;=TODAY()+7,"7 GÜN İÇİNDE","PLANLI"))))))))</f>
        <v/>
      </c>
      <c r="R314" s="6" t="n"/>
      <c r="S314" s="6" t="n"/>
    </row>
    <row r="315">
      <c r="A315" s="6" t="n"/>
      <c r="B315" s="112">
        <f>IF($D315="","","A"&amp;TEXT(ROW()-6,"00000"))</f>
        <v/>
      </c>
      <c r="C315" s="107" t="n"/>
      <c r="D315" s="107" t="n"/>
      <c r="E315" s="113">
        <f>IF($D315="","",IFERROR(INDEX(MUSTERILER!$C$7:$C$106,MATCH($D315,MUSTERILER!$B$7:$B$106,0)),"TANIMSIZ MÜŞTERİ"))</f>
        <v/>
      </c>
      <c r="F315" s="108" t="n"/>
      <c r="G315" s="107" t="n"/>
      <c r="H315" s="114" t="n"/>
      <c r="I315" s="114" t="n"/>
      <c r="J315" s="107" t="n"/>
      <c r="K315" s="107" t="n"/>
      <c r="L315" s="108" t="n"/>
      <c r="M315" s="108" t="n"/>
      <c r="N315" s="108" t="n"/>
      <c r="O315" s="114" t="n"/>
      <c r="P315" s="120">
        <f>IF(OR($D315="",$I315=""),"",IF(OR($J315="Tamamlandı",$J315="İptal"),"",$I315-TODAY()))</f>
        <v/>
      </c>
      <c r="Q315" s="112">
        <f>IF($D315="","",IF($E315="TANIMSIZ MÜŞTERİ","HATA",IF(OR($J315="Tamamlandı",$J315="İptal"),"KAPALI",IF(AND($C315="Görüşme",$N315=""),"SONRAKİ İŞLEM EKSİK",IF($I315="","TARİH EKSİK",IF($I315&lt;TODAY(),"GECİKMİŞ",IF($I315=TODAY(),"BUGÜN",IF($I315&lt;=TODAY()+7,"7 GÜN İÇİNDE","PLANLI"))))))))</f>
        <v/>
      </c>
      <c r="R315" s="6" t="n"/>
      <c r="S315" s="6" t="n"/>
    </row>
    <row r="316">
      <c r="A316" s="6" t="n"/>
      <c r="B316" s="112">
        <f>IF($D316="","","A"&amp;TEXT(ROW()-6,"00000"))</f>
        <v/>
      </c>
      <c r="C316" s="107" t="n"/>
      <c r="D316" s="107" t="n"/>
      <c r="E316" s="113">
        <f>IF($D316="","",IFERROR(INDEX(MUSTERILER!$C$7:$C$106,MATCH($D316,MUSTERILER!$B$7:$B$106,0)),"TANIMSIZ MÜŞTERİ"))</f>
        <v/>
      </c>
      <c r="F316" s="108" t="n"/>
      <c r="G316" s="107" t="n"/>
      <c r="H316" s="114" t="n"/>
      <c r="I316" s="114" t="n"/>
      <c r="J316" s="107" t="n"/>
      <c r="K316" s="107" t="n"/>
      <c r="L316" s="108" t="n"/>
      <c r="M316" s="108" t="n"/>
      <c r="N316" s="108" t="n"/>
      <c r="O316" s="114" t="n"/>
      <c r="P316" s="120">
        <f>IF(OR($D316="",$I316=""),"",IF(OR($J316="Tamamlandı",$J316="İptal"),"",$I316-TODAY()))</f>
        <v/>
      </c>
      <c r="Q316" s="112">
        <f>IF($D316="","",IF($E316="TANIMSIZ MÜŞTERİ","HATA",IF(OR($J316="Tamamlandı",$J316="İptal"),"KAPALI",IF(AND($C316="Görüşme",$N316=""),"SONRAKİ İŞLEM EKSİK",IF($I316="","TARİH EKSİK",IF($I316&lt;TODAY(),"GECİKMİŞ",IF($I316=TODAY(),"BUGÜN",IF($I316&lt;=TODAY()+7,"7 GÜN İÇİNDE","PLANLI"))))))))</f>
        <v/>
      </c>
      <c r="R316" s="6" t="n"/>
      <c r="S316" s="6" t="n"/>
    </row>
    <row r="317">
      <c r="A317" s="6" t="n"/>
      <c r="B317" s="112">
        <f>IF($D317="","","A"&amp;TEXT(ROW()-6,"00000"))</f>
        <v/>
      </c>
      <c r="C317" s="107" t="n"/>
      <c r="D317" s="107" t="n"/>
      <c r="E317" s="113">
        <f>IF($D317="","",IFERROR(INDEX(MUSTERILER!$C$7:$C$106,MATCH($D317,MUSTERILER!$B$7:$B$106,0)),"TANIMSIZ MÜŞTERİ"))</f>
        <v/>
      </c>
      <c r="F317" s="108" t="n"/>
      <c r="G317" s="107" t="n"/>
      <c r="H317" s="114" t="n"/>
      <c r="I317" s="114" t="n"/>
      <c r="J317" s="107" t="n"/>
      <c r="K317" s="107" t="n"/>
      <c r="L317" s="108" t="n"/>
      <c r="M317" s="108" t="n"/>
      <c r="N317" s="108" t="n"/>
      <c r="O317" s="114" t="n"/>
      <c r="P317" s="120">
        <f>IF(OR($D317="",$I317=""),"",IF(OR($J317="Tamamlandı",$J317="İptal"),"",$I317-TODAY()))</f>
        <v/>
      </c>
      <c r="Q317" s="112">
        <f>IF($D317="","",IF($E317="TANIMSIZ MÜŞTERİ","HATA",IF(OR($J317="Tamamlandı",$J317="İptal"),"KAPALI",IF(AND($C317="Görüşme",$N317=""),"SONRAKİ İŞLEM EKSİK",IF($I317="","TARİH EKSİK",IF($I317&lt;TODAY(),"GECİKMİŞ",IF($I317=TODAY(),"BUGÜN",IF($I317&lt;=TODAY()+7,"7 GÜN İÇİNDE","PLANLI"))))))))</f>
        <v/>
      </c>
      <c r="R317" s="6" t="n"/>
      <c r="S317" s="6" t="n"/>
    </row>
    <row r="318">
      <c r="A318" s="6" t="n"/>
      <c r="B318" s="112">
        <f>IF($D318="","","A"&amp;TEXT(ROW()-6,"00000"))</f>
        <v/>
      </c>
      <c r="C318" s="107" t="n"/>
      <c r="D318" s="107" t="n"/>
      <c r="E318" s="113">
        <f>IF($D318="","",IFERROR(INDEX(MUSTERILER!$C$7:$C$106,MATCH($D318,MUSTERILER!$B$7:$B$106,0)),"TANIMSIZ MÜŞTERİ"))</f>
        <v/>
      </c>
      <c r="F318" s="108" t="n"/>
      <c r="G318" s="107" t="n"/>
      <c r="H318" s="114" t="n"/>
      <c r="I318" s="114" t="n"/>
      <c r="J318" s="107" t="n"/>
      <c r="K318" s="107" t="n"/>
      <c r="L318" s="108" t="n"/>
      <c r="M318" s="108" t="n"/>
      <c r="N318" s="108" t="n"/>
      <c r="O318" s="114" t="n"/>
      <c r="P318" s="120">
        <f>IF(OR($D318="",$I318=""),"",IF(OR($J318="Tamamlandı",$J318="İptal"),"",$I318-TODAY()))</f>
        <v/>
      </c>
      <c r="Q318" s="112">
        <f>IF($D318="","",IF($E318="TANIMSIZ MÜŞTERİ","HATA",IF(OR($J318="Tamamlandı",$J318="İptal"),"KAPALI",IF(AND($C318="Görüşme",$N318=""),"SONRAKİ İŞLEM EKSİK",IF($I318="","TARİH EKSİK",IF($I318&lt;TODAY(),"GECİKMİŞ",IF($I318=TODAY(),"BUGÜN",IF($I318&lt;=TODAY()+7,"7 GÜN İÇİNDE","PLANLI"))))))))</f>
        <v/>
      </c>
      <c r="R318" s="6" t="n"/>
      <c r="S318" s="6" t="n"/>
    </row>
    <row r="319">
      <c r="A319" s="6" t="n"/>
      <c r="B319" s="112">
        <f>IF($D319="","","A"&amp;TEXT(ROW()-6,"00000"))</f>
        <v/>
      </c>
      <c r="C319" s="107" t="n"/>
      <c r="D319" s="107" t="n"/>
      <c r="E319" s="113">
        <f>IF($D319="","",IFERROR(INDEX(MUSTERILER!$C$7:$C$106,MATCH($D319,MUSTERILER!$B$7:$B$106,0)),"TANIMSIZ MÜŞTERİ"))</f>
        <v/>
      </c>
      <c r="F319" s="108" t="n"/>
      <c r="G319" s="107" t="n"/>
      <c r="H319" s="114" t="n"/>
      <c r="I319" s="114" t="n"/>
      <c r="J319" s="107" t="n"/>
      <c r="K319" s="107" t="n"/>
      <c r="L319" s="108" t="n"/>
      <c r="M319" s="108" t="n"/>
      <c r="N319" s="108" t="n"/>
      <c r="O319" s="114" t="n"/>
      <c r="P319" s="120">
        <f>IF(OR($D319="",$I319=""),"",IF(OR($J319="Tamamlandı",$J319="İptal"),"",$I319-TODAY()))</f>
        <v/>
      </c>
      <c r="Q319" s="112">
        <f>IF($D319="","",IF($E319="TANIMSIZ MÜŞTERİ","HATA",IF(OR($J319="Tamamlandı",$J319="İptal"),"KAPALI",IF(AND($C319="Görüşme",$N319=""),"SONRAKİ İŞLEM EKSİK",IF($I319="","TARİH EKSİK",IF($I319&lt;TODAY(),"GECİKMİŞ",IF($I319=TODAY(),"BUGÜN",IF($I319&lt;=TODAY()+7,"7 GÜN İÇİNDE","PLANLI"))))))))</f>
        <v/>
      </c>
      <c r="R319" s="6" t="n"/>
      <c r="S319" s="6" t="n"/>
    </row>
    <row r="320">
      <c r="A320" s="6" t="n"/>
      <c r="B320" s="112">
        <f>IF($D320="","","A"&amp;TEXT(ROW()-6,"00000"))</f>
        <v/>
      </c>
      <c r="C320" s="107" t="n"/>
      <c r="D320" s="107" t="n"/>
      <c r="E320" s="113">
        <f>IF($D320="","",IFERROR(INDEX(MUSTERILER!$C$7:$C$106,MATCH($D320,MUSTERILER!$B$7:$B$106,0)),"TANIMSIZ MÜŞTERİ"))</f>
        <v/>
      </c>
      <c r="F320" s="108" t="n"/>
      <c r="G320" s="107" t="n"/>
      <c r="H320" s="114" t="n"/>
      <c r="I320" s="114" t="n"/>
      <c r="J320" s="107" t="n"/>
      <c r="K320" s="107" t="n"/>
      <c r="L320" s="108" t="n"/>
      <c r="M320" s="108" t="n"/>
      <c r="N320" s="108" t="n"/>
      <c r="O320" s="114" t="n"/>
      <c r="P320" s="120">
        <f>IF(OR($D320="",$I320=""),"",IF(OR($J320="Tamamlandı",$J320="İptal"),"",$I320-TODAY()))</f>
        <v/>
      </c>
      <c r="Q320" s="112">
        <f>IF($D320="","",IF($E320="TANIMSIZ MÜŞTERİ","HATA",IF(OR($J320="Tamamlandı",$J320="İptal"),"KAPALI",IF(AND($C320="Görüşme",$N320=""),"SONRAKİ İŞLEM EKSİK",IF($I320="","TARİH EKSİK",IF($I320&lt;TODAY(),"GECİKMİŞ",IF($I320=TODAY(),"BUGÜN",IF($I320&lt;=TODAY()+7,"7 GÜN İÇİNDE","PLANLI"))))))))</f>
        <v/>
      </c>
      <c r="R320" s="6" t="n"/>
      <c r="S320" s="6" t="n"/>
    </row>
    <row r="321">
      <c r="A321" s="6" t="n"/>
      <c r="B321" s="112">
        <f>IF($D321="","","A"&amp;TEXT(ROW()-6,"00000"))</f>
        <v/>
      </c>
      <c r="C321" s="107" t="n"/>
      <c r="D321" s="107" t="n"/>
      <c r="E321" s="113">
        <f>IF($D321="","",IFERROR(INDEX(MUSTERILER!$C$7:$C$106,MATCH($D321,MUSTERILER!$B$7:$B$106,0)),"TANIMSIZ MÜŞTERİ"))</f>
        <v/>
      </c>
      <c r="F321" s="108" t="n"/>
      <c r="G321" s="107" t="n"/>
      <c r="H321" s="114" t="n"/>
      <c r="I321" s="114" t="n"/>
      <c r="J321" s="107" t="n"/>
      <c r="K321" s="107" t="n"/>
      <c r="L321" s="108" t="n"/>
      <c r="M321" s="108" t="n"/>
      <c r="N321" s="108" t="n"/>
      <c r="O321" s="114" t="n"/>
      <c r="P321" s="120">
        <f>IF(OR($D321="",$I321=""),"",IF(OR($J321="Tamamlandı",$J321="İptal"),"",$I321-TODAY()))</f>
        <v/>
      </c>
      <c r="Q321" s="112">
        <f>IF($D321="","",IF($E321="TANIMSIZ MÜŞTERİ","HATA",IF(OR($J321="Tamamlandı",$J321="İptal"),"KAPALI",IF(AND($C321="Görüşme",$N321=""),"SONRAKİ İŞLEM EKSİK",IF($I321="","TARİH EKSİK",IF($I321&lt;TODAY(),"GECİKMİŞ",IF($I321=TODAY(),"BUGÜN",IF($I321&lt;=TODAY()+7,"7 GÜN İÇİNDE","PLANLI"))))))))</f>
        <v/>
      </c>
      <c r="R321" s="6" t="n"/>
      <c r="S321" s="6" t="n"/>
    </row>
    <row r="322">
      <c r="A322" s="6" t="n"/>
      <c r="B322" s="112">
        <f>IF($D322="","","A"&amp;TEXT(ROW()-6,"00000"))</f>
        <v/>
      </c>
      <c r="C322" s="107" t="n"/>
      <c r="D322" s="107" t="n"/>
      <c r="E322" s="113">
        <f>IF($D322="","",IFERROR(INDEX(MUSTERILER!$C$7:$C$106,MATCH($D322,MUSTERILER!$B$7:$B$106,0)),"TANIMSIZ MÜŞTERİ"))</f>
        <v/>
      </c>
      <c r="F322" s="108" t="n"/>
      <c r="G322" s="107" t="n"/>
      <c r="H322" s="114" t="n"/>
      <c r="I322" s="114" t="n"/>
      <c r="J322" s="107" t="n"/>
      <c r="K322" s="107" t="n"/>
      <c r="L322" s="108" t="n"/>
      <c r="M322" s="108" t="n"/>
      <c r="N322" s="108" t="n"/>
      <c r="O322" s="114" t="n"/>
      <c r="P322" s="120">
        <f>IF(OR($D322="",$I322=""),"",IF(OR($J322="Tamamlandı",$J322="İptal"),"",$I322-TODAY()))</f>
        <v/>
      </c>
      <c r="Q322" s="112">
        <f>IF($D322="","",IF($E322="TANIMSIZ MÜŞTERİ","HATA",IF(OR($J322="Tamamlandı",$J322="İptal"),"KAPALI",IF(AND($C322="Görüşme",$N322=""),"SONRAKİ İŞLEM EKSİK",IF($I322="","TARİH EKSİK",IF($I322&lt;TODAY(),"GECİKMİŞ",IF($I322=TODAY(),"BUGÜN",IF($I322&lt;=TODAY()+7,"7 GÜN İÇİNDE","PLANLI"))))))))</f>
        <v/>
      </c>
      <c r="R322" s="6" t="n"/>
      <c r="S322" s="6" t="n"/>
    </row>
    <row r="323">
      <c r="A323" s="6" t="n"/>
      <c r="B323" s="112">
        <f>IF($D323="","","A"&amp;TEXT(ROW()-6,"00000"))</f>
        <v/>
      </c>
      <c r="C323" s="107" t="n"/>
      <c r="D323" s="107" t="n"/>
      <c r="E323" s="113">
        <f>IF($D323="","",IFERROR(INDEX(MUSTERILER!$C$7:$C$106,MATCH($D323,MUSTERILER!$B$7:$B$106,0)),"TANIMSIZ MÜŞTERİ"))</f>
        <v/>
      </c>
      <c r="F323" s="108" t="n"/>
      <c r="G323" s="107" t="n"/>
      <c r="H323" s="114" t="n"/>
      <c r="I323" s="114" t="n"/>
      <c r="J323" s="107" t="n"/>
      <c r="K323" s="107" t="n"/>
      <c r="L323" s="108" t="n"/>
      <c r="M323" s="108" t="n"/>
      <c r="N323" s="108" t="n"/>
      <c r="O323" s="114" t="n"/>
      <c r="P323" s="120">
        <f>IF(OR($D323="",$I323=""),"",IF(OR($J323="Tamamlandı",$J323="İptal"),"",$I323-TODAY()))</f>
        <v/>
      </c>
      <c r="Q323" s="112">
        <f>IF($D323="","",IF($E323="TANIMSIZ MÜŞTERİ","HATA",IF(OR($J323="Tamamlandı",$J323="İptal"),"KAPALI",IF(AND($C323="Görüşme",$N323=""),"SONRAKİ İŞLEM EKSİK",IF($I323="","TARİH EKSİK",IF($I323&lt;TODAY(),"GECİKMİŞ",IF($I323=TODAY(),"BUGÜN",IF($I323&lt;=TODAY()+7,"7 GÜN İÇİNDE","PLANLI"))))))))</f>
        <v/>
      </c>
      <c r="R323" s="6" t="n"/>
      <c r="S323" s="6" t="n"/>
    </row>
    <row r="324">
      <c r="A324" s="6" t="n"/>
      <c r="B324" s="112">
        <f>IF($D324="","","A"&amp;TEXT(ROW()-6,"00000"))</f>
        <v/>
      </c>
      <c r="C324" s="107" t="n"/>
      <c r="D324" s="107" t="n"/>
      <c r="E324" s="113">
        <f>IF($D324="","",IFERROR(INDEX(MUSTERILER!$C$7:$C$106,MATCH($D324,MUSTERILER!$B$7:$B$106,0)),"TANIMSIZ MÜŞTERİ"))</f>
        <v/>
      </c>
      <c r="F324" s="108" t="n"/>
      <c r="G324" s="107" t="n"/>
      <c r="H324" s="114" t="n"/>
      <c r="I324" s="114" t="n"/>
      <c r="J324" s="107" t="n"/>
      <c r="K324" s="107" t="n"/>
      <c r="L324" s="108" t="n"/>
      <c r="M324" s="108" t="n"/>
      <c r="N324" s="108" t="n"/>
      <c r="O324" s="114" t="n"/>
      <c r="P324" s="120">
        <f>IF(OR($D324="",$I324=""),"",IF(OR($J324="Tamamlandı",$J324="İptal"),"",$I324-TODAY()))</f>
        <v/>
      </c>
      <c r="Q324" s="112">
        <f>IF($D324="","",IF($E324="TANIMSIZ MÜŞTERİ","HATA",IF(OR($J324="Tamamlandı",$J324="İptal"),"KAPALI",IF(AND($C324="Görüşme",$N324=""),"SONRAKİ İŞLEM EKSİK",IF($I324="","TARİH EKSİK",IF($I324&lt;TODAY(),"GECİKMİŞ",IF($I324=TODAY(),"BUGÜN",IF($I324&lt;=TODAY()+7,"7 GÜN İÇİNDE","PLANLI"))))))))</f>
        <v/>
      </c>
      <c r="R324" s="6" t="n"/>
      <c r="S324" s="6" t="n"/>
    </row>
    <row r="325">
      <c r="A325" s="6" t="n"/>
      <c r="B325" s="112">
        <f>IF($D325="","","A"&amp;TEXT(ROW()-6,"00000"))</f>
        <v/>
      </c>
      <c r="C325" s="107" t="n"/>
      <c r="D325" s="107" t="n"/>
      <c r="E325" s="113">
        <f>IF($D325="","",IFERROR(INDEX(MUSTERILER!$C$7:$C$106,MATCH($D325,MUSTERILER!$B$7:$B$106,0)),"TANIMSIZ MÜŞTERİ"))</f>
        <v/>
      </c>
      <c r="F325" s="108" t="n"/>
      <c r="G325" s="107" t="n"/>
      <c r="H325" s="114" t="n"/>
      <c r="I325" s="114" t="n"/>
      <c r="J325" s="107" t="n"/>
      <c r="K325" s="107" t="n"/>
      <c r="L325" s="108" t="n"/>
      <c r="M325" s="108" t="n"/>
      <c r="N325" s="108" t="n"/>
      <c r="O325" s="114" t="n"/>
      <c r="P325" s="120">
        <f>IF(OR($D325="",$I325=""),"",IF(OR($J325="Tamamlandı",$J325="İptal"),"",$I325-TODAY()))</f>
        <v/>
      </c>
      <c r="Q325" s="112">
        <f>IF($D325="","",IF($E325="TANIMSIZ MÜŞTERİ","HATA",IF(OR($J325="Tamamlandı",$J325="İptal"),"KAPALI",IF(AND($C325="Görüşme",$N325=""),"SONRAKİ İŞLEM EKSİK",IF($I325="","TARİH EKSİK",IF($I325&lt;TODAY(),"GECİKMİŞ",IF($I325=TODAY(),"BUGÜN",IF($I325&lt;=TODAY()+7,"7 GÜN İÇİNDE","PLANLI"))))))))</f>
        <v/>
      </c>
      <c r="R325" s="6" t="n"/>
      <c r="S325" s="6" t="n"/>
    </row>
    <row r="326">
      <c r="A326" s="6" t="n"/>
      <c r="B326" s="112">
        <f>IF($D326="","","A"&amp;TEXT(ROW()-6,"00000"))</f>
        <v/>
      </c>
      <c r="C326" s="107" t="n"/>
      <c r="D326" s="107" t="n"/>
      <c r="E326" s="113">
        <f>IF($D326="","",IFERROR(INDEX(MUSTERILER!$C$7:$C$106,MATCH($D326,MUSTERILER!$B$7:$B$106,0)),"TANIMSIZ MÜŞTERİ"))</f>
        <v/>
      </c>
      <c r="F326" s="108" t="n"/>
      <c r="G326" s="107" t="n"/>
      <c r="H326" s="114" t="n"/>
      <c r="I326" s="114" t="n"/>
      <c r="J326" s="107" t="n"/>
      <c r="K326" s="107" t="n"/>
      <c r="L326" s="108" t="n"/>
      <c r="M326" s="108" t="n"/>
      <c r="N326" s="108" t="n"/>
      <c r="O326" s="114" t="n"/>
      <c r="P326" s="120">
        <f>IF(OR($D326="",$I326=""),"",IF(OR($J326="Tamamlandı",$J326="İptal"),"",$I326-TODAY()))</f>
        <v/>
      </c>
      <c r="Q326" s="112">
        <f>IF($D326="","",IF($E326="TANIMSIZ MÜŞTERİ","HATA",IF(OR($J326="Tamamlandı",$J326="İptal"),"KAPALI",IF(AND($C326="Görüşme",$N326=""),"SONRAKİ İŞLEM EKSİK",IF($I326="","TARİH EKSİK",IF($I326&lt;TODAY(),"GECİKMİŞ",IF($I326=TODAY(),"BUGÜN",IF($I326&lt;=TODAY()+7,"7 GÜN İÇİNDE","PLANLI"))))))))</f>
        <v/>
      </c>
      <c r="R326" s="6" t="n"/>
      <c r="S326" s="6" t="n"/>
    </row>
    <row r="327">
      <c r="A327" s="6" t="n"/>
      <c r="B327" s="112">
        <f>IF($D327="","","A"&amp;TEXT(ROW()-6,"00000"))</f>
        <v/>
      </c>
      <c r="C327" s="107" t="n"/>
      <c r="D327" s="107" t="n"/>
      <c r="E327" s="113">
        <f>IF($D327="","",IFERROR(INDEX(MUSTERILER!$C$7:$C$106,MATCH($D327,MUSTERILER!$B$7:$B$106,0)),"TANIMSIZ MÜŞTERİ"))</f>
        <v/>
      </c>
      <c r="F327" s="108" t="n"/>
      <c r="G327" s="107" t="n"/>
      <c r="H327" s="114" t="n"/>
      <c r="I327" s="114" t="n"/>
      <c r="J327" s="107" t="n"/>
      <c r="K327" s="107" t="n"/>
      <c r="L327" s="108" t="n"/>
      <c r="M327" s="108" t="n"/>
      <c r="N327" s="108" t="n"/>
      <c r="O327" s="114" t="n"/>
      <c r="P327" s="120">
        <f>IF(OR($D327="",$I327=""),"",IF(OR($J327="Tamamlandı",$J327="İptal"),"",$I327-TODAY()))</f>
        <v/>
      </c>
      <c r="Q327" s="112">
        <f>IF($D327="","",IF($E327="TANIMSIZ MÜŞTERİ","HATA",IF(OR($J327="Tamamlandı",$J327="İptal"),"KAPALI",IF(AND($C327="Görüşme",$N327=""),"SONRAKİ İŞLEM EKSİK",IF($I327="","TARİH EKSİK",IF($I327&lt;TODAY(),"GECİKMİŞ",IF($I327=TODAY(),"BUGÜN",IF($I327&lt;=TODAY()+7,"7 GÜN İÇİNDE","PLANLI"))))))))</f>
        <v/>
      </c>
      <c r="R327" s="6" t="n"/>
      <c r="S327" s="6" t="n"/>
    </row>
    <row r="328">
      <c r="A328" s="6" t="n"/>
      <c r="B328" s="112">
        <f>IF($D328="","","A"&amp;TEXT(ROW()-6,"00000"))</f>
        <v/>
      </c>
      <c r="C328" s="107" t="n"/>
      <c r="D328" s="107" t="n"/>
      <c r="E328" s="113">
        <f>IF($D328="","",IFERROR(INDEX(MUSTERILER!$C$7:$C$106,MATCH($D328,MUSTERILER!$B$7:$B$106,0)),"TANIMSIZ MÜŞTERİ"))</f>
        <v/>
      </c>
      <c r="F328" s="108" t="n"/>
      <c r="G328" s="107" t="n"/>
      <c r="H328" s="114" t="n"/>
      <c r="I328" s="114" t="n"/>
      <c r="J328" s="107" t="n"/>
      <c r="K328" s="107" t="n"/>
      <c r="L328" s="108" t="n"/>
      <c r="M328" s="108" t="n"/>
      <c r="N328" s="108" t="n"/>
      <c r="O328" s="114" t="n"/>
      <c r="P328" s="120">
        <f>IF(OR($D328="",$I328=""),"",IF(OR($J328="Tamamlandı",$J328="İptal"),"",$I328-TODAY()))</f>
        <v/>
      </c>
      <c r="Q328" s="112">
        <f>IF($D328="","",IF($E328="TANIMSIZ MÜŞTERİ","HATA",IF(OR($J328="Tamamlandı",$J328="İptal"),"KAPALI",IF(AND($C328="Görüşme",$N328=""),"SONRAKİ İŞLEM EKSİK",IF($I328="","TARİH EKSİK",IF($I328&lt;TODAY(),"GECİKMİŞ",IF($I328=TODAY(),"BUGÜN",IF($I328&lt;=TODAY()+7,"7 GÜN İÇİNDE","PLANLI"))))))))</f>
        <v/>
      </c>
      <c r="R328" s="6" t="n"/>
      <c r="S328" s="6" t="n"/>
    </row>
    <row r="329">
      <c r="A329" s="6" t="n"/>
      <c r="B329" s="112">
        <f>IF($D329="","","A"&amp;TEXT(ROW()-6,"00000"))</f>
        <v/>
      </c>
      <c r="C329" s="107" t="n"/>
      <c r="D329" s="107" t="n"/>
      <c r="E329" s="113">
        <f>IF($D329="","",IFERROR(INDEX(MUSTERILER!$C$7:$C$106,MATCH($D329,MUSTERILER!$B$7:$B$106,0)),"TANIMSIZ MÜŞTERİ"))</f>
        <v/>
      </c>
      <c r="F329" s="108" t="n"/>
      <c r="G329" s="107" t="n"/>
      <c r="H329" s="114" t="n"/>
      <c r="I329" s="114" t="n"/>
      <c r="J329" s="107" t="n"/>
      <c r="K329" s="107" t="n"/>
      <c r="L329" s="108" t="n"/>
      <c r="M329" s="108" t="n"/>
      <c r="N329" s="108" t="n"/>
      <c r="O329" s="114" t="n"/>
      <c r="P329" s="120">
        <f>IF(OR($D329="",$I329=""),"",IF(OR($J329="Tamamlandı",$J329="İptal"),"",$I329-TODAY()))</f>
        <v/>
      </c>
      <c r="Q329" s="112">
        <f>IF($D329="","",IF($E329="TANIMSIZ MÜŞTERİ","HATA",IF(OR($J329="Tamamlandı",$J329="İptal"),"KAPALI",IF(AND($C329="Görüşme",$N329=""),"SONRAKİ İŞLEM EKSİK",IF($I329="","TARİH EKSİK",IF($I329&lt;TODAY(),"GECİKMİŞ",IF($I329=TODAY(),"BUGÜN",IF($I329&lt;=TODAY()+7,"7 GÜN İÇİNDE","PLANLI"))))))))</f>
        <v/>
      </c>
      <c r="R329" s="6" t="n"/>
      <c r="S329" s="6" t="n"/>
    </row>
    <row r="330">
      <c r="A330" s="6" t="n"/>
      <c r="B330" s="112">
        <f>IF($D330="","","A"&amp;TEXT(ROW()-6,"00000"))</f>
        <v/>
      </c>
      <c r="C330" s="107" t="n"/>
      <c r="D330" s="107" t="n"/>
      <c r="E330" s="113">
        <f>IF($D330="","",IFERROR(INDEX(MUSTERILER!$C$7:$C$106,MATCH($D330,MUSTERILER!$B$7:$B$106,0)),"TANIMSIZ MÜŞTERİ"))</f>
        <v/>
      </c>
      <c r="F330" s="108" t="n"/>
      <c r="G330" s="107" t="n"/>
      <c r="H330" s="114" t="n"/>
      <c r="I330" s="114" t="n"/>
      <c r="J330" s="107" t="n"/>
      <c r="K330" s="107" t="n"/>
      <c r="L330" s="108" t="n"/>
      <c r="M330" s="108" t="n"/>
      <c r="N330" s="108" t="n"/>
      <c r="O330" s="114" t="n"/>
      <c r="P330" s="120">
        <f>IF(OR($D330="",$I330=""),"",IF(OR($J330="Tamamlandı",$J330="İptal"),"",$I330-TODAY()))</f>
        <v/>
      </c>
      <c r="Q330" s="112">
        <f>IF($D330="","",IF($E330="TANIMSIZ MÜŞTERİ","HATA",IF(OR($J330="Tamamlandı",$J330="İptal"),"KAPALI",IF(AND($C330="Görüşme",$N330=""),"SONRAKİ İŞLEM EKSİK",IF($I330="","TARİH EKSİK",IF($I330&lt;TODAY(),"GECİKMİŞ",IF($I330=TODAY(),"BUGÜN",IF($I330&lt;=TODAY()+7,"7 GÜN İÇİNDE","PLANLI"))))))))</f>
        <v/>
      </c>
      <c r="R330" s="6" t="n"/>
      <c r="S330" s="6" t="n"/>
    </row>
    <row r="331">
      <c r="A331" s="6" t="n"/>
      <c r="B331" s="112">
        <f>IF($D331="","","A"&amp;TEXT(ROW()-6,"00000"))</f>
        <v/>
      </c>
      <c r="C331" s="107" t="n"/>
      <c r="D331" s="107" t="n"/>
      <c r="E331" s="113">
        <f>IF($D331="","",IFERROR(INDEX(MUSTERILER!$C$7:$C$106,MATCH($D331,MUSTERILER!$B$7:$B$106,0)),"TANIMSIZ MÜŞTERİ"))</f>
        <v/>
      </c>
      <c r="F331" s="108" t="n"/>
      <c r="G331" s="107" t="n"/>
      <c r="H331" s="114" t="n"/>
      <c r="I331" s="114" t="n"/>
      <c r="J331" s="107" t="n"/>
      <c r="K331" s="107" t="n"/>
      <c r="L331" s="108" t="n"/>
      <c r="M331" s="108" t="n"/>
      <c r="N331" s="108" t="n"/>
      <c r="O331" s="114" t="n"/>
      <c r="P331" s="120">
        <f>IF(OR($D331="",$I331=""),"",IF(OR($J331="Tamamlandı",$J331="İptal"),"",$I331-TODAY()))</f>
        <v/>
      </c>
      <c r="Q331" s="112">
        <f>IF($D331="","",IF($E331="TANIMSIZ MÜŞTERİ","HATA",IF(OR($J331="Tamamlandı",$J331="İptal"),"KAPALI",IF(AND($C331="Görüşme",$N331=""),"SONRAKİ İŞLEM EKSİK",IF($I331="","TARİH EKSİK",IF($I331&lt;TODAY(),"GECİKMİŞ",IF($I331=TODAY(),"BUGÜN",IF($I331&lt;=TODAY()+7,"7 GÜN İÇİNDE","PLANLI"))))))))</f>
        <v/>
      </c>
      <c r="R331" s="6" t="n"/>
      <c r="S331" s="6" t="n"/>
    </row>
    <row r="332">
      <c r="A332" s="6" t="n"/>
      <c r="B332" s="112">
        <f>IF($D332="","","A"&amp;TEXT(ROW()-6,"00000"))</f>
        <v/>
      </c>
      <c r="C332" s="107" t="n"/>
      <c r="D332" s="107" t="n"/>
      <c r="E332" s="113">
        <f>IF($D332="","",IFERROR(INDEX(MUSTERILER!$C$7:$C$106,MATCH($D332,MUSTERILER!$B$7:$B$106,0)),"TANIMSIZ MÜŞTERİ"))</f>
        <v/>
      </c>
      <c r="F332" s="108" t="n"/>
      <c r="G332" s="107" t="n"/>
      <c r="H332" s="114" t="n"/>
      <c r="I332" s="114" t="n"/>
      <c r="J332" s="107" t="n"/>
      <c r="K332" s="107" t="n"/>
      <c r="L332" s="108" t="n"/>
      <c r="M332" s="108" t="n"/>
      <c r="N332" s="108" t="n"/>
      <c r="O332" s="114" t="n"/>
      <c r="P332" s="120">
        <f>IF(OR($D332="",$I332=""),"",IF(OR($J332="Tamamlandı",$J332="İptal"),"",$I332-TODAY()))</f>
        <v/>
      </c>
      <c r="Q332" s="112">
        <f>IF($D332="","",IF($E332="TANIMSIZ MÜŞTERİ","HATA",IF(OR($J332="Tamamlandı",$J332="İptal"),"KAPALI",IF(AND($C332="Görüşme",$N332=""),"SONRAKİ İŞLEM EKSİK",IF($I332="","TARİH EKSİK",IF($I332&lt;TODAY(),"GECİKMİŞ",IF($I332=TODAY(),"BUGÜN",IF($I332&lt;=TODAY()+7,"7 GÜN İÇİNDE","PLANLI"))))))))</f>
        <v/>
      </c>
      <c r="R332" s="6" t="n"/>
      <c r="S332" s="6" t="n"/>
    </row>
    <row r="333">
      <c r="A333" s="6" t="n"/>
      <c r="B333" s="112">
        <f>IF($D333="","","A"&amp;TEXT(ROW()-6,"00000"))</f>
        <v/>
      </c>
      <c r="C333" s="107" t="n"/>
      <c r="D333" s="107" t="n"/>
      <c r="E333" s="113">
        <f>IF($D333="","",IFERROR(INDEX(MUSTERILER!$C$7:$C$106,MATCH($D333,MUSTERILER!$B$7:$B$106,0)),"TANIMSIZ MÜŞTERİ"))</f>
        <v/>
      </c>
      <c r="F333" s="108" t="n"/>
      <c r="G333" s="107" t="n"/>
      <c r="H333" s="114" t="n"/>
      <c r="I333" s="114" t="n"/>
      <c r="J333" s="107" t="n"/>
      <c r="K333" s="107" t="n"/>
      <c r="L333" s="108" t="n"/>
      <c r="M333" s="108" t="n"/>
      <c r="N333" s="108" t="n"/>
      <c r="O333" s="114" t="n"/>
      <c r="P333" s="120">
        <f>IF(OR($D333="",$I333=""),"",IF(OR($J333="Tamamlandı",$J333="İptal"),"",$I333-TODAY()))</f>
        <v/>
      </c>
      <c r="Q333" s="112">
        <f>IF($D333="","",IF($E333="TANIMSIZ MÜŞTERİ","HATA",IF(OR($J333="Tamamlandı",$J333="İptal"),"KAPALI",IF(AND($C333="Görüşme",$N333=""),"SONRAKİ İŞLEM EKSİK",IF($I333="","TARİH EKSİK",IF($I333&lt;TODAY(),"GECİKMİŞ",IF($I333=TODAY(),"BUGÜN",IF($I333&lt;=TODAY()+7,"7 GÜN İÇİNDE","PLANLI"))))))))</f>
        <v/>
      </c>
      <c r="R333" s="6" t="n"/>
      <c r="S333" s="6" t="n"/>
    </row>
    <row r="334">
      <c r="A334" s="6" t="n"/>
      <c r="B334" s="112">
        <f>IF($D334="","","A"&amp;TEXT(ROW()-6,"00000"))</f>
        <v/>
      </c>
      <c r="C334" s="107" t="n"/>
      <c r="D334" s="107" t="n"/>
      <c r="E334" s="113">
        <f>IF($D334="","",IFERROR(INDEX(MUSTERILER!$C$7:$C$106,MATCH($D334,MUSTERILER!$B$7:$B$106,0)),"TANIMSIZ MÜŞTERİ"))</f>
        <v/>
      </c>
      <c r="F334" s="108" t="n"/>
      <c r="G334" s="107" t="n"/>
      <c r="H334" s="114" t="n"/>
      <c r="I334" s="114" t="n"/>
      <c r="J334" s="107" t="n"/>
      <c r="K334" s="107" t="n"/>
      <c r="L334" s="108" t="n"/>
      <c r="M334" s="108" t="n"/>
      <c r="N334" s="108" t="n"/>
      <c r="O334" s="114" t="n"/>
      <c r="P334" s="120">
        <f>IF(OR($D334="",$I334=""),"",IF(OR($J334="Tamamlandı",$J334="İptal"),"",$I334-TODAY()))</f>
        <v/>
      </c>
      <c r="Q334" s="112">
        <f>IF($D334="","",IF($E334="TANIMSIZ MÜŞTERİ","HATA",IF(OR($J334="Tamamlandı",$J334="İptal"),"KAPALI",IF(AND($C334="Görüşme",$N334=""),"SONRAKİ İŞLEM EKSİK",IF($I334="","TARİH EKSİK",IF($I334&lt;TODAY(),"GECİKMİŞ",IF($I334=TODAY(),"BUGÜN",IF($I334&lt;=TODAY()+7,"7 GÜN İÇİNDE","PLANLI"))))))))</f>
        <v/>
      </c>
      <c r="R334" s="6" t="n"/>
      <c r="S334" s="6" t="n"/>
    </row>
    <row r="335">
      <c r="A335" s="6" t="n"/>
      <c r="B335" s="112">
        <f>IF($D335="","","A"&amp;TEXT(ROW()-6,"00000"))</f>
        <v/>
      </c>
      <c r="C335" s="107" t="n"/>
      <c r="D335" s="107" t="n"/>
      <c r="E335" s="113">
        <f>IF($D335="","",IFERROR(INDEX(MUSTERILER!$C$7:$C$106,MATCH($D335,MUSTERILER!$B$7:$B$106,0)),"TANIMSIZ MÜŞTERİ"))</f>
        <v/>
      </c>
      <c r="F335" s="108" t="n"/>
      <c r="G335" s="107" t="n"/>
      <c r="H335" s="114" t="n"/>
      <c r="I335" s="114" t="n"/>
      <c r="J335" s="107" t="n"/>
      <c r="K335" s="107" t="n"/>
      <c r="L335" s="108" t="n"/>
      <c r="M335" s="108" t="n"/>
      <c r="N335" s="108" t="n"/>
      <c r="O335" s="114" t="n"/>
      <c r="P335" s="120">
        <f>IF(OR($D335="",$I335=""),"",IF(OR($J335="Tamamlandı",$J335="İptal"),"",$I335-TODAY()))</f>
        <v/>
      </c>
      <c r="Q335" s="112">
        <f>IF($D335="","",IF($E335="TANIMSIZ MÜŞTERİ","HATA",IF(OR($J335="Tamamlandı",$J335="İptal"),"KAPALI",IF(AND($C335="Görüşme",$N335=""),"SONRAKİ İŞLEM EKSİK",IF($I335="","TARİH EKSİK",IF($I335&lt;TODAY(),"GECİKMİŞ",IF($I335=TODAY(),"BUGÜN",IF($I335&lt;=TODAY()+7,"7 GÜN İÇİNDE","PLANLI"))))))))</f>
        <v/>
      </c>
      <c r="R335" s="6" t="n"/>
      <c r="S335" s="6" t="n"/>
    </row>
    <row r="336">
      <c r="A336" s="6" t="n"/>
      <c r="B336" s="112">
        <f>IF($D336="","","A"&amp;TEXT(ROW()-6,"00000"))</f>
        <v/>
      </c>
      <c r="C336" s="107" t="n"/>
      <c r="D336" s="107" t="n"/>
      <c r="E336" s="113">
        <f>IF($D336="","",IFERROR(INDEX(MUSTERILER!$C$7:$C$106,MATCH($D336,MUSTERILER!$B$7:$B$106,0)),"TANIMSIZ MÜŞTERİ"))</f>
        <v/>
      </c>
      <c r="F336" s="108" t="n"/>
      <c r="G336" s="107" t="n"/>
      <c r="H336" s="114" t="n"/>
      <c r="I336" s="114" t="n"/>
      <c r="J336" s="107" t="n"/>
      <c r="K336" s="107" t="n"/>
      <c r="L336" s="108" t="n"/>
      <c r="M336" s="108" t="n"/>
      <c r="N336" s="108" t="n"/>
      <c r="O336" s="114" t="n"/>
      <c r="P336" s="120">
        <f>IF(OR($D336="",$I336=""),"",IF(OR($J336="Tamamlandı",$J336="İptal"),"",$I336-TODAY()))</f>
        <v/>
      </c>
      <c r="Q336" s="112">
        <f>IF($D336="","",IF($E336="TANIMSIZ MÜŞTERİ","HATA",IF(OR($J336="Tamamlandı",$J336="İptal"),"KAPALI",IF(AND($C336="Görüşme",$N336=""),"SONRAKİ İŞLEM EKSİK",IF($I336="","TARİH EKSİK",IF($I336&lt;TODAY(),"GECİKMİŞ",IF($I336=TODAY(),"BUGÜN",IF($I336&lt;=TODAY()+7,"7 GÜN İÇİNDE","PLANLI"))))))))</f>
        <v/>
      </c>
      <c r="R336" s="6" t="n"/>
      <c r="S336" s="6" t="n"/>
    </row>
    <row r="337">
      <c r="A337" s="6" t="n"/>
      <c r="B337" s="112">
        <f>IF($D337="","","A"&amp;TEXT(ROW()-6,"00000"))</f>
        <v/>
      </c>
      <c r="C337" s="107" t="n"/>
      <c r="D337" s="107" t="n"/>
      <c r="E337" s="113">
        <f>IF($D337="","",IFERROR(INDEX(MUSTERILER!$C$7:$C$106,MATCH($D337,MUSTERILER!$B$7:$B$106,0)),"TANIMSIZ MÜŞTERİ"))</f>
        <v/>
      </c>
      <c r="F337" s="108" t="n"/>
      <c r="G337" s="107" t="n"/>
      <c r="H337" s="114" t="n"/>
      <c r="I337" s="114" t="n"/>
      <c r="J337" s="107" t="n"/>
      <c r="K337" s="107" t="n"/>
      <c r="L337" s="108" t="n"/>
      <c r="M337" s="108" t="n"/>
      <c r="N337" s="108" t="n"/>
      <c r="O337" s="114" t="n"/>
      <c r="P337" s="120">
        <f>IF(OR($D337="",$I337=""),"",IF(OR($J337="Tamamlandı",$J337="İptal"),"",$I337-TODAY()))</f>
        <v/>
      </c>
      <c r="Q337" s="112">
        <f>IF($D337="","",IF($E337="TANIMSIZ MÜŞTERİ","HATA",IF(OR($J337="Tamamlandı",$J337="İptal"),"KAPALI",IF(AND($C337="Görüşme",$N337=""),"SONRAKİ İŞLEM EKSİK",IF($I337="","TARİH EKSİK",IF($I337&lt;TODAY(),"GECİKMİŞ",IF($I337=TODAY(),"BUGÜN",IF($I337&lt;=TODAY()+7,"7 GÜN İÇİNDE","PLANLI"))))))))</f>
        <v/>
      </c>
      <c r="R337" s="6" t="n"/>
      <c r="S337" s="6" t="n"/>
    </row>
    <row r="338">
      <c r="A338" s="6" t="n"/>
      <c r="B338" s="112">
        <f>IF($D338="","","A"&amp;TEXT(ROW()-6,"00000"))</f>
        <v/>
      </c>
      <c r="C338" s="107" t="n"/>
      <c r="D338" s="107" t="n"/>
      <c r="E338" s="113">
        <f>IF($D338="","",IFERROR(INDEX(MUSTERILER!$C$7:$C$106,MATCH($D338,MUSTERILER!$B$7:$B$106,0)),"TANIMSIZ MÜŞTERİ"))</f>
        <v/>
      </c>
      <c r="F338" s="108" t="n"/>
      <c r="G338" s="107" t="n"/>
      <c r="H338" s="114" t="n"/>
      <c r="I338" s="114" t="n"/>
      <c r="J338" s="107" t="n"/>
      <c r="K338" s="107" t="n"/>
      <c r="L338" s="108" t="n"/>
      <c r="M338" s="108" t="n"/>
      <c r="N338" s="108" t="n"/>
      <c r="O338" s="114" t="n"/>
      <c r="P338" s="120">
        <f>IF(OR($D338="",$I338=""),"",IF(OR($J338="Tamamlandı",$J338="İptal"),"",$I338-TODAY()))</f>
        <v/>
      </c>
      <c r="Q338" s="112">
        <f>IF($D338="","",IF($E338="TANIMSIZ MÜŞTERİ","HATA",IF(OR($J338="Tamamlandı",$J338="İptal"),"KAPALI",IF(AND($C338="Görüşme",$N338=""),"SONRAKİ İŞLEM EKSİK",IF($I338="","TARİH EKSİK",IF($I338&lt;TODAY(),"GECİKMİŞ",IF($I338=TODAY(),"BUGÜN",IF($I338&lt;=TODAY()+7,"7 GÜN İÇİNDE","PLANLI"))))))))</f>
        <v/>
      </c>
      <c r="R338" s="6" t="n"/>
      <c r="S338" s="6" t="n"/>
    </row>
    <row r="339">
      <c r="A339" s="6" t="n"/>
      <c r="B339" s="112">
        <f>IF($D339="","","A"&amp;TEXT(ROW()-6,"00000"))</f>
        <v/>
      </c>
      <c r="C339" s="107" t="n"/>
      <c r="D339" s="107" t="n"/>
      <c r="E339" s="113">
        <f>IF($D339="","",IFERROR(INDEX(MUSTERILER!$C$7:$C$106,MATCH($D339,MUSTERILER!$B$7:$B$106,0)),"TANIMSIZ MÜŞTERİ"))</f>
        <v/>
      </c>
      <c r="F339" s="108" t="n"/>
      <c r="G339" s="107" t="n"/>
      <c r="H339" s="114" t="n"/>
      <c r="I339" s="114" t="n"/>
      <c r="J339" s="107" t="n"/>
      <c r="K339" s="107" t="n"/>
      <c r="L339" s="108" t="n"/>
      <c r="M339" s="108" t="n"/>
      <c r="N339" s="108" t="n"/>
      <c r="O339" s="114" t="n"/>
      <c r="P339" s="120">
        <f>IF(OR($D339="",$I339=""),"",IF(OR($J339="Tamamlandı",$J339="İptal"),"",$I339-TODAY()))</f>
        <v/>
      </c>
      <c r="Q339" s="112">
        <f>IF($D339="","",IF($E339="TANIMSIZ MÜŞTERİ","HATA",IF(OR($J339="Tamamlandı",$J339="İptal"),"KAPALI",IF(AND($C339="Görüşme",$N339=""),"SONRAKİ İŞLEM EKSİK",IF($I339="","TARİH EKSİK",IF($I339&lt;TODAY(),"GECİKMİŞ",IF($I339=TODAY(),"BUGÜN",IF($I339&lt;=TODAY()+7,"7 GÜN İÇİNDE","PLANLI"))))))))</f>
        <v/>
      </c>
      <c r="R339" s="6" t="n"/>
      <c r="S339" s="6" t="n"/>
    </row>
    <row r="340">
      <c r="A340" s="6" t="n"/>
      <c r="B340" s="112">
        <f>IF($D340="","","A"&amp;TEXT(ROW()-6,"00000"))</f>
        <v/>
      </c>
      <c r="C340" s="107" t="n"/>
      <c r="D340" s="107" t="n"/>
      <c r="E340" s="113">
        <f>IF($D340="","",IFERROR(INDEX(MUSTERILER!$C$7:$C$106,MATCH($D340,MUSTERILER!$B$7:$B$106,0)),"TANIMSIZ MÜŞTERİ"))</f>
        <v/>
      </c>
      <c r="F340" s="108" t="n"/>
      <c r="G340" s="107" t="n"/>
      <c r="H340" s="114" t="n"/>
      <c r="I340" s="114" t="n"/>
      <c r="J340" s="107" t="n"/>
      <c r="K340" s="107" t="n"/>
      <c r="L340" s="108" t="n"/>
      <c r="M340" s="108" t="n"/>
      <c r="N340" s="108" t="n"/>
      <c r="O340" s="114" t="n"/>
      <c r="P340" s="120">
        <f>IF(OR($D340="",$I340=""),"",IF(OR($J340="Tamamlandı",$J340="İptal"),"",$I340-TODAY()))</f>
        <v/>
      </c>
      <c r="Q340" s="112">
        <f>IF($D340="","",IF($E340="TANIMSIZ MÜŞTERİ","HATA",IF(OR($J340="Tamamlandı",$J340="İptal"),"KAPALI",IF(AND($C340="Görüşme",$N340=""),"SONRAKİ İŞLEM EKSİK",IF($I340="","TARİH EKSİK",IF($I340&lt;TODAY(),"GECİKMİŞ",IF($I340=TODAY(),"BUGÜN",IF($I340&lt;=TODAY()+7,"7 GÜN İÇİNDE","PLANLI"))))))))</f>
        <v/>
      </c>
      <c r="R340" s="6" t="n"/>
      <c r="S340" s="6" t="n"/>
    </row>
    <row r="341">
      <c r="A341" s="6" t="n"/>
      <c r="B341" s="112">
        <f>IF($D341="","","A"&amp;TEXT(ROW()-6,"00000"))</f>
        <v/>
      </c>
      <c r="C341" s="107" t="n"/>
      <c r="D341" s="107" t="n"/>
      <c r="E341" s="113">
        <f>IF($D341="","",IFERROR(INDEX(MUSTERILER!$C$7:$C$106,MATCH($D341,MUSTERILER!$B$7:$B$106,0)),"TANIMSIZ MÜŞTERİ"))</f>
        <v/>
      </c>
      <c r="F341" s="108" t="n"/>
      <c r="G341" s="107" t="n"/>
      <c r="H341" s="114" t="n"/>
      <c r="I341" s="114" t="n"/>
      <c r="J341" s="107" t="n"/>
      <c r="K341" s="107" t="n"/>
      <c r="L341" s="108" t="n"/>
      <c r="M341" s="108" t="n"/>
      <c r="N341" s="108" t="n"/>
      <c r="O341" s="114" t="n"/>
      <c r="P341" s="120">
        <f>IF(OR($D341="",$I341=""),"",IF(OR($J341="Tamamlandı",$J341="İptal"),"",$I341-TODAY()))</f>
        <v/>
      </c>
      <c r="Q341" s="112">
        <f>IF($D341="","",IF($E341="TANIMSIZ MÜŞTERİ","HATA",IF(OR($J341="Tamamlandı",$J341="İptal"),"KAPALI",IF(AND($C341="Görüşme",$N341=""),"SONRAKİ İŞLEM EKSİK",IF($I341="","TARİH EKSİK",IF($I341&lt;TODAY(),"GECİKMİŞ",IF($I341=TODAY(),"BUGÜN",IF($I341&lt;=TODAY()+7,"7 GÜN İÇİNDE","PLANLI"))))))))</f>
        <v/>
      </c>
      <c r="R341" s="6" t="n"/>
      <c r="S341" s="6" t="n"/>
    </row>
    <row r="342">
      <c r="A342" s="6" t="n"/>
      <c r="B342" s="112">
        <f>IF($D342="","","A"&amp;TEXT(ROW()-6,"00000"))</f>
        <v/>
      </c>
      <c r="C342" s="107" t="n"/>
      <c r="D342" s="107" t="n"/>
      <c r="E342" s="113">
        <f>IF($D342="","",IFERROR(INDEX(MUSTERILER!$C$7:$C$106,MATCH($D342,MUSTERILER!$B$7:$B$106,0)),"TANIMSIZ MÜŞTERİ"))</f>
        <v/>
      </c>
      <c r="F342" s="108" t="n"/>
      <c r="G342" s="107" t="n"/>
      <c r="H342" s="114" t="n"/>
      <c r="I342" s="114" t="n"/>
      <c r="J342" s="107" t="n"/>
      <c r="K342" s="107" t="n"/>
      <c r="L342" s="108" t="n"/>
      <c r="M342" s="108" t="n"/>
      <c r="N342" s="108" t="n"/>
      <c r="O342" s="114" t="n"/>
      <c r="P342" s="120">
        <f>IF(OR($D342="",$I342=""),"",IF(OR($J342="Tamamlandı",$J342="İptal"),"",$I342-TODAY()))</f>
        <v/>
      </c>
      <c r="Q342" s="112">
        <f>IF($D342="","",IF($E342="TANIMSIZ MÜŞTERİ","HATA",IF(OR($J342="Tamamlandı",$J342="İptal"),"KAPALI",IF(AND($C342="Görüşme",$N342=""),"SONRAKİ İŞLEM EKSİK",IF($I342="","TARİH EKSİK",IF($I342&lt;TODAY(),"GECİKMİŞ",IF($I342=TODAY(),"BUGÜN",IF($I342&lt;=TODAY()+7,"7 GÜN İÇİNDE","PLANLI"))))))))</f>
        <v/>
      </c>
      <c r="R342" s="6" t="n"/>
      <c r="S342" s="6" t="n"/>
    </row>
    <row r="343">
      <c r="A343" s="6" t="n"/>
      <c r="B343" s="112">
        <f>IF($D343="","","A"&amp;TEXT(ROW()-6,"00000"))</f>
        <v/>
      </c>
      <c r="C343" s="107" t="n"/>
      <c r="D343" s="107" t="n"/>
      <c r="E343" s="113">
        <f>IF($D343="","",IFERROR(INDEX(MUSTERILER!$C$7:$C$106,MATCH($D343,MUSTERILER!$B$7:$B$106,0)),"TANIMSIZ MÜŞTERİ"))</f>
        <v/>
      </c>
      <c r="F343" s="108" t="n"/>
      <c r="G343" s="107" t="n"/>
      <c r="H343" s="114" t="n"/>
      <c r="I343" s="114" t="n"/>
      <c r="J343" s="107" t="n"/>
      <c r="K343" s="107" t="n"/>
      <c r="L343" s="108" t="n"/>
      <c r="M343" s="108" t="n"/>
      <c r="N343" s="108" t="n"/>
      <c r="O343" s="114" t="n"/>
      <c r="P343" s="120">
        <f>IF(OR($D343="",$I343=""),"",IF(OR($J343="Tamamlandı",$J343="İptal"),"",$I343-TODAY()))</f>
        <v/>
      </c>
      <c r="Q343" s="112">
        <f>IF($D343="","",IF($E343="TANIMSIZ MÜŞTERİ","HATA",IF(OR($J343="Tamamlandı",$J343="İptal"),"KAPALI",IF(AND($C343="Görüşme",$N343=""),"SONRAKİ İŞLEM EKSİK",IF($I343="","TARİH EKSİK",IF($I343&lt;TODAY(),"GECİKMİŞ",IF($I343=TODAY(),"BUGÜN",IF($I343&lt;=TODAY()+7,"7 GÜN İÇİNDE","PLANLI"))))))))</f>
        <v/>
      </c>
      <c r="R343" s="6" t="n"/>
      <c r="S343" s="6" t="n"/>
    </row>
    <row r="344">
      <c r="A344" s="6" t="n"/>
      <c r="B344" s="112">
        <f>IF($D344="","","A"&amp;TEXT(ROW()-6,"00000"))</f>
        <v/>
      </c>
      <c r="C344" s="107" t="n"/>
      <c r="D344" s="107" t="n"/>
      <c r="E344" s="113">
        <f>IF($D344="","",IFERROR(INDEX(MUSTERILER!$C$7:$C$106,MATCH($D344,MUSTERILER!$B$7:$B$106,0)),"TANIMSIZ MÜŞTERİ"))</f>
        <v/>
      </c>
      <c r="F344" s="108" t="n"/>
      <c r="G344" s="107" t="n"/>
      <c r="H344" s="114" t="n"/>
      <c r="I344" s="114" t="n"/>
      <c r="J344" s="107" t="n"/>
      <c r="K344" s="107" t="n"/>
      <c r="L344" s="108" t="n"/>
      <c r="M344" s="108" t="n"/>
      <c r="N344" s="108" t="n"/>
      <c r="O344" s="114" t="n"/>
      <c r="P344" s="120">
        <f>IF(OR($D344="",$I344=""),"",IF(OR($J344="Tamamlandı",$J344="İptal"),"",$I344-TODAY()))</f>
        <v/>
      </c>
      <c r="Q344" s="112">
        <f>IF($D344="","",IF($E344="TANIMSIZ MÜŞTERİ","HATA",IF(OR($J344="Tamamlandı",$J344="İptal"),"KAPALI",IF(AND($C344="Görüşme",$N344=""),"SONRAKİ İŞLEM EKSİK",IF($I344="","TARİH EKSİK",IF($I344&lt;TODAY(),"GECİKMİŞ",IF($I344=TODAY(),"BUGÜN",IF($I344&lt;=TODAY()+7,"7 GÜN İÇİNDE","PLANLI"))))))))</f>
        <v/>
      </c>
      <c r="R344" s="6" t="n"/>
      <c r="S344" s="6" t="n"/>
    </row>
    <row r="345">
      <c r="A345" s="6" t="n"/>
      <c r="B345" s="112">
        <f>IF($D345="","","A"&amp;TEXT(ROW()-6,"00000"))</f>
        <v/>
      </c>
      <c r="C345" s="107" t="n"/>
      <c r="D345" s="107" t="n"/>
      <c r="E345" s="113">
        <f>IF($D345="","",IFERROR(INDEX(MUSTERILER!$C$7:$C$106,MATCH($D345,MUSTERILER!$B$7:$B$106,0)),"TANIMSIZ MÜŞTERİ"))</f>
        <v/>
      </c>
      <c r="F345" s="108" t="n"/>
      <c r="G345" s="107" t="n"/>
      <c r="H345" s="114" t="n"/>
      <c r="I345" s="114" t="n"/>
      <c r="J345" s="107" t="n"/>
      <c r="K345" s="107" t="n"/>
      <c r="L345" s="108" t="n"/>
      <c r="M345" s="108" t="n"/>
      <c r="N345" s="108" t="n"/>
      <c r="O345" s="114" t="n"/>
      <c r="P345" s="120">
        <f>IF(OR($D345="",$I345=""),"",IF(OR($J345="Tamamlandı",$J345="İptal"),"",$I345-TODAY()))</f>
        <v/>
      </c>
      <c r="Q345" s="112">
        <f>IF($D345="","",IF($E345="TANIMSIZ MÜŞTERİ","HATA",IF(OR($J345="Tamamlandı",$J345="İptal"),"KAPALI",IF(AND($C345="Görüşme",$N345=""),"SONRAKİ İŞLEM EKSİK",IF($I345="","TARİH EKSİK",IF($I345&lt;TODAY(),"GECİKMİŞ",IF($I345=TODAY(),"BUGÜN",IF($I345&lt;=TODAY()+7,"7 GÜN İÇİNDE","PLANLI"))))))))</f>
        <v/>
      </c>
      <c r="R345" s="6" t="n"/>
      <c r="S345" s="6" t="n"/>
    </row>
    <row r="346">
      <c r="A346" s="6" t="n"/>
      <c r="B346" s="112">
        <f>IF($D346="","","A"&amp;TEXT(ROW()-6,"00000"))</f>
        <v/>
      </c>
      <c r="C346" s="107" t="n"/>
      <c r="D346" s="107" t="n"/>
      <c r="E346" s="113">
        <f>IF($D346="","",IFERROR(INDEX(MUSTERILER!$C$7:$C$106,MATCH($D346,MUSTERILER!$B$7:$B$106,0)),"TANIMSIZ MÜŞTERİ"))</f>
        <v/>
      </c>
      <c r="F346" s="108" t="n"/>
      <c r="G346" s="107" t="n"/>
      <c r="H346" s="114" t="n"/>
      <c r="I346" s="114" t="n"/>
      <c r="J346" s="107" t="n"/>
      <c r="K346" s="107" t="n"/>
      <c r="L346" s="108" t="n"/>
      <c r="M346" s="108" t="n"/>
      <c r="N346" s="108" t="n"/>
      <c r="O346" s="114" t="n"/>
      <c r="P346" s="120">
        <f>IF(OR($D346="",$I346=""),"",IF(OR($J346="Tamamlandı",$J346="İptal"),"",$I346-TODAY()))</f>
        <v/>
      </c>
      <c r="Q346" s="112">
        <f>IF($D346="","",IF($E346="TANIMSIZ MÜŞTERİ","HATA",IF(OR($J346="Tamamlandı",$J346="İptal"),"KAPALI",IF(AND($C346="Görüşme",$N346=""),"SONRAKİ İŞLEM EKSİK",IF($I346="","TARİH EKSİK",IF($I346&lt;TODAY(),"GECİKMİŞ",IF($I346=TODAY(),"BUGÜN",IF($I346&lt;=TODAY()+7,"7 GÜN İÇİNDE","PLANLI"))))))))</f>
        <v/>
      </c>
      <c r="R346" s="6" t="n"/>
      <c r="S346" s="6" t="n"/>
    </row>
    <row r="347">
      <c r="A347" s="6" t="n"/>
      <c r="B347" s="112">
        <f>IF($D347="","","A"&amp;TEXT(ROW()-6,"00000"))</f>
        <v/>
      </c>
      <c r="C347" s="107" t="n"/>
      <c r="D347" s="107" t="n"/>
      <c r="E347" s="113">
        <f>IF($D347="","",IFERROR(INDEX(MUSTERILER!$C$7:$C$106,MATCH($D347,MUSTERILER!$B$7:$B$106,0)),"TANIMSIZ MÜŞTERİ"))</f>
        <v/>
      </c>
      <c r="F347" s="108" t="n"/>
      <c r="G347" s="107" t="n"/>
      <c r="H347" s="114" t="n"/>
      <c r="I347" s="114" t="n"/>
      <c r="J347" s="107" t="n"/>
      <c r="K347" s="107" t="n"/>
      <c r="L347" s="108" t="n"/>
      <c r="M347" s="108" t="n"/>
      <c r="N347" s="108" t="n"/>
      <c r="O347" s="114" t="n"/>
      <c r="P347" s="120">
        <f>IF(OR($D347="",$I347=""),"",IF(OR($J347="Tamamlandı",$J347="İptal"),"",$I347-TODAY()))</f>
        <v/>
      </c>
      <c r="Q347" s="112">
        <f>IF($D347="","",IF($E347="TANIMSIZ MÜŞTERİ","HATA",IF(OR($J347="Tamamlandı",$J347="İptal"),"KAPALI",IF(AND($C347="Görüşme",$N347=""),"SONRAKİ İŞLEM EKSİK",IF($I347="","TARİH EKSİK",IF($I347&lt;TODAY(),"GECİKMİŞ",IF($I347=TODAY(),"BUGÜN",IF($I347&lt;=TODAY()+7,"7 GÜN İÇİNDE","PLANLI"))))))))</f>
        <v/>
      </c>
      <c r="R347" s="6" t="n"/>
      <c r="S347" s="6" t="n"/>
    </row>
    <row r="348">
      <c r="A348" s="6" t="n"/>
      <c r="B348" s="112">
        <f>IF($D348="","","A"&amp;TEXT(ROW()-6,"00000"))</f>
        <v/>
      </c>
      <c r="C348" s="107" t="n"/>
      <c r="D348" s="107" t="n"/>
      <c r="E348" s="113">
        <f>IF($D348="","",IFERROR(INDEX(MUSTERILER!$C$7:$C$106,MATCH($D348,MUSTERILER!$B$7:$B$106,0)),"TANIMSIZ MÜŞTERİ"))</f>
        <v/>
      </c>
      <c r="F348" s="108" t="n"/>
      <c r="G348" s="107" t="n"/>
      <c r="H348" s="114" t="n"/>
      <c r="I348" s="114" t="n"/>
      <c r="J348" s="107" t="n"/>
      <c r="K348" s="107" t="n"/>
      <c r="L348" s="108" t="n"/>
      <c r="M348" s="108" t="n"/>
      <c r="N348" s="108" t="n"/>
      <c r="O348" s="114" t="n"/>
      <c r="P348" s="120">
        <f>IF(OR($D348="",$I348=""),"",IF(OR($J348="Tamamlandı",$J348="İptal"),"",$I348-TODAY()))</f>
        <v/>
      </c>
      <c r="Q348" s="112">
        <f>IF($D348="","",IF($E348="TANIMSIZ MÜŞTERİ","HATA",IF(OR($J348="Tamamlandı",$J348="İptal"),"KAPALI",IF(AND($C348="Görüşme",$N348=""),"SONRAKİ İŞLEM EKSİK",IF($I348="","TARİH EKSİK",IF($I348&lt;TODAY(),"GECİKMİŞ",IF($I348=TODAY(),"BUGÜN",IF($I348&lt;=TODAY()+7,"7 GÜN İÇİNDE","PLANLI"))))))))</f>
        <v/>
      </c>
      <c r="R348" s="6" t="n"/>
      <c r="S348" s="6" t="n"/>
    </row>
    <row r="349">
      <c r="A349" s="6" t="n"/>
      <c r="B349" s="112">
        <f>IF($D349="","","A"&amp;TEXT(ROW()-6,"00000"))</f>
        <v/>
      </c>
      <c r="C349" s="107" t="n"/>
      <c r="D349" s="107" t="n"/>
      <c r="E349" s="113">
        <f>IF($D349="","",IFERROR(INDEX(MUSTERILER!$C$7:$C$106,MATCH($D349,MUSTERILER!$B$7:$B$106,0)),"TANIMSIZ MÜŞTERİ"))</f>
        <v/>
      </c>
      <c r="F349" s="108" t="n"/>
      <c r="G349" s="107" t="n"/>
      <c r="H349" s="114" t="n"/>
      <c r="I349" s="114" t="n"/>
      <c r="J349" s="107" t="n"/>
      <c r="K349" s="107" t="n"/>
      <c r="L349" s="108" t="n"/>
      <c r="M349" s="108" t="n"/>
      <c r="N349" s="108" t="n"/>
      <c r="O349" s="114" t="n"/>
      <c r="P349" s="120">
        <f>IF(OR($D349="",$I349=""),"",IF(OR($J349="Tamamlandı",$J349="İptal"),"",$I349-TODAY()))</f>
        <v/>
      </c>
      <c r="Q349" s="112">
        <f>IF($D349="","",IF($E349="TANIMSIZ MÜŞTERİ","HATA",IF(OR($J349="Tamamlandı",$J349="İptal"),"KAPALI",IF(AND($C349="Görüşme",$N349=""),"SONRAKİ İŞLEM EKSİK",IF($I349="","TARİH EKSİK",IF($I349&lt;TODAY(),"GECİKMİŞ",IF($I349=TODAY(),"BUGÜN",IF($I349&lt;=TODAY()+7,"7 GÜN İÇİNDE","PLANLI"))))))))</f>
        <v/>
      </c>
      <c r="R349" s="6" t="n"/>
      <c r="S349" s="6" t="n"/>
    </row>
    <row r="350">
      <c r="A350" s="6" t="n"/>
      <c r="B350" s="112">
        <f>IF($D350="","","A"&amp;TEXT(ROW()-6,"00000"))</f>
        <v/>
      </c>
      <c r="C350" s="107" t="n"/>
      <c r="D350" s="107" t="n"/>
      <c r="E350" s="113">
        <f>IF($D350="","",IFERROR(INDEX(MUSTERILER!$C$7:$C$106,MATCH($D350,MUSTERILER!$B$7:$B$106,0)),"TANIMSIZ MÜŞTERİ"))</f>
        <v/>
      </c>
      <c r="F350" s="108" t="n"/>
      <c r="G350" s="107" t="n"/>
      <c r="H350" s="114" t="n"/>
      <c r="I350" s="114" t="n"/>
      <c r="J350" s="107" t="n"/>
      <c r="K350" s="107" t="n"/>
      <c r="L350" s="108" t="n"/>
      <c r="M350" s="108" t="n"/>
      <c r="N350" s="108" t="n"/>
      <c r="O350" s="114" t="n"/>
      <c r="P350" s="120">
        <f>IF(OR($D350="",$I350=""),"",IF(OR($J350="Tamamlandı",$J350="İptal"),"",$I350-TODAY()))</f>
        <v/>
      </c>
      <c r="Q350" s="112">
        <f>IF($D350="","",IF($E350="TANIMSIZ MÜŞTERİ","HATA",IF(OR($J350="Tamamlandı",$J350="İptal"),"KAPALI",IF(AND($C350="Görüşme",$N350=""),"SONRAKİ İŞLEM EKSİK",IF($I350="","TARİH EKSİK",IF($I350&lt;TODAY(),"GECİKMİŞ",IF($I350=TODAY(),"BUGÜN",IF($I350&lt;=TODAY()+7,"7 GÜN İÇİNDE","PLANLI"))))))))</f>
        <v/>
      </c>
      <c r="R350" s="6" t="n"/>
      <c r="S350" s="6" t="n"/>
    </row>
    <row r="351">
      <c r="A351" s="6" t="n"/>
      <c r="B351" s="112">
        <f>IF($D351="","","A"&amp;TEXT(ROW()-6,"00000"))</f>
        <v/>
      </c>
      <c r="C351" s="107" t="n"/>
      <c r="D351" s="107" t="n"/>
      <c r="E351" s="113">
        <f>IF($D351="","",IFERROR(INDEX(MUSTERILER!$C$7:$C$106,MATCH($D351,MUSTERILER!$B$7:$B$106,0)),"TANIMSIZ MÜŞTERİ"))</f>
        <v/>
      </c>
      <c r="F351" s="108" t="n"/>
      <c r="G351" s="107" t="n"/>
      <c r="H351" s="114" t="n"/>
      <c r="I351" s="114" t="n"/>
      <c r="J351" s="107" t="n"/>
      <c r="K351" s="107" t="n"/>
      <c r="L351" s="108" t="n"/>
      <c r="M351" s="108" t="n"/>
      <c r="N351" s="108" t="n"/>
      <c r="O351" s="114" t="n"/>
      <c r="P351" s="120">
        <f>IF(OR($D351="",$I351=""),"",IF(OR($J351="Tamamlandı",$J351="İptal"),"",$I351-TODAY()))</f>
        <v/>
      </c>
      <c r="Q351" s="112">
        <f>IF($D351="","",IF($E351="TANIMSIZ MÜŞTERİ","HATA",IF(OR($J351="Tamamlandı",$J351="İptal"),"KAPALI",IF(AND($C351="Görüşme",$N351=""),"SONRAKİ İŞLEM EKSİK",IF($I351="","TARİH EKSİK",IF($I351&lt;TODAY(),"GECİKMİŞ",IF($I351=TODAY(),"BUGÜN",IF($I351&lt;=TODAY()+7,"7 GÜN İÇİNDE","PLANLI"))))))))</f>
        <v/>
      </c>
      <c r="R351" s="6" t="n"/>
      <c r="S351" s="6" t="n"/>
    </row>
    <row r="352">
      <c r="A352" s="6" t="n"/>
      <c r="B352" s="112">
        <f>IF($D352="","","A"&amp;TEXT(ROW()-6,"00000"))</f>
        <v/>
      </c>
      <c r="C352" s="107" t="n"/>
      <c r="D352" s="107" t="n"/>
      <c r="E352" s="113">
        <f>IF($D352="","",IFERROR(INDEX(MUSTERILER!$C$7:$C$106,MATCH($D352,MUSTERILER!$B$7:$B$106,0)),"TANIMSIZ MÜŞTERİ"))</f>
        <v/>
      </c>
      <c r="F352" s="108" t="n"/>
      <c r="G352" s="107" t="n"/>
      <c r="H352" s="114" t="n"/>
      <c r="I352" s="114" t="n"/>
      <c r="J352" s="107" t="n"/>
      <c r="K352" s="107" t="n"/>
      <c r="L352" s="108" t="n"/>
      <c r="M352" s="108" t="n"/>
      <c r="N352" s="108" t="n"/>
      <c r="O352" s="114" t="n"/>
      <c r="P352" s="120">
        <f>IF(OR($D352="",$I352=""),"",IF(OR($J352="Tamamlandı",$J352="İptal"),"",$I352-TODAY()))</f>
        <v/>
      </c>
      <c r="Q352" s="112">
        <f>IF($D352="","",IF($E352="TANIMSIZ MÜŞTERİ","HATA",IF(OR($J352="Tamamlandı",$J352="İptal"),"KAPALI",IF(AND($C352="Görüşme",$N352=""),"SONRAKİ İŞLEM EKSİK",IF($I352="","TARİH EKSİK",IF($I352&lt;TODAY(),"GECİKMİŞ",IF($I352=TODAY(),"BUGÜN",IF($I352&lt;=TODAY()+7,"7 GÜN İÇİNDE","PLANLI"))))))))</f>
        <v/>
      </c>
      <c r="R352" s="6" t="n"/>
      <c r="S352" s="6" t="n"/>
    </row>
    <row r="353">
      <c r="A353" s="6" t="n"/>
      <c r="B353" s="112">
        <f>IF($D353="","","A"&amp;TEXT(ROW()-6,"00000"))</f>
        <v/>
      </c>
      <c r="C353" s="107" t="n"/>
      <c r="D353" s="107" t="n"/>
      <c r="E353" s="113">
        <f>IF($D353="","",IFERROR(INDEX(MUSTERILER!$C$7:$C$106,MATCH($D353,MUSTERILER!$B$7:$B$106,0)),"TANIMSIZ MÜŞTERİ"))</f>
        <v/>
      </c>
      <c r="F353" s="108" t="n"/>
      <c r="G353" s="107" t="n"/>
      <c r="H353" s="114" t="n"/>
      <c r="I353" s="114" t="n"/>
      <c r="J353" s="107" t="n"/>
      <c r="K353" s="107" t="n"/>
      <c r="L353" s="108" t="n"/>
      <c r="M353" s="108" t="n"/>
      <c r="N353" s="108" t="n"/>
      <c r="O353" s="114" t="n"/>
      <c r="P353" s="120">
        <f>IF(OR($D353="",$I353=""),"",IF(OR($J353="Tamamlandı",$J353="İptal"),"",$I353-TODAY()))</f>
        <v/>
      </c>
      <c r="Q353" s="112">
        <f>IF($D353="","",IF($E353="TANIMSIZ MÜŞTERİ","HATA",IF(OR($J353="Tamamlandı",$J353="İptal"),"KAPALI",IF(AND($C353="Görüşme",$N353=""),"SONRAKİ İŞLEM EKSİK",IF($I353="","TARİH EKSİK",IF($I353&lt;TODAY(),"GECİKMİŞ",IF($I353=TODAY(),"BUGÜN",IF($I353&lt;=TODAY()+7,"7 GÜN İÇİNDE","PLANLI"))))))))</f>
        <v/>
      </c>
      <c r="R353" s="6" t="n"/>
      <c r="S353" s="6" t="n"/>
    </row>
    <row r="354">
      <c r="A354" s="6" t="n"/>
      <c r="B354" s="112">
        <f>IF($D354="","","A"&amp;TEXT(ROW()-6,"00000"))</f>
        <v/>
      </c>
      <c r="C354" s="107" t="n"/>
      <c r="D354" s="107" t="n"/>
      <c r="E354" s="113">
        <f>IF($D354="","",IFERROR(INDEX(MUSTERILER!$C$7:$C$106,MATCH($D354,MUSTERILER!$B$7:$B$106,0)),"TANIMSIZ MÜŞTERİ"))</f>
        <v/>
      </c>
      <c r="F354" s="108" t="n"/>
      <c r="G354" s="107" t="n"/>
      <c r="H354" s="114" t="n"/>
      <c r="I354" s="114" t="n"/>
      <c r="J354" s="107" t="n"/>
      <c r="K354" s="107" t="n"/>
      <c r="L354" s="108" t="n"/>
      <c r="M354" s="108" t="n"/>
      <c r="N354" s="108" t="n"/>
      <c r="O354" s="114" t="n"/>
      <c r="P354" s="120">
        <f>IF(OR($D354="",$I354=""),"",IF(OR($J354="Tamamlandı",$J354="İptal"),"",$I354-TODAY()))</f>
        <v/>
      </c>
      <c r="Q354" s="112">
        <f>IF($D354="","",IF($E354="TANIMSIZ MÜŞTERİ","HATA",IF(OR($J354="Tamamlandı",$J354="İptal"),"KAPALI",IF(AND($C354="Görüşme",$N354=""),"SONRAKİ İŞLEM EKSİK",IF($I354="","TARİH EKSİK",IF($I354&lt;TODAY(),"GECİKMİŞ",IF($I354=TODAY(),"BUGÜN",IF($I354&lt;=TODAY()+7,"7 GÜN İÇİNDE","PLANLI"))))))))</f>
        <v/>
      </c>
      <c r="R354" s="6" t="n"/>
      <c r="S354" s="6" t="n"/>
    </row>
    <row r="355">
      <c r="A355" s="6" t="n"/>
      <c r="B355" s="112">
        <f>IF($D355="","","A"&amp;TEXT(ROW()-6,"00000"))</f>
        <v/>
      </c>
      <c r="C355" s="107" t="n"/>
      <c r="D355" s="107" t="n"/>
      <c r="E355" s="113">
        <f>IF($D355="","",IFERROR(INDEX(MUSTERILER!$C$7:$C$106,MATCH($D355,MUSTERILER!$B$7:$B$106,0)),"TANIMSIZ MÜŞTERİ"))</f>
        <v/>
      </c>
      <c r="F355" s="108" t="n"/>
      <c r="G355" s="107" t="n"/>
      <c r="H355" s="114" t="n"/>
      <c r="I355" s="114" t="n"/>
      <c r="J355" s="107" t="n"/>
      <c r="K355" s="107" t="n"/>
      <c r="L355" s="108" t="n"/>
      <c r="M355" s="108" t="n"/>
      <c r="N355" s="108" t="n"/>
      <c r="O355" s="114" t="n"/>
      <c r="P355" s="120">
        <f>IF(OR($D355="",$I355=""),"",IF(OR($J355="Tamamlandı",$J355="İptal"),"",$I355-TODAY()))</f>
        <v/>
      </c>
      <c r="Q355" s="112">
        <f>IF($D355="","",IF($E355="TANIMSIZ MÜŞTERİ","HATA",IF(OR($J355="Tamamlandı",$J355="İptal"),"KAPALI",IF(AND($C355="Görüşme",$N355=""),"SONRAKİ İŞLEM EKSİK",IF($I355="","TARİH EKSİK",IF($I355&lt;TODAY(),"GECİKMİŞ",IF($I355=TODAY(),"BUGÜN",IF($I355&lt;=TODAY()+7,"7 GÜN İÇİNDE","PLANLI"))))))))</f>
        <v/>
      </c>
      <c r="R355" s="6" t="n"/>
      <c r="S355" s="6" t="n"/>
    </row>
    <row r="356">
      <c r="A356" s="6" t="n"/>
      <c r="B356" s="112">
        <f>IF($D356="","","A"&amp;TEXT(ROW()-6,"00000"))</f>
        <v/>
      </c>
      <c r="C356" s="107" t="n"/>
      <c r="D356" s="107" t="n"/>
      <c r="E356" s="113">
        <f>IF($D356="","",IFERROR(INDEX(MUSTERILER!$C$7:$C$106,MATCH($D356,MUSTERILER!$B$7:$B$106,0)),"TANIMSIZ MÜŞTERİ"))</f>
        <v/>
      </c>
      <c r="F356" s="108" t="n"/>
      <c r="G356" s="107" t="n"/>
      <c r="H356" s="114" t="n"/>
      <c r="I356" s="114" t="n"/>
      <c r="J356" s="107" t="n"/>
      <c r="K356" s="107" t="n"/>
      <c r="L356" s="108" t="n"/>
      <c r="M356" s="108" t="n"/>
      <c r="N356" s="108" t="n"/>
      <c r="O356" s="114" t="n"/>
      <c r="P356" s="120">
        <f>IF(OR($D356="",$I356=""),"",IF(OR($J356="Tamamlandı",$J356="İptal"),"",$I356-TODAY()))</f>
        <v/>
      </c>
      <c r="Q356" s="112">
        <f>IF($D356="","",IF($E356="TANIMSIZ MÜŞTERİ","HATA",IF(OR($J356="Tamamlandı",$J356="İptal"),"KAPALI",IF(AND($C356="Görüşme",$N356=""),"SONRAKİ İŞLEM EKSİK",IF($I356="","TARİH EKSİK",IF($I356&lt;TODAY(),"GECİKMİŞ",IF($I356=TODAY(),"BUGÜN",IF($I356&lt;=TODAY()+7,"7 GÜN İÇİNDE","PLANLI"))))))))</f>
        <v/>
      </c>
      <c r="R356" s="6" t="n"/>
      <c r="S356" s="6" t="n"/>
    </row>
    <row r="357">
      <c r="A357" s="6" t="n"/>
      <c r="B357" s="112">
        <f>IF($D357="","","A"&amp;TEXT(ROW()-6,"00000"))</f>
        <v/>
      </c>
      <c r="C357" s="107" t="n"/>
      <c r="D357" s="107" t="n"/>
      <c r="E357" s="113">
        <f>IF($D357="","",IFERROR(INDEX(MUSTERILER!$C$7:$C$106,MATCH($D357,MUSTERILER!$B$7:$B$106,0)),"TANIMSIZ MÜŞTERİ"))</f>
        <v/>
      </c>
      <c r="F357" s="108" t="n"/>
      <c r="G357" s="107" t="n"/>
      <c r="H357" s="114" t="n"/>
      <c r="I357" s="114" t="n"/>
      <c r="J357" s="107" t="n"/>
      <c r="K357" s="107" t="n"/>
      <c r="L357" s="108" t="n"/>
      <c r="M357" s="108" t="n"/>
      <c r="N357" s="108" t="n"/>
      <c r="O357" s="114" t="n"/>
      <c r="P357" s="120">
        <f>IF(OR($D357="",$I357=""),"",IF(OR($J357="Tamamlandı",$J357="İptal"),"",$I357-TODAY()))</f>
        <v/>
      </c>
      <c r="Q357" s="112">
        <f>IF($D357="","",IF($E357="TANIMSIZ MÜŞTERİ","HATA",IF(OR($J357="Tamamlandı",$J357="İptal"),"KAPALI",IF(AND($C357="Görüşme",$N357=""),"SONRAKİ İŞLEM EKSİK",IF($I357="","TARİH EKSİK",IF($I357&lt;TODAY(),"GECİKMİŞ",IF($I357=TODAY(),"BUGÜN",IF($I357&lt;=TODAY()+7,"7 GÜN İÇİNDE","PLANLI"))))))))</f>
        <v/>
      </c>
      <c r="R357" s="6" t="n"/>
      <c r="S357" s="6" t="n"/>
    </row>
    <row r="358">
      <c r="A358" s="6" t="n"/>
      <c r="B358" s="112">
        <f>IF($D358="","","A"&amp;TEXT(ROW()-6,"00000"))</f>
        <v/>
      </c>
      <c r="C358" s="107" t="n"/>
      <c r="D358" s="107" t="n"/>
      <c r="E358" s="113">
        <f>IF($D358="","",IFERROR(INDEX(MUSTERILER!$C$7:$C$106,MATCH($D358,MUSTERILER!$B$7:$B$106,0)),"TANIMSIZ MÜŞTERİ"))</f>
        <v/>
      </c>
      <c r="F358" s="108" t="n"/>
      <c r="G358" s="107" t="n"/>
      <c r="H358" s="114" t="n"/>
      <c r="I358" s="114" t="n"/>
      <c r="J358" s="107" t="n"/>
      <c r="K358" s="107" t="n"/>
      <c r="L358" s="108" t="n"/>
      <c r="M358" s="108" t="n"/>
      <c r="N358" s="108" t="n"/>
      <c r="O358" s="114" t="n"/>
      <c r="P358" s="120">
        <f>IF(OR($D358="",$I358=""),"",IF(OR($J358="Tamamlandı",$J358="İptal"),"",$I358-TODAY()))</f>
        <v/>
      </c>
      <c r="Q358" s="112">
        <f>IF($D358="","",IF($E358="TANIMSIZ MÜŞTERİ","HATA",IF(OR($J358="Tamamlandı",$J358="İptal"),"KAPALI",IF(AND($C358="Görüşme",$N358=""),"SONRAKİ İŞLEM EKSİK",IF($I358="","TARİH EKSİK",IF($I358&lt;TODAY(),"GECİKMİŞ",IF($I358=TODAY(),"BUGÜN",IF($I358&lt;=TODAY()+7,"7 GÜN İÇİNDE","PLANLI"))))))))</f>
        <v/>
      </c>
      <c r="R358" s="6" t="n"/>
      <c r="S358" s="6" t="n"/>
    </row>
    <row r="359">
      <c r="A359" s="6" t="n"/>
      <c r="B359" s="112">
        <f>IF($D359="","","A"&amp;TEXT(ROW()-6,"00000"))</f>
        <v/>
      </c>
      <c r="C359" s="107" t="n"/>
      <c r="D359" s="107" t="n"/>
      <c r="E359" s="113">
        <f>IF($D359="","",IFERROR(INDEX(MUSTERILER!$C$7:$C$106,MATCH($D359,MUSTERILER!$B$7:$B$106,0)),"TANIMSIZ MÜŞTERİ"))</f>
        <v/>
      </c>
      <c r="F359" s="108" t="n"/>
      <c r="G359" s="107" t="n"/>
      <c r="H359" s="114" t="n"/>
      <c r="I359" s="114" t="n"/>
      <c r="J359" s="107" t="n"/>
      <c r="K359" s="107" t="n"/>
      <c r="L359" s="108" t="n"/>
      <c r="M359" s="108" t="n"/>
      <c r="N359" s="108" t="n"/>
      <c r="O359" s="114" t="n"/>
      <c r="P359" s="120">
        <f>IF(OR($D359="",$I359=""),"",IF(OR($J359="Tamamlandı",$J359="İptal"),"",$I359-TODAY()))</f>
        <v/>
      </c>
      <c r="Q359" s="112">
        <f>IF($D359="","",IF($E359="TANIMSIZ MÜŞTERİ","HATA",IF(OR($J359="Tamamlandı",$J359="İptal"),"KAPALI",IF(AND($C359="Görüşme",$N359=""),"SONRAKİ İŞLEM EKSİK",IF($I359="","TARİH EKSİK",IF($I359&lt;TODAY(),"GECİKMİŞ",IF($I359=TODAY(),"BUGÜN",IF($I359&lt;=TODAY()+7,"7 GÜN İÇİNDE","PLANLI"))))))))</f>
        <v/>
      </c>
      <c r="R359" s="6" t="n"/>
      <c r="S359" s="6" t="n"/>
    </row>
    <row r="360">
      <c r="A360" s="6" t="n"/>
      <c r="B360" s="112">
        <f>IF($D360="","","A"&amp;TEXT(ROW()-6,"00000"))</f>
        <v/>
      </c>
      <c r="C360" s="107" t="n"/>
      <c r="D360" s="107" t="n"/>
      <c r="E360" s="113">
        <f>IF($D360="","",IFERROR(INDEX(MUSTERILER!$C$7:$C$106,MATCH($D360,MUSTERILER!$B$7:$B$106,0)),"TANIMSIZ MÜŞTERİ"))</f>
        <v/>
      </c>
      <c r="F360" s="108" t="n"/>
      <c r="G360" s="107" t="n"/>
      <c r="H360" s="114" t="n"/>
      <c r="I360" s="114" t="n"/>
      <c r="J360" s="107" t="n"/>
      <c r="K360" s="107" t="n"/>
      <c r="L360" s="108" t="n"/>
      <c r="M360" s="108" t="n"/>
      <c r="N360" s="108" t="n"/>
      <c r="O360" s="114" t="n"/>
      <c r="P360" s="120">
        <f>IF(OR($D360="",$I360=""),"",IF(OR($J360="Tamamlandı",$J360="İptal"),"",$I360-TODAY()))</f>
        <v/>
      </c>
      <c r="Q360" s="112">
        <f>IF($D360="","",IF($E360="TANIMSIZ MÜŞTERİ","HATA",IF(OR($J360="Tamamlandı",$J360="İptal"),"KAPALI",IF(AND($C360="Görüşme",$N360=""),"SONRAKİ İŞLEM EKSİK",IF($I360="","TARİH EKSİK",IF($I360&lt;TODAY(),"GECİKMİŞ",IF($I360=TODAY(),"BUGÜN",IF($I360&lt;=TODAY()+7,"7 GÜN İÇİNDE","PLANLI"))))))))</f>
        <v/>
      </c>
      <c r="R360" s="6" t="n"/>
      <c r="S360" s="6" t="n"/>
    </row>
    <row r="361">
      <c r="A361" s="6" t="n"/>
      <c r="B361" s="112">
        <f>IF($D361="","","A"&amp;TEXT(ROW()-6,"00000"))</f>
        <v/>
      </c>
      <c r="C361" s="107" t="n"/>
      <c r="D361" s="107" t="n"/>
      <c r="E361" s="113">
        <f>IF($D361="","",IFERROR(INDEX(MUSTERILER!$C$7:$C$106,MATCH($D361,MUSTERILER!$B$7:$B$106,0)),"TANIMSIZ MÜŞTERİ"))</f>
        <v/>
      </c>
      <c r="F361" s="108" t="n"/>
      <c r="G361" s="107" t="n"/>
      <c r="H361" s="114" t="n"/>
      <c r="I361" s="114" t="n"/>
      <c r="J361" s="107" t="n"/>
      <c r="K361" s="107" t="n"/>
      <c r="L361" s="108" t="n"/>
      <c r="M361" s="108" t="n"/>
      <c r="N361" s="108" t="n"/>
      <c r="O361" s="114" t="n"/>
      <c r="P361" s="120">
        <f>IF(OR($D361="",$I361=""),"",IF(OR($J361="Tamamlandı",$J361="İptal"),"",$I361-TODAY()))</f>
        <v/>
      </c>
      <c r="Q361" s="112">
        <f>IF($D361="","",IF($E361="TANIMSIZ MÜŞTERİ","HATA",IF(OR($J361="Tamamlandı",$J361="İptal"),"KAPALI",IF(AND($C361="Görüşme",$N361=""),"SONRAKİ İŞLEM EKSİK",IF($I361="","TARİH EKSİK",IF($I361&lt;TODAY(),"GECİKMİŞ",IF($I361=TODAY(),"BUGÜN",IF($I361&lt;=TODAY()+7,"7 GÜN İÇİNDE","PLANLI"))))))))</f>
        <v/>
      </c>
      <c r="R361" s="6" t="n"/>
      <c r="S361" s="6" t="n"/>
    </row>
    <row r="362">
      <c r="A362" s="6" t="n"/>
      <c r="B362" s="112">
        <f>IF($D362="","","A"&amp;TEXT(ROW()-6,"00000"))</f>
        <v/>
      </c>
      <c r="C362" s="107" t="n"/>
      <c r="D362" s="107" t="n"/>
      <c r="E362" s="113">
        <f>IF($D362="","",IFERROR(INDEX(MUSTERILER!$C$7:$C$106,MATCH($D362,MUSTERILER!$B$7:$B$106,0)),"TANIMSIZ MÜŞTERİ"))</f>
        <v/>
      </c>
      <c r="F362" s="108" t="n"/>
      <c r="G362" s="107" t="n"/>
      <c r="H362" s="114" t="n"/>
      <c r="I362" s="114" t="n"/>
      <c r="J362" s="107" t="n"/>
      <c r="K362" s="107" t="n"/>
      <c r="L362" s="108" t="n"/>
      <c r="M362" s="108" t="n"/>
      <c r="N362" s="108" t="n"/>
      <c r="O362" s="114" t="n"/>
      <c r="P362" s="120">
        <f>IF(OR($D362="",$I362=""),"",IF(OR($J362="Tamamlandı",$J362="İptal"),"",$I362-TODAY()))</f>
        <v/>
      </c>
      <c r="Q362" s="112">
        <f>IF($D362="","",IF($E362="TANIMSIZ MÜŞTERİ","HATA",IF(OR($J362="Tamamlandı",$J362="İptal"),"KAPALI",IF(AND($C362="Görüşme",$N362=""),"SONRAKİ İŞLEM EKSİK",IF($I362="","TARİH EKSİK",IF($I362&lt;TODAY(),"GECİKMİŞ",IF($I362=TODAY(),"BUGÜN",IF($I362&lt;=TODAY()+7,"7 GÜN İÇİNDE","PLANLI"))))))))</f>
        <v/>
      </c>
      <c r="R362" s="6" t="n"/>
      <c r="S362" s="6" t="n"/>
    </row>
    <row r="363">
      <c r="A363" s="6" t="n"/>
      <c r="B363" s="112">
        <f>IF($D363="","","A"&amp;TEXT(ROW()-6,"00000"))</f>
        <v/>
      </c>
      <c r="C363" s="107" t="n"/>
      <c r="D363" s="107" t="n"/>
      <c r="E363" s="113">
        <f>IF($D363="","",IFERROR(INDEX(MUSTERILER!$C$7:$C$106,MATCH($D363,MUSTERILER!$B$7:$B$106,0)),"TANIMSIZ MÜŞTERİ"))</f>
        <v/>
      </c>
      <c r="F363" s="108" t="n"/>
      <c r="G363" s="107" t="n"/>
      <c r="H363" s="114" t="n"/>
      <c r="I363" s="114" t="n"/>
      <c r="J363" s="107" t="n"/>
      <c r="K363" s="107" t="n"/>
      <c r="L363" s="108" t="n"/>
      <c r="M363" s="108" t="n"/>
      <c r="N363" s="108" t="n"/>
      <c r="O363" s="114" t="n"/>
      <c r="P363" s="120">
        <f>IF(OR($D363="",$I363=""),"",IF(OR($J363="Tamamlandı",$J363="İptal"),"",$I363-TODAY()))</f>
        <v/>
      </c>
      <c r="Q363" s="112">
        <f>IF($D363="","",IF($E363="TANIMSIZ MÜŞTERİ","HATA",IF(OR($J363="Tamamlandı",$J363="İptal"),"KAPALI",IF(AND($C363="Görüşme",$N363=""),"SONRAKİ İŞLEM EKSİK",IF($I363="","TARİH EKSİK",IF($I363&lt;TODAY(),"GECİKMİŞ",IF($I363=TODAY(),"BUGÜN",IF($I363&lt;=TODAY()+7,"7 GÜN İÇİNDE","PLANLI"))))))))</f>
        <v/>
      </c>
      <c r="R363" s="6" t="n"/>
      <c r="S363" s="6" t="n"/>
    </row>
    <row r="364">
      <c r="A364" s="6" t="n"/>
      <c r="B364" s="112">
        <f>IF($D364="","","A"&amp;TEXT(ROW()-6,"00000"))</f>
        <v/>
      </c>
      <c r="C364" s="107" t="n"/>
      <c r="D364" s="107" t="n"/>
      <c r="E364" s="113">
        <f>IF($D364="","",IFERROR(INDEX(MUSTERILER!$C$7:$C$106,MATCH($D364,MUSTERILER!$B$7:$B$106,0)),"TANIMSIZ MÜŞTERİ"))</f>
        <v/>
      </c>
      <c r="F364" s="108" t="n"/>
      <c r="G364" s="107" t="n"/>
      <c r="H364" s="114" t="n"/>
      <c r="I364" s="114" t="n"/>
      <c r="J364" s="107" t="n"/>
      <c r="K364" s="107" t="n"/>
      <c r="L364" s="108" t="n"/>
      <c r="M364" s="108" t="n"/>
      <c r="N364" s="108" t="n"/>
      <c r="O364" s="114" t="n"/>
      <c r="P364" s="120">
        <f>IF(OR($D364="",$I364=""),"",IF(OR($J364="Tamamlandı",$J364="İptal"),"",$I364-TODAY()))</f>
        <v/>
      </c>
      <c r="Q364" s="112">
        <f>IF($D364="","",IF($E364="TANIMSIZ MÜŞTERİ","HATA",IF(OR($J364="Tamamlandı",$J364="İptal"),"KAPALI",IF(AND($C364="Görüşme",$N364=""),"SONRAKİ İŞLEM EKSİK",IF($I364="","TARİH EKSİK",IF($I364&lt;TODAY(),"GECİKMİŞ",IF($I364=TODAY(),"BUGÜN",IF($I364&lt;=TODAY()+7,"7 GÜN İÇİNDE","PLANLI"))))))))</f>
        <v/>
      </c>
      <c r="R364" s="6" t="n"/>
      <c r="S364" s="6" t="n"/>
    </row>
    <row r="365">
      <c r="A365" s="6" t="n"/>
      <c r="B365" s="112">
        <f>IF($D365="","","A"&amp;TEXT(ROW()-6,"00000"))</f>
        <v/>
      </c>
      <c r="C365" s="107" t="n"/>
      <c r="D365" s="107" t="n"/>
      <c r="E365" s="113">
        <f>IF($D365="","",IFERROR(INDEX(MUSTERILER!$C$7:$C$106,MATCH($D365,MUSTERILER!$B$7:$B$106,0)),"TANIMSIZ MÜŞTERİ"))</f>
        <v/>
      </c>
      <c r="F365" s="108" t="n"/>
      <c r="G365" s="107" t="n"/>
      <c r="H365" s="114" t="n"/>
      <c r="I365" s="114" t="n"/>
      <c r="J365" s="107" t="n"/>
      <c r="K365" s="107" t="n"/>
      <c r="L365" s="108" t="n"/>
      <c r="M365" s="108" t="n"/>
      <c r="N365" s="108" t="n"/>
      <c r="O365" s="114" t="n"/>
      <c r="P365" s="120">
        <f>IF(OR($D365="",$I365=""),"",IF(OR($J365="Tamamlandı",$J365="İptal"),"",$I365-TODAY()))</f>
        <v/>
      </c>
      <c r="Q365" s="112">
        <f>IF($D365="","",IF($E365="TANIMSIZ MÜŞTERİ","HATA",IF(OR($J365="Tamamlandı",$J365="İptal"),"KAPALI",IF(AND($C365="Görüşme",$N365=""),"SONRAKİ İŞLEM EKSİK",IF($I365="","TARİH EKSİK",IF($I365&lt;TODAY(),"GECİKMİŞ",IF($I365=TODAY(),"BUGÜN",IF($I365&lt;=TODAY()+7,"7 GÜN İÇİNDE","PLANLI"))))))))</f>
        <v/>
      </c>
      <c r="R365" s="6" t="n"/>
      <c r="S365" s="6" t="n"/>
    </row>
    <row r="366">
      <c r="A366" s="6" t="n"/>
      <c r="B366" s="112">
        <f>IF($D366="","","A"&amp;TEXT(ROW()-6,"00000"))</f>
        <v/>
      </c>
      <c r="C366" s="107" t="n"/>
      <c r="D366" s="107" t="n"/>
      <c r="E366" s="113">
        <f>IF($D366="","",IFERROR(INDEX(MUSTERILER!$C$7:$C$106,MATCH($D366,MUSTERILER!$B$7:$B$106,0)),"TANIMSIZ MÜŞTERİ"))</f>
        <v/>
      </c>
      <c r="F366" s="108" t="n"/>
      <c r="G366" s="107" t="n"/>
      <c r="H366" s="114" t="n"/>
      <c r="I366" s="114" t="n"/>
      <c r="J366" s="107" t="n"/>
      <c r="K366" s="107" t="n"/>
      <c r="L366" s="108" t="n"/>
      <c r="M366" s="108" t="n"/>
      <c r="N366" s="108" t="n"/>
      <c r="O366" s="114" t="n"/>
      <c r="P366" s="120">
        <f>IF(OR($D366="",$I366=""),"",IF(OR($J366="Tamamlandı",$J366="İptal"),"",$I366-TODAY()))</f>
        <v/>
      </c>
      <c r="Q366" s="112">
        <f>IF($D366="","",IF($E366="TANIMSIZ MÜŞTERİ","HATA",IF(OR($J366="Tamamlandı",$J366="İptal"),"KAPALI",IF(AND($C366="Görüşme",$N366=""),"SONRAKİ İŞLEM EKSİK",IF($I366="","TARİH EKSİK",IF($I366&lt;TODAY(),"GECİKMİŞ",IF($I366=TODAY(),"BUGÜN",IF($I366&lt;=TODAY()+7,"7 GÜN İÇİNDE","PLANLI"))))))))</f>
        <v/>
      </c>
      <c r="R366" s="6" t="n"/>
      <c r="S366" s="6" t="n"/>
    </row>
    <row r="367">
      <c r="A367" s="6" t="n"/>
      <c r="B367" s="112">
        <f>IF($D367="","","A"&amp;TEXT(ROW()-6,"00000"))</f>
        <v/>
      </c>
      <c r="C367" s="107" t="n"/>
      <c r="D367" s="107" t="n"/>
      <c r="E367" s="113">
        <f>IF($D367="","",IFERROR(INDEX(MUSTERILER!$C$7:$C$106,MATCH($D367,MUSTERILER!$B$7:$B$106,0)),"TANIMSIZ MÜŞTERİ"))</f>
        <v/>
      </c>
      <c r="F367" s="108" t="n"/>
      <c r="G367" s="107" t="n"/>
      <c r="H367" s="114" t="n"/>
      <c r="I367" s="114" t="n"/>
      <c r="J367" s="107" t="n"/>
      <c r="K367" s="107" t="n"/>
      <c r="L367" s="108" t="n"/>
      <c r="M367" s="108" t="n"/>
      <c r="N367" s="108" t="n"/>
      <c r="O367" s="114" t="n"/>
      <c r="P367" s="120">
        <f>IF(OR($D367="",$I367=""),"",IF(OR($J367="Tamamlandı",$J367="İptal"),"",$I367-TODAY()))</f>
        <v/>
      </c>
      <c r="Q367" s="112">
        <f>IF($D367="","",IF($E367="TANIMSIZ MÜŞTERİ","HATA",IF(OR($J367="Tamamlandı",$J367="İptal"),"KAPALI",IF(AND($C367="Görüşme",$N367=""),"SONRAKİ İŞLEM EKSİK",IF($I367="","TARİH EKSİK",IF($I367&lt;TODAY(),"GECİKMİŞ",IF($I367=TODAY(),"BUGÜN",IF($I367&lt;=TODAY()+7,"7 GÜN İÇİNDE","PLANLI"))))))))</f>
        <v/>
      </c>
      <c r="R367" s="6" t="n"/>
      <c r="S367" s="6" t="n"/>
    </row>
    <row r="368">
      <c r="A368" s="6" t="n"/>
      <c r="B368" s="112">
        <f>IF($D368="","","A"&amp;TEXT(ROW()-6,"00000"))</f>
        <v/>
      </c>
      <c r="C368" s="107" t="n"/>
      <c r="D368" s="107" t="n"/>
      <c r="E368" s="113">
        <f>IF($D368="","",IFERROR(INDEX(MUSTERILER!$C$7:$C$106,MATCH($D368,MUSTERILER!$B$7:$B$106,0)),"TANIMSIZ MÜŞTERİ"))</f>
        <v/>
      </c>
      <c r="F368" s="108" t="n"/>
      <c r="G368" s="107" t="n"/>
      <c r="H368" s="114" t="n"/>
      <c r="I368" s="114" t="n"/>
      <c r="J368" s="107" t="n"/>
      <c r="K368" s="107" t="n"/>
      <c r="L368" s="108" t="n"/>
      <c r="M368" s="108" t="n"/>
      <c r="N368" s="108" t="n"/>
      <c r="O368" s="114" t="n"/>
      <c r="P368" s="120">
        <f>IF(OR($D368="",$I368=""),"",IF(OR($J368="Tamamlandı",$J368="İptal"),"",$I368-TODAY()))</f>
        <v/>
      </c>
      <c r="Q368" s="112">
        <f>IF($D368="","",IF($E368="TANIMSIZ MÜŞTERİ","HATA",IF(OR($J368="Tamamlandı",$J368="İptal"),"KAPALI",IF(AND($C368="Görüşme",$N368=""),"SONRAKİ İŞLEM EKSİK",IF($I368="","TARİH EKSİK",IF($I368&lt;TODAY(),"GECİKMİŞ",IF($I368=TODAY(),"BUGÜN",IF($I368&lt;=TODAY()+7,"7 GÜN İÇİNDE","PLANLI"))))))))</f>
        <v/>
      </c>
      <c r="R368" s="6" t="n"/>
      <c r="S368" s="6" t="n"/>
    </row>
    <row r="369">
      <c r="A369" s="6" t="n"/>
      <c r="B369" s="112">
        <f>IF($D369="","","A"&amp;TEXT(ROW()-6,"00000"))</f>
        <v/>
      </c>
      <c r="C369" s="107" t="n"/>
      <c r="D369" s="107" t="n"/>
      <c r="E369" s="113">
        <f>IF($D369="","",IFERROR(INDEX(MUSTERILER!$C$7:$C$106,MATCH($D369,MUSTERILER!$B$7:$B$106,0)),"TANIMSIZ MÜŞTERİ"))</f>
        <v/>
      </c>
      <c r="F369" s="108" t="n"/>
      <c r="G369" s="107" t="n"/>
      <c r="H369" s="114" t="n"/>
      <c r="I369" s="114" t="n"/>
      <c r="J369" s="107" t="n"/>
      <c r="K369" s="107" t="n"/>
      <c r="L369" s="108" t="n"/>
      <c r="M369" s="108" t="n"/>
      <c r="N369" s="108" t="n"/>
      <c r="O369" s="114" t="n"/>
      <c r="P369" s="120">
        <f>IF(OR($D369="",$I369=""),"",IF(OR($J369="Tamamlandı",$J369="İptal"),"",$I369-TODAY()))</f>
        <v/>
      </c>
      <c r="Q369" s="112">
        <f>IF($D369="","",IF($E369="TANIMSIZ MÜŞTERİ","HATA",IF(OR($J369="Tamamlandı",$J369="İptal"),"KAPALI",IF(AND($C369="Görüşme",$N369=""),"SONRAKİ İŞLEM EKSİK",IF($I369="","TARİH EKSİK",IF($I369&lt;TODAY(),"GECİKMİŞ",IF($I369=TODAY(),"BUGÜN",IF($I369&lt;=TODAY()+7,"7 GÜN İÇİNDE","PLANLI"))))))))</f>
        <v/>
      </c>
      <c r="R369" s="6" t="n"/>
      <c r="S369" s="6" t="n"/>
    </row>
    <row r="370">
      <c r="A370" s="6" t="n"/>
      <c r="B370" s="112">
        <f>IF($D370="","","A"&amp;TEXT(ROW()-6,"00000"))</f>
        <v/>
      </c>
      <c r="C370" s="107" t="n"/>
      <c r="D370" s="107" t="n"/>
      <c r="E370" s="113">
        <f>IF($D370="","",IFERROR(INDEX(MUSTERILER!$C$7:$C$106,MATCH($D370,MUSTERILER!$B$7:$B$106,0)),"TANIMSIZ MÜŞTERİ"))</f>
        <v/>
      </c>
      <c r="F370" s="108" t="n"/>
      <c r="G370" s="107" t="n"/>
      <c r="H370" s="114" t="n"/>
      <c r="I370" s="114" t="n"/>
      <c r="J370" s="107" t="n"/>
      <c r="K370" s="107" t="n"/>
      <c r="L370" s="108" t="n"/>
      <c r="M370" s="108" t="n"/>
      <c r="N370" s="108" t="n"/>
      <c r="O370" s="114" t="n"/>
      <c r="P370" s="120">
        <f>IF(OR($D370="",$I370=""),"",IF(OR($J370="Tamamlandı",$J370="İptal"),"",$I370-TODAY()))</f>
        <v/>
      </c>
      <c r="Q370" s="112">
        <f>IF($D370="","",IF($E370="TANIMSIZ MÜŞTERİ","HATA",IF(OR($J370="Tamamlandı",$J370="İptal"),"KAPALI",IF(AND($C370="Görüşme",$N370=""),"SONRAKİ İŞLEM EKSİK",IF($I370="","TARİH EKSİK",IF($I370&lt;TODAY(),"GECİKMİŞ",IF($I370=TODAY(),"BUGÜN",IF($I370&lt;=TODAY()+7,"7 GÜN İÇİNDE","PLANLI"))))))))</f>
        <v/>
      </c>
      <c r="R370" s="6" t="n"/>
      <c r="S370" s="6" t="n"/>
    </row>
    <row r="371">
      <c r="A371" s="6" t="n"/>
      <c r="B371" s="112">
        <f>IF($D371="","","A"&amp;TEXT(ROW()-6,"00000"))</f>
        <v/>
      </c>
      <c r="C371" s="107" t="n"/>
      <c r="D371" s="107" t="n"/>
      <c r="E371" s="113">
        <f>IF($D371="","",IFERROR(INDEX(MUSTERILER!$C$7:$C$106,MATCH($D371,MUSTERILER!$B$7:$B$106,0)),"TANIMSIZ MÜŞTERİ"))</f>
        <v/>
      </c>
      <c r="F371" s="108" t="n"/>
      <c r="G371" s="107" t="n"/>
      <c r="H371" s="114" t="n"/>
      <c r="I371" s="114" t="n"/>
      <c r="J371" s="107" t="n"/>
      <c r="K371" s="107" t="n"/>
      <c r="L371" s="108" t="n"/>
      <c r="M371" s="108" t="n"/>
      <c r="N371" s="108" t="n"/>
      <c r="O371" s="114" t="n"/>
      <c r="P371" s="120">
        <f>IF(OR($D371="",$I371=""),"",IF(OR($J371="Tamamlandı",$J371="İptal"),"",$I371-TODAY()))</f>
        <v/>
      </c>
      <c r="Q371" s="112">
        <f>IF($D371="","",IF($E371="TANIMSIZ MÜŞTERİ","HATA",IF(OR($J371="Tamamlandı",$J371="İptal"),"KAPALI",IF(AND($C371="Görüşme",$N371=""),"SONRAKİ İŞLEM EKSİK",IF($I371="","TARİH EKSİK",IF($I371&lt;TODAY(),"GECİKMİŞ",IF($I371=TODAY(),"BUGÜN",IF($I371&lt;=TODAY()+7,"7 GÜN İÇİNDE","PLANLI"))))))))</f>
        <v/>
      </c>
      <c r="R371" s="6" t="n"/>
      <c r="S371" s="6" t="n"/>
    </row>
    <row r="372">
      <c r="A372" s="6" t="n"/>
      <c r="B372" s="112">
        <f>IF($D372="","","A"&amp;TEXT(ROW()-6,"00000"))</f>
        <v/>
      </c>
      <c r="C372" s="107" t="n"/>
      <c r="D372" s="107" t="n"/>
      <c r="E372" s="113">
        <f>IF($D372="","",IFERROR(INDEX(MUSTERILER!$C$7:$C$106,MATCH($D372,MUSTERILER!$B$7:$B$106,0)),"TANIMSIZ MÜŞTERİ"))</f>
        <v/>
      </c>
      <c r="F372" s="108" t="n"/>
      <c r="G372" s="107" t="n"/>
      <c r="H372" s="114" t="n"/>
      <c r="I372" s="114" t="n"/>
      <c r="J372" s="107" t="n"/>
      <c r="K372" s="107" t="n"/>
      <c r="L372" s="108" t="n"/>
      <c r="M372" s="108" t="n"/>
      <c r="N372" s="108" t="n"/>
      <c r="O372" s="114" t="n"/>
      <c r="P372" s="120">
        <f>IF(OR($D372="",$I372=""),"",IF(OR($J372="Tamamlandı",$J372="İptal"),"",$I372-TODAY()))</f>
        <v/>
      </c>
      <c r="Q372" s="112">
        <f>IF($D372="","",IF($E372="TANIMSIZ MÜŞTERİ","HATA",IF(OR($J372="Tamamlandı",$J372="İptal"),"KAPALI",IF(AND($C372="Görüşme",$N372=""),"SONRAKİ İŞLEM EKSİK",IF($I372="","TARİH EKSİK",IF($I372&lt;TODAY(),"GECİKMİŞ",IF($I372=TODAY(),"BUGÜN",IF($I372&lt;=TODAY()+7,"7 GÜN İÇİNDE","PLANLI"))))))))</f>
        <v/>
      </c>
      <c r="R372" s="6" t="n"/>
      <c r="S372" s="6" t="n"/>
    </row>
    <row r="373">
      <c r="A373" s="6" t="n"/>
      <c r="B373" s="112">
        <f>IF($D373="","","A"&amp;TEXT(ROW()-6,"00000"))</f>
        <v/>
      </c>
      <c r="C373" s="107" t="n"/>
      <c r="D373" s="107" t="n"/>
      <c r="E373" s="113">
        <f>IF($D373="","",IFERROR(INDEX(MUSTERILER!$C$7:$C$106,MATCH($D373,MUSTERILER!$B$7:$B$106,0)),"TANIMSIZ MÜŞTERİ"))</f>
        <v/>
      </c>
      <c r="F373" s="108" t="n"/>
      <c r="G373" s="107" t="n"/>
      <c r="H373" s="114" t="n"/>
      <c r="I373" s="114" t="n"/>
      <c r="J373" s="107" t="n"/>
      <c r="K373" s="107" t="n"/>
      <c r="L373" s="108" t="n"/>
      <c r="M373" s="108" t="n"/>
      <c r="N373" s="108" t="n"/>
      <c r="O373" s="114" t="n"/>
      <c r="P373" s="120">
        <f>IF(OR($D373="",$I373=""),"",IF(OR($J373="Tamamlandı",$J373="İptal"),"",$I373-TODAY()))</f>
        <v/>
      </c>
      <c r="Q373" s="112">
        <f>IF($D373="","",IF($E373="TANIMSIZ MÜŞTERİ","HATA",IF(OR($J373="Tamamlandı",$J373="İptal"),"KAPALI",IF(AND($C373="Görüşme",$N373=""),"SONRAKİ İŞLEM EKSİK",IF($I373="","TARİH EKSİK",IF($I373&lt;TODAY(),"GECİKMİŞ",IF($I373=TODAY(),"BUGÜN",IF($I373&lt;=TODAY()+7,"7 GÜN İÇİNDE","PLANLI"))))))))</f>
        <v/>
      </c>
      <c r="R373" s="6" t="n"/>
      <c r="S373" s="6" t="n"/>
    </row>
    <row r="374">
      <c r="A374" s="6" t="n"/>
      <c r="B374" s="112">
        <f>IF($D374="","","A"&amp;TEXT(ROW()-6,"00000"))</f>
        <v/>
      </c>
      <c r="C374" s="107" t="n"/>
      <c r="D374" s="107" t="n"/>
      <c r="E374" s="113">
        <f>IF($D374="","",IFERROR(INDEX(MUSTERILER!$C$7:$C$106,MATCH($D374,MUSTERILER!$B$7:$B$106,0)),"TANIMSIZ MÜŞTERİ"))</f>
        <v/>
      </c>
      <c r="F374" s="108" t="n"/>
      <c r="G374" s="107" t="n"/>
      <c r="H374" s="114" t="n"/>
      <c r="I374" s="114" t="n"/>
      <c r="J374" s="107" t="n"/>
      <c r="K374" s="107" t="n"/>
      <c r="L374" s="108" t="n"/>
      <c r="M374" s="108" t="n"/>
      <c r="N374" s="108" t="n"/>
      <c r="O374" s="114" t="n"/>
      <c r="P374" s="120">
        <f>IF(OR($D374="",$I374=""),"",IF(OR($J374="Tamamlandı",$J374="İptal"),"",$I374-TODAY()))</f>
        <v/>
      </c>
      <c r="Q374" s="112">
        <f>IF($D374="","",IF($E374="TANIMSIZ MÜŞTERİ","HATA",IF(OR($J374="Tamamlandı",$J374="İptal"),"KAPALI",IF(AND($C374="Görüşme",$N374=""),"SONRAKİ İŞLEM EKSİK",IF($I374="","TARİH EKSİK",IF($I374&lt;TODAY(),"GECİKMİŞ",IF($I374=TODAY(),"BUGÜN",IF($I374&lt;=TODAY()+7,"7 GÜN İÇİNDE","PLANLI"))))))))</f>
        <v/>
      </c>
      <c r="R374" s="6" t="n"/>
      <c r="S374" s="6" t="n"/>
    </row>
    <row r="375">
      <c r="A375" s="6" t="n"/>
      <c r="B375" s="112">
        <f>IF($D375="","","A"&amp;TEXT(ROW()-6,"00000"))</f>
        <v/>
      </c>
      <c r="C375" s="107" t="n"/>
      <c r="D375" s="107" t="n"/>
      <c r="E375" s="113">
        <f>IF($D375="","",IFERROR(INDEX(MUSTERILER!$C$7:$C$106,MATCH($D375,MUSTERILER!$B$7:$B$106,0)),"TANIMSIZ MÜŞTERİ"))</f>
        <v/>
      </c>
      <c r="F375" s="108" t="n"/>
      <c r="G375" s="107" t="n"/>
      <c r="H375" s="114" t="n"/>
      <c r="I375" s="114" t="n"/>
      <c r="J375" s="107" t="n"/>
      <c r="K375" s="107" t="n"/>
      <c r="L375" s="108" t="n"/>
      <c r="M375" s="108" t="n"/>
      <c r="N375" s="108" t="n"/>
      <c r="O375" s="114" t="n"/>
      <c r="P375" s="120">
        <f>IF(OR($D375="",$I375=""),"",IF(OR($J375="Tamamlandı",$J375="İptal"),"",$I375-TODAY()))</f>
        <v/>
      </c>
      <c r="Q375" s="112">
        <f>IF($D375="","",IF($E375="TANIMSIZ MÜŞTERİ","HATA",IF(OR($J375="Tamamlandı",$J375="İptal"),"KAPALI",IF(AND($C375="Görüşme",$N375=""),"SONRAKİ İŞLEM EKSİK",IF($I375="","TARİH EKSİK",IF($I375&lt;TODAY(),"GECİKMİŞ",IF($I375=TODAY(),"BUGÜN",IF($I375&lt;=TODAY()+7,"7 GÜN İÇİNDE","PLANLI"))))))))</f>
        <v/>
      </c>
      <c r="R375" s="6" t="n"/>
      <c r="S375" s="6" t="n"/>
    </row>
    <row r="376">
      <c r="A376" s="6" t="n"/>
      <c r="B376" s="112">
        <f>IF($D376="","","A"&amp;TEXT(ROW()-6,"00000"))</f>
        <v/>
      </c>
      <c r="C376" s="107" t="n"/>
      <c r="D376" s="107" t="n"/>
      <c r="E376" s="113">
        <f>IF($D376="","",IFERROR(INDEX(MUSTERILER!$C$7:$C$106,MATCH($D376,MUSTERILER!$B$7:$B$106,0)),"TANIMSIZ MÜŞTERİ"))</f>
        <v/>
      </c>
      <c r="F376" s="108" t="n"/>
      <c r="G376" s="107" t="n"/>
      <c r="H376" s="114" t="n"/>
      <c r="I376" s="114" t="n"/>
      <c r="J376" s="107" t="n"/>
      <c r="K376" s="107" t="n"/>
      <c r="L376" s="108" t="n"/>
      <c r="M376" s="108" t="n"/>
      <c r="N376" s="108" t="n"/>
      <c r="O376" s="114" t="n"/>
      <c r="P376" s="120">
        <f>IF(OR($D376="",$I376=""),"",IF(OR($J376="Tamamlandı",$J376="İptal"),"",$I376-TODAY()))</f>
        <v/>
      </c>
      <c r="Q376" s="112">
        <f>IF($D376="","",IF($E376="TANIMSIZ MÜŞTERİ","HATA",IF(OR($J376="Tamamlandı",$J376="İptal"),"KAPALI",IF(AND($C376="Görüşme",$N376=""),"SONRAKİ İŞLEM EKSİK",IF($I376="","TARİH EKSİK",IF($I376&lt;TODAY(),"GECİKMİŞ",IF($I376=TODAY(),"BUGÜN",IF($I376&lt;=TODAY()+7,"7 GÜN İÇİNDE","PLANLI"))))))))</f>
        <v/>
      </c>
      <c r="R376" s="6" t="n"/>
      <c r="S376" s="6" t="n"/>
    </row>
    <row r="377">
      <c r="A377" s="6" t="n"/>
      <c r="B377" s="112">
        <f>IF($D377="","","A"&amp;TEXT(ROW()-6,"00000"))</f>
        <v/>
      </c>
      <c r="C377" s="107" t="n"/>
      <c r="D377" s="107" t="n"/>
      <c r="E377" s="113">
        <f>IF($D377="","",IFERROR(INDEX(MUSTERILER!$C$7:$C$106,MATCH($D377,MUSTERILER!$B$7:$B$106,0)),"TANIMSIZ MÜŞTERİ"))</f>
        <v/>
      </c>
      <c r="F377" s="108" t="n"/>
      <c r="G377" s="107" t="n"/>
      <c r="H377" s="114" t="n"/>
      <c r="I377" s="114" t="n"/>
      <c r="J377" s="107" t="n"/>
      <c r="K377" s="107" t="n"/>
      <c r="L377" s="108" t="n"/>
      <c r="M377" s="108" t="n"/>
      <c r="N377" s="108" t="n"/>
      <c r="O377" s="114" t="n"/>
      <c r="P377" s="120">
        <f>IF(OR($D377="",$I377=""),"",IF(OR($J377="Tamamlandı",$J377="İptal"),"",$I377-TODAY()))</f>
        <v/>
      </c>
      <c r="Q377" s="112">
        <f>IF($D377="","",IF($E377="TANIMSIZ MÜŞTERİ","HATA",IF(OR($J377="Tamamlandı",$J377="İptal"),"KAPALI",IF(AND($C377="Görüşme",$N377=""),"SONRAKİ İŞLEM EKSİK",IF($I377="","TARİH EKSİK",IF($I377&lt;TODAY(),"GECİKMİŞ",IF($I377=TODAY(),"BUGÜN",IF($I377&lt;=TODAY()+7,"7 GÜN İÇİNDE","PLANLI"))))))))</f>
        <v/>
      </c>
      <c r="R377" s="6" t="n"/>
      <c r="S377" s="6" t="n"/>
    </row>
    <row r="378">
      <c r="A378" s="6" t="n"/>
      <c r="B378" s="112">
        <f>IF($D378="","","A"&amp;TEXT(ROW()-6,"00000"))</f>
        <v/>
      </c>
      <c r="C378" s="107" t="n"/>
      <c r="D378" s="107" t="n"/>
      <c r="E378" s="113">
        <f>IF($D378="","",IFERROR(INDEX(MUSTERILER!$C$7:$C$106,MATCH($D378,MUSTERILER!$B$7:$B$106,0)),"TANIMSIZ MÜŞTERİ"))</f>
        <v/>
      </c>
      <c r="F378" s="108" t="n"/>
      <c r="G378" s="107" t="n"/>
      <c r="H378" s="114" t="n"/>
      <c r="I378" s="114" t="n"/>
      <c r="J378" s="107" t="n"/>
      <c r="K378" s="107" t="n"/>
      <c r="L378" s="108" t="n"/>
      <c r="M378" s="108" t="n"/>
      <c r="N378" s="108" t="n"/>
      <c r="O378" s="114" t="n"/>
      <c r="P378" s="120">
        <f>IF(OR($D378="",$I378=""),"",IF(OR($J378="Tamamlandı",$J378="İptal"),"",$I378-TODAY()))</f>
        <v/>
      </c>
      <c r="Q378" s="112">
        <f>IF($D378="","",IF($E378="TANIMSIZ MÜŞTERİ","HATA",IF(OR($J378="Tamamlandı",$J378="İptal"),"KAPALI",IF(AND($C378="Görüşme",$N378=""),"SONRAKİ İŞLEM EKSİK",IF($I378="","TARİH EKSİK",IF($I378&lt;TODAY(),"GECİKMİŞ",IF($I378=TODAY(),"BUGÜN",IF($I378&lt;=TODAY()+7,"7 GÜN İÇİNDE","PLANLI"))))))))</f>
        <v/>
      </c>
      <c r="R378" s="6" t="n"/>
      <c r="S378" s="6" t="n"/>
    </row>
    <row r="379">
      <c r="A379" s="6" t="n"/>
      <c r="B379" s="112">
        <f>IF($D379="","","A"&amp;TEXT(ROW()-6,"00000"))</f>
        <v/>
      </c>
      <c r="C379" s="107" t="n"/>
      <c r="D379" s="107" t="n"/>
      <c r="E379" s="113">
        <f>IF($D379="","",IFERROR(INDEX(MUSTERILER!$C$7:$C$106,MATCH($D379,MUSTERILER!$B$7:$B$106,0)),"TANIMSIZ MÜŞTERİ"))</f>
        <v/>
      </c>
      <c r="F379" s="108" t="n"/>
      <c r="G379" s="107" t="n"/>
      <c r="H379" s="114" t="n"/>
      <c r="I379" s="114" t="n"/>
      <c r="J379" s="107" t="n"/>
      <c r="K379" s="107" t="n"/>
      <c r="L379" s="108" t="n"/>
      <c r="M379" s="108" t="n"/>
      <c r="N379" s="108" t="n"/>
      <c r="O379" s="114" t="n"/>
      <c r="P379" s="120">
        <f>IF(OR($D379="",$I379=""),"",IF(OR($J379="Tamamlandı",$J379="İptal"),"",$I379-TODAY()))</f>
        <v/>
      </c>
      <c r="Q379" s="112">
        <f>IF($D379="","",IF($E379="TANIMSIZ MÜŞTERİ","HATA",IF(OR($J379="Tamamlandı",$J379="İptal"),"KAPALI",IF(AND($C379="Görüşme",$N379=""),"SONRAKİ İŞLEM EKSİK",IF($I379="","TARİH EKSİK",IF($I379&lt;TODAY(),"GECİKMİŞ",IF($I379=TODAY(),"BUGÜN",IF($I379&lt;=TODAY()+7,"7 GÜN İÇİNDE","PLANLI"))))))))</f>
        <v/>
      </c>
      <c r="R379" s="6" t="n"/>
      <c r="S379" s="6" t="n"/>
    </row>
    <row r="380">
      <c r="A380" s="6" t="n"/>
      <c r="B380" s="112">
        <f>IF($D380="","","A"&amp;TEXT(ROW()-6,"00000"))</f>
        <v/>
      </c>
      <c r="C380" s="107" t="n"/>
      <c r="D380" s="107" t="n"/>
      <c r="E380" s="113">
        <f>IF($D380="","",IFERROR(INDEX(MUSTERILER!$C$7:$C$106,MATCH($D380,MUSTERILER!$B$7:$B$106,0)),"TANIMSIZ MÜŞTERİ"))</f>
        <v/>
      </c>
      <c r="F380" s="108" t="n"/>
      <c r="G380" s="107" t="n"/>
      <c r="H380" s="114" t="n"/>
      <c r="I380" s="114" t="n"/>
      <c r="J380" s="107" t="n"/>
      <c r="K380" s="107" t="n"/>
      <c r="L380" s="108" t="n"/>
      <c r="M380" s="108" t="n"/>
      <c r="N380" s="108" t="n"/>
      <c r="O380" s="114" t="n"/>
      <c r="P380" s="120">
        <f>IF(OR($D380="",$I380=""),"",IF(OR($J380="Tamamlandı",$J380="İptal"),"",$I380-TODAY()))</f>
        <v/>
      </c>
      <c r="Q380" s="112">
        <f>IF($D380="","",IF($E380="TANIMSIZ MÜŞTERİ","HATA",IF(OR($J380="Tamamlandı",$J380="İptal"),"KAPALI",IF(AND($C380="Görüşme",$N380=""),"SONRAKİ İŞLEM EKSİK",IF($I380="","TARİH EKSİK",IF($I380&lt;TODAY(),"GECİKMİŞ",IF($I380=TODAY(),"BUGÜN",IF($I380&lt;=TODAY()+7,"7 GÜN İÇİNDE","PLANLI"))))))))</f>
        <v/>
      </c>
      <c r="R380" s="6" t="n"/>
      <c r="S380" s="6" t="n"/>
    </row>
    <row r="381">
      <c r="A381" s="6" t="n"/>
      <c r="B381" s="112">
        <f>IF($D381="","","A"&amp;TEXT(ROW()-6,"00000"))</f>
        <v/>
      </c>
      <c r="C381" s="107" t="n"/>
      <c r="D381" s="107" t="n"/>
      <c r="E381" s="113">
        <f>IF($D381="","",IFERROR(INDEX(MUSTERILER!$C$7:$C$106,MATCH($D381,MUSTERILER!$B$7:$B$106,0)),"TANIMSIZ MÜŞTERİ"))</f>
        <v/>
      </c>
      <c r="F381" s="108" t="n"/>
      <c r="G381" s="107" t="n"/>
      <c r="H381" s="114" t="n"/>
      <c r="I381" s="114" t="n"/>
      <c r="J381" s="107" t="n"/>
      <c r="K381" s="107" t="n"/>
      <c r="L381" s="108" t="n"/>
      <c r="M381" s="108" t="n"/>
      <c r="N381" s="108" t="n"/>
      <c r="O381" s="114" t="n"/>
      <c r="P381" s="120">
        <f>IF(OR($D381="",$I381=""),"",IF(OR($J381="Tamamlandı",$J381="İptal"),"",$I381-TODAY()))</f>
        <v/>
      </c>
      <c r="Q381" s="112">
        <f>IF($D381="","",IF($E381="TANIMSIZ MÜŞTERİ","HATA",IF(OR($J381="Tamamlandı",$J381="İptal"),"KAPALI",IF(AND($C381="Görüşme",$N381=""),"SONRAKİ İŞLEM EKSİK",IF($I381="","TARİH EKSİK",IF($I381&lt;TODAY(),"GECİKMİŞ",IF($I381=TODAY(),"BUGÜN",IF($I381&lt;=TODAY()+7,"7 GÜN İÇİNDE","PLANLI"))))))))</f>
        <v/>
      </c>
      <c r="R381" s="6" t="n"/>
      <c r="S381" s="6" t="n"/>
    </row>
    <row r="382">
      <c r="A382" s="6" t="n"/>
      <c r="B382" s="112">
        <f>IF($D382="","","A"&amp;TEXT(ROW()-6,"00000"))</f>
        <v/>
      </c>
      <c r="C382" s="107" t="n"/>
      <c r="D382" s="107" t="n"/>
      <c r="E382" s="113">
        <f>IF($D382="","",IFERROR(INDEX(MUSTERILER!$C$7:$C$106,MATCH($D382,MUSTERILER!$B$7:$B$106,0)),"TANIMSIZ MÜŞTERİ"))</f>
        <v/>
      </c>
      <c r="F382" s="108" t="n"/>
      <c r="G382" s="107" t="n"/>
      <c r="H382" s="114" t="n"/>
      <c r="I382" s="114" t="n"/>
      <c r="J382" s="107" t="n"/>
      <c r="K382" s="107" t="n"/>
      <c r="L382" s="108" t="n"/>
      <c r="M382" s="108" t="n"/>
      <c r="N382" s="108" t="n"/>
      <c r="O382" s="114" t="n"/>
      <c r="P382" s="120">
        <f>IF(OR($D382="",$I382=""),"",IF(OR($J382="Tamamlandı",$J382="İptal"),"",$I382-TODAY()))</f>
        <v/>
      </c>
      <c r="Q382" s="112">
        <f>IF($D382="","",IF($E382="TANIMSIZ MÜŞTERİ","HATA",IF(OR($J382="Tamamlandı",$J382="İptal"),"KAPALI",IF(AND($C382="Görüşme",$N382=""),"SONRAKİ İŞLEM EKSİK",IF($I382="","TARİH EKSİK",IF($I382&lt;TODAY(),"GECİKMİŞ",IF($I382=TODAY(),"BUGÜN",IF($I382&lt;=TODAY()+7,"7 GÜN İÇİNDE","PLANLI"))))))))</f>
        <v/>
      </c>
      <c r="R382" s="6" t="n"/>
      <c r="S382" s="6" t="n"/>
    </row>
    <row r="383">
      <c r="A383" s="6" t="n"/>
      <c r="B383" s="112">
        <f>IF($D383="","","A"&amp;TEXT(ROW()-6,"00000"))</f>
        <v/>
      </c>
      <c r="C383" s="107" t="n"/>
      <c r="D383" s="107" t="n"/>
      <c r="E383" s="113">
        <f>IF($D383="","",IFERROR(INDEX(MUSTERILER!$C$7:$C$106,MATCH($D383,MUSTERILER!$B$7:$B$106,0)),"TANIMSIZ MÜŞTERİ"))</f>
        <v/>
      </c>
      <c r="F383" s="108" t="n"/>
      <c r="G383" s="107" t="n"/>
      <c r="H383" s="114" t="n"/>
      <c r="I383" s="114" t="n"/>
      <c r="J383" s="107" t="n"/>
      <c r="K383" s="107" t="n"/>
      <c r="L383" s="108" t="n"/>
      <c r="M383" s="108" t="n"/>
      <c r="N383" s="108" t="n"/>
      <c r="O383" s="114" t="n"/>
      <c r="P383" s="120">
        <f>IF(OR($D383="",$I383=""),"",IF(OR($J383="Tamamlandı",$J383="İptal"),"",$I383-TODAY()))</f>
        <v/>
      </c>
      <c r="Q383" s="112">
        <f>IF($D383="","",IF($E383="TANIMSIZ MÜŞTERİ","HATA",IF(OR($J383="Tamamlandı",$J383="İptal"),"KAPALI",IF(AND($C383="Görüşme",$N383=""),"SONRAKİ İŞLEM EKSİK",IF($I383="","TARİH EKSİK",IF($I383&lt;TODAY(),"GECİKMİŞ",IF($I383=TODAY(),"BUGÜN",IF($I383&lt;=TODAY()+7,"7 GÜN İÇİNDE","PLANLI"))))))))</f>
        <v/>
      </c>
      <c r="R383" s="6" t="n"/>
      <c r="S383" s="6" t="n"/>
    </row>
    <row r="384">
      <c r="A384" s="6" t="n"/>
      <c r="B384" s="112">
        <f>IF($D384="","","A"&amp;TEXT(ROW()-6,"00000"))</f>
        <v/>
      </c>
      <c r="C384" s="107" t="n"/>
      <c r="D384" s="107" t="n"/>
      <c r="E384" s="113">
        <f>IF($D384="","",IFERROR(INDEX(MUSTERILER!$C$7:$C$106,MATCH($D384,MUSTERILER!$B$7:$B$106,0)),"TANIMSIZ MÜŞTERİ"))</f>
        <v/>
      </c>
      <c r="F384" s="108" t="n"/>
      <c r="G384" s="107" t="n"/>
      <c r="H384" s="114" t="n"/>
      <c r="I384" s="114" t="n"/>
      <c r="J384" s="107" t="n"/>
      <c r="K384" s="107" t="n"/>
      <c r="L384" s="108" t="n"/>
      <c r="M384" s="108" t="n"/>
      <c r="N384" s="108" t="n"/>
      <c r="O384" s="114" t="n"/>
      <c r="P384" s="120">
        <f>IF(OR($D384="",$I384=""),"",IF(OR($J384="Tamamlandı",$J384="İptal"),"",$I384-TODAY()))</f>
        <v/>
      </c>
      <c r="Q384" s="112">
        <f>IF($D384="","",IF($E384="TANIMSIZ MÜŞTERİ","HATA",IF(OR($J384="Tamamlandı",$J384="İptal"),"KAPALI",IF(AND($C384="Görüşme",$N384=""),"SONRAKİ İŞLEM EKSİK",IF($I384="","TARİH EKSİK",IF($I384&lt;TODAY(),"GECİKMİŞ",IF($I384=TODAY(),"BUGÜN",IF($I384&lt;=TODAY()+7,"7 GÜN İÇİNDE","PLANLI"))))))))</f>
        <v/>
      </c>
      <c r="R384" s="6" t="n"/>
      <c r="S384" s="6" t="n"/>
    </row>
    <row r="385">
      <c r="A385" s="6" t="n"/>
      <c r="B385" s="112">
        <f>IF($D385="","","A"&amp;TEXT(ROW()-6,"00000"))</f>
        <v/>
      </c>
      <c r="C385" s="107" t="n"/>
      <c r="D385" s="107" t="n"/>
      <c r="E385" s="113">
        <f>IF($D385="","",IFERROR(INDEX(MUSTERILER!$C$7:$C$106,MATCH($D385,MUSTERILER!$B$7:$B$106,0)),"TANIMSIZ MÜŞTERİ"))</f>
        <v/>
      </c>
      <c r="F385" s="108" t="n"/>
      <c r="G385" s="107" t="n"/>
      <c r="H385" s="114" t="n"/>
      <c r="I385" s="114" t="n"/>
      <c r="J385" s="107" t="n"/>
      <c r="K385" s="107" t="n"/>
      <c r="L385" s="108" t="n"/>
      <c r="M385" s="108" t="n"/>
      <c r="N385" s="108" t="n"/>
      <c r="O385" s="114" t="n"/>
      <c r="P385" s="120">
        <f>IF(OR($D385="",$I385=""),"",IF(OR($J385="Tamamlandı",$J385="İptal"),"",$I385-TODAY()))</f>
        <v/>
      </c>
      <c r="Q385" s="112">
        <f>IF($D385="","",IF($E385="TANIMSIZ MÜŞTERİ","HATA",IF(OR($J385="Tamamlandı",$J385="İptal"),"KAPALI",IF(AND($C385="Görüşme",$N385=""),"SONRAKİ İŞLEM EKSİK",IF($I385="","TARİH EKSİK",IF($I385&lt;TODAY(),"GECİKMİŞ",IF($I385=TODAY(),"BUGÜN",IF($I385&lt;=TODAY()+7,"7 GÜN İÇİNDE","PLANLI"))))))))</f>
        <v/>
      </c>
      <c r="R385" s="6" t="n"/>
      <c r="S385" s="6" t="n"/>
    </row>
    <row r="386">
      <c r="A386" s="6" t="n"/>
      <c r="B386" s="112">
        <f>IF($D386="","","A"&amp;TEXT(ROW()-6,"00000"))</f>
        <v/>
      </c>
      <c r="C386" s="107" t="n"/>
      <c r="D386" s="107" t="n"/>
      <c r="E386" s="113">
        <f>IF($D386="","",IFERROR(INDEX(MUSTERILER!$C$7:$C$106,MATCH($D386,MUSTERILER!$B$7:$B$106,0)),"TANIMSIZ MÜŞTERİ"))</f>
        <v/>
      </c>
      <c r="F386" s="108" t="n"/>
      <c r="G386" s="107" t="n"/>
      <c r="H386" s="114" t="n"/>
      <c r="I386" s="114" t="n"/>
      <c r="J386" s="107" t="n"/>
      <c r="K386" s="107" t="n"/>
      <c r="L386" s="108" t="n"/>
      <c r="M386" s="108" t="n"/>
      <c r="N386" s="108" t="n"/>
      <c r="O386" s="114" t="n"/>
      <c r="P386" s="120">
        <f>IF(OR($D386="",$I386=""),"",IF(OR($J386="Tamamlandı",$J386="İptal"),"",$I386-TODAY()))</f>
        <v/>
      </c>
      <c r="Q386" s="112">
        <f>IF($D386="","",IF($E386="TANIMSIZ MÜŞTERİ","HATA",IF(OR($J386="Tamamlandı",$J386="İptal"),"KAPALI",IF(AND($C386="Görüşme",$N386=""),"SONRAKİ İŞLEM EKSİK",IF($I386="","TARİH EKSİK",IF($I386&lt;TODAY(),"GECİKMİŞ",IF($I386=TODAY(),"BUGÜN",IF($I386&lt;=TODAY()+7,"7 GÜN İÇİNDE","PLANLI"))))))))</f>
        <v/>
      </c>
      <c r="R386" s="6" t="n"/>
      <c r="S386" s="6" t="n"/>
    </row>
    <row r="387">
      <c r="A387" s="6" t="n"/>
      <c r="B387" s="112">
        <f>IF($D387="","","A"&amp;TEXT(ROW()-6,"00000"))</f>
        <v/>
      </c>
      <c r="C387" s="107" t="n"/>
      <c r="D387" s="107" t="n"/>
      <c r="E387" s="113">
        <f>IF($D387="","",IFERROR(INDEX(MUSTERILER!$C$7:$C$106,MATCH($D387,MUSTERILER!$B$7:$B$106,0)),"TANIMSIZ MÜŞTERİ"))</f>
        <v/>
      </c>
      <c r="F387" s="108" t="n"/>
      <c r="G387" s="107" t="n"/>
      <c r="H387" s="114" t="n"/>
      <c r="I387" s="114" t="n"/>
      <c r="J387" s="107" t="n"/>
      <c r="K387" s="107" t="n"/>
      <c r="L387" s="108" t="n"/>
      <c r="M387" s="108" t="n"/>
      <c r="N387" s="108" t="n"/>
      <c r="O387" s="114" t="n"/>
      <c r="P387" s="120">
        <f>IF(OR($D387="",$I387=""),"",IF(OR($J387="Tamamlandı",$J387="İptal"),"",$I387-TODAY()))</f>
        <v/>
      </c>
      <c r="Q387" s="112">
        <f>IF($D387="","",IF($E387="TANIMSIZ MÜŞTERİ","HATA",IF(OR($J387="Tamamlandı",$J387="İptal"),"KAPALI",IF(AND($C387="Görüşme",$N387=""),"SONRAKİ İŞLEM EKSİK",IF($I387="","TARİH EKSİK",IF($I387&lt;TODAY(),"GECİKMİŞ",IF($I387=TODAY(),"BUGÜN",IF($I387&lt;=TODAY()+7,"7 GÜN İÇİNDE","PLANLI"))))))))</f>
        <v/>
      </c>
      <c r="R387" s="6" t="n"/>
      <c r="S387" s="6" t="n"/>
    </row>
    <row r="388">
      <c r="A388" s="6" t="n"/>
      <c r="B388" s="112">
        <f>IF($D388="","","A"&amp;TEXT(ROW()-6,"00000"))</f>
        <v/>
      </c>
      <c r="C388" s="107" t="n"/>
      <c r="D388" s="107" t="n"/>
      <c r="E388" s="113">
        <f>IF($D388="","",IFERROR(INDEX(MUSTERILER!$C$7:$C$106,MATCH($D388,MUSTERILER!$B$7:$B$106,0)),"TANIMSIZ MÜŞTERİ"))</f>
        <v/>
      </c>
      <c r="F388" s="108" t="n"/>
      <c r="G388" s="107" t="n"/>
      <c r="H388" s="114" t="n"/>
      <c r="I388" s="114" t="n"/>
      <c r="J388" s="107" t="n"/>
      <c r="K388" s="107" t="n"/>
      <c r="L388" s="108" t="n"/>
      <c r="M388" s="108" t="n"/>
      <c r="N388" s="108" t="n"/>
      <c r="O388" s="114" t="n"/>
      <c r="P388" s="120">
        <f>IF(OR($D388="",$I388=""),"",IF(OR($J388="Tamamlandı",$J388="İptal"),"",$I388-TODAY()))</f>
        <v/>
      </c>
      <c r="Q388" s="112">
        <f>IF($D388="","",IF($E388="TANIMSIZ MÜŞTERİ","HATA",IF(OR($J388="Tamamlandı",$J388="İptal"),"KAPALI",IF(AND($C388="Görüşme",$N388=""),"SONRAKİ İŞLEM EKSİK",IF($I388="","TARİH EKSİK",IF($I388&lt;TODAY(),"GECİKMİŞ",IF($I388=TODAY(),"BUGÜN",IF($I388&lt;=TODAY()+7,"7 GÜN İÇİNDE","PLANLI"))))))))</f>
        <v/>
      </c>
      <c r="R388" s="6" t="n"/>
      <c r="S388" s="6" t="n"/>
    </row>
    <row r="389">
      <c r="A389" s="6" t="n"/>
      <c r="B389" s="112">
        <f>IF($D389="","","A"&amp;TEXT(ROW()-6,"00000"))</f>
        <v/>
      </c>
      <c r="C389" s="107" t="n"/>
      <c r="D389" s="107" t="n"/>
      <c r="E389" s="113">
        <f>IF($D389="","",IFERROR(INDEX(MUSTERILER!$C$7:$C$106,MATCH($D389,MUSTERILER!$B$7:$B$106,0)),"TANIMSIZ MÜŞTERİ"))</f>
        <v/>
      </c>
      <c r="F389" s="108" t="n"/>
      <c r="G389" s="107" t="n"/>
      <c r="H389" s="114" t="n"/>
      <c r="I389" s="114" t="n"/>
      <c r="J389" s="107" t="n"/>
      <c r="K389" s="107" t="n"/>
      <c r="L389" s="108" t="n"/>
      <c r="M389" s="108" t="n"/>
      <c r="N389" s="108" t="n"/>
      <c r="O389" s="114" t="n"/>
      <c r="P389" s="120">
        <f>IF(OR($D389="",$I389=""),"",IF(OR($J389="Tamamlandı",$J389="İptal"),"",$I389-TODAY()))</f>
        <v/>
      </c>
      <c r="Q389" s="112">
        <f>IF($D389="","",IF($E389="TANIMSIZ MÜŞTERİ","HATA",IF(OR($J389="Tamamlandı",$J389="İptal"),"KAPALI",IF(AND($C389="Görüşme",$N389=""),"SONRAKİ İŞLEM EKSİK",IF($I389="","TARİH EKSİK",IF($I389&lt;TODAY(),"GECİKMİŞ",IF($I389=TODAY(),"BUGÜN",IF($I389&lt;=TODAY()+7,"7 GÜN İÇİNDE","PLANLI"))))))))</f>
        <v/>
      </c>
      <c r="R389" s="6" t="n"/>
      <c r="S389" s="6" t="n"/>
    </row>
    <row r="390">
      <c r="A390" s="6" t="n"/>
      <c r="B390" s="112">
        <f>IF($D390="","","A"&amp;TEXT(ROW()-6,"00000"))</f>
        <v/>
      </c>
      <c r="C390" s="107" t="n"/>
      <c r="D390" s="107" t="n"/>
      <c r="E390" s="113">
        <f>IF($D390="","",IFERROR(INDEX(MUSTERILER!$C$7:$C$106,MATCH($D390,MUSTERILER!$B$7:$B$106,0)),"TANIMSIZ MÜŞTERİ"))</f>
        <v/>
      </c>
      <c r="F390" s="108" t="n"/>
      <c r="G390" s="107" t="n"/>
      <c r="H390" s="114" t="n"/>
      <c r="I390" s="114" t="n"/>
      <c r="J390" s="107" t="n"/>
      <c r="K390" s="107" t="n"/>
      <c r="L390" s="108" t="n"/>
      <c r="M390" s="108" t="n"/>
      <c r="N390" s="108" t="n"/>
      <c r="O390" s="114" t="n"/>
      <c r="P390" s="120">
        <f>IF(OR($D390="",$I390=""),"",IF(OR($J390="Tamamlandı",$J390="İptal"),"",$I390-TODAY()))</f>
        <v/>
      </c>
      <c r="Q390" s="112">
        <f>IF($D390="","",IF($E390="TANIMSIZ MÜŞTERİ","HATA",IF(OR($J390="Tamamlandı",$J390="İptal"),"KAPALI",IF(AND($C390="Görüşme",$N390=""),"SONRAKİ İŞLEM EKSİK",IF($I390="","TARİH EKSİK",IF($I390&lt;TODAY(),"GECİKMİŞ",IF($I390=TODAY(),"BUGÜN",IF($I390&lt;=TODAY()+7,"7 GÜN İÇİNDE","PLANLI"))))))))</f>
        <v/>
      </c>
      <c r="R390" s="6" t="n"/>
      <c r="S390" s="6" t="n"/>
    </row>
    <row r="391">
      <c r="A391" s="6" t="n"/>
      <c r="B391" s="112">
        <f>IF($D391="","","A"&amp;TEXT(ROW()-6,"00000"))</f>
        <v/>
      </c>
      <c r="C391" s="107" t="n"/>
      <c r="D391" s="107" t="n"/>
      <c r="E391" s="113">
        <f>IF($D391="","",IFERROR(INDEX(MUSTERILER!$C$7:$C$106,MATCH($D391,MUSTERILER!$B$7:$B$106,0)),"TANIMSIZ MÜŞTERİ"))</f>
        <v/>
      </c>
      <c r="F391" s="108" t="n"/>
      <c r="G391" s="107" t="n"/>
      <c r="H391" s="114" t="n"/>
      <c r="I391" s="114" t="n"/>
      <c r="J391" s="107" t="n"/>
      <c r="K391" s="107" t="n"/>
      <c r="L391" s="108" t="n"/>
      <c r="M391" s="108" t="n"/>
      <c r="N391" s="108" t="n"/>
      <c r="O391" s="114" t="n"/>
      <c r="P391" s="120">
        <f>IF(OR($D391="",$I391=""),"",IF(OR($J391="Tamamlandı",$J391="İptal"),"",$I391-TODAY()))</f>
        <v/>
      </c>
      <c r="Q391" s="112">
        <f>IF($D391="","",IF($E391="TANIMSIZ MÜŞTERİ","HATA",IF(OR($J391="Tamamlandı",$J391="İptal"),"KAPALI",IF(AND($C391="Görüşme",$N391=""),"SONRAKİ İŞLEM EKSİK",IF($I391="","TARİH EKSİK",IF($I391&lt;TODAY(),"GECİKMİŞ",IF($I391=TODAY(),"BUGÜN",IF($I391&lt;=TODAY()+7,"7 GÜN İÇİNDE","PLANLI"))))))))</f>
        <v/>
      </c>
      <c r="R391" s="6" t="n"/>
      <c r="S391" s="6" t="n"/>
    </row>
    <row r="392">
      <c r="A392" s="6" t="n"/>
      <c r="B392" s="112">
        <f>IF($D392="","","A"&amp;TEXT(ROW()-6,"00000"))</f>
        <v/>
      </c>
      <c r="C392" s="107" t="n"/>
      <c r="D392" s="107" t="n"/>
      <c r="E392" s="113">
        <f>IF($D392="","",IFERROR(INDEX(MUSTERILER!$C$7:$C$106,MATCH($D392,MUSTERILER!$B$7:$B$106,0)),"TANIMSIZ MÜŞTERİ"))</f>
        <v/>
      </c>
      <c r="F392" s="108" t="n"/>
      <c r="G392" s="107" t="n"/>
      <c r="H392" s="114" t="n"/>
      <c r="I392" s="114" t="n"/>
      <c r="J392" s="107" t="n"/>
      <c r="K392" s="107" t="n"/>
      <c r="L392" s="108" t="n"/>
      <c r="M392" s="108" t="n"/>
      <c r="N392" s="108" t="n"/>
      <c r="O392" s="114" t="n"/>
      <c r="P392" s="120">
        <f>IF(OR($D392="",$I392=""),"",IF(OR($J392="Tamamlandı",$J392="İptal"),"",$I392-TODAY()))</f>
        <v/>
      </c>
      <c r="Q392" s="112">
        <f>IF($D392="","",IF($E392="TANIMSIZ MÜŞTERİ","HATA",IF(OR($J392="Tamamlandı",$J392="İptal"),"KAPALI",IF(AND($C392="Görüşme",$N392=""),"SONRAKİ İŞLEM EKSİK",IF($I392="","TARİH EKSİK",IF($I392&lt;TODAY(),"GECİKMİŞ",IF($I392=TODAY(),"BUGÜN",IF($I392&lt;=TODAY()+7,"7 GÜN İÇİNDE","PLANLI"))))))))</f>
        <v/>
      </c>
      <c r="R392" s="6" t="n"/>
      <c r="S392" s="6" t="n"/>
    </row>
    <row r="393">
      <c r="A393" s="6" t="n"/>
      <c r="B393" s="112">
        <f>IF($D393="","","A"&amp;TEXT(ROW()-6,"00000"))</f>
        <v/>
      </c>
      <c r="C393" s="107" t="n"/>
      <c r="D393" s="107" t="n"/>
      <c r="E393" s="113">
        <f>IF($D393="","",IFERROR(INDEX(MUSTERILER!$C$7:$C$106,MATCH($D393,MUSTERILER!$B$7:$B$106,0)),"TANIMSIZ MÜŞTERİ"))</f>
        <v/>
      </c>
      <c r="F393" s="108" t="n"/>
      <c r="G393" s="107" t="n"/>
      <c r="H393" s="114" t="n"/>
      <c r="I393" s="114" t="n"/>
      <c r="J393" s="107" t="n"/>
      <c r="K393" s="107" t="n"/>
      <c r="L393" s="108" t="n"/>
      <c r="M393" s="108" t="n"/>
      <c r="N393" s="108" t="n"/>
      <c r="O393" s="114" t="n"/>
      <c r="P393" s="120">
        <f>IF(OR($D393="",$I393=""),"",IF(OR($J393="Tamamlandı",$J393="İptal"),"",$I393-TODAY()))</f>
        <v/>
      </c>
      <c r="Q393" s="112">
        <f>IF($D393="","",IF($E393="TANIMSIZ MÜŞTERİ","HATA",IF(OR($J393="Tamamlandı",$J393="İptal"),"KAPALI",IF(AND($C393="Görüşme",$N393=""),"SONRAKİ İŞLEM EKSİK",IF($I393="","TARİH EKSİK",IF($I393&lt;TODAY(),"GECİKMİŞ",IF($I393=TODAY(),"BUGÜN",IF($I393&lt;=TODAY()+7,"7 GÜN İÇİNDE","PLANLI"))))))))</f>
        <v/>
      </c>
      <c r="R393" s="6" t="n"/>
      <c r="S393" s="6" t="n"/>
    </row>
    <row r="394">
      <c r="A394" s="6" t="n"/>
      <c r="B394" s="112">
        <f>IF($D394="","","A"&amp;TEXT(ROW()-6,"00000"))</f>
        <v/>
      </c>
      <c r="C394" s="107" t="n"/>
      <c r="D394" s="107" t="n"/>
      <c r="E394" s="113">
        <f>IF($D394="","",IFERROR(INDEX(MUSTERILER!$C$7:$C$106,MATCH($D394,MUSTERILER!$B$7:$B$106,0)),"TANIMSIZ MÜŞTERİ"))</f>
        <v/>
      </c>
      <c r="F394" s="108" t="n"/>
      <c r="G394" s="107" t="n"/>
      <c r="H394" s="114" t="n"/>
      <c r="I394" s="114" t="n"/>
      <c r="J394" s="107" t="n"/>
      <c r="K394" s="107" t="n"/>
      <c r="L394" s="108" t="n"/>
      <c r="M394" s="108" t="n"/>
      <c r="N394" s="108" t="n"/>
      <c r="O394" s="114" t="n"/>
      <c r="P394" s="120">
        <f>IF(OR($D394="",$I394=""),"",IF(OR($J394="Tamamlandı",$J394="İptal"),"",$I394-TODAY()))</f>
        <v/>
      </c>
      <c r="Q394" s="112">
        <f>IF($D394="","",IF($E394="TANIMSIZ MÜŞTERİ","HATA",IF(OR($J394="Tamamlandı",$J394="İptal"),"KAPALI",IF(AND($C394="Görüşme",$N394=""),"SONRAKİ İŞLEM EKSİK",IF($I394="","TARİH EKSİK",IF($I394&lt;TODAY(),"GECİKMİŞ",IF($I394=TODAY(),"BUGÜN",IF($I394&lt;=TODAY()+7,"7 GÜN İÇİNDE","PLANLI"))))))))</f>
        <v/>
      </c>
      <c r="R394" s="6" t="n"/>
      <c r="S394" s="6" t="n"/>
    </row>
    <row r="395">
      <c r="A395" s="6" t="n"/>
      <c r="B395" s="112">
        <f>IF($D395="","","A"&amp;TEXT(ROW()-6,"00000"))</f>
        <v/>
      </c>
      <c r="C395" s="107" t="n"/>
      <c r="D395" s="107" t="n"/>
      <c r="E395" s="113">
        <f>IF($D395="","",IFERROR(INDEX(MUSTERILER!$C$7:$C$106,MATCH($D395,MUSTERILER!$B$7:$B$106,0)),"TANIMSIZ MÜŞTERİ"))</f>
        <v/>
      </c>
      <c r="F395" s="108" t="n"/>
      <c r="G395" s="107" t="n"/>
      <c r="H395" s="114" t="n"/>
      <c r="I395" s="114" t="n"/>
      <c r="J395" s="107" t="n"/>
      <c r="K395" s="107" t="n"/>
      <c r="L395" s="108" t="n"/>
      <c r="M395" s="108" t="n"/>
      <c r="N395" s="108" t="n"/>
      <c r="O395" s="114" t="n"/>
      <c r="P395" s="120">
        <f>IF(OR($D395="",$I395=""),"",IF(OR($J395="Tamamlandı",$J395="İptal"),"",$I395-TODAY()))</f>
        <v/>
      </c>
      <c r="Q395" s="112">
        <f>IF($D395="","",IF($E395="TANIMSIZ MÜŞTERİ","HATA",IF(OR($J395="Tamamlandı",$J395="İptal"),"KAPALI",IF(AND($C395="Görüşme",$N395=""),"SONRAKİ İŞLEM EKSİK",IF($I395="","TARİH EKSİK",IF($I395&lt;TODAY(),"GECİKMİŞ",IF($I395=TODAY(),"BUGÜN",IF($I395&lt;=TODAY()+7,"7 GÜN İÇİNDE","PLANLI"))))))))</f>
        <v/>
      </c>
      <c r="R395" s="6" t="n"/>
      <c r="S395" s="6" t="n"/>
    </row>
    <row r="396">
      <c r="A396" s="6" t="n"/>
      <c r="B396" s="112">
        <f>IF($D396="","","A"&amp;TEXT(ROW()-6,"00000"))</f>
        <v/>
      </c>
      <c r="C396" s="107" t="n"/>
      <c r="D396" s="107" t="n"/>
      <c r="E396" s="113">
        <f>IF($D396="","",IFERROR(INDEX(MUSTERILER!$C$7:$C$106,MATCH($D396,MUSTERILER!$B$7:$B$106,0)),"TANIMSIZ MÜŞTERİ"))</f>
        <v/>
      </c>
      <c r="F396" s="108" t="n"/>
      <c r="G396" s="107" t="n"/>
      <c r="H396" s="114" t="n"/>
      <c r="I396" s="114" t="n"/>
      <c r="J396" s="107" t="n"/>
      <c r="K396" s="107" t="n"/>
      <c r="L396" s="108" t="n"/>
      <c r="M396" s="108" t="n"/>
      <c r="N396" s="108" t="n"/>
      <c r="O396" s="114" t="n"/>
      <c r="P396" s="120">
        <f>IF(OR($D396="",$I396=""),"",IF(OR($J396="Tamamlandı",$J396="İptal"),"",$I396-TODAY()))</f>
        <v/>
      </c>
      <c r="Q396" s="112">
        <f>IF($D396="","",IF($E396="TANIMSIZ MÜŞTERİ","HATA",IF(OR($J396="Tamamlandı",$J396="İptal"),"KAPALI",IF(AND($C396="Görüşme",$N396=""),"SONRAKİ İŞLEM EKSİK",IF($I396="","TARİH EKSİK",IF($I396&lt;TODAY(),"GECİKMİŞ",IF($I396=TODAY(),"BUGÜN",IF($I396&lt;=TODAY()+7,"7 GÜN İÇİNDE","PLANLI"))))))))</f>
        <v/>
      </c>
      <c r="R396" s="6" t="n"/>
      <c r="S396" s="6" t="n"/>
    </row>
    <row r="397">
      <c r="A397" s="6" t="n"/>
      <c r="B397" s="112">
        <f>IF($D397="","","A"&amp;TEXT(ROW()-6,"00000"))</f>
        <v/>
      </c>
      <c r="C397" s="107" t="n"/>
      <c r="D397" s="107" t="n"/>
      <c r="E397" s="113">
        <f>IF($D397="","",IFERROR(INDEX(MUSTERILER!$C$7:$C$106,MATCH($D397,MUSTERILER!$B$7:$B$106,0)),"TANIMSIZ MÜŞTERİ"))</f>
        <v/>
      </c>
      <c r="F397" s="108" t="n"/>
      <c r="G397" s="107" t="n"/>
      <c r="H397" s="114" t="n"/>
      <c r="I397" s="114" t="n"/>
      <c r="J397" s="107" t="n"/>
      <c r="K397" s="107" t="n"/>
      <c r="L397" s="108" t="n"/>
      <c r="M397" s="108" t="n"/>
      <c r="N397" s="108" t="n"/>
      <c r="O397" s="114" t="n"/>
      <c r="P397" s="120">
        <f>IF(OR($D397="",$I397=""),"",IF(OR($J397="Tamamlandı",$J397="İptal"),"",$I397-TODAY()))</f>
        <v/>
      </c>
      <c r="Q397" s="112">
        <f>IF($D397="","",IF($E397="TANIMSIZ MÜŞTERİ","HATA",IF(OR($J397="Tamamlandı",$J397="İptal"),"KAPALI",IF(AND($C397="Görüşme",$N397=""),"SONRAKİ İŞLEM EKSİK",IF($I397="","TARİH EKSİK",IF($I397&lt;TODAY(),"GECİKMİŞ",IF($I397=TODAY(),"BUGÜN",IF($I397&lt;=TODAY()+7,"7 GÜN İÇİNDE","PLANLI"))))))))</f>
        <v/>
      </c>
      <c r="R397" s="6" t="n"/>
      <c r="S397" s="6" t="n"/>
    </row>
    <row r="398">
      <c r="A398" s="6" t="n"/>
      <c r="B398" s="112">
        <f>IF($D398="","","A"&amp;TEXT(ROW()-6,"00000"))</f>
        <v/>
      </c>
      <c r="C398" s="107" t="n"/>
      <c r="D398" s="107" t="n"/>
      <c r="E398" s="113">
        <f>IF($D398="","",IFERROR(INDEX(MUSTERILER!$C$7:$C$106,MATCH($D398,MUSTERILER!$B$7:$B$106,0)),"TANIMSIZ MÜŞTERİ"))</f>
        <v/>
      </c>
      <c r="F398" s="108" t="n"/>
      <c r="G398" s="107" t="n"/>
      <c r="H398" s="114" t="n"/>
      <c r="I398" s="114" t="n"/>
      <c r="J398" s="107" t="n"/>
      <c r="K398" s="107" t="n"/>
      <c r="L398" s="108" t="n"/>
      <c r="M398" s="108" t="n"/>
      <c r="N398" s="108" t="n"/>
      <c r="O398" s="114" t="n"/>
      <c r="P398" s="120">
        <f>IF(OR($D398="",$I398=""),"",IF(OR($J398="Tamamlandı",$J398="İptal"),"",$I398-TODAY()))</f>
        <v/>
      </c>
      <c r="Q398" s="112">
        <f>IF($D398="","",IF($E398="TANIMSIZ MÜŞTERİ","HATA",IF(OR($J398="Tamamlandı",$J398="İptal"),"KAPALI",IF(AND($C398="Görüşme",$N398=""),"SONRAKİ İŞLEM EKSİK",IF($I398="","TARİH EKSİK",IF($I398&lt;TODAY(),"GECİKMİŞ",IF($I398=TODAY(),"BUGÜN",IF($I398&lt;=TODAY()+7,"7 GÜN İÇİNDE","PLANLI"))))))))</f>
        <v/>
      </c>
      <c r="R398" s="6" t="n"/>
      <c r="S398" s="6" t="n"/>
    </row>
    <row r="399">
      <c r="A399" s="6" t="n"/>
      <c r="B399" s="112">
        <f>IF($D399="","","A"&amp;TEXT(ROW()-6,"00000"))</f>
        <v/>
      </c>
      <c r="C399" s="107" t="n"/>
      <c r="D399" s="107" t="n"/>
      <c r="E399" s="113">
        <f>IF($D399="","",IFERROR(INDEX(MUSTERILER!$C$7:$C$106,MATCH($D399,MUSTERILER!$B$7:$B$106,0)),"TANIMSIZ MÜŞTERİ"))</f>
        <v/>
      </c>
      <c r="F399" s="108" t="n"/>
      <c r="G399" s="107" t="n"/>
      <c r="H399" s="114" t="n"/>
      <c r="I399" s="114" t="n"/>
      <c r="J399" s="107" t="n"/>
      <c r="K399" s="107" t="n"/>
      <c r="L399" s="108" t="n"/>
      <c r="M399" s="108" t="n"/>
      <c r="N399" s="108" t="n"/>
      <c r="O399" s="114" t="n"/>
      <c r="P399" s="120">
        <f>IF(OR($D399="",$I399=""),"",IF(OR($J399="Tamamlandı",$J399="İptal"),"",$I399-TODAY()))</f>
        <v/>
      </c>
      <c r="Q399" s="112">
        <f>IF($D399="","",IF($E399="TANIMSIZ MÜŞTERİ","HATA",IF(OR($J399="Tamamlandı",$J399="İptal"),"KAPALI",IF(AND($C399="Görüşme",$N399=""),"SONRAKİ İŞLEM EKSİK",IF($I399="","TARİH EKSİK",IF($I399&lt;TODAY(),"GECİKMİŞ",IF($I399=TODAY(),"BUGÜN",IF($I399&lt;=TODAY()+7,"7 GÜN İÇİNDE","PLANLI"))))))))</f>
        <v/>
      </c>
      <c r="R399" s="6" t="n"/>
      <c r="S399" s="6" t="n"/>
    </row>
    <row r="400">
      <c r="A400" s="6" t="n"/>
      <c r="B400" s="112">
        <f>IF($D400="","","A"&amp;TEXT(ROW()-6,"00000"))</f>
        <v/>
      </c>
      <c r="C400" s="107" t="n"/>
      <c r="D400" s="107" t="n"/>
      <c r="E400" s="113">
        <f>IF($D400="","",IFERROR(INDEX(MUSTERILER!$C$7:$C$106,MATCH($D400,MUSTERILER!$B$7:$B$106,0)),"TANIMSIZ MÜŞTERİ"))</f>
        <v/>
      </c>
      <c r="F400" s="108" t="n"/>
      <c r="G400" s="107" t="n"/>
      <c r="H400" s="114" t="n"/>
      <c r="I400" s="114" t="n"/>
      <c r="J400" s="107" t="n"/>
      <c r="K400" s="107" t="n"/>
      <c r="L400" s="108" t="n"/>
      <c r="M400" s="108" t="n"/>
      <c r="N400" s="108" t="n"/>
      <c r="O400" s="114" t="n"/>
      <c r="P400" s="120">
        <f>IF(OR($D400="",$I400=""),"",IF(OR($J400="Tamamlandı",$J400="İptal"),"",$I400-TODAY()))</f>
        <v/>
      </c>
      <c r="Q400" s="112">
        <f>IF($D400="","",IF($E400="TANIMSIZ MÜŞTERİ","HATA",IF(OR($J400="Tamamlandı",$J400="İptal"),"KAPALI",IF(AND($C400="Görüşme",$N400=""),"SONRAKİ İŞLEM EKSİK",IF($I400="","TARİH EKSİK",IF($I400&lt;TODAY(),"GECİKMİŞ",IF($I400=TODAY(),"BUGÜN",IF($I400&lt;=TODAY()+7,"7 GÜN İÇİNDE","PLANLI"))))))))</f>
        <v/>
      </c>
      <c r="R400" s="6" t="n"/>
      <c r="S400" s="6" t="n"/>
    </row>
    <row r="401">
      <c r="A401" s="6" t="n"/>
      <c r="B401" s="112">
        <f>IF($D401="","","A"&amp;TEXT(ROW()-6,"00000"))</f>
        <v/>
      </c>
      <c r="C401" s="107" t="n"/>
      <c r="D401" s="107" t="n"/>
      <c r="E401" s="113">
        <f>IF($D401="","",IFERROR(INDEX(MUSTERILER!$C$7:$C$106,MATCH($D401,MUSTERILER!$B$7:$B$106,0)),"TANIMSIZ MÜŞTERİ"))</f>
        <v/>
      </c>
      <c r="F401" s="108" t="n"/>
      <c r="G401" s="107" t="n"/>
      <c r="H401" s="114" t="n"/>
      <c r="I401" s="114" t="n"/>
      <c r="J401" s="107" t="n"/>
      <c r="K401" s="107" t="n"/>
      <c r="L401" s="108" t="n"/>
      <c r="M401" s="108" t="n"/>
      <c r="N401" s="108" t="n"/>
      <c r="O401" s="114" t="n"/>
      <c r="P401" s="120">
        <f>IF(OR($D401="",$I401=""),"",IF(OR($J401="Tamamlandı",$J401="İptal"),"",$I401-TODAY()))</f>
        <v/>
      </c>
      <c r="Q401" s="112">
        <f>IF($D401="","",IF($E401="TANIMSIZ MÜŞTERİ","HATA",IF(OR($J401="Tamamlandı",$J401="İptal"),"KAPALI",IF(AND($C401="Görüşme",$N401=""),"SONRAKİ İŞLEM EKSİK",IF($I401="","TARİH EKSİK",IF($I401&lt;TODAY(),"GECİKMİŞ",IF($I401=TODAY(),"BUGÜN",IF($I401&lt;=TODAY()+7,"7 GÜN İÇİNDE","PLANLI"))))))))</f>
        <v/>
      </c>
      <c r="R401" s="6" t="n"/>
      <c r="S401" s="6" t="n"/>
    </row>
    <row r="402">
      <c r="A402" s="6" t="n"/>
      <c r="B402" s="112">
        <f>IF($D402="","","A"&amp;TEXT(ROW()-6,"00000"))</f>
        <v/>
      </c>
      <c r="C402" s="107" t="n"/>
      <c r="D402" s="107" t="n"/>
      <c r="E402" s="113">
        <f>IF($D402="","",IFERROR(INDEX(MUSTERILER!$C$7:$C$106,MATCH($D402,MUSTERILER!$B$7:$B$106,0)),"TANIMSIZ MÜŞTERİ"))</f>
        <v/>
      </c>
      <c r="F402" s="108" t="n"/>
      <c r="G402" s="107" t="n"/>
      <c r="H402" s="114" t="n"/>
      <c r="I402" s="114" t="n"/>
      <c r="J402" s="107" t="n"/>
      <c r="K402" s="107" t="n"/>
      <c r="L402" s="108" t="n"/>
      <c r="M402" s="108" t="n"/>
      <c r="N402" s="108" t="n"/>
      <c r="O402" s="114" t="n"/>
      <c r="P402" s="120">
        <f>IF(OR($D402="",$I402=""),"",IF(OR($J402="Tamamlandı",$J402="İptal"),"",$I402-TODAY()))</f>
        <v/>
      </c>
      <c r="Q402" s="112">
        <f>IF($D402="","",IF($E402="TANIMSIZ MÜŞTERİ","HATA",IF(OR($J402="Tamamlandı",$J402="İptal"),"KAPALI",IF(AND($C402="Görüşme",$N402=""),"SONRAKİ İŞLEM EKSİK",IF($I402="","TARİH EKSİK",IF($I402&lt;TODAY(),"GECİKMİŞ",IF($I402=TODAY(),"BUGÜN",IF($I402&lt;=TODAY()+7,"7 GÜN İÇİNDE","PLANLI"))))))))</f>
        <v/>
      </c>
      <c r="R402" s="6" t="n"/>
      <c r="S402" s="6" t="n"/>
    </row>
    <row r="403">
      <c r="A403" s="6" t="n"/>
      <c r="B403" s="112">
        <f>IF($D403="","","A"&amp;TEXT(ROW()-6,"00000"))</f>
        <v/>
      </c>
      <c r="C403" s="107" t="n"/>
      <c r="D403" s="107" t="n"/>
      <c r="E403" s="113">
        <f>IF($D403="","",IFERROR(INDEX(MUSTERILER!$C$7:$C$106,MATCH($D403,MUSTERILER!$B$7:$B$106,0)),"TANIMSIZ MÜŞTERİ"))</f>
        <v/>
      </c>
      <c r="F403" s="108" t="n"/>
      <c r="G403" s="107" t="n"/>
      <c r="H403" s="114" t="n"/>
      <c r="I403" s="114" t="n"/>
      <c r="J403" s="107" t="n"/>
      <c r="K403" s="107" t="n"/>
      <c r="L403" s="108" t="n"/>
      <c r="M403" s="108" t="n"/>
      <c r="N403" s="108" t="n"/>
      <c r="O403" s="114" t="n"/>
      <c r="P403" s="120">
        <f>IF(OR($D403="",$I403=""),"",IF(OR($J403="Tamamlandı",$J403="İptal"),"",$I403-TODAY()))</f>
        <v/>
      </c>
      <c r="Q403" s="112">
        <f>IF($D403="","",IF($E403="TANIMSIZ MÜŞTERİ","HATA",IF(OR($J403="Tamamlandı",$J403="İptal"),"KAPALI",IF(AND($C403="Görüşme",$N403=""),"SONRAKİ İŞLEM EKSİK",IF($I403="","TARİH EKSİK",IF($I403&lt;TODAY(),"GECİKMİŞ",IF($I403=TODAY(),"BUGÜN",IF($I403&lt;=TODAY()+7,"7 GÜN İÇİNDE","PLANLI"))))))))</f>
        <v/>
      </c>
      <c r="R403" s="6" t="n"/>
      <c r="S403" s="6" t="n"/>
    </row>
    <row r="404">
      <c r="A404" s="6" t="n"/>
      <c r="B404" s="112">
        <f>IF($D404="","","A"&amp;TEXT(ROW()-6,"00000"))</f>
        <v/>
      </c>
      <c r="C404" s="107" t="n"/>
      <c r="D404" s="107" t="n"/>
      <c r="E404" s="113">
        <f>IF($D404="","",IFERROR(INDEX(MUSTERILER!$C$7:$C$106,MATCH($D404,MUSTERILER!$B$7:$B$106,0)),"TANIMSIZ MÜŞTERİ"))</f>
        <v/>
      </c>
      <c r="F404" s="108" t="n"/>
      <c r="G404" s="107" t="n"/>
      <c r="H404" s="114" t="n"/>
      <c r="I404" s="114" t="n"/>
      <c r="J404" s="107" t="n"/>
      <c r="K404" s="107" t="n"/>
      <c r="L404" s="108" t="n"/>
      <c r="M404" s="108" t="n"/>
      <c r="N404" s="108" t="n"/>
      <c r="O404" s="114" t="n"/>
      <c r="P404" s="120">
        <f>IF(OR($D404="",$I404=""),"",IF(OR($J404="Tamamlandı",$J404="İptal"),"",$I404-TODAY()))</f>
        <v/>
      </c>
      <c r="Q404" s="112">
        <f>IF($D404="","",IF($E404="TANIMSIZ MÜŞTERİ","HATA",IF(OR($J404="Tamamlandı",$J404="İptal"),"KAPALI",IF(AND($C404="Görüşme",$N404=""),"SONRAKİ İŞLEM EKSİK",IF($I404="","TARİH EKSİK",IF($I404&lt;TODAY(),"GECİKMİŞ",IF($I404=TODAY(),"BUGÜN",IF($I404&lt;=TODAY()+7,"7 GÜN İÇİNDE","PLANLI"))))))))</f>
        <v/>
      </c>
      <c r="R404" s="6" t="n"/>
      <c r="S404" s="6" t="n"/>
    </row>
    <row r="405">
      <c r="A405" s="6" t="n"/>
      <c r="B405" s="112">
        <f>IF($D405="","","A"&amp;TEXT(ROW()-6,"00000"))</f>
        <v/>
      </c>
      <c r="C405" s="107" t="n"/>
      <c r="D405" s="107" t="n"/>
      <c r="E405" s="113">
        <f>IF($D405="","",IFERROR(INDEX(MUSTERILER!$C$7:$C$106,MATCH($D405,MUSTERILER!$B$7:$B$106,0)),"TANIMSIZ MÜŞTERİ"))</f>
        <v/>
      </c>
      <c r="F405" s="108" t="n"/>
      <c r="G405" s="107" t="n"/>
      <c r="H405" s="114" t="n"/>
      <c r="I405" s="114" t="n"/>
      <c r="J405" s="107" t="n"/>
      <c r="K405" s="107" t="n"/>
      <c r="L405" s="108" t="n"/>
      <c r="M405" s="108" t="n"/>
      <c r="N405" s="108" t="n"/>
      <c r="O405" s="114" t="n"/>
      <c r="P405" s="120">
        <f>IF(OR($D405="",$I405=""),"",IF(OR($J405="Tamamlandı",$J405="İptal"),"",$I405-TODAY()))</f>
        <v/>
      </c>
      <c r="Q405" s="112">
        <f>IF($D405="","",IF($E405="TANIMSIZ MÜŞTERİ","HATA",IF(OR($J405="Tamamlandı",$J405="İptal"),"KAPALI",IF(AND($C405="Görüşme",$N405=""),"SONRAKİ İŞLEM EKSİK",IF($I405="","TARİH EKSİK",IF($I405&lt;TODAY(),"GECİKMİŞ",IF($I405=TODAY(),"BUGÜN",IF($I405&lt;=TODAY()+7,"7 GÜN İÇİNDE","PLANLI"))))))))</f>
        <v/>
      </c>
      <c r="R405" s="6" t="n"/>
      <c r="S405" s="6" t="n"/>
    </row>
    <row r="406">
      <c r="A406" s="6" t="n"/>
      <c r="B406" s="112">
        <f>IF($D406="","","A"&amp;TEXT(ROW()-6,"00000"))</f>
        <v/>
      </c>
      <c r="C406" s="107" t="n"/>
      <c r="D406" s="107" t="n"/>
      <c r="E406" s="113">
        <f>IF($D406="","",IFERROR(INDEX(MUSTERILER!$C$7:$C$106,MATCH($D406,MUSTERILER!$B$7:$B$106,0)),"TANIMSIZ MÜŞTERİ"))</f>
        <v/>
      </c>
      <c r="F406" s="108" t="n"/>
      <c r="G406" s="107" t="n"/>
      <c r="H406" s="114" t="n"/>
      <c r="I406" s="114" t="n"/>
      <c r="J406" s="107" t="n"/>
      <c r="K406" s="107" t="n"/>
      <c r="L406" s="108" t="n"/>
      <c r="M406" s="108" t="n"/>
      <c r="N406" s="108" t="n"/>
      <c r="O406" s="114" t="n"/>
      <c r="P406" s="120">
        <f>IF(OR($D406="",$I406=""),"",IF(OR($J406="Tamamlandı",$J406="İptal"),"",$I406-TODAY()))</f>
        <v/>
      </c>
      <c r="Q406" s="112">
        <f>IF($D406="","",IF($E406="TANIMSIZ MÜŞTERİ","HATA",IF(OR($J406="Tamamlandı",$J406="İptal"),"KAPALI",IF(AND($C406="Görüşme",$N406=""),"SONRAKİ İŞLEM EKSİK",IF($I406="","TARİH EKSİK",IF($I406&lt;TODAY(),"GECİKMİŞ",IF($I406=TODAY(),"BUGÜN",IF($I406&lt;=TODAY()+7,"7 GÜN İÇİNDE","PLANLI"))))))))</f>
        <v/>
      </c>
      <c r="R406" s="6" t="n"/>
      <c r="S406" s="6" t="n"/>
    </row>
    <row r="407">
      <c r="A407" s="6" t="n"/>
      <c r="B407" s="112">
        <f>IF($D407="","","A"&amp;TEXT(ROW()-6,"00000"))</f>
        <v/>
      </c>
      <c r="C407" s="107" t="n"/>
      <c r="D407" s="107" t="n"/>
      <c r="E407" s="113">
        <f>IF($D407="","",IFERROR(INDEX(MUSTERILER!$C$7:$C$106,MATCH($D407,MUSTERILER!$B$7:$B$106,0)),"TANIMSIZ MÜŞTERİ"))</f>
        <v/>
      </c>
      <c r="F407" s="108" t="n"/>
      <c r="G407" s="107" t="n"/>
      <c r="H407" s="114" t="n"/>
      <c r="I407" s="114" t="n"/>
      <c r="J407" s="107" t="n"/>
      <c r="K407" s="107" t="n"/>
      <c r="L407" s="108" t="n"/>
      <c r="M407" s="108" t="n"/>
      <c r="N407" s="108" t="n"/>
      <c r="O407" s="114" t="n"/>
      <c r="P407" s="120">
        <f>IF(OR($D407="",$I407=""),"",IF(OR($J407="Tamamlandı",$J407="İptal"),"",$I407-TODAY()))</f>
        <v/>
      </c>
      <c r="Q407" s="112">
        <f>IF($D407="","",IF($E407="TANIMSIZ MÜŞTERİ","HATA",IF(OR($J407="Tamamlandı",$J407="İptal"),"KAPALI",IF(AND($C407="Görüşme",$N407=""),"SONRAKİ İŞLEM EKSİK",IF($I407="","TARİH EKSİK",IF($I407&lt;TODAY(),"GECİKMİŞ",IF($I407=TODAY(),"BUGÜN",IF($I407&lt;=TODAY()+7,"7 GÜN İÇİNDE","PLANLI"))))))))</f>
        <v/>
      </c>
      <c r="R407" s="6" t="n"/>
      <c r="S407" s="6" t="n"/>
    </row>
    <row r="408">
      <c r="A408" s="6" t="n"/>
      <c r="B408" s="112">
        <f>IF($D408="","","A"&amp;TEXT(ROW()-6,"00000"))</f>
        <v/>
      </c>
      <c r="C408" s="107" t="n"/>
      <c r="D408" s="107" t="n"/>
      <c r="E408" s="113">
        <f>IF($D408="","",IFERROR(INDEX(MUSTERILER!$C$7:$C$106,MATCH($D408,MUSTERILER!$B$7:$B$106,0)),"TANIMSIZ MÜŞTERİ"))</f>
        <v/>
      </c>
      <c r="F408" s="108" t="n"/>
      <c r="G408" s="107" t="n"/>
      <c r="H408" s="114" t="n"/>
      <c r="I408" s="114" t="n"/>
      <c r="J408" s="107" t="n"/>
      <c r="K408" s="107" t="n"/>
      <c r="L408" s="108" t="n"/>
      <c r="M408" s="108" t="n"/>
      <c r="N408" s="108" t="n"/>
      <c r="O408" s="114" t="n"/>
      <c r="P408" s="120">
        <f>IF(OR($D408="",$I408=""),"",IF(OR($J408="Tamamlandı",$J408="İptal"),"",$I408-TODAY()))</f>
        <v/>
      </c>
      <c r="Q408" s="112">
        <f>IF($D408="","",IF($E408="TANIMSIZ MÜŞTERİ","HATA",IF(OR($J408="Tamamlandı",$J408="İptal"),"KAPALI",IF(AND($C408="Görüşme",$N408=""),"SONRAKİ İŞLEM EKSİK",IF($I408="","TARİH EKSİK",IF($I408&lt;TODAY(),"GECİKMİŞ",IF($I408=TODAY(),"BUGÜN",IF($I408&lt;=TODAY()+7,"7 GÜN İÇİNDE","PLANLI"))))))))</f>
        <v/>
      </c>
      <c r="R408" s="6" t="n"/>
      <c r="S408" s="6" t="n"/>
    </row>
    <row r="409">
      <c r="A409" s="6" t="n"/>
      <c r="B409" s="112">
        <f>IF($D409="","","A"&amp;TEXT(ROW()-6,"00000"))</f>
        <v/>
      </c>
      <c r="C409" s="107" t="n"/>
      <c r="D409" s="107" t="n"/>
      <c r="E409" s="113">
        <f>IF($D409="","",IFERROR(INDEX(MUSTERILER!$C$7:$C$106,MATCH($D409,MUSTERILER!$B$7:$B$106,0)),"TANIMSIZ MÜŞTERİ"))</f>
        <v/>
      </c>
      <c r="F409" s="108" t="n"/>
      <c r="G409" s="107" t="n"/>
      <c r="H409" s="114" t="n"/>
      <c r="I409" s="114" t="n"/>
      <c r="J409" s="107" t="n"/>
      <c r="K409" s="107" t="n"/>
      <c r="L409" s="108" t="n"/>
      <c r="M409" s="108" t="n"/>
      <c r="N409" s="108" t="n"/>
      <c r="O409" s="114" t="n"/>
      <c r="P409" s="120">
        <f>IF(OR($D409="",$I409=""),"",IF(OR($J409="Tamamlandı",$J409="İptal"),"",$I409-TODAY()))</f>
        <v/>
      </c>
      <c r="Q409" s="112">
        <f>IF($D409="","",IF($E409="TANIMSIZ MÜŞTERİ","HATA",IF(OR($J409="Tamamlandı",$J409="İptal"),"KAPALI",IF(AND($C409="Görüşme",$N409=""),"SONRAKİ İŞLEM EKSİK",IF($I409="","TARİH EKSİK",IF($I409&lt;TODAY(),"GECİKMİŞ",IF($I409=TODAY(),"BUGÜN",IF($I409&lt;=TODAY()+7,"7 GÜN İÇİNDE","PLANLI"))))))))</f>
        <v/>
      </c>
      <c r="R409" s="6" t="n"/>
      <c r="S409" s="6" t="n"/>
    </row>
    <row r="410">
      <c r="A410" s="6" t="n"/>
      <c r="B410" s="112">
        <f>IF($D410="","","A"&amp;TEXT(ROW()-6,"00000"))</f>
        <v/>
      </c>
      <c r="C410" s="107" t="n"/>
      <c r="D410" s="107" t="n"/>
      <c r="E410" s="113">
        <f>IF($D410="","",IFERROR(INDEX(MUSTERILER!$C$7:$C$106,MATCH($D410,MUSTERILER!$B$7:$B$106,0)),"TANIMSIZ MÜŞTERİ"))</f>
        <v/>
      </c>
      <c r="F410" s="108" t="n"/>
      <c r="G410" s="107" t="n"/>
      <c r="H410" s="114" t="n"/>
      <c r="I410" s="114" t="n"/>
      <c r="J410" s="107" t="n"/>
      <c r="K410" s="107" t="n"/>
      <c r="L410" s="108" t="n"/>
      <c r="M410" s="108" t="n"/>
      <c r="N410" s="108" t="n"/>
      <c r="O410" s="114" t="n"/>
      <c r="P410" s="120">
        <f>IF(OR($D410="",$I410=""),"",IF(OR($J410="Tamamlandı",$J410="İptal"),"",$I410-TODAY()))</f>
        <v/>
      </c>
      <c r="Q410" s="112">
        <f>IF($D410="","",IF($E410="TANIMSIZ MÜŞTERİ","HATA",IF(OR($J410="Tamamlandı",$J410="İptal"),"KAPALI",IF(AND($C410="Görüşme",$N410=""),"SONRAKİ İŞLEM EKSİK",IF($I410="","TARİH EKSİK",IF($I410&lt;TODAY(),"GECİKMİŞ",IF($I410=TODAY(),"BUGÜN",IF($I410&lt;=TODAY()+7,"7 GÜN İÇİNDE","PLANLI"))))))))</f>
        <v/>
      </c>
      <c r="R410" s="6" t="n"/>
      <c r="S410" s="6" t="n"/>
    </row>
    <row r="411">
      <c r="A411" s="6" t="n"/>
      <c r="B411" s="112">
        <f>IF($D411="","","A"&amp;TEXT(ROW()-6,"00000"))</f>
        <v/>
      </c>
      <c r="C411" s="107" t="n"/>
      <c r="D411" s="107" t="n"/>
      <c r="E411" s="113">
        <f>IF($D411="","",IFERROR(INDEX(MUSTERILER!$C$7:$C$106,MATCH($D411,MUSTERILER!$B$7:$B$106,0)),"TANIMSIZ MÜŞTERİ"))</f>
        <v/>
      </c>
      <c r="F411" s="108" t="n"/>
      <c r="G411" s="107" t="n"/>
      <c r="H411" s="114" t="n"/>
      <c r="I411" s="114" t="n"/>
      <c r="J411" s="107" t="n"/>
      <c r="K411" s="107" t="n"/>
      <c r="L411" s="108" t="n"/>
      <c r="M411" s="108" t="n"/>
      <c r="N411" s="108" t="n"/>
      <c r="O411" s="114" t="n"/>
      <c r="P411" s="120">
        <f>IF(OR($D411="",$I411=""),"",IF(OR($J411="Tamamlandı",$J411="İptal"),"",$I411-TODAY()))</f>
        <v/>
      </c>
      <c r="Q411" s="112">
        <f>IF($D411="","",IF($E411="TANIMSIZ MÜŞTERİ","HATA",IF(OR($J411="Tamamlandı",$J411="İptal"),"KAPALI",IF(AND($C411="Görüşme",$N411=""),"SONRAKİ İŞLEM EKSİK",IF($I411="","TARİH EKSİK",IF($I411&lt;TODAY(),"GECİKMİŞ",IF($I411=TODAY(),"BUGÜN",IF($I411&lt;=TODAY()+7,"7 GÜN İÇİNDE","PLANLI"))))))))</f>
        <v/>
      </c>
      <c r="R411" s="6" t="n"/>
      <c r="S411" s="6" t="n"/>
    </row>
    <row r="412">
      <c r="A412" s="6" t="n"/>
      <c r="B412" s="112">
        <f>IF($D412="","","A"&amp;TEXT(ROW()-6,"00000"))</f>
        <v/>
      </c>
      <c r="C412" s="107" t="n"/>
      <c r="D412" s="107" t="n"/>
      <c r="E412" s="113">
        <f>IF($D412="","",IFERROR(INDEX(MUSTERILER!$C$7:$C$106,MATCH($D412,MUSTERILER!$B$7:$B$106,0)),"TANIMSIZ MÜŞTERİ"))</f>
        <v/>
      </c>
      <c r="F412" s="108" t="n"/>
      <c r="G412" s="107" t="n"/>
      <c r="H412" s="114" t="n"/>
      <c r="I412" s="114" t="n"/>
      <c r="J412" s="107" t="n"/>
      <c r="K412" s="107" t="n"/>
      <c r="L412" s="108" t="n"/>
      <c r="M412" s="108" t="n"/>
      <c r="N412" s="108" t="n"/>
      <c r="O412" s="114" t="n"/>
      <c r="P412" s="120">
        <f>IF(OR($D412="",$I412=""),"",IF(OR($J412="Tamamlandı",$J412="İptal"),"",$I412-TODAY()))</f>
        <v/>
      </c>
      <c r="Q412" s="112">
        <f>IF($D412="","",IF($E412="TANIMSIZ MÜŞTERİ","HATA",IF(OR($J412="Tamamlandı",$J412="İptal"),"KAPALI",IF(AND($C412="Görüşme",$N412=""),"SONRAKİ İŞLEM EKSİK",IF($I412="","TARİH EKSİK",IF($I412&lt;TODAY(),"GECİKMİŞ",IF($I412=TODAY(),"BUGÜN",IF($I412&lt;=TODAY()+7,"7 GÜN İÇİNDE","PLANLI"))))))))</f>
        <v/>
      </c>
      <c r="R412" s="6" t="n"/>
      <c r="S412" s="6" t="n"/>
    </row>
    <row r="413">
      <c r="A413" s="6" t="n"/>
      <c r="B413" s="112">
        <f>IF($D413="","","A"&amp;TEXT(ROW()-6,"00000"))</f>
        <v/>
      </c>
      <c r="C413" s="107" t="n"/>
      <c r="D413" s="107" t="n"/>
      <c r="E413" s="113">
        <f>IF($D413="","",IFERROR(INDEX(MUSTERILER!$C$7:$C$106,MATCH($D413,MUSTERILER!$B$7:$B$106,0)),"TANIMSIZ MÜŞTERİ"))</f>
        <v/>
      </c>
      <c r="F413" s="108" t="n"/>
      <c r="G413" s="107" t="n"/>
      <c r="H413" s="114" t="n"/>
      <c r="I413" s="114" t="n"/>
      <c r="J413" s="107" t="n"/>
      <c r="K413" s="107" t="n"/>
      <c r="L413" s="108" t="n"/>
      <c r="M413" s="108" t="n"/>
      <c r="N413" s="108" t="n"/>
      <c r="O413" s="114" t="n"/>
      <c r="P413" s="120">
        <f>IF(OR($D413="",$I413=""),"",IF(OR($J413="Tamamlandı",$J413="İptal"),"",$I413-TODAY()))</f>
        <v/>
      </c>
      <c r="Q413" s="112">
        <f>IF($D413="","",IF($E413="TANIMSIZ MÜŞTERİ","HATA",IF(OR($J413="Tamamlandı",$J413="İptal"),"KAPALI",IF(AND($C413="Görüşme",$N413=""),"SONRAKİ İŞLEM EKSİK",IF($I413="","TARİH EKSİK",IF($I413&lt;TODAY(),"GECİKMİŞ",IF($I413=TODAY(),"BUGÜN",IF($I413&lt;=TODAY()+7,"7 GÜN İÇİNDE","PLANLI"))))))))</f>
        <v/>
      </c>
      <c r="R413" s="6" t="n"/>
      <c r="S413" s="6" t="n"/>
    </row>
    <row r="414">
      <c r="A414" s="6" t="n"/>
      <c r="B414" s="112">
        <f>IF($D414="","","A"&amp;TEXT(ROW()-6,"00000"))</f>
        <v/>
      </c>
      <c r="C414" s="107" t="n"/>
      <c r="D414" s="107" t="n"/>
      <c r="E414" s="113">
        <f>IF($D414="","",IFERROR(INDEX(MUSTERILER!$C$7:$C$106,MATCH($D414,MUSTERILER!$B$7:$B$106,0)),"TANIMSIZ MÜŞTERİ"))</f>
        <v/>
      </c>
      <c r="F414" s="108" t="n"/>
      <c r="G414" s="107" t="n"/>
      <c r="H414" s="114" t="n"/>
      <c r="I414" s="114" t="n"/>
      <c r="J414" s="107" t="n"/>
      <c r="K414" s="107" t="n"/>
      <c r="L414" s="108" t="n"/>
      <c r="M414" s="108" t="n"/>
      <c r="N414" s="108" t="n"/>
      <c r="O414" s="114" t="n"/>
      <c r="P414" s="120">
        <f>IF(OR($D414="",$I414=""),"",IF(OR($J414="Tamamlandı",$J414="İptal"),"",$I414-TODAY()))</f>
        <v/>
      </c>
      <c r="Q414" s="112">
        <f>IF($D414="","",IF($E414="TANIMSIZ MÜŞTERİ","HATA",IF(OR($J414="Tamamlandı",$J414="İptal"),"KAPALI",IF(AND($C414="Görüşme",$N414=""),"SONRAKİ İŞLEM EKSİK",IF($I414="","TARİH EKSİK",IF($I414&lt;TODAY(),"GECİKMİŞ",IF($I414=TODAY(),"BUGÜN",IF($I414&lt;=TODAY()+7,"7 GÜN İÇİNDE","PLANLI"))))))))</f>
        <v/>
      </c>
      <c r="R414" s="6" t="n"/>
      <c r="S414" s="6" t="n"/>
    </row>
    <row r="415">
      <c r="A415" s="6" t="n"/>
      <c r="B415" s="112">
        <f>IF($D415="","","A"&amp;TEXT(ROW()-6,"00000"))</f>
        <v/>
      </c>
      <c r="C415" s="107" t="n"/>
      <c r="D415" s="107" t="n"/>
      <c r="E415" s="113">
        <f>IF($D415="","",IFERROR(INDEX(MUSTERILER!$C$7:$C$106,MATCH($D415,MUSTERILER!$B$7:$B$106,0)),"TANIMSIZ MÜŞTERİ"))</f>
        <v/>
      </c>
      <c r="F415" s="108" t="n"/>
      <c r="G415" s="107" t="n"/>
      <c r="H415" s="114" t="n"/>
      <c r="I415" s="114" t="n"/>
      <c r="J415" s="107" t="n"/>
      <c r="K415" s="107" t="n"/>
      <c r="L415" s="108" t="n"/>
      <c r="M415" s="108" t="n"/>
      <c r="N415" s="108" t="n"/>
      <c r="O415" s="114" t="n"/>
      <c r="P415" s="120">
        <f>IF(OR($D415="",$I415=""),"",IF(OR($J415="Tamamlandı",$J415="İptal"),"",$I415-TODAY()))</f>
        <v/>
      </c>
      <c r="Q415" s="112">
        <f>IF($D415="","",IF($E415="TANIMSIZ MÜŞTERİ","HATA",IF(OR($J415="Tamamlandı",$J415="İptal"),"KAPALI",IF(AND($C415="Görüşme",$N415=""),"SONRAKİ İŞLEM EKSİK",IF($I415="","TARİH EKSİK",IF($I415&lt;TODAY(),"GECİKMİŞ",IF($I415=TODAY(),"BUGÜN",IF($I415&lt;=TODAY()+7,"7 GÜN İÇİNDE","PLANLI"))))))))</f>
        <v/>
      </c>
      <c r="R415" s="6" t="n"/>
      <c r="S415" s="6" t="n"/>
    </row>
    <row r="416">
      <c r="A416" s="6" t="n"/>
      <c r="B416" s="112">
        <f>IF($D416="","","A"&amp;TEXT(ROW()-6,"00000"))</f>
        <v/>
      </c>
      <c r="C416" s="107" t="n"/>
      <c r="D416" s="107" t="n"/>
      <c r="E416" s="113">
        <f>IF($D416="","",IFERROR(INDEX(MUSTERILER!$C$7:$C$106,MATCH($D416,MUSTERILER!$B$7:$B$106,0)),"TANIMSIZ MÜŞTERİ"))</f>
        <v/>
      </c>
      <c r="F416" s="108" t="n"/>
      <c r="G416" s="107" t="n"/>
      <c r="H416" s="114" t="n"/>
      <c r="I416" s="114" t="n"/>
      <c r="J416" s="107" t="n"/>
      <c r="K416" s="107" t="n"/>
      <c r="L416" s="108" t="n"/>
      <c r="M416" s="108" t="n"/>
      <c r="N416" s="108" t="n"/>
      <c r="O416" s="114" t="n"/>
      <c r="P416" s="120">
        <f>IF(OR($D416="",$I416=""),"",IF(OR($J416="Tamamlandı",$J416="İptal"),"",$I416-TODAY()))</f>
        <v/>
      </c>
      <c r="Q416" s="112">
        <f>IF($D416="","",IF($E416="TANIMSIZ MÜŞTERİ","HATA",IF(OR($J416="Tamamlandı",$J416="İptal"),"KAPALI",IF(AND($C416="Görüşme",$N416=""),"SONRAKİ İŞLEM EKSİK",IF($I416="","TARİH EKSİK",IF($I416&lt;TODAY(),"GECİKMİŞ",IF($I416=TODAY(),"BUGÜN",IF($I416&lt;=TODAY()+7,"7 GÜN İÇİNDE","PLANLI"))))))))</f>
        <v/>
      </c>
      <c r="R416" s="6" t="n"/>
      <c r="S416" s="6" t="n"/>
    </row>
    <row r="417">
      <c r="A417" s="6" t="n"/>
      <c r="B417" s="112">
        <f>IF($D417="","","A"&amp;TEXT(ROW()-6,"00000"))</f>
        <v/>
      </c>
      <c r="C417" s="107" t="n"/>
      <c r="D417" s="107" t="n"/>
      <c r="E417" s="113">
        <f>IF($D417="","",IFERROR(INDEX(MUSTERILER!$C$7:$C$106,MATCH($D417,MUSTERILER!$B$7:$B$106,0)),"TANIMSIZ MÜŞTERİ"))</f>
        <v/>
      </c>
      <c r="F417" s="108" t="n"/>
      <c r="G417" s="107" t="n"/>
      <c r="H417" s="114" t="n"/>
      <c r="I417" s="114" t="n"/>
      <c r="J417" s="107" t="n"/>
      <c r="K417" s="107" t="n"/>
      <c r="L417" s="108" t="n"/>
      <c r="M417" s="108" t="n"/>
      <c r="N417" s="108" t="n"/>
      <c r="O417" s="114" t="n"/>
      <c r="P417" s="120">
        <f>IF(OR($D417="",$I417=""),"",IF(OR($J417="Tamamlandı",$J417="İptal"),"",$I417-TODAY()))</f>
        <v/>
      </c>
      <c r="Q417" s="112">
        <f>IF($D417="","",IF($E417="TANIMSIZ MÜŞTERİ","HATA",IF(OR($J417="Tamamlandı",$J417="İptal"),"KAPALI",IF(AND($C417="Görüşme",$N417=""),"SONRAKİ İŞLEM EKSİK",IF($I417="","TARİH EKSİK",IF($I417&lt;TODAY(),"GECİKMİŞ",IF($I417=TODAY(),"BUGÜN",IF($I417&lt;=TODAY()+7,"7 GÜN İÇİNDE","PLANLI"))))))))</f>
        <v/>
      </c>
      <c r="R417" s="6" t="n"/>
      <c r="S417" s="6" t="n"/>
    </row>
    <row r="418">
      <c r="A418" s="6" t="n"/>
      <c r="B418" s="112">
        <f>IF($D418="","","A"&amp;TEXT(ROW()-6,"00000"))</f>
        <v/>
      </c>
      <c r="C418" s="107" t="n"/>
      <c r="D418" s="107" t="n"/>
      <c r="E418" s="113">
        <f>IF($D418="","",IFERROR(INDEX(MUSTERILER!$C$7:$C$106,MATCH($D418,MUSTERILER!$B$7:$B$106,0)),"TANIMSIZ MÜŞTERİ"))</f>
        <v/>
      </c>
      <c r="F418" s="108" t="n"/>
      <c r="G418" s="107" t="n"/>
      <c r="H418" s="114" t="n"/>
      <c r="I418" s="114" t="n"/>
      <c r="J418" s="107" t="n"/>
      <c r="K418" s="107" t="n"/>
      <c r="L418" s="108" t="n"/>
      <c r="M418" s="108" t="n"/>
      <c r="N418" s="108" t="n"/>
      <c r="O418" s="114" t="n"/>
      <c r="P418" s="120">
        <f>IF(OR($D418="",$I418=""),"",IF(OR($J418="Tamamlandı",$J418="İptal"),"",$I418-TODAY()))</f>
        <v/>
      </c>
      <c r="Q418" s="112">
        <f>IF($D418="","",IF($E418="TANIMSIZ MÜŞTERİ","HATA",IF(OR($J418="Tamamlandı",$J418="İptal"),"KAPALI",IF(AND($C418="Görüşme",$N418=""),"SONRAKİ İŞLEM EKSİK",IF($I418="","TARİH EKSİK",IF($I418&lt;TODAY(),"GECİKMİŞ",IF($I418=TODAY(),"BUGÜN",IF($I418&lt;=TODAY()+7,"7 GÜN İÇİNDE","PLANLI"))))))))</f>
        <v/>
      </c>
      <c r="R418" s="6" t="n"/>
      <c r="S418" s="6" t="n"/>
    </row>
    <row r="419">
      <c r="A419" s="6" t="n"/>
      <c r="B419" s="112">
        <f>IF($D419="","","A"&amp;TEXT(ROW()-6,"00000"))</f>
        <v/>
      </c>
      <c r="C419" s="107" t="n"/>
      <c r="D419" s="107" t="n"/>
      <c r="E419" s="113">
        <f>IF($D419="","",IFERROR(INDEX(MUSTERILER!$C$7:$C$106,MATCH($D419,MUSTERILER!$B$7:$B$106,0)),"TANIMSIZ MÜŞTERİ"))</f>
        <v/>
      </c>
      <c r="F419" s="108" t="n"/>
      <c r="G419" s="107" t="n"/>
      <c r="H419" s="114" t="n"/>
      <c r="I419" s="114" t="n"/>
      <c r="J419" s="107" t="n"/>
      <c r="K419" s="107" t="n"/>
      <c r="L419" s="108" t="n"/>
      <c r="M419" s="108" t="n"/>
      <c r="N419" s="108" t="n"/>
      <c r="O419" s="114" t="n"/>
      <c r="P419" s="120">
        <f>IF(OR($D419="",$I419=""),"",IF(OR($J419="Tamamlandı",$J419="İptal"),"",$I419-TODAY()))</f>
        <v/>
      </c>
      <c r="Q419" s="112">
        <f>IF($D419="","",IF($E419="TANIMSIZ MÜŞTERİ","HATA",IF(OR($J419="Tamamlandı",$J419="İptal"),"KAPALI",IF(AND($C419="Görüşme",$N419=""),"SONRAKİ İŞLEM EKSİK",IF($I419="","TARİH EKSİK",IF($I419&lt;TODAY(),"GECİKMİŞ",IF($I419=TODAY(),"BUGÜN",IF($I419&lt;=TODAY()+7,"7 GÜN İÇİNDE","PLANLI"))))))))</f>
        <v/>
      </c>
      <c r="R419" s="6" t="n"/>
      <c r="S419" s="6" t="n"/>
    </row>
    <row r="420">
      <c r="A420" s="6" t="n"/>
      <c r="B420" s="112">
        <f>IF($D420="","","A"&amp;TEXT(ROW()-6,"00000"))</f>
        <v/>
      </c>
      <c r="C420" s="107" t="n"/>
      <c r="D420" s="107" t="n"/>
      <c r="E420" s="113">
        <f>IF($D420="","",IFERROR(INDEX(MUSTERILER!$C$7:$C$106,MATCH($D420,MUSTERILER!$B$7:$B$106,0)),"TANIMSIZ MÜŞTERİ"))</f>
        <v/>
      </c>
      <c r="F420" s="108" t="n"/>
      <c r="G420" s="107" t="n"/>
      <c r="H420" s="114" t="n"/>
      <c r="I420" s="114" t="n"/>
      <c r="J420" s="107" t="n"/>
      <c r="K420" s="107" t="n"/>
      <c r="L420" s="108" t="n"/>
      <c r="M420" s="108" t="n"/>
      <c r="N420" s="108" t="n"/>
      <c r="O420" s="114" t="n"/>
      <c r="P420" s="120">
        <f>IF(OR($D420="",$I420=""),"",IF(OR($J420="Tamamlandı",$J420="İptal"),"",$I420-TODAY()))</f>
        <v/>
      </c>
      <c r="Q420" s="112">
        <f>IF($D420="","",IF($E420="TANIMSIZ MÜŞTERİ","HATA",IF(OR($J420="Tamamlandı",$J420="İptal"),"KAPALI",IF(AND($C420="Görüşme",$N420=""),"SONRAKİ İŞLEM EKSİK",IF($I420="","TARİH EKSİK",IF($I420&lt;TODAY(),"GECİKMİŞ",IF($I420=TODAY(),"BUGÜN",IF($I420&lt;=TODAY()+7,"7 GÜN İÇİNDE","PLANLI"))))))))</f>
        <v/>
      </c>
      <c r="R420" s="6" t="n"/>
      <c r="S420" s="6" t="n"/>
    </row>
    <row r="421">
      <c r="A421" s="6" t="n"/>
      <c r="B421" s="112">
        <f>IF($D421="","","A"&amp;TEXT(ROW()-6,"00000"))</f>
        <v/>
      </c>
      <c r="C421" s="107" t="n"/>
      <c r="D421" s="107" t="n"/>
      <c r="E421" s="113">
        <f>IF($D421="","",IFERROR(INDEX(MUSTERILER!$C$7:$C$106,MATCH($D421,MUSTERILER!$B$7:$B$106,0)),"TANIMSIZ MÜŞTERİ"))</f>
        <v/>
      </c>
      <c r="F421" s="108" t="n"/>
      <c r="G421" s="107" t="n"/>
      <c r="H421" s="114" t="n"/>
      <c r="I421" s="114" t="n"/>
      <c r="J421" s="107" t="n"/>
      <c r="K421" s="107" t="n"/>
      <c r="L421" s="108" t="n"/>
      <c r="M421" s="108" t="n"/>
      <c r="N421" s="108" t="n"/>
      <c r="O421" s="114" t="n"/>
      <c r="P421" s="120">
        <f>IF(OR($D421="",$I421=""),"",IF(OR($J421="Tamamlandı",$J421="İptal"),"",$I421-TODAY()))</f>
        <v/>
      </c>
      <c r="Q421" s="112">
        <f>IF($D421="","",IF($E421="TANIMSIZ MÜŞTERİ","HATA",IF(OR($J421="Tamamlandı",$J421="İptal"),"KAPALI",IF(AND($C421="Görüşme",$N421=""),"SONRAKİ İŞLEM EKSİK",IF($I421="","TARİH EKSİK",IF($I421&lt;TODAY(),"GECİKMİŞ",IF($I421=TODAY(),"BUGÜN",IF($I421&lt;=TODAY()+7,"7 GÜN İÇİNDE","PLANLI"))))))))</f>
        <v/>
      </c>
      <c r="R421" s="6" t="n"/>
      <c r="S421" s="6" t="n"/>
    </row>
    <row r="422">
      <c r="A422" s="6" t="n"/>
      <c r="B422" s="112">
        <f>IF($D422="","","A"&amp;TEXT(ROW()-6,"00000"))</f>
        <v/>
      </c>
      <c r="C422" s="107" t="n"/>
      <c r="D422" s="107" t="n"/>
      <c r="E422" s="113">
        <f>IF($D422="","",IFERROR(INDEX(MUSTERILER!$C$7:$C$106,MATCH($D422,MUSTERILER!$B$7:$B$106,0)),"TANIMSIZ MÜŞTERİ"))</f>
        <v/>
      </c>
      <c r="F422" s="108" t="n"/>
      <c r="G422" s="107" t="n"/>
      <c r="H422" s="114" t="n"/>
      <c r="I422" s="114" t="n"/>
      <c r="J422" s="107" t="n"/>
      <c r="K422" s="107" t="n"/>
      <c r="L422" s="108" t="n"/>
      <c r="M422" s="108" t="n"/>
      <c r="N422" s="108" t="n"/>
      <c r="O422" s="114" t="n"/>
      <c r="P422" s="120">
        <f>IF(OR($D422="",$I422=""),"",IF(OR($J422="Tamamlandı",$J422="İptal"),"",$I422-TODAY()))</f>
        <v/>
      </c>
      <c r="Q422" s="112">
        <f>IF($D422="","",IF($E422="TANIMSIZ MÜŞTERİ","HATA",IF(OR($J422="Tamamlandı",$J422="İptal"),"KAPALI",IF(AND($C422="Görüşme",$N422=""),"SONRAKİ İŞLEM EKSİK",IF($I422="","TARİH EKSİK",IF($I422&lt;TODAY(),"GECİKMİŞ",IF($I422=TODAY(),"BUGÜN",IF($I422&lt;=TODAY()+7,"7 GÜN İÇİNDE","PLANLI"))))))))</f>
        <v/>
      </c>
      <c r="R422" s="6" t="n"/>
      <c r="S422" s="6" t="n"/>
    </row>
    <row r="423">
      <c r="A423" s="6" t="n"/>
      <c r="B423" s="112">
        <f>IF($D423="","","A"&amp;TEXT(ROW()-6,"00000"))</f>
        <v/>
      </c>
      <c r="C423" s="107" t="n"/>
      <c r="D423" s="107" t="n"/>
      <c r="E423" s="113">
        <f>IF($D423="","",IFERROR(INDEX(MUSTERILER!$C$7:$C$106,MATCH($D423,MUSTERILER!$B$7:$B$106,0)),"TANIMSIZ MÜŞTERİ"))</f>
        <v/>
      </c>
      <c r="F423" s="108" t="n"/>
      <c r="G423" s="107" t="n"/>
      <c r="H423" s="114" t="n"/>
      <c r="I423" s="114" t="n"/>
      <c r="J423" s="107" t="n"/>
      <c r="K423" s="107" t="n"/>
      <c r="L423" s="108" t="n"/>
      <c r="M423" s="108" t="n"/>
      <c r="N423" s="108" t="n"/>
      <c r="O423" s="114" t="n"/>
      <c r="P423" s="120">
        <f>IF(OR($D423="",$I423=""),"",IF(OR($J423="Tamamlandı",$J423="İptal"),"",$I423-TODAY()))</f>
        <v/>
      </c>
      <c r="Q423" s="112">
        <f>IF($D423="","",IF($E423="TANIMSIZ MÜŞTERİ","HATA",IF(OR($J423="Tamamlandı",$J423="İptal"),"KAPALI",IF(AND($C423="Görüşme",$N423=""),"SONRAKİ İŞLEM EKSİK",IF($I423="","TARİH EKSİK",IF($I423&lt;TODAY(),"GECİKMİŞ",IF($I423=TODAY(),"BUGÜN",IF($I423&lt;=TODAY()+7,"7 GÜN İÇİNDE","PLANLI"))))))))</f>
        <v/>
      </c>
      <c r="R423" s="6" t="n"/>
      <c r="S423" s="6" t="n"/>
    </row>
    <row r="424">
      <c r="A424" s="6" t="n"/>
      <c r="B424" s="112">
        <f>IF($D424="","","A"&amp;TEXT(ROW()-6,"00000"))</f>
        <v/>
      </c>
      <c r="C424" s="107" t="n"/>
      <c r="D424" s="107" t="n"/>
      <c r="E424" s="113">
        <f>IF($D424="","",IFERROR(INDEX(MUSTERILER!$C$7:$C$106,MATCH($D424,MUSTERILER!$B$7:$B$106,0)),"TANIMSIZ MÜŞTERİ"))</f>
        <v/>
      </c>
      <c r="F424" s="108" t="n"/>
      <c r="G424" s="107" t="n"/>
      <c r="H424" s="114" t="n"/>
      <c r="I424" s="114" t="n"/>
      <c r="J424" s="107" t="n"/>
      <c r="K424" s="107" t="n"/>
      <c r="L424" s="108" t="n"/>
      <c r="M424" s="108" t="n"/>
      <c r="N424" s="108" t="n"/>
      <c r="O424" s="114" t="n"/>
      <c r="P424" s="120">
        <f>IF(OR($D424="",$I424=""),"",IF(OR($J424="Tamamlandı",$J424="İptal"),"",$I424-TODAY()))</f>
        <v/>
      </c>
      <c r="Q424" s="112">
        <f>IF($D424="","",IF($E424="TANIMSIZ MÜŞTERİ","HATA",IF(OR($J424="Tamamlandı",$J424="İptal"),"KAPALI",IF(AND($C424="Görüşme",$N424=""),"SONRAKİ İŞLEM EKSİK",IF($I424="","TARİH EKSİK",IF($I424&lt;TODAY(),"GECİKMİŞ",IF($I424=TODAY(),"BUGÜN",IF($I424&lt;=TODAY()+7,"7 GÜN İÇİNDE","PLANLI"))))))))</f>
        <v/>
      </c>
      <c r="R424" s="6" t="n"/>
      <c r="S424" s="6" t="n"/>
    </row>
    <row r="425">
      <c r="A425" s="6" t="n"/>
      <c r="B425" s="112">
        <f>IF($D425="","","A"&amp;TEXT(ROW()-6,"00000"))</f>
        <v/>
      </c>
      <c r="C425" s="107" t="n"/>
      <c r="D425" s="107" t="n"/>
      <c r="E425" s="113">
        <f>IF($D425="","",IFERROR(INDEX(MUSTERILER!$C$7:$C$106,MATCH($D425,MUSTERILER!$B$7:$B$106,0)),"TANIMSIZ MÜŞTERİ"))</f>
        <v/>
      </c>
      <c r="F425" s="108" t="n"/>
      <c r="G425" s="107" t="n"/>
      <c r="H425" s="114" t="n"/>
      <c r="I425" s="114" t="n"/>
      <c r="J425" s="107" t="n"/>
      <c r="K425" s="107" t="n"/>
      <c r="L425" s="108" t="n"/>
      <c r="M425" s="108" t="n"/>
      <c r="N425" s="108" t="n"/>
      <c r="O425" s="114" t="n"/>
      <c r="P425" s="120">
        <f>IF(OR($D425="",$I425=""),"",IF(OR($J425="Tamamlandı",$J425="İptal"),"",$I425-TODAY()))</f>
        <v/>
      </c>
      <c r="Q425" s="112">
        <f>IF($D425="","",IF($E425="TANIMSIZ MÜŞTERİ","HATA",IF(OR($J425="Tamamlandı",$J425="İptal"),"KAPALI",IF(AND($C425="Görüşme",$N425=""),"SONRAKİ İŞLEM EKSİK",IF($I425="","TARİH EKSİK",IF($I425&lt;TODAY(),"GECİKMİŞ",IF($I425=TODAY(),"BUGÜN",IF($I425&lt;=TODAY()+7,"7 GÜN İÇİNDE","PLANLI"))))))))</f>
        <v/>
      </c>
      <c r="R425" s="6" t="n"/>
      <c r="S425" s="6" t="n"/>
    </row>
    <row r="426">
      <c r="A426" s="6" t="n"/>
      <c r="B426" s="112">
        <f>IF($D426="","","A"&amp;TEXT(ROW()-6,"00000"))</f>
        <v/>
      </c>
      <c r="C426" s="107" t="n"/>
      <c r="D426" s="107" t="n"/>
      <c r="E426" s="113">
        <f>IF($D426="","",IFERROR(INDEX(MUSTERILER!$C$7:$C$106,MATCH($D426,MUSTERILER!$B$7:$B$106,0)),"TANIMSIZ MÜŞTERİ"))</f>
        <v/>
      </c>
      <c r="F426" s="108" t="n"/>
      <c r="G426" s="107" t="n"/>
      <c r="H426" s="114" t="n"/>
      <c r="I426" s="114" t="n"/>
      <c r="J426" s="107" t="n"/>
      <c r="K426" s="107" t="n"/>
      <c r="L426" s="108" t="n"/>
      <c r="M426" s="108" t="n"/>
      <c r="N426" s="108" t="n"/>
      <c r="O426" s="114" t="n"/>
      <c r="P426" s="120">
        <f>IF(OR($D426="",$I426=""),"",IF(OR($J426="Tamamlandı",$J426="İptal"),"",$I426-TODAY()))</f>
        <v/>
      </c>
      <c r="Q426" s="112">
        <f>IF($D426="","",IF($E426="TANIMSIZ MÜŞTERİ","HATA",IF(OR($J426="Tamamlandı",$J426="İptal"),"KAPALI",IF(AND($C426="Görüşme",$N426=""),"SONRAKİ İŞLEM EKSİK",IF($I426="","TARİH EKSİK",IF($I426&lt;TODAY(),"GECİKMİŞ",IF($I426=TODAY(),"BUGÜN",IF($I426&lt;=TODAY()+7,"7 GÜN İÇİNDE","PLANLI"))))))))</f>
        <v/>
      </c>
      <c r="R426" s="6" t="n"/>
      <c r="S426" s="6" t="n"/>
    </row>
    <row r="427">
      <c r="A427" s="6" t="n"/>
      <c r="B427" s="112">
        <f>IF($D427="","","A"&amp;TEXT(ROW()-6,"00000"))</f>
        <v/>
      </c>
      <c r="C427" s="107" t="n"/>
      <c r="D427" s="107" t="n"/>
      <c r="E427" s="113">
        <f>IF($D427="","",IFERROR(INDEX(MUSTERILER!$C$7:$C$106,MATCH($D427,MUSTERILER!$B$7:$B$106,0)),"TANIMSIZ MÜŞTERİ"))</f>
        <v/>
      </c>
      <c r="F427" s="108" t="n"/>
      <c r="G427" s="107" t="n"/>
      <c r="H427" s="114" t="n"/>
      <c r="I427" s="114" t="n"/>
      <c r="J427" s="107" t="n"/>
      <c r="K427" s="107" t="n"/>
      <c r="L427" s="108" t="n"/>
      <c r="M427" s="108" t="n"/>
      <c r="N427" s="108" t="n"/>
      <c r="O427" s="114" t="n"/>
      <c r="P427" s="120">
        <f>IF(OR($D427="",$I427=""),"",IF(OR($J427="Tamamlandı",$J427="İptal"),"",$I427-TODAY()))</f>
        <v/>
      </c>
      <c r="Q427" s="112">
        <f>IF($D427="","",IF($E427="TANIMSIZ MÜŞTERİ","HATA",IF(OR($J427="Tamamlandı",$J427="İptal"),"KAPALI",IF(AND($C427="Görüşme",$N427=""),"SONRAKİ İŞLEM EKSİK",IF($I427="","TARİH EKSİK",IF($I427&lt;TODAY(),"GECİKMİŞ",IF($I427=TODAY(),"BUGÜN",IF($I427&lt;=TODAY()+7,"7 GÜN İÇİNDE","PLANLI"))))))))</f>
        <v/>
      </c>
      <c r="R427" s="6" t="n"/>
      <c r="S427" s="6" t="n"/>
    </row>
    <row r="428">
      <c r="A428" s="6" t="n"/>
      <c r="B428" s="112">
        <f>IF($D428="","","A"&amp;TEXT(ROW()-6,"00000"))</f>
        <v/>
      </c>
      <c r="C428" s="107" t="n"/>
      <c r="D428" s="107" t="n"/>
      <c r="E428" s="113">
        <f>IF($D428="","",IFERROR(INDEX(MUSTERILER!$C$7:$C$106,MATCH($D428,MUSTERILER!$B$7:$B$106,0)),"TANIMSIZ MÜŞTERİ"))</f>
        <v/>
      </c>
      <c r="F428" s="108" t="n"/>
      <c r="G428" s="107" t="n"/>
      <c r="H428" s="114" t="n"/>
      <c r="I428" s="114" t="n"/>
      <c r="J428" s="107" t="n"/>
      <c r="K428" s="107" t="n"/>
      <c r="L428" s="108" t="n"/>
      <c r="M428" s="108" t="n"/>
      <c r="N428" s="108" t="n"/>
      <c r="O428" s="114" t="n"/>
      <c r="P428" s="120">
        <f>IF(OR($D428="",$I428=""),"",IF(OR($J428="Tamamlandı",$J428="İptal"),"",$I428-TODAY()))</f>
        <v/>
      </c>
      <c r="Q428" s="112">
        <f>IF($D428="","",IF($E428="TANIMSIZ MÜŞTERİ","HATA",IF(OR($J428="Tamamlandı",$J428="İptal"),"KAPALI",IF(AND($C428="Görüşme",$N428=""),"SONRAKİ İŞLEM EKSİK",IF($I428="","TARİH EKSİK",IF($I428&lt;TODAY(),"GECİKMİŞ",IF($I428=TODAY(),"BUGÜN",IF($I428&lt;=TODAY()+7,"7 GÜN İÇİNDE","PLANLI"))))))))</f>
        <v/>
      </c>
      <c r="R428" s="6" t="n"/>
      <c r="S428" s="6" t="n"/>
    </row>
    <row r="429">
      <c r="A429" s="6" t="n"/>
      <c r="B429" s="112">
        <f>IF($D429="","","A"&amp;TEXT(ROW()-6,"00000"))</f>
        <v/>
      </c>
      <c r="C429" s="107" t="n"/>
      <c r="D429" s="107" t="n"/>
      <c r="E429" s="113">
        <f>IF($D429="","",IFERROR(INDEX(MUSTERILER!$C$7:$C$106,MATCH($D429,MUSTERILER!$B$7:$B$106,0)),"TANIMSIZ MÜŞTERİ"))</f>
        <v/>
      </c>
      <c r="F429" s="108" t="n"/>
      <c r="G429" s="107" t="n"/>
      <c r="H429" s="114" t="n"/>
      <c r="I429" s="114" t="n"/>
      <c r="J429" s="107" t="n"/>
      <c r="K429" s="107" t="n"/>
      <c r="L429" s="108" t="n"/>
      <c r="M429" s="108" t="n"/>
      <c r="N429" s="108" t="n"/>
      <c r="O429" s="114" t="n"/>
      <c r="P429" s="120">
        <f>IF(OR($D429="",$I429=""),"",IF(OR($J429="Tamamlandı",$J429="İptal"),"",$I429-TODAY()))</f>
        <v/>
      </c>
      <c r="Q429" s="112">
        <f>IF($D429="","",IF($E429="TANIMSIZ MÜŞTERİ","HATA",IF(OR($J429="Tamamlandı",$J429="İptal"),"KAPALI",IF(AND($C429="Görüşme",$N429=""),"SONRAKİ İŞLEM EKSİK",IF($I429="","TARİH EKSİK",IF($I429&lt;TODAY(),"GECİKMİŞ",IF($I429=TODAY(),"BUGÜN",IF($I429&lt;=TODAY()+7,"7 GÜN İÇİNDE","PLANLI"))))))))</f>
        <v/>
      </c>
      <c r="R429" s="6" t="n"/>
      <c r="S429" s="6" t="n"/>
    </row>
    <row r="430">
      <c r="A430" s="6" t="n"/>
      <c r="B430" s="112">
        <f>IF($D430="","","A"&amp;TEXT(ROW()-6,"00000"))</f>
        <v/>
      </c>
      <c r="C430" s="107" t="n"/>
      <c r="D430" s="107" t="n"/>
      <c r="E430" s="113">
        <f>IF($D430="","",IFERROR(INDEX(MUSTERILER!$C$7:$C$106,MATCH($D430,MUSTERILER!$B$7:$B$106,0)),"TANIMSIZ MÜŞTERİ"))</f>
        <v/>
      </c>
      <c r="F430" s="108" t="n"/>
      <c r="G430" s="107" t="n"/>
      <c r="H430" s="114" t="n"/>
      <c r="I430" s="114" t="n"/>
      <c r="J430" s="107" t="n"/>
      <c r="K430" s="107" t="n"/>
      <c r="L430" s="108" t="n"/>
      <c r="M430" s="108" t="n"/>
      <c r="N430" s="108" t="n"/>
      <c r="O430" s="114" t="n"/>
      <c r="P430" s="120">
        <f>IF(OR($D430="",$I430=""),"",IF(OR($J430="Tamamlandı",$J430="İptal"),"",$I430-TODAY()))</f>
        <v/>
      </c>
      <c r="Q430" s="112">
        <f>IF($D430="","",IF($E430="TANIMSIZ MÜŞTERİ","HATA",IF(OR($J430="Tamamlandı",$J430="İptal"),"KAPALI",IF(AND($C430="Görüşme",$N430=""),"SONRAKİ İŞLEM EKSİK",IF($I430="","TARİH EKSİK",IF($I430&lt;TODAY(),"GECİKMİŞ",IF($I430=TODAY(),"BUGÜN",IF($I430&lt;=TODAY()+7,"7 GÜN İÇİNDE","PLANLI"))))))))</f>
        <v/>
      </c>
      <c r="R430" s="6" t="n"/>
      <c r="S430" s="6" t="n"/>
    </row>
    <row r="431">
      <c r="A431" s="6" t="n"/>
      <c r="B431" s="112">
        <f>IF($D431="","","A"&amp;TEXT(ROW()-6,"00000"))</f>
        <v/>
      </c>
      <c r="C431" s="107" t="n"/>
      <c r="D431" s="107" t="n"/>
      <c r="E431" s="113">
        <f>IF($D431="","",IFERROR(INDEX(MUSTERILER!$C$7:$C$106,MATCH($D431,MUSTERILER!$B$7:$B$106,0)),"TANIMSIZ MÜŞTERİ"))</f>
        <v/>
      </c>
      <c r="F431" s="108" t="n"/>
      <c r="G431" s="107" t="n"/>
      <c r="H431" s="114" t="n"/>
      <c r="I431" s="114" t="n"/>
      <c r="J431" s="107" t="n"/>
      <c r="K431" s="107" t="n"/>
      <c r="L431" s="108" t="n"/>
      <c r="M431" s="108" t="n"/>
      <c r="N431" s="108" t="n"/>
      <c r="O431" s="114" t="n"/>
      <c r="P431" s="120">
        <f>IF(OR($D431="",$I431=""),"",IF(OR($J431="Tamamlandı",$J431="İptal"),"",$I431-TODAY()))</f>
        <v/>
      </c>
      <c r="Q431" s="112">
        <f>IF($D431="","",IF($E431="TANIMSIZ MÜŞTERİ","HATA",IF(OR($J431="Tamamlandı",$J431="İptal"),"KAPALI",IF(AND($C431="Görüşme",$N431=""),"SONRAKİ İŞLEM EKSİK",IF($I431="","TARİH EKSİK",IF($I431&lt;TODAY(),"GECİKMİŞ",IF($I431=TODAY(),"BUGÜN",IF($I431&lt;=TODAY()+7,"7 GÜN İÇİNDE","PLANLI"))))))))</f>
        <v/>
      </c>
      <c r="R431" s="6" t="n"/>
      <c r="S431" s="6" t="n"/>
    </row>
    <row r="432">
      <c r="A432" s="6" t="n"/>
      <c r="B432" s="112">
        <f>IF($D432="","","A"&amp;TEXT(ROW()-6,"00000"))</f>
        <v/>
      </c>
      <c r="C432" s="107" t="n"/>
      <c r="D432" s="107" t="n"/>
      <c r="E432" s="113">
        <f>IF($D432="","",IFERROR(INDEX(MUSTERILER!$C$7:$C$106,MATCH($D432,MUSTERILER!$B$7:$B$106,0)),"TANIMSIZ MÜŞTERİ"))</f>
        <v/>
      </c>
      <c r="F432" s="108" t="n"/>
      <c r="G432" s="107" t="n"/>
      <c r="H432" s="114" t="n"/>
      <c r="I432" s="114" t="n"/>
      <c r="J432" s="107" t="n"/>
      <c r="K432" s="107" t="n"/>
      <c r="L432" s="108" t="n"/>
      <c r="M432" s="108" t="n"/>
      <c r="N432" s="108" t="n"/>
      <c r="O432" s="114" t="n"/>
      <c r="P432" s="120">
        <f>IF(OR($D432="",$I432=""),"",IF(OR($J432="Tamamlandı",$J432="İptal"),"",$I432-TODAY()))</f>
        <v/>
      </c>
      <c r="Q432" s="112">
        <f>IF($D432="","",IF($E432="TANIMSIZ MÜŞTERİ","HATA",IF(OR($J432="Tamamlandı",$J432="İptal"),"KAPALI",IF(AND($C432="Görüşme",$N432=""),"SONRAKİ İŞLEM EKSİK",IF($I432="","TARİH EKSİK",IF($I432&lt;TODAY(),"GECİKMİŞ",IF($I432=TODAY(),"BUGÜN",IF($I432&lt;=TODAY()+7,"7 GÜN İÇİNDE","PLANLI"))))))))</f>
        <v/>
      </c>
      <c r="R432" s="6" t="n"/>
      <c r="S432" s="6" t="n"/>
    </row>
    <row r="433">
      <c r="A433" s="6" t="n"/>
      <c r="B433" s="112">
        <f>IF($D433="","","A"&amp;TEXT(ROW()-6,"00000"))</f>
        <v/>
      </c>
      <c r="C433" s="107" t="n"/>
      <c r="D433" s="107" t="n"/>
      <c r="E433" s="113">
        <f>IF($D433="","",IFERROR(INDEX(MUSTERILER!$C$7:$C$106,MATCH($D433,MUSTERILER!$B$7:$B$106,0)),"TANIMSIZ MÜŞTERİ"))</f>
        <v/>
      </c>
      <c r="F433" s="108" t="n"/>
      <c r="G433" s="107" t="n"/>
      <c r="H433" s="114" t="n"/>
      <c r="I433" s="114" t="n"/>
      <c r="J433" s="107" t="n"/>
      <c r="K433" s="107" t="n"/>
      <c r="L433" s="108" t="n"/>
      <c r="M433" s="108" t="n"/>
      <c r="N433" s="108" t="n"/>
      <c r="O433" s="114" t="n"/>
      <c r="P433" s="120">
        <f>IF(OR($D433="",$I433=""),"",IF(OR($J433="Tamamlandı",$J433="İptal"),"",$I433-TODAY()))</f>
        <v/>
      </c>
      <c r="Q433" s="112">
        <f>IF($D433="","",IF($E433="TANIMSIZ MÜŞTERİ","HATA",IF(OR($J433="Tamamlandı",$J433="İptal"),"KAPALI",IF(AND($C433="Görüşme",$N433=""),"SONRAKİ İŞLEM EKSİK",IF($I433="","TARİH EKSİK",IF($I433&lt;TODAY(),"GECİKMİŞ",IF($I433=TODAY(),"BUGÜN",IF($I433&lt;=TODAY()+7,"7 GÜN İÇİNDE","PLANLI"))))))))</f>
        <v/>
      </c>
      <c r="R433" s="6" t="n"/>
      <c r="S433" s="6" t="n"/>
    </row>
    <row r="434">
      <c r="A434" s="6" t="n"/>
      <c r="B434" s="112">
        <f>IF($D434="","","A"&amp;TEXT(ROW()-6,"00000"))</f>
        <v/>
      </c>
      <c r="C434" s="107" t="n"/>
      <c r="D434" s="107" t="n"/>
      <c r="E434" s="113">
        <f>IF($D434="","",IFERROR(INDEX(MUSTERILER!$C$7:$C$106,MATCH($D434,MUSTERILER!$B$7:$B$106,0)),"TANIMSIZ MÜŞTERİ"))</f>
        <v/>
      </c>
      <c r="F434" s="108" t="n"/>
      <c r="G434" s="107" t="n"/>
      <c r="H434" s="114" t="n"/>
      <c r="I434" s="114" t="n"/>
      <c r="J434" s="107" t="n"/>
      <c r="K434" s="107" t="n"/>
      <c r="L434" s="108" t="n"/>
      <c r="M434" s="108" t="n"/>
      <c r="N434" s="108" t="n"/>
      <c r="O434" s="114" t="n"/>
      <c r="P434" s="120">
        <f>IF(OR($D434="",$I434=""),"",IF(OR($J434="Tamamlandı",$J434="İptal"),"",$I434-TODAY()))</f>
        <v/>
      </c>
      <c r="Q434" s="112">
        <f>IF($D434="","",IF($E434="TANIMSIZ MÜŞTERİ","HATA",IF(OR($J434="Tamamlandı",$J434="İptal"),"KAPALI",IF(AND($C434="Görüşme",$N434=""),"SONRAKİ İŞLEM EKSİK",IF($I434="","TARİH EKSİK",IF($I434&lt;TODAY(),"GECİKMİŞ",IF($I434=TODAY(),"BUGÜN",IF($I434&lt;=TODAY()+7,"7 GÜN İÇİNDE","PLANLI"))))))))</f>
        <v/>
      </c>
      <c r="R434" s="6" t="n"/>
      <c r="S434" s="6" t="n"/>
    </row>
    <row r="435">
      <c r="A435" s="6" t="n"/>
      <c r="B435" s="112">
        <f>IF($D435="","","A"&amp;TEXT(ROW()-6,"00000"))</f>
        <v/>
      </c>
      <c r="C435" s="107" t="n"/>
      <c r="D435" s="107" t="n"/>
      <c r="E435" s="113">
        <f>IF($D435="","",IFERROR(INDEX(MUSTERILER!$C$7:$C$106,MATCH($D435,MUSTERILER!$B$7:$B$106,0)),"TANIMSIZ MÜŞTERİ"))</f>
        <v/>
      </c>
      <c r="F435" s="108" t="n"/>
      <c r="G435" s="107" t="n"/>
      <c r="H435" s="114" t="n"/>
      <c r="I435" s="114" t="n"/>
      <c r="J435" s="107" t="n"/>
      <c r="K435" s="107" t="n"/>
      <c r="L435" s="108" t="n"/>
      <c r="M435" s="108" t="n"/>
      <c r="N435" s="108" t="n"/>
      <c r="O435" s="114" t="n"/>
      <c r="P435" s="120">
        <f>IF(OR($D435="",$I435=""),"",IF(OR($J435="Tamamlandı",$J435="İptal"),"",$I435-TODAY()))</f>
        <v/>
      </c>
      <c r="Q435" s="112">
        <f>IF($D435="","",IF($E435="TANIMSIZ MÜŞTERİ","HATA",IF(OR($J435="Tamamlandı",$J435="İptal"),"KAPALI",IF(AND($C435="Görüşme",$N435=""),"SONRAKİ İŞLEM EKSİK",IF($I435="","TARİH EKSİK",IF($I435&lt;TODAY(),"GECİKMİŞ",IF($I435=TODAY(),"BUGÜN",IF($I435&lt;=TODAY()+7,"7 GÜN İÇİNDE","PLANLI"))))))))</f>
        <v/>
      </c>
      <c r="R435" s="6" t="n"/>
      <c r="S435" s="6" t="n"/>
    </row>
    <row r="436">
      <c r="A436" s="6" t="n"/>
      <c r="B436" s="112">
        <f>IF($D436="","","A"&amp;TEXT(ROW()-6,"00000"))</f>
        <v/>
      </c>
      <c r="C436" s="107" t="n"/>
      <c r="D436" s="107" t="n"/>
      <c r="E436" s="113">
        <f>IF($D436="","",IFERROR(INDEX(MUSTERILER!$C$7:$C$106,MATCH($D436,MUSTERILER!$B$7:$B$106,0)),"TANIMSIZ MÜŞTERİ"))</f>
        <v/>
      </c>
      <c r="F436" s="108" t="n"/>
      <c r="G436" s="107" t="n"/>
      <c r="H436" s="114" t="n"/>
      <c r="I436" s="114" t="n"/>
      <c r="J436" s="107" t="n"/>
      <c r="K436" s="107" t="n"/>
      <c r="L436" s="108" t="n"/>
      <c r="M436" s="108" t="n"/>
      <c r="N436" s="108" t="n"/>
      <c r="O436" s="114" t="n"/>
      <c r="P436" s="120">
        <f>IF(OR($D436="",$I436=""),"",IF(OR($J436="Tamamlandı",$J436="İptal"),"",$I436-TODAY()))</f>
        <v/>
      </c>
      <c r="Q436" s="112">
        <f>IF($D436="","",IF($E436="TANIMSIZ MÜŞTERİ","HATA",IF(OR($J436="Tamamlandı",$J436="İptal"),"KAPALI",IF(AND($C436="Görüşme",$N436=""),"SONRAKİ İŞLEM EKSİK",IF($I436="","TARİH EKSİK",IF($I436&lt;TODAY(),"GECİKMİŞ",IF($I436=TODAY(),"BUGÜN",IF($I436&lt;=TODAY()+7,"7 GÜN İÇİNDE","PLANLI"))))))))</f>
        <v/>
      </c>
      <c r="R436" s="6" t="n"/>
      <c r="S436" s="6" t="n"/>
    </row>
    <row r="437">
      <c r="A437" s="6" t="n"/>
      <c r="B437" s="112">
        <f>IF($D437="","","A"&amp;TEXT(ROW()-6,"00000"))</f>
        <v/>
      </c>
      <c r="C437" s="107" t="n"/>
      <c r="D437" s="107" t="n"/>
      <c r="E437" s="113">
        <f>IF($D437="","",IFERROR(INDEX(MUSTERILER!$C$7:$C$106,MATCH($D437,MUSTERILER!$B$7:$B$106,0)),"TANIMSIZ MÜŞTERİ"))</f>
        <v/>
      </c>
      <c r="F437" s="108" t="n"/>
      <c r="G437" s="107" t="n"/>
      <c r="H437" s="114" t="n"/>
      <c r="I437" s="114" t="n"/>
      <c r="J437" s="107" t="n"/>
      <c r="K437" s="107" t="n"/>
      <c r="L437" s="108" t="n"/>
      <c r="M437" s="108" t="n"/>
      <c r="N437" s="108" t="n"/>
      <c r="O437" s="114" t="n"/>
      <c r="P437" s="120">
        <f>IF(OR($D437="",$I437=""),"",IF(OR($J437="Tamamlandı",$J437="İptal"),"",$I437-TODAY()))</f>
        <v/>
      </c>
      <c r="Q437" s="112">
        <f>IF($D437="","",IF($E437="TANIMSIZ MÜŞTERİ","HATA",IF(OR($J437="Tamamlandı",$J437="İptal"),"KAPALI",IF(AND($C437="Görüşme",$N437=""),"SONRAKİ İŞLEM EKSİK",IF($I437="","TARİH EKSİK",IF($I437&lt;TODAY(),"GECİKMİŞ",IF($I437=TODAY(),"BUGÜN",IF($I437&lt;=TODAY()+7,"7 GÜN İÇİNDE","PLANLI"))))))))</f>
        <v/>
      </c>
      <c r="R437" s="6" t="n"/>
      <c r="S437" s="6" t="n"/>
    </row>
    <row r="438">
      <c r="A438" s="6" t="n"/>
      <c r="B438" s="112">
        <f>IF($D438="","","A"&amp;TEXT(ROW()-6,"00000"))</f>
        <v/>
      </c>
      <c r="C438" s="107" t="n"/>
      <c r="D438" s="107" t="n"/>
      <c r="E438" s="113">
        <f>IF($D438="","",IFERROR(INDEX(MUSTERILER!$C$7:$C$106,MATCH($D438,MUSTERILER!$B$7:$B$106,0)),"TANIMSIZ MÜŞTERİ"))</f>
        <v/>
      </c>
      <c r="F438" s="108" t="n"/>
      <c r="G438" s="107" t="n"/>
      <c r="H438" s="114" t="n"/>
      <c r="I438" s="114" t="n"/>
      <c r="J438" s="107" t="n"/>
      <c r="K438" s="107" t="n"/>
      <c r="L438" s="108" t="n"/>
      <c r="M438" s="108" t="n"/>
      <c r="N438" s="108" t="n"/>
      <c r="O438" s="114" t="n"/>
      <c r="P438" s="120">
        <f>IF(OR($D438="",$I438=""),"",IF(OR($J438="Tamamlandı",$J438="İptal"),"",$I438-TODAY()))</f>
        <v/>
      </c>
      <c r="Q438" s="112">
        <f>IF($D438="","",IF($E438="TANIMSIZ MÜŞTERİ","HATA",IF(OR($J438="Tamamlandı",$J438="İptal"),"KAPALI",IF(AND($C438="Görüşme",$N438=""),"SONRAKİ İŞLEM EKSİK",IF($I438="","TARİH EKSİK",IF($I438&lt;TODAY(),"GECİKMİŞ",IF($I438=TODAY(),"BUGÜN",IF($I438&lt;=TODAY()+7,"7 GÜN İÇİNDE","PLANLI"))))))))</f>
        <v/>
      </c>
      <c r="R438" s="6" t="n"/>
      <c r="S438" s="6" t="n"/>
    </row>
    <row r="439">
      <c r="A439" s="6" t="n"/>
      <c r="B439" s="112">
        <f>IF($D439="","","A"&amp;TEXT(ROW()-6,"00000"))</f>
        <v/>
      </c>
      <c r="C439" s="107" t="n"/>
      <c r="D439" s="107" t="n"/>
      <c r="E439" s="113">
        <f>IF($D439="","",IFERROR(INDEX(MUSTERILER!$C$7:$C$106,MATCH($D439,MUSTERILER!$B$7:$B$106,0)),"TANIMSIZ MÜŞTERİ"))</f>
        <v/>
      </c>
      <c r="F439" s="108" t="n"/>
      <c r="G439" s="107" t="n"/>
      <c r="H439" s="114" t="n"/>
      <c r="I439" s="114" t="n"/>
      <c r="J439" s="107" t="n"/>
      <c r="K439" s="107" t="n"/>
      <c r="L439" s="108" t="n"/>
      <c r="M439" s="108" t="n"/>
      <c r="N439" s="108" t="n"/>
      <c r="O439" s="114" t="n"/>
      <c r="P439" s="120">
        <f>IF(OR($D439="",$I439=""),"",IF(OR($J439="Tamamlandı",$J439="İptal"),"",$I439-TODAY()))</f>
        <v/>
      </c>
      <c r="Q439" s="112">
        <f>IF($D439="","",IF($E439="TANIMSIZ MÜŞTERİ","HATA",IF(OR($J439="Tamamlandı",$J439="İptal"),"KAPALI",IF(AND($C439="Görüşme",$N439=""),"SONRAKİ İŞLEM EKSİK",IF($I439="","TARİH EKSİK",IF($I439&lt;TODAY(),"GECİKMİŞ",IF($I439=TODAY(),"BUGÜN",IF($I439&lt;=TODAY()+7,"7 GÜN İÇİNDE","PLANLI"))))))))</f>
        <v/>
      </c>
      <c r="R439" s="6" t="n"/>
      <c r="S439" s="6" t="n"/>
    </row>
    <row r="440">
      <c r="A440" s="6" t="n"/>
      <c r="B440" s="112">
        <f>IF($D440="","","A"&amp;TEXT(ROW()-6,"00000"))</f>
        <v/>
      </c>
      <c r="C440" s="107" t="n"/>
      <c r="D440" s="107" t="n"/>
      <c r="E440" s="113">
        <f>IF($D440="","",IFERROR(INDEX(MUSTERILER!$C$7:$C$106,MATCH($D440,MUSTERILER!$B$7:$B$106,0)),"TANIMSIZ MÜŞTERİ"))</f>
        <v/>
      </c>
      <c r="F440" s="108" t="n"/>
      <c r="G440" s="107" t="n"/>
      <c r="H440" s="114" t="n"/>
      <c r="I440" s="114" t="n"/>
      <c r="J440" s="107" t="n"/>
      <c r="K440" s="107" t="n"/>
      <c r="L440" s="108" t="n"/>
      <c r="M440" s="108" t="n"/>
      <c r="N440" s="108" t="n"/>
      <c r="O440" s="114" t="n"/>
      <c r="P440" s="120">
        <f>IF(OR($D440="",$I440=""),"",IF(OR($J440="Tamamlandı",$J440="İptal"),"",$I440-TODAY()))</f>
        <v/>
      </c>
      <c r="Q440" s="112">
        <f>IF($D440="","",IF($E440="TANIMSIZ MÜŞTERİ","HATA",IF(OR($J440="Tamamlandı",$J440="İptal"),"KAPALI",IF(AND($C440="Görüşme",$N440=""),"SONRAKİ İŞLEM EKSİK",IF($I440="","TARİH EKSİK",IF($I440&lt;TODAY(),"GECİKMİŞ",IF($I440=TODAY(),"BUGÜN",IF($I440&lt;=TODAY()+7,"7 GÜN İÇİNDE","PLANLI"))))))))</f>
        <v/>
      </c>
      <c r="R440" s="6" t="n"/>
      <c r="S440" s="6" t="n"/>
    </row>
    <row r="441">
      <c r="A441" s="6" t="n"/>
      <c r="B441" s="112">
        <f>IF($D441="","","A"&amp;TEXT(ROW()-6,"00000"))</f>
        <v/>
      </c>
      <c r="C441" s="107" t="n"/>
      <c r="D441" s="107" t="n"/>
      <c r="E441" s="113">
        <f>IF($D441="","",IFERROR(INDEX(MUSTERILER!$C$7:$C$106,MATCH($D441,MUSTERILER!$B$7:$B$106,0)),"TANIMSIZ MÜŞTERİ"))</f>
        <v/>
      </c>
      <c r="F441" s="108" t="n"/>
      <c r="G441" s="107" t="n"/>
      <c r="H441" s="114" t="n"/>
      <c r="I441" s="114" t="n"/>
      <c r="J441" s="107" t="n"/>
      <c r="K441" s="107" t="n"/>
      <c r="L441" s="108" t="n"/>
      <c r="M441" s="108" t="n"/>
      <c r="N441" s="108" t="n"/>
      <c r="O441" s="114" t="n"/>
      <c r="P441" s="120">
        <f>IF(OR($D441="",$I441=""),"",IF(OR($J441="Tamamlandı",$J441="İptal"),"",$I441-TODAY()))</f>
        <v/>
      </c>
      <c r="Q441" s="112">
        <f>IF($D441="","",IF($E441="TANIMSIZ MÜŞTERİ","HATA",IF(OR($J441="Tamamlandı",$J441="İptal"),"KAPALI",IF(AND($C441="Görüşme",$N441=""),"SONRAKİ İŞLEM EKSİK",IF($I441="","TARİH EKSİK",IF($I441&lt;TODAY(),"GECİKMİŞ",IF($I441=TODAY(),"BUGÜN",IF($I441&lt;=TODAY()+7,"7 GÜN İÇİNDE","PLANLI"))))))))</f>
        <v/>
      </c>
      <c r="R441" s="6" t="n"/>
      <c r="S441" s="6" t="n"/>
    </row>
    <row r="442">
      <c r="A442" s="6" t="n"/>
      <c r="B442" s="112">
        <f>IF($D442="","","A"&amp;TEXT(ROW()-6,"00000"))</f>
        <v/>
      </c>
      <c r="C442" s="107" t="n"/>
      <c r="D442" s="107" t="n"/>
      <c r="E442" s="113">
        <f>IF($D442="","",IFERROR(INDEX(MUSTERILER!$C$7:$C$106,MATCH($D442,MUSTERILER!$B$7:$B$106,0)),"TANIMSIZ MÜŞTERİ"))</f>
        <v/>
      </c>
      <c r="F442" s="108" t="n"/>
      <c r="G442" s="107" t="n"/>
      <c r="H442" s="114" t="n"/>
      <c r="I442" s="114" t="n"/>
      <c r="J442" s="107" t="n"/>
      <c r="K442" s="107" t="n"/>
      <c r="L442" s="108" t="n"/>
      <c r="M442" s="108" t="n"/>
      <c r="N442" s="108" t="n"/>
      <c r="O442" s="114" t="n"/>
      <c r="P442" s="120">
        <f>IF(OR($D442="",$I442=""),"",IF(OR($J442="Tamamlandı",$J442="İptal"),"",$I442-TODAY()))</f>
        <v/>
      </c>
      <c r="Q442" s="112">
        <f>IF($D442="","",IF($E442="TANIMSIZ MÜŞTERİ","HATA",IF(OR($J442="Tamamlandı",$J442="İptal"),"KAPALI",IF(AND($C442="Görüşme",$N442=""),"SONRAKİ İŞLEM EKSİK",IF($I442="","TARİH EKSİK",IF($I442&lt;TODAY(),"GECİKMİŞ",IF($I442=TODAY(),"BUGÜN",IF($I442&lt;=TODAY()+7,"7 GÜN İÇİNDE","PLANLI"))))))))</f>
        <v/>
      </c>
      <c r="R442" s="6" t="n"/>
      <c r="S442" s="6" t="n"/>
    </row>
    <row r="443">
      <c r="A443" s="6" t="n"/>
      <c r="B443" s="112">
        <f>IF($D443="","","A"&amp;TEXT(ROW()-6,"00000"))</f>
        <v/>
      </c>
      <c r="C443" s="107" t="n"/>
      <c r="D443" s="107" t="n"/>
      <c r="E443" s="113">
        <f>IF($D443="","",IFERROR(INDEX(MUSTERILER!$C$7:$C$106,MATCH($D443,MUSTERILER!$B$7:$B$106,0)),"TANIMSIZ MÜŞTERİ"))</f>
        <v/>
      </c>
      <c r="F443" s="108" t="n"/>
      <c r="G443" s="107" t="n"/>
      <c r="H443" s="114" t="n"/>
      <c r="I443" s="114" t="n"/>
      <c r="J443" s="107" t="n"/>
      <c r="K443" s="107" t="n"/>
      <c r="L443" s="108" t="n"/>
      <c r="M443" s="108" t="n"/>
      <c r="N443" s="108" t="n"/>
      <c r="O443" s="114" t="n"/>
      <c r="P443" s="120">
        <f>IF(OR($D443="",$I443=""),"",IF(OR($J443="Tamamlandı",$J443="İptal"),"",$I443-TODAY()))</f>
        <v/>
      </c>
      <c r="Q443" s="112">
        <f>IF($D443="","",IF($E443="TANIMSIZ MÜŞTERİ","HATA",IF(OR($J443="Tamamlandı",$J443="İptal"),"KAPALI",IF(AND($C443="Görüşme",$N443=""),"SONRAKİ İŞLEM EKSİK",IF($I443="","TARİH EKSİK",IF($I443&lt;TODAY(),"GECİKMİŞ",IF($I443=TODAY(),"BUGÜN",IF($I443&lt;=TODAY()+7,"7 GÜN İÇİNDE","PLANLI"))))))))</f>
        <v/>
      </c>
      <c r="R443" s="6" t="n"/>
      <c r="S443" s="6" t="n"/>
    </row>
    <row r="444">
      <c r="A444" s="6" t="n"/>
      <c r="B444" s="112">
        <f>IF($D444="","","A"&amp;TEXT(ROW()-6,"00000"))</f>
        <v/>
      </c>
      <c r="C444" s="107" t="n"/>
      <c r="D444" s="107" t="n"/>
      <c r="E444" s="113">
        <f>IF($D444="","",IFERROR(INDEX(MUSTERILER!$C$7:$C$106,MATCH($D444,MUSTERILER!$B$7:$B$106,0)),"TANIMSIZ MÜŞTERİ"))</f>
        <v/>
      </c>
      <c r="F444" s="108" t="n"/>
      <c r="G444" s="107" t="n"/>
      <c r="H444" s="114" t="n"/>
      <c r="I444" s="114" t="n"/>
      <c r="J444" s="107" t="n"/>
      <c r="K444" s="107" t="n"/>
      <c r="L444" s="108" t="n"/>
      <c r="M444" s="108" t="n"/>
      <c r="N444" s="108" t="n"/>
      <c r="O444" s="114" t="n"/>
      <c r="P444" s="120">
        <f>IF(OR($D444="",$I444=""),"",IF(OR($J444="Tamamlandı",$J444="İptal"),"",$I444-TODAY()))</f>
        <v/>
      </c>
      <c r="Q444" s="112">
        <f>IF($D444="","",IF($E444="TANIMSIZ MÜŞTERİ","HATA",IF(OR($J444="Tamamlandı",$J444="İptal"),"KAPALI",IF(AND($C444="Görüşme",$N444=""),"SONRAKİ İŞLEM EKSİK",IF($I444="","TARİH EKSİK",IF($I444&lt;TODAY(),"GECİKMİŞ",IF($I444=TODAY(),"BUGÜN",IF($I444&lt;=TODAY()+7,"7 GÜN İÇİNDE","PLANLI"))))))))</f>
        <v/>
      </c>
      <c r="R444" s="6" t="n"/>
      <c r="S444" s="6" t="n"/>
    </row>
    <row r="445">
      <c r="A445" s="6" t="n"/>
      <c r="B445" s="112">
        <f>IF($D445="","","A"&amp;TEXT(ROW()-6,"00000"))</f>
        <v/>
      </c>
      <c r="C445" s="107" t="n"/>
      <c r="D445" s="107" t="n"/>
      <c r="E445" s="113">
        <f>IF($D445="","",IFERROR(INDEX(MUSTERILER!$C$7:$C$106,MATCH($D445,MUSTERILER!$B$7:$B$106,0)),"TANIMSIZ MÜŞTERİ"))</f>
        <v/>
      </c>
      <c r="F445" s="108" t="n"/>
      <c r="G445" s="107" t="n"/>
      <c r="H445" s="114" t="n"/>
      <c r="I445" s="114" t="n"/>
      <c r="J445" s="107" t="n"/>
      <c r="K445" s="107" t="n"/>
      <c r="L445" s="108" t="n"/>
      <c r="M445" s="108" t="n"/>
      <c r="N445" s="108" t="n"/>
      <c r="O445" s="114" t="n"/>
      <c r="P445" s="120">
        <f>IF(OR($D445="",$I445=""),"",IF(OR($J445="Tamamlandı",$J445="İptal"),"",$I445-TODAY()))</f>
        <v/>
      </c>
      <c r="Q445" s="112">
        <f>IF($D445="","",IF($E445="TANIMSIZ MÜŞTERİ","HATA",IF(OR($J445="Tamamlandı",$J445="İptal"),"KAPALI",IF(AND($C445="Görüşme",$N445=""),"SONRAKİ İŞLEM EKSİK",IF($I445="","TARİH EKSİK",IF($I445&lt;TODAY(),"GECİKMİŞ",IF($I445=TODAY(),"BUGÜN",IF($I445&lt;=TODAY()+7,"7 GÜN İÇİNDE","PLANLI"))))))))</f>
        <v/>
      </c>
      <c r="R445" s="6" t="n"/>
      <c r="S445" s="6" t="n"/>
    </row>
    <row r="446">
      <c r="A446" s="6" t="n"/>
      <c r="B446" s="112">
        <f>IF($D446="","","A"&amp;TEXT(ROW()-6,"00000"))</f>
        <v/>
      </c>
      <c r="C446" s="107" t="n"/>
      <c r="D446" s="107" t="n"/>
      <c r="E446" s="113">
        <f>IF($D446="","",IFERROR(INDEX(MUSTERILER!$C$7:$C$106,MATCH($D446,MUSTERILER!$B$7:$B$106,0)),"TANIMSIZ MÜŞTERİ"))</f>
        <v/>
      </c>
      <c r="F446" s="108" t="n"/>
      <c r="G446" s="107" t="n"/>
      <c r="H446" s="114" t="n"/>
      <c r="I446" s="114" t="n"/>
      <c r="J446" s="107" t="n"/>
      <c r="K446" s="107" t="n"/>
      <c r="L446" s="108" t="n"/>
      <c r="M446" s="108" t="n"/>
      <c r="N446" s="108" t="n"/>
      <c r="O446" s="114" t="n"/>
      <c r="P446" s="120">
        <f>IF(OR($D446="",$I446=""),"",IF(OR($J446="Tamamlandı",$J446="İptal"),"",$I446-TODAY()))</f>
        <v/>
      </c>
      <c r="Q446" s="112">
        <f>IF($D446="","",IF($E446="TANIMSIZ MÜŞTERİ","HATA",IF(OR($J446="Tamamlandı",$J446="İptal"),"KAPALI",IF(AND($C446="Görüşme",$N446=""),"SONRAKİ İŞLEM EKSİK",IF($I446="","TARİH EKSİK",IF($I446&lt;TODAY(),"GECİKMİŞ",IF($I446=TODAY(),"BUGÜN",IF($I446&lt;=TODAY()+7,"7 GÜN İÇİNDE","PLANLI"))))))))</f>
        <v/>
      </c>
      <c r="R446" s="6" t="n"/>
      <c r="S446" s="6" t="n"/>
    </row>
    <row r="447">
      <c r="A447" s="6" t="n"/>
      <c r="B447" s="112">
        <f>IF($D447="","","A"&amp;TEXT(ROW()-6,"00000"))</f>
        <v/>
      </c>
      <c r="C447" s="107" t="n"/>
      <c r="D447" s="107" t="n"/>
      <c r="E447" s="113">
        <f>IF($D447="","",IFERROR(INDEX(MUSTERILER!$C$7:$C$106,MATCH($D447,MUSTERILER!$B$7:$B$106,0)),"TANIMSIZ MÜŞTERİ"))</f>
        <v/>
      </c>
      <c r="F447" s="108" t="n"/>
      <c r="G447" s="107" t="n"/>
      <c r="H447" s="114" t="n"/>
      <c r="I447" s="114" t="n"/>
      <c r="J447" s="107" t="n"/>
      <c r="K447" s="107" t="n"/>
      <c r="L447" s="108" t="n"/>
      <c r="M447" s="108" t="n"/>
      <c r="N447" s="108" t="n"/>
      <c r="O447" s="114" t="n"/>
      <c r="P447" s="120">
        <f>IF(OR($D447="",$I447=""),"",IF(OR($J447="Tamamlandı",$J447="İptal"),"",$I447-TODAY()))</f>
        <v/>
      </c>
      <c r="Q447" s="112">
        <f>IF($D447="","",IF($E447="TANIMSIZ MÜŞTERİ","HATA",IF(OR($J447="Tamamlandı",$J447="İptal"),"KAPALI",IF(AND($C447="Görüşme",$N447=""),"SONRAKİ İŞLEM EKSİK",IF($I447="","TARİH EKSİK",IF($I447&lt;TODAY(),"GECİKMİŞ",IF($I447=TODAY(),"BUGÜN",IF($I447&lt;=TODAY()+7,"7 GÜN İÇİNDE","PLANLI"))))))))</f>
        <v/>
      </c>
      <c r="R447" s="6" t="n"/>
      <c r="S447" s="6" t="n"/>
    </row>
    <row r="448">
      <c r="A448" s="6" t="n"/>
      <c r="B448" s="112">
        <f>IF($D448="","","A"&amp;TEXT(ROW()-6,"00000"))</f>
        <v/>
      </c>
      <c r="C448" s="107" t="n"/>
      <c r="D448" s="107" t="n"/>
      <c r="E448" s="113">
        <f>IF($D448="","",IFERROR(INDEX(MUSTERILER!$C$7:$C$106,MATCH($D448,MUSTERILER!$B$7:$B$106,0)),"TANIMSIZ MÜŞTERİ"))</f>
        <v/>
      </c>
      <c r="F448" s="108" t="n"/>
      <c r="G448" s="107" t="n"/>
      <c r="H448" s="114" t="n"/>
      <c r="I448" s="114" t="n"/>
      <c r="J448" s="107" t="n"/>
      <c r="K448" s="107" t="n"/>
      <c r="L448" s="108" t="n"/>
      <c r="M448" s="108" t="n"/>
      <c r="N448" s="108" t="n"/>
      <c r="O448" s="114" t="n"/>
      <c r="P448" s="120">
        <f>IF(OR($D448="",$I448=""),"",IF(OR($J448="Tamamlandı",$J448="İptal"),"",$I448-TODAY()))</f>
        <v/>
      </c>
      <c r="Q448" s="112">
        <f>IF($D448="","",IF($E448="TANIMSIZ MÜŞTERİ","HATA",IF(OR($J448="Tamamlandı",$J448="İptal"),"KAPALI",IF(AND($C448="Görüşme",$N448=""),"SONRAKİ İŞLEM EKSİK",IF($I448="","TARİH EKSİK",IF($I448&lt;TODAY(),"GECİKMİŞ",IF($I448=TODAY(),"BUGÜN",IF($I448&lt;=TODAY()+7,"7 GÜN İÇİNDE","PLANLI"))))))))</f>
        <v/>
      </c>
      <c r="R448" s="6" t="n"/>
      <c r="S448" s="6" t="n"/>
    </row>
    <row r="449">
      <c r="A449" s="6" t="n"/>
      <c r="B449" s="112">
        <f>IF($D449="","","A"&amp;TEXT(ROW()-6,"00000"))</f>
        <v/>
      </c>
      <c r="C449" s="107" t="n"/>
      <c r="D449" s="107" t="n"/>
      <c r="E449" s="113">
        <f>IF($D449="","",IFERROR(INDEX(MUSTERILER!$C$7:$C$106,MATCH($D449,MUSTERILER!$B$7:$B$106,0)),"TANIMSIZ MÜŞTERİ"))</f>
        <v/>
      </c>
      <c r="F449" s="108" t="n"/>
      <c r="G449" s="107" t="n"/>
      <c r="H449" s="114" t="n"/>
      <c r="I449" s="114" t="n"/>
      <c r="J449" s="107" t="n"/>
      <c r="K449" s="107" t="n"/>
      <c r="L449" s="108" t="n"/>
      <c r="M449" s="108" t="n"/>
      <c r="N449" s="108" t="n"/>
      <c r="O449" s="114" t="n"/>
      <c r="P449" s="120">
        <f>IF(OR($D449="",$I449=""),"",IF(OR($J449="Tamamlandı",$J449="İptal"),"",$I449-TODAY()))</f>
        <v/>
      </c>
      <c r="Q449" s="112">
        <f>IF($D449="","",IF($E449="TANIMSIZ MÜŞTERİ","HATA",IF(OR($J449="Tamamlandı",$J449="İptal"),"KAPALI",IF(AND($C449="Görüşme",$N449=""),"SONRAKİ İŞLEM EKSİK",IF($I449="","TARİH EKSİK",IF($I449&lt;TODAY(),"GECİKMİŞ",IF($I449=TODAY(),"BUGÜN",IF($I449&lt;=TODAY()+7,"7 GÜN İÇİNDE","PLANLI"))))))))</f>
        <v/>
      </c>
      <c r="R449" s="6" t="n"/>
      <c r="S449" s="6" t="n"/>
    </row>
    <row r="450">
      <c r="A450" s="6" t="n"/>
      <c r="B450" s="112">
        <f>IF($D450="","","A"&amp;TEXT(ROW()-6,"00000"))</f>
        <v/>
      </c>
      <c r="C450" s="107" t="n"/>
      <c r="D450" s="107" t="n"/>
      <c r="E450" s="113">
        <f>IF($D450="","",IFERROR(INDEX(MUSTERILER!$C$7:$C$106,MATCH($D450,MUSTERILER!$B$7:$B$106,0)),"TANIMSIZ MÜŞTERİ"))</f>
        <v/>
      </c>
      <c r="F450" s="108" t="n"/>
      <c r="G450" s="107" t="n"/>
      <c r="H450" s="114" t="n"/>
      <c r="I450" s="114" t="n"/>
      <c r="J450" s="107" t="n"/>
      <c r="K450" s="107" t="n"/>
      <c r="L450" s="108" t="n"/>
      <c r="M450" s="108" t="n"/>
      <c r="N450" s="108" t="n"/>
      <c r="O450" s="114" t="n"/>
      <c r="P450" s="120">
        <f>IF(OR($D450="",$I450=""),"",IF(OR($J450="Tamamlandı",$J450="İptal"),"",$I450-TODAY()))</f>
        <v/>
      </c>
      <c r="Q450" s="112">
        <f>IF($D450="","",IF($E450="TANIMSIZ MÜŞTERİ","HATA",IF(OR($J450="Tamamlandı",$J450="İptal"),"KAPALI",IF(AND($C450="Görüşme",$N450=""),"SONRAKİ İŞLEM EKSİK",IF($I450="","TARİH EKSİK",IF($I450&lt;TODAY(),"GECİKMİŞ",IF($I450=TODAY(),"BUGÜN",IF($I450&lt;=TODAY()+7,"7 GÜN İÇİNDE","PLANLI"))))))))</f>
        <v/>
      </c>
      <c r="R450" s="6" t="n"/>
      <c r="S450" s="6" t="n"/>
    </row>
    <row r="451">
      <c r="A451" s="6" t="n"/>
      <c r="B451" s="112">
        <f>IF($D451="","","A"&amp;TEXT(ROW()-6,"00000"))</f>
        <v/>
      </c>
      <c r="C451" s="107" t="n"/>
      <c r="D451" s="107" t="n"/>
      <c r="E451" s="113">
        <f>IF($D451="","",IFERROR(INDEX(MUSTERILER!$C$7:$C$106,MATCH($D451,MUSTERILER!$B$7:$B$106,0)),"TANIMSIZ MÜŞTERİ"))</f>
        <v/>
      </c>
      <c r="F451" s="108" t="n"/>
      <c r="G451" s="107" t="n"/>
      <c r="H451" s="114" t="n"/>
      <c r="I451" s="114" t="n"/>
      <c r="J451" s="107" t="n"/>
      <c r="K451" s="107" t="n"/>
      <c r="L451" s="108" t="n"/>
      <c r="M451" s="108" t="n"/>
      <c r="N451" s="108" t="n"/>
      <c r="O451" s="114" t="n"/>
      <c r="P451" s="120">
        <f>IF(OR($D451="",$I451=""),"",IF(OR($J451="Tamamlandı",$J451="İptal"),"",$I451-TODAY()))</f>
        <v/>
      </c>
      <c r="Q451" s="112">
        <f>IF($D451="","",IF($E451="TANIMSIZ MÜŞTERİ","HATA",IF(OR($J451="Tamamlandı",$J451="İptal"),"KAPALI",IF(AND($C451="Görüşme",$N451=""),"SONRAKİ İŞLEM EKSİK",IF($I451="","TARİH EKSİK",IF($I451&lt;TODAY(),"GECİKMİŞ",IF($I451=TODAY(),"BUGÜN",IF($I451&lt;=TODAY()+7,"7 GÜN İÇİNDE","PLANLI"))))))))</f>
        <v/>
      </c>
      <c r="R451" s="6" t="n"/>
      <c r="S451" s="6" t="n"/>
    </row>
    <row r="452">
      <c r="A452" s="6" t="n"/>
      <c r="B452" s="112">
        <f>IF($D452="","","A"&amp;TEXT(ROW()-6,"00000"))</f>
        <v/>
      </c>
      <c r="C452" s="107" t="n"/>
      <c r="D452" s="107" t="n"/>
      <c r="E452" s="113">
        <f>IF($D452="","",IFERROR(INDEX(MUSTERILER!$C$7:$C$106,MATCH($D452,MUSTERILER!$B$7:$B$106,0)),"TANIMSIZ MÜŞTERİ"))</f>
        <v/>
      </c>
      <c r="F452" s="108" t="n"/>
      <c r="G452" s="107" t="n"/>
      <c r="H452" s="114" t="n"/>
      <c r="I452" s="114" t="n"/>
      <c r="J452" s="107" t="n"/>
      <c r="K452" s="107" t="n"/>
      <c r="L452" s="108" t="n"/>
      <c r="M452" s="108" t="n"/>
      <c r="N452" s="108" t="n"/>
      <c r="O452" s="114" t="n"/>
      <c r="P452" s="120">
        <f>IF(OR($D452="",$I452=""),"",IF(OR($J452="Tamamlandı",$J452="İptal"),"",$I452-TODAY()))</f>
        <v/>
      </c>
      <c r="Q452" s="112">
        <f>IF($D452="","",IF($E452="TANIMSIZ MÜŞTERİ","HATA",IF(OR($J452="Tamamlandı",$J452="İptal"),"KAPALI",IF(AND($C452="Görüşme",$N452=""),"SONRAKİ İŞLEM EKSİK",IF($I452="","TARİH EKSİK",IF($I452&lt;TODAY(),"GECİKMİŞ",IF($I452=TODAY(),"BUGÜN",IF($I452&lt;=TODAY()+7,"7 GÜN İÇİNDE","PLANLI"))))))))</f>
        <v/>
      </c>
      <c r="R452" s="6" t="n"/>
      <c r="S452" s="6" t="n"/>
    </row>
    <row r="453">
      <c r="A453" s="6" t="n"/>
      <c r="B453" s="112">
        <f>IF($D453="","","A"&amp;TEXT(ROW()-6,"00000"))</f>
        <v/>
      </c>
      <c r="C453" s="107" t="n"/>
      <c r="D453" s="107" t="n"/>
      <c r="E453" s="113">
        <f>IF($D453="","",IFERROR(INDEX(MUSTERILER!$C$7:$C$106,MATCH($D453,MUSTERILER!$B$7:$B$106,0)),"TANIMSIZ MÜŞTERİ"))</f>
        <v/>
      </c>
      <c r="F453" s="108" t="n"/>
      <c r="G453" s="107" t="n"/>
      <c r="H453" s="114" t="n"/>
      <c r="I453" s="114" t="n"/>
      <c r="J453" s="107" t="n"/>
      <c r="K453" s="107" t="n"/>
      <c r="L453" s="108" t="n"/>
      <c r="M453" s="108" t="n"/>
      <c r="N453" s="108" t="n"/>
      <c r="O453" s="114" t="n"/>
      <c r="P453" s="120">
        <f>IF(OR($D453="",$I453=""),"",IF(OR($J453="Tamamlandı",$J453="İptal"),"",$I453-TODAY()))</f>
        <v/>
      </c>
      <c r="Q453" s="112">
        <f>IF($D453="","",IF($E453="TANIMSIZ MÜŞTERİ","HATA",IF(OR($J453="Tamamlandı",$J453="İptal"),"KAPALI",IF(AND($C453="Görüşme",$N453=""),"SONRAKİ İŞLEM EKSİK",IF($I453="","TARİH EKSİK",IF($I453&lt;TODAY(),"GECİKMİŞ",IF($I453=TODAY(),"BUGÜN",IF($I453&lt;=TODAY()+7,"7 GÜN İÇİNDE","PLANLI"))))))))</f>
        <v/>
      </c>
      <c r="R453" s="6" t="n"/>
      <c r="S453" s="6" t="n"/>
    </row>
    <row r="454">
      <c r="A454" s="6" t="n"/>
      <c r="B454" s="112">
        <f>IF($D454="","","A"&amp;TEXT(ROW()-6,"00000"))</f>
        <v/>
      </c>
      <c r="C454" s="107" t="n"/>
      <c r="D454" s="107" t="n"/>
      <c r="E454" s="113">
        <f>IF($D454="","",IFERROR(INDEX(MUSTERILER!$C$7:$C$106,MATCH($D454,MUSTERILER!$B$7:$B$106,0)),"TANIMSIZ MÜŞTERİ"))</f>
        <v/>
      </c>
      <c r="F454" s="108" t="n"/>
      <c r="G454" s="107" t="n"/>
      <c r="H454" s="114" t="n"/>
      <c r="I454" s="114" t="n"/>
      <c r="J454" s="107" t="n"/>
      <c r="K454" s="107" t="n"/>
      <c r="L454" s="108" t="n"/>
      <c r="M454" s="108" t="n"/>
      <c r="N454" s="108" t="n"/>
      <c r="O454" s="114" t="n"/>
      <c r="P454" s="120">
        <f>IF(OR($D454="",$I454=""),"",IF(OR($J454="Tamamlandı",$J454="İptal"),"",$I454-TODAY()))</f>
        <v/>
      </c>
      <c r="Q454" s="112">
        <f>IF($D454="","",IF($E454="TANIMSIZ MÜŞTERİ","HATA",IF(OR($J454="Tamamlandı",$J454="İptal"),"KAPALI",IF(AND($C454="Görüşme",$N454=""),"SONRAKİ İŞLEM EKSİK",IF($I454="","TARİH EKSİK",IF($I454&lt;TODAY(),"GECİKMİŞ",IF($I454=TODAY(),"BUGÜN",IF($I454&lt;=TODAY()+7,"7 GÜN İÇİNDE","PLANLI"))))))))</f>
        <v/>
      </c>
      <c r="R454" s="6" t="n"/>
      <c r="S454" s="6" t="n"/>
    </row>
    <row r="455">
      <c r="A455" s="6" t="n"/>
      <c r="B455" s="112">
        <f>IF($D455="","","A"&amp;TEXT(ROW()-6,"00000"))</f>
        <v/>
      </c>
      <c r="C455" s="107" t="n"/>
      <c r="D455" s="107" t="n"/>
      <c r="E455" s="113">
        <f>IF($D455="","",IFERROR(INDEX(MUSTERILER!$C$7:$C$106,MATCH($D455,MUSTERILER!$B$7:$B$106,0)),"TANIMSIZ MÜŞTERİ"))</f>
        <v/>
      </c>
      <c r="F455" s="108" t="n"/>
      <c r="G455" s="107" t="n"/>
      <c r="H455" s="114" t="n"/>
      <c r="I455" s="114" t="n"/>
      <c r="J455" s="107" t="n"/>
      <c r="K455" s="107" t="n"/>
      <c r="L455" s="108" t="n"/>
      <c r="M455" s="108" t="n"/>
      <c r="N455" s="108" t="n"/>
      <c r="O455" s="114" t="n"/>
      <c r="P455" s="120">
        <f>IF(OR($D455="",$I455=""),"",IF(OR($J455="Tamamlandı",$J455="İptal"),"",$I455-TODAY()))</f>
        <v/>
      </c>
      <c r="Q455" s="112">
        <f>IF($D455="","",IF($E455="TANIMSIZ MÜŞTERİ","HATA",IF(OR($J455="Tamamlandı",$J455="İptal"),"KAPALI",IF(AND($C455="Görüşme",$N455=""),"SONRAKİ İŞLEM EKSİK",IF($I455="","TARİH EKSİK",IF($I455&lt;TODAY(),"GECİKMİŞ",IF($I455=TODAY(),"BUGÜN",IF($I455&lt;=TODAY()+7,"7 GÜN İÇİNDE","PLANLI"))))))))</f>
        <v/>
      </c>
      <c r="R455" s="6" t="n"/>
      <c r="S455" s="6" t="n"/>
    </row>
    <row r="456">
      <c r="A456" s="6" t="n"/>
      <c r="B456" s="112">
        <f>IF($D456="","","A"&amp;TEXT(ROW()-6,"00000"))</f>
        <v/>
      </c>
      <c r="C456" s="107" t="n"/>
      <c r="D456" s="107" t="n"/>
      <c r="E456" s="113">
        <f>IF($D456="","",IFERROR(INDEX(MUSTERILER!$C$7:$C$106,MATCH($D456,MUSTERILER!$B$7:$B$106,0)),"TANIMSIZ MÜŞTERİ"))</f>
        <v/>
      </c>
      <c r="F456" s="108" t="n"/>
      <c r="G456" s="107" t="n"/>
      <c r="H456" s="114" t="n"/>
      <c r="I456" s="114" t="n"/>
      <c r="J456" s="107" t="n"/>
      <c r="K456" s="107" t="n"/>
      <c r="L456" s="108" t="n"/>
      <c r="M456" s="108" t="n"/>
      <c r="N456" s="108" t="n"/>
      <c r="O456" s="114" t="n"/>
      <c r="P456" s="120">
        <f>IF(OR($D456="",$I456=""),"",IF(OR($J456="Tamamlandı",$J456="İptal"),"",$I456-TODAY()))</f>
        <v/>
      </c>
      <c r="Q456" s="112">
        <f>IF($D456="","",IF($E456="TANIMSIZ MÜŞTERİ","HATA",IF(OR($J456="Tamamlandı",$J456="İptal"),"KAPALI",IF(AND($C456="Görüşme",$N456=""),"SONRAKİ İŞLEM EKSİK",IF($I456="","TARİH EKSİK",IF($I456&lt;TODAY(),"GECİKMİŞ",IF($I456=TODAY(),"BUGÜN",IF($I456&lt;=TODAY()+7,"7 GÜN İÇİNDE","PLANLI"))))))))</f>
        <v/>
      </c>
      <c r="R456" s="6" t="n"/>
      <c r="S456" s="6" t="n"/>
    </row>
    <row r="457">
      <c r="A457" s="6" t="n"/>
      <c r="B457" s="112">
        <f>IF($D457="","","A"&amp;TEXT(ROW()-6,"00000"))</f>
        <v/>
      </c>
      <c r="C457" s="107" t="n"/>
      <c r="D457" s="107" t="n"/>
      <c r="E457" s="113">
        <f>IF($D457="","",IFERROR(INDEX(MUSTERILER!$C$7:$C$106,MATCH($D457,MUSTERILER!$B$7:$B$106,0)),"TANIMSIZ MÜŞTERİ"))</f>
        <v/>
      </c>
      <c r="F457" s="108" t="n"/>
      <c r="G457" s="107" t="n"/>
      <c r="H457" s="114" t="n"/>
      <c r="I457" s="114" t="n"/>
      <c r="J457" s="107" t="n"/>
      <c r="K457" s="107" t="n"/>
      <c r="L457" s="108" t="n"/>
      <c r="M457" s="108" t="n"/>
      <c r="N457" s="108" t="n"/>
      <c r="O457" s="114" t="n"/>
      <c r="P457" s="120">
        <f>IF(OR($D457="",$I457=""),"",IF(OR($J457="Tamamlandı",$J457="İptal"),"",$I457-TODAY()))</f>
        <v/>
      </c>
      <c r="Q457" s="112">
        <f>IF($D457="","",IF($E457="TANIMSIZ MÜŞTERİ","HATA",IF(OR($J457="Tamamlandı",$J457="İptal"),"KAPALI",IF(AND($C457="Görüşme",$N457=""),"SONRAKİ İŞLEM EKSİK",IF($I457="","TARİH EKSİK",IF($I457&lt;TODAY(),"GECİKMİŞ",IF($I457=TODAY(),"BUGÜN",IF($I457&lt;=TODAY()+7,"7 GÜN İÇİNDE","PLANLI"))))))))</f>
        <v/>
      </c>
      <c r="R457" s="6" t="n"/>
      <c r="S457" s="6" t="n"/>
    </row>
    <row r="458">
      <c r="A458" s="6" t="n"/>
      <c r="B458" s="112">
        <f>IF($D458="","","A"&amp;TEXT(ROW()-6,"00000"))</f>
        <v/>
      </c>
      <c r="C458" s="107" t="n"/>
      <c r="D458" s="107" t="n"/>
      <c r="E458" s="113">
        <f>IF($D458="","",IFERROR(INDEX(MUSTERILER!$C$7:$C$106,MATCH($D458,MUSTERILER!$B$7:$B$106,0)),"TANIMSIZ MÜŞTERİ"))</f>
        <v/>
      </c>
      <c r="F458" s="108" t="n"/>
      <c r="G458" s="107" t="n"/>
      <c r="H458" s="114" t="n"/>
      <c r="I458" s="114" t="n"/>
      <c r="J458" s="107" t="n"/>
      <c r="K458" s="107" t="n"/>
      <c r="L458" s="108" t="n"/>
      <c r="M458" s="108" t="n"/>
      <c r="N458" s="108" t="n"/>
      <c r="O458" s="114" t="n"/>
      <c r="P458" s="120">
        <f>IF(OR($D458="",$I458=""),"",IF(OR($J458="Tamamlandı",$J458="İptal"),"",$I458-TODAY()))</f>
        <v/>
      </c>
      <c r="Q458" s="112">
        <f>IF($D458="","",IF($E458="TANIMSIZ MÜŞTERİ","HATA",IF(OR($J458="Tamamlandı",$J458="İptal"),"KAPALI",IF(AND($C458="Görüşme",$N458=""),"SONRAKİ İŞLEM EKSİK",IF($I458="","TARİH EKSİK",IF($I458&lt;TODAY(),"GECİKMİŞ",IF($I458=TODAY(),"BUGÜN",IF($I458&lt;=TODAY()+7,"7 GÜN İÇİNDE","PLANLI"))))))))</f>
        <v/>
      </c>
      <c r="R458" s="6" t="n"/>
      <c r="S458" s="6" t="n"/>
    </row>
    <row r="459">
      <c r="A459" s="6" t="n"/>
      <c r="B459" s="112">
        <f>IF($D459="","","A"&amp;TEXT(ROW()-6,"00000"))</f>
        <v/>
      </c>
      <c r="C459" s="107" t="n"/>
      <c r="D459" s="107" t="n"/>
      <c r="E459" s="113">
        <f>IF($D459="","",IFERROR(INDEX(MUSTERILER!$C$7:$C$106,MATCH($D459,MUSTERILER!$B$7:$B$106,0)),"TANIMSIZ MÜŞTERİ"))</f>
        <v/>
      </c>
      <c r="F459" s="108" t="n"/>
      <c r="G459" s="107" t="n"/>
      <c r="H459" s="114" t="n"/>
      <c r="I459" s="114" t="n"/>
      <c r="J459" s="107" t="n"/>
      <c r="K459" s="107" t="n"/>
      <c r="L459" s="108" t="n"/>
      <c r="M459" s="108" t="n"/>
      <c r="N459" s="108" t="n"/>
      <c r="O459" s="114" t="n"/>
      <c r="P459" s="120">
        <f>IF(OR($D459="",$I459=""),"",IF(OR($J459="Tamamlandı",$J459="İptal"),"",$I459-TODAY()))</f>
        <v/>
      </c>
      <c r="Q459" s="112">
        <f>IF($D459="","",IF($E459="TANIMSIZ MÜŞTERİ","HATA",IF(OR($J459="Tamamlandı",$J459="İptal"),"KAPALI",IF(AND($C459="Görüşme",$N459=""),"SONRAKİ İŞLEM EKSİK",IF($I459="","TARİH EKSİK",IF($I459&lt;TODAY(),"GECİKMİŞ",IF($I459=TODAY(),"BUGÜN",IF($I459&lt;=TODAY()+7,"7 GÜN İÇİNDE","PLANLI"))))))))</f>
        <v/>
      </c>
      <c r="R459" s="6" t="n"/>
      <c r="S459" s="6" t="n"/>
    </row>
    <row r="460">
      <c r="A460" s="6" t="n"/>
      <c r="B460" s="112">
        <f>IF($D460="","","A"&amp;TEXT(ROW()-6,"00000"))</f>
        <v/>
      </c>
      <c r="C460" s="107" t="n"/>
      <c r="D460" s="107" t="n"/>
      <c r="E460" s="113">
        <f>IF($D460="","",IFERROR(INDEX(MUSTERILER!$C$7:$C$106,MATCH($D460,MUSTERILER!$B$7:$B$106,0)),"TANIMSIZ MÜŞTERİ"))</f>
        <v/>
      </c>
      <c r="F460" s="108" t="n"/>
      <c r="G460" s="107" t="n"/>
      <c r="H460" s="114" t="n"/>
      <c r="I460" s="114" t="n"/>
      <c r="J460" s="107" t="n"/>
      <c r="K460" s="107" t="n"/>
      <c r="L460" s="108" t="n"/>
      <c r="M460" s="108" t="n"/>
      <c r="N460" s="108" t="n"/>
      <c r="O460" s="114" t="n"/>
      <c r="P460" s="120">
        <f>IF(OR($D460="",$I460=""),"",IF(OR($J460="Tamamlandı",$J460="İptal"),"",$I460-TODAY()))</f>
        <v/>
      </c>
      <c r="Q460" s="112">
        <f>IF($D460="","",IF($E460="TANIMSIZ MÜŞTERİ","HATA",IF(OR($J460="Tamamlandı",$J460="İptal"),"KAPALI",IF(AND($C460="Görüşme",$N460=""),"SONRAKİ İŞLEM EKSİK",IF($I460="","TARİH EKSİK",IF($I460&lt;TODAY(),"GECİKMİŞ",IF($I460=TODAY(),"BUGÜN",IF($I460&lt;=TODAY()+7,"7 GÜN İÇİNDE","PLANLI"))))))))</f>
        <v/>
      </c>
      <c r="R460" s="6" t="n"/>
      <c r="S460" s="6" t="n"/>
    </row>
    <row r="461">
      <c r="A461" s="6" t="n"/>
      <c r="B461" s="112">
        <f>IF($D461="","","A"&amp;TEXT(ROW()-6,"00000"))</f>
        <v/>
      </c>
      <c r="C461" s="107" t="n"/>
      <c r="D461" s="107" t="n"/>
      <c r="E461" s="113">
        <f>IF($D461="","",IFERROR(INDEX(MUSTERILER!$C$7:$C$106,MATCH($D461,MUSTERILER!$B$7:$B$106,0)),"TANIMSIZ MÜŞTERİ"))</f>
        <v/>
      </c>
      <c r="F461" s="108" t="n"/>
      <c r="G461" s="107" t="n"/>
      <c r="H461" s="114" t="n"/>
      <c r="I461" s="114" t="n"/>
      <c r="J461" s="107" t="n"/>
      <c r="K461" s="107" t="n"/>
      <c r="L461" s="108" t="n"/>
      <c r="M461" s="108" t="n"/>
      <c r="N461" s="108" t="n"/>
      <c r="O461" s="114" t="n"/>
      <c r="P461" s="120">
        <f>IF(OR($D461="",$I461=""),"",IF(OR($J461="Tamamlandı",$J461="İptal"),"",$I461-TODAY()))</f>
        <v/>
      </c>
      <c r="Q461" s="112">
        <f>IF($D461="","",IF($E461="TANIMSIZ MÜŞTERİ","HATA",IF(OR($J461="Tamamlandı",$J461="İptal"),"KAPALI",IF(AND($C461="Görüşme",$N461=""),"SONRAKİ İŞLEM EKSİK",IF($I461="","TARİH EKSİK",IF($I461&lt;TODAY(),"GECİKMİŞ",IF($I461=TODAY(),"BUGÜN",IF($I461&lt;=TODAY()+7,"7 GÜN İÇİNDE","PLANLI"))))))))</f>
        <v/>
      </c>
      <c r="R461" s="6" t="n"/>
      <c r="S461" s="6" t="n"/>
    </row>
    <row r="462">
      <c r="A462" s="6" t="n"/>
      <c r="B462" s="112">
        <f>IF($D462="","","A"&amp;TEXT(ROW()-6,"00000"))</f>
        <v/>
      </c>
      <c r="C462" s="107" t="n"/>
      <c r="D462" s="107" t="n"/>
      <c r="E462" s="113">
        <f>IF($D462="","",IFERROR(INDEX(MUSTERILER!$C$7:$C$106,MATCH($D462,MUSTERILER!$B$7:$B$106,0)),"TANIMSIZ MÜŞTERİ"))</f>
        <v/>
      </c>
      <c r="F462" s="108" t="n"/>
      <c r="G462" s="107" t="n"/>
      <c r="H462" s="114" t="n"/>
      <c r="I462" s="114" t="n"/>
      <c r="J462" s="107" t="n"/>
      <c r="K462" s="107" t="n"/>
      <c r="L462" s="108" t="n"/>
      <c r="M462" s="108" t="n"/>
      <c r="N462" s="108" t="n"/>
      <c r="O462" s="114" t="n"/>
      <c r="P462" s="120">
        <f>IF(OR($D462="",$I462=""),"",IF(OR($J462="Tamamlandı",$J462="İptal"),"",$I462-TODAY()))</f>
        <v/>
      </c>
      <c r="Q462" s="112">
        <f>IF($D462="","",IF($E462="TANIMSIZ MÜŞTERİ","HATA",IF(OR($J462="Tamamlandı",$J462="İptal"),"KAPALI",IF(AND($C462="Görüşme",$N462=""),"SONRAKİ İŞLEM EKSİK",IF($I462="","TARİH EKSİK",IF($I462&lt;TODAY(),"GECİKMİŞ",IF($I462=TODAY(),"BUGÜN",IF($I462&lt;=TODAY()+7,"7 GÜN İÇİNDE","PLANLI"))))))))</f>
        <v/>
      </c>
      <c r="R462" s="6" t="n"/>
      <c r="S462" s="6" t="n"/>
    </row>
    <row r="463">
      <c r="A463" s="6" t="n"/>
      <c r="B463" s="112">
        <f>IF($D463="","","A"&amp;TEXT(ROW()-6,"00000"))</f>
        <v/>
      </c>
      <c r="C463" s="107" t="n"/>
      <c r="D463" s="107" t="n"/>
      <c r="E463" s="113">
        <f>IF($D463="","",IFERROR(INDEX(MUSTERILER!$C$7:$C$106,MATCH($D463,MUSTERILER!$B$7:$B$106,0)),"TANIMSIZ MÜŞTERİ"))</f>
        <v/>
      </c>
      <c r="F463" s="108" t="n"/>
      <c r="G463" s="107" t="n"/>
      <c r="H463" s="114" t="n"/>
      <c r="I463" s="114" t="n"/>
      <c r="J463" s="107" t="n"/>
      <c r="K463" s="107" t="n"/>
      <c r="L463" s="108" t="n"/>
      <c r="M463" s="108" t="n"/>
      <c r="N463" s="108" t="n"/>
      <c r="O463" s="114" t="n"/>
      <c r="P463" s="120">
        <f>IF(OR($D463="",$I463=""),"",IF(OR($J463="Tamamlandı",$J463="İptal"),"",$I463-TODAY()))</f>
        <v/>
      </c>
      <c r="Q463" s="112">
        <f>IF($D463="","",IF($E463="TANIMSIZ MÜŞTERİ","HATA",IF(OR($J463="Tamamlandı",$J463="İptal"),"KAPALI",IF(AND($C463="Görüşme",$N463=""),"SONRAKİ İŞLEM EKSİK",IF($I463="","TARİH EKSİK",IF($I463&lt;TODAY(),"GECİKMİŞ",IF($I463=TODAY(),"BUGÜN",IF($I463&lt;=TODAY()+7,"7 GÜN İÇİNDE","PLANLI"))))))))</f>
        <v/>
      </c>
      <c r="R463" s="6" t="n"/>
      <c r="S463" s="6" t="n"/>
    </row>
    <row r="464">
      <c r="A464" s="6" t="n"/>
      <c r="B464" s="112">
        <f>IF($D464="","","A"&amp;TEXT(ROW()-6,"00000"))</f>
        <v/>
      </c>
      <c r="C464" s="107" t="n"/>
      <c r="D464" s="107" t="n"/>
      <c r="E464" s="113">
        <f>IF($D464="","",IFERROR(INDEX(MUSTERILER!$C$7:$C$106,MATCH($D464,MUSTERILER!$B$7:$B$106,0)),"TANIMSIZ MÜŞTERİ"))</f>
        <v/>
      </c>
      <c r="F464" s="108" t="n"/>
      <c r="G464" s="107" t="n"/>
      <c r="H464" s="114" t="n"/>
      <c r="I464" s="114" t="n"/>
      <c r="J464" s="107" t="n"/>
      <c r="K464" s="107" t="n"/>
      <c r="L464" s="108" t="n"/>
      <c r="M464" s="108" t="n"/>
      <c r="N464" s="108" t="n"/>
      <c r="O464" s="114" t="n"/>
      <c r="P464" s="120">
        <f>IF(OR($D464="",$I464=""),"",IF(OR($J464="Tamamlandı",$J464="İptal"),"",$I464-TODAY()))</f>
        <v/>
      </c>
      <c r="Q464" s="112">
        <f>IF($D464="","",IF($E464="TANIMSIZ MÜŞTERİ","HATA",IF(OR($J464="Tamamlandı",$J464="İptal"),"KAPALI",IF(AND($C464="Görüşme",$N464=""),"SONRAKİ İŞLEM EKSİK",IF($I464="","TARİH EKSİK",IF($I464&lt;TODAY(),"GECİKMİŞ",IF($I464=TODAY(),"BUGÜN",IF($I464&lt;=TODAY()+7,"7 GÜN İÇİNDE","PLANLI"))))))))</f>
        <v/>
      </c>
      <c r="R464" s="6" t="n"/>
      <c r="S464" s="6" t="n"/>
    </row>
    <row r="465">
      <c r="A465" s="6" t="n"/>
      <c r="B465" s="112">
        <f>IF($D465="","","A"&amp;TEXT(ROW()-6,"00000"))</f>
        <v/>
      </c>
      <c r="C465" s="107" t="n"/>
      <c r="D465" s="107" t="n"/>
      <c r="E465" s="113">
        <f>IF($D465="","",IFERROR(INDEX(MUSTERILER!$C$7:$C$106,MATCH($D465,MUSTERILER!$B$7:$B$106,0)),"TANIMSIZ MÜŞTERİ"))</f>
        <v/>
      </c>
      <c r="F465" s="108" t="n"/>
      <c r="G465" s="107" t="n"/>
      <c r="H465" s="114" t="n"/>
      <c r="I465" s="114" t="n"/>
      <c r="J465" s="107" t="n"/>
      <c r="K465" s="107" t="n"/>
      <c r="L465" s="108" t="n"/>
      <c r="M465" s="108" t="n"/>
      <c r="N465" s="108" t="n"/>
      <c r="O465" s="114" t="n"/>
      <c r="P465" s="120">
        <f>IF(OR($D465="",$I465=""),"",IF(OR($J465="Tamamlandı",$J465="İptal"),"",$I465-TODAY()))</f>
        <v/>
      </c>
      <c r="Q465" s="112">
        <f>IF($D465="","",IF($E465="TANIMSIZ MÜŞTERİ","HATA",IF(OR($J465="Tamamlandı",$J465="İptal"),"KAPALI",IF(AND($C465="Görüşme",$N465=""),"SONRAKİ İŞLEM EKSİK",IF($I465="","TARİH EKSİK",IF($I465&lt;TODAY(),"GECİKMİŞ",IF($I465=TODAY(),"BUGÜN",IF($I465&lt;=TODAY()+7,"7 GÜN İÇİNDE","PLANLI"))))))))</f>
        <v/>
      </c>
      <c r="R465" s="6" t="n"/>
      <c r="S465" s="6" t="n"/>
    </row>
    <row r="466">
      <c r="A466" s="6" t="n"/>
      <c r="B466" s="112">
        <f>IF($D466="","","A"&amp;TEXT(ROW()-6,"00000"))</f>
        <v/>
      </c>
      <c r="C466" s="107" t="n"/>
      <c r="D466" s="107" t="n"/>
      <c r="E466" s="113">
        <f>IF($D466="","",IFERROR(INDEX(MUSTERILER!$C$7:$C$106,MATCH($D466,MUSTERILER!$B$7:$B$106,0)),"TANIMSIZ MÜŞTERİ"))</f>
        <v/>
      </c>
      <c r="F466" s="108" t="n"/>
      <c r="G466" s="107" t="n"/>
      <c r="H466" s="114" t="n"/>
      <c r="I466" s="114" t="n"/>
      <c r="J466" s="107" t="n"/>
      <c r="K466" s="107" t="n"/>
      <c r="L466" s="108" t="n"/>
      <c r="M466" s="108" t="n"/>
      <c r="N466" s="108" t="n"/>
      <c r="O466" s="114" t="n"/>
      <c r="P466" s="120">
        <f>IF(OR($D466="",$I466=""),"",IF(OR($J466="Tamamlandı",$J466="İptal"),"",$I466-TODAY()))</f>
        <v/>
      </c>
      <c r="Q466" s="112">
        <f>IF($D466="","",IF($E466="TANIMSIZ MÜŞTERİ","HATA",IF(OR($J466="Tamamlandı",$J466="İptal"),"KAPALI",IF(AND($C466="Görüşme",$N466=""),"SONRAKİ İŞLEM EKSİK",IF($I466="","TARİH EKSİK",IF($I466&lt;TODAY(),"GECİKMİŞ",IF($I466=TODAY(),"BUGÜN",IF($I466&lt;=TODAY()+7,"7 GÜN İÇİNDE","PLANLI"))))))))</f>
        <v/>
      </c>
      <c r="R466" s="6" t="n"/>
      <c r="S466" s="6" t="n"/>
    </row>
    <row r="467">
      <c r="A467" s="6" t="n"/>
      <c r="B467" s="112">
        <f>IF($D467="","","A"&amp;TEXT(ROW()-6,"00000"))</f>
        <v/>
      </c>
      <c r="C467" s="107" t="n"/>
      <c r="D467" s="107" t="n"/>
      <c r="E467" s="113">
        <f>IF($D467="","",IFERROR(INDEX(MUSTERILER!$C$7:$C$106,MATCH($D467,MUSTERILER!$B$7:$B$106,0)),"TANIMSIZ MÜŞTERİ"))</f>
        <v/>
      </c>
      <c r="F467" s="108" t="n"/>
      <c r="G467" s="107" t="n"/>
      <c r="H467" s="114" t="n"/>
      <c r="I467" s="114" t="n"/>
      <c r="J467" s="107" t="n"/>
      <c r="K467" s="107" t="n"/>
      <c r="L467" s="108" t="n"/>
      <c r="M467" s="108" t="n"/>
      <c r="N467" s="108" t="n"/>
      <c r="O467" s="114" t="n"/>
      <c r="P467" s="120">
        <f>IF(OR($D467="",$I467=""),"",IF(OR($J467="Tamamlandı",$J467="İptal"),"",$I467-TODAY()))</f>
        <v/>
      </c>
      <c r="Q467" s="112">
        <f>IF($D467="","",IF($E467="TANIMSIZ MÜŞTERİ","HATA",IF(OR($J467="Tamamlandı",$J467="İptal"),"KAPALI",IF(AND($C467="Görüşme",$N467=""),"SONRAKİ İŞLEM EKSİK",IF($I467="","TARİH EKSİK",IF($I467&lt;TODAY(),"GECİKMİŞ",IF($I467=TODAY(),"BUGÜN",IF($I467&lt;=TODAY()+7,"7 GÜN İÇİNDE","PLANLI"))))))))</f>
        <v/>
      </c>
      <c r="R467" s="6" t="n"/>
      <c r="S467" s="6" t="n"/>
    </row>
    <row r="468">
      <c r="A468" s="6" t="n"/>
      <c r="B468" s="112">
        <f>IF($D468="","","A"&amp;TEXT(ROW()-6,"00000"))</f>
        <v/>
      </c>
      <c r="C468" s="107" t="n"/>
      <c r="D468" s="107" t="n"/>
      <c r="E468" s="113">
        <f>IF($D468="","",IFERROR(INDEX(MUSTERILER!$C$7:$C$106,MATCH($D468,MUSTERILER!$B$7:$B$106,0)),"TANIMSIZ MÜŞTERİ"))</f>
        <v/>
      </c>
      <c r="F468" s="108" t="n"/>
      <c r="G468" s="107" t="n"/>
      <c r="H468" s="114" t="n"/>
      <c r="I468" s="114" t="n"/>
      <c r="J468" s="107" t="n"/>
      <c r="K468" s="107" t="n"/>
      <c r="L468" s="108" t="n"/>
      <c r="M468" s="108" t="n"/>
      <c r="N468" s="108" t="n"/>
      <c r="O468" s="114" t="n"/>
      <c r="P468" s="120">
        <f>IF(OR($D468="",$I468=""),"",IF(OR($J468="Tamamlandı",$J468="İptal"),"",$I468-TODAY()))</f>
        <v/>
      </c>
      <c r="Q468" s="112">
        <f>IF($D468="","",IF($E468="TANIMSIZ MÜŞTERİ","HATA",IF(OR($J468="Tamamlandı",$J468="İptal"),"KAPALI",IF(AND($C468="Görüşme",$N468=""),"SONRAKİ İŞLEM EKSİK",IF($I468="","TARİH EKSİK",IF($I468&lt;TODAY(),"GECİKMİŞ",IF($I468=TODAY(),"BUGÜN",IF($I468&lt;=TODAY()+7,"7 GÜN İÇİNDE","PLANLI"))))))))</f>
        <v/>
      </c>
      <c r="R468" s="6" t="n"/>
      <c r="S468" s="6" t="n"/>
    </row>
    <row r="469">
      <c r="A469" s="6" t="n"/>
      <c r="B469" s="112">
        <f>IF($D469="","","A"&amp;TEXT(ROW()-6,"00000"))</f>
        <v/>
      </c>
      <c r="C469" s="107" t="n"/>
      <c r="D469" s="107" t="n"/>
      <c r="E469" s="113">
        <f>IF($D469="","",IFERROR(INDEX(MUSTERILER!$C$7:$C$106,MATCH($D469,MUSTERILER!$B$7:$B$106,0)),"TANIMSIZ MÜŞTERİ"))</f>
        <v/>
      </c>
      <c r="F469" s="108" t="n"/>
      <c r="G469" s="107" t="n"/>
      <c r="H469" s="114" t="n"/>
      <c r="I469" s="114" t="n"/>
      <c r="J469" s="107" t="n"/>
      <c r="K469" s="107" t="n"/>
      <c r="L469" s="108" t="n"/>
      <c r="M469" s="108" t="n"/>
      <c r="N469" s="108" t="n"/>
      <c r="O469" s="114" t="n"/>
      <c r="P469" s="120">
        <f>IF(OR($D469="",$I469=""),"",IF(OR($J469="Tamamlandı",$J469="İptal"),"",$I469-TODAY()))</f>
        <v/>
      </c>
      <c r="Q469" s="112">
        <f>IF($D469="","",IF($E469="TANIMSIZ MÜŞTERİ","HATA",IF(OR($J469="Tamamlandı",$J469="İptal"),"KAPALI",IF(AND($C469="Görüşme",$N469=""),"SONRAKİ İŞLEM EKSİK",IF($I469="","TARİH EKSİK",IF($I469&lt;TODAY(),"GECİKMİŞ",IF($I469=TODAY(),"BUGÜN",IF($I469&lt;=TODAY()+7,"7 GÜN İÇİNDE","PLANLI"))))))))</f>
        <v/>
      </c>
      <c r="R469" s="6" t="n"/>
      <c r="S469" s="6" t="n"/>
    </row>
    <row r="470">
      <c r="A470" s="6" t="n"/>
      <c r="B470" s="112">
        <f>IF($D470="","","A"&amp;TEXT(ROW()-6,"00000"))</f>
        <v/>
      </c>
      <c r="C470" s="107" t="n"/>
      <c r="D470" s="107" t="n"/>
      <c r="E470" s="113">
        <f>IF($D470="","",IFERROR(INDEX(MUSTERILER!$C$7:$C$106,MATCH($D470,MUSTERILER!$B$7:$B$106,0)),"TANIMSIZ MÜŞTERİ"))</f>
        <v/>
      </c>
      <c r="F470" s="108" t="n"/>
      <c r="G470" s="107" t="n"/>
      <c r="H470" s="114" t="n"/>
      <c r="I470" s="114" t="n"/>
      <c r="J470" s="107" t="n"/>
      <c r="K470" s="107" t="n"/>
      <c r="L470" s="108" t="n"/>
      <c r="M470" s="108" t="n"/>
      <c r="N470" s="108" t="n"/>
      <c r="O470" s="114" t="n"/>
      <c r="P470" s="120">
        <f>IF(OR($D470="",$I470=""),"",IF(OR($J470="Tamamlandı",$J470="İptal"),"",$I470-TODAY()))</f>
        <v/>
      </c>
      <c r="Q470" s="112">
        <f>IF($D470="","",IF($E470="TANIMSIZ MÜŞTERİ","HATA",IF(OR($J470="Tamamlandı",$J470="İptal"),"KAPALI",IF(AND($C470="Görüşme",$N470=""),"SONRAKİ İŞLEM EKSİK",IF($I470="","TARİH EKSİK",IF($I470&lt;TODAY(),"GECİKMİŞ",IF($I470=TODAY(),"BUGÜN",IF($I470&lt;=TODAY()+7,"7 GÜN İÇİNDE","PLANLI"))))))))</f>
        <v/>
      </c>
      <c r="R470" s="6" t="n"/>
      <c r="S470" s="6" t="n"/>
    </row>
    <row r="471">
      <c r="A471" s="6" t="n"/>
      <c r="B471" s="112">
        <f>IF($D471="","","A"&amp;TEXT(ROW()-6,"00000"))</f>
        <v/>
      </c>
      <c r="C471" s="107" t="n"/>
      <c r="D471" s="107" t="n"/>
      <c r="E471" s="113">
        <f>IF($D471="","",IFERROR(INDEX(MUSTERILER!$C$7:$C$106,MATCH($D471,MUSTERILER!$B$7:$B$106,0)),"TANIMSIZ MÜŞTERİ"))</f>
        <v/>
      </c>
      <c r="F471" s="108" t="n"/>
      <c r="G471" s="107" t="n"/>
      <c r="H471" s="114" t="n"/>
      <c r="I471" s="114" t="n"/>
      <c r="J471" s="107" t="n"/>
      <c r="K471" s="107" t="n"/>
      <c r="L471" s="108" t="n"/>
      <c r="M471" s="108" t="n"/>
      <c r="N471" s="108" t="n"/>
      <c r="O471" s="114" t="n"/>
      <c r="P471" s="120">
        <f>IF(OR($D471="",$I471=""),"",IF(OR($J471="Tamamlandı",$J471="İptal"),"",$I471-TODAY()))</f>
        <v/>
      </c>
      <c r="Q471" s="112">
        <f>IF($D471="","",IF($E471="TANIMSIZ MÜŞTERİ","HATA",IF(OR($J471="Tamamlandı",$J471="İptal"),"KAPALI",IF(AND($C471="Görüşme",$N471=""),"SONRAKİ İŞLEM EKSİK",IF($I471="","TARİH EKSİK",IF($I471&lt;TODAY(),"GECİKMİŞ",IF($I471=TODAY(),"BUGÜN",IF($I471&lt;=TODAY()+7,"7 GÜN İÇİNDE","PLANLI"))))))))</f>
        <v/>
      </c>
      <c r="R471" s="6" t="n"/>
      <c r="S471" s="6" t="n"/>
    </row>
    <row r="472">
      <c r="A472" s="6" t="n"/>
      <c r="B472" s="112">
        <f>IF($D472="","","A"&amp;TEXT(ROW()-6,"00000"))</f>
        <v/>
      </c>
      <c r="C472" s="107" t="n"/>
      <c r="D472" s="107" t="n"/>
      <c r="E472" s="113">
        <f>IF($D472="","",IFERROR(INDEX(MUSTERILER!$C$7:$C$106,MATCH($D472,MUSTERILER!$B$7:$B$106,0)),"TANIMSIZ MÜŞTERİ"))</f>
        <v/>
      </c>
      <c r="F472" s="108" t="n"/>
      <c r="G472" s="107" t="n"/>
      <c r="H472" s="114" t="n"/>
      <c r="I472" s="114" t="n"/>
      <c r="J472" s="107" t="n"/>
      <c r="K472" s="107" t="n"/>
      <c r="L472" s="108" t="n"/>
      <c r="M472" s="108" t="n"/>
      <c r="N472" s="108" t="n"/>
      <c r="O472" s="114" t="n"/>
      <c r="P472" s="120">
        <f>IF(OR($D472="",$I472=""),"",IF(OR($J472="Tamamlandı",$J472="İptal"),"",$I472-TODAY()))</f>
        <v/>
      </c>
      <c r="Q472" s="112">
        <f>IF($D472="","",IF($E472="TANIMSIZ MÜŞTERİ","HATA",IF(OR($J472="Tamamlandı",$J472="İptal"),"KAPALI",IF(AND($C472="Görüşme",$N472=""),"SONRAKİ İŞLEM EKSİK",IF($I472="","TARİH EKSİK",IF($I472&lt;TODAY(),"GECİKMİŞ",IF($I472=TODAY(),"BUGÜN",IF($I472&lt;=TODAY()+7,"7 GÜN İÇİNDE","PLANLI"))))))))</f>
        <v/>
      </c>
      <c r="R472" s="6" t="n"/>
      <c r="S472" s="6" t="n"/>
    </row>
    <row r="473">
      <c r="A473" s="6" t="n"/>
      <c r="B473" s="112">
        <f>IF($D473="","","A"&amp;TEXT(ROW()-6,"00000"))</f>
        <v/>
      </c>
      <c r="C473" s="107" t="n"/>
      <c r="D473" s="107" t="n"/>
      <c r="E473" s="113">
        <f>IF($D473="","",IFERROR(INDEX(MUSTERILER!$C$7:$C$106,MATCH($D473,MUSTERILER!$B$7:$B$106,0)),"TANIMSIZ MÜŞTERİ"))</f>
        <v/>
      </c>
      <c r="F473" s="108" t="n"/>
      <c r="G473" s="107" t="n"/>
      <c r="H473" s="114" t="n"/>
      <c r="I473" s="114" t="n"/>
      <c r="J473" s="107" t="n"/>
      <c r="K473" s="107" t="n"/>
      <c r="L473" s="108" t="n"/>
      <c r="M473" s="108" t="n"/>
      <c r="N473" s="108" t="n"/>
      <c r="O473" s="114" t="n"/>
      <c r="P473" s="120">
        <f>IF(OR($D473="",$I473=""),"",IF(OR($J473="Tamamlandı",$J473="İptal"),"",$I473-TODAY()))</f>
        <v/>
      </c>
      <c r="Q473" s="112">
        <f>IF($D473="","",IF($E473="TANIMSIZ MÜŞTERİ","HATA",IF(OR($J473="Tamamlandı",$J473="İptal"),"KAPALI",IF(AND($C473="Görüşme",$N473=""),"SONRAKİ İŞLEM EKSİK",IF($I473="","TARİH EKSİK",IF($I473&lt;TODAY(),"GECİKMİŞ",IF($I473=TODAY(),"BUGÜN",IF($I473&lt;=TODAY()+7,"7 GÜN İÇİNDE","PLANLI"))))))))</f>
        <v/>
      </c>
      <c r="R473" s="6" t="n"/>
      <c r="S473" s="6" t="n"/>
    </row>
    <row r="474">
      <c r="A474" s="6" t="n"/>
      <c r="B474" s="112">
        <f>IF($D474="","","A"&amp;TEXT(ROW()-6,"00000"))</f>
        <v/>
      </c>
      <c r="C474" s="107" t="n"/>
      <c r="D474" s="107" t="n"/>
      <c r="E474" s="113">
        <f>IF($D474="","",IFERROR(INDEX(MUSTERILER!$C$7:$C$106,MATCH($D474,MUSTERILER!$B$7:$B$106,0)),"TANIMSIZ MÜŞTERİ"))</f>
        <v/>
      </c>
      <c r="F474" s="108" t="n"/>
      <c r="G474" s="107" t="n"/>
      <c r="H474" s="114" t="n"/>
      <c r="I474" s="114" t="n"/>
      <c r="J474" s="107" t="n"/>
      <c r="K474" s="107" t="n"/>
      <c r="L474" s="108" t="n"/>
      <c r="M474" s="108" t="n"/>
      <c r="N474" s="108" t="n"/>
      <c r="O474" s="114" t="n"/>
      <c r="P474" s="120">
        <f>IF(OR($D474="",$I474=""),"",IF(OR($J474="Tamamlandı",$J474="İptal"),"",$I474-TODAY()))</f>
        <v/>
      </c>
      <c r="Q474" s="112">
        <f>IF($D474="","",IF($E474="TANIMSIZ MÜŞTERİ","HATA",IF(OR($J474="Tamamlandı",$J474="İptal"),"KAPALI",IF(AND($C474="Görüşme",$N474=""),"SONRAKİ İŞLEM EKSİK",IF($I474="","TARİH EKSİK",IF($I474&lt;TODAY(),"GECİKMİŞ",IF($I474=TODAY(),"BUGÜN",IF($I474&lt;=TODAY()+7,"7 GÜN İÇİNDE","PLANLI"))))))))</f>
        <v/>
      </c>
      <c r="R474" s="6" t="n"/>
      <c r="S474" s="6" t="n"/>
    </row>
    <row r="475">
      <c r="A475" s="6" t="n"/>
      <c r="B475" s="112">
        <f>IF($D475="","","A"&amp;TEXT(ROW()-6,"00000"))</f>
        <v/>
      </c>
      <c r="C475" s="107" t="n"/>
      <c r="D475" s="107" t="n"/>
      <c r="E475" s="113">
        <f>IF($D475="","",IFERROR(INDEX(MUSTERILER!$C$7:$C$106,MATCH($D475,MUSTERILER!$B$7:$B$106,0)),"TANIMSIZ MÜŞTERİ"))</f>
        <v/>
      </c>
      <c r="F475" s="108" t="n"/>
      <c r="G475" s="107" t="n"/>
      <c r="H475" s="114" t="n"/>
      <c r="I475" s="114" t="n"/>
      <c r="J475" s="107" t="n"/>
      <c r="K475" s="107" t="n"/>
      <c r="L475" s="108" t="n"/>
      <c r="M475" s="108" t="n"/>
      <c r="N475" s="108" t="n"/>
      <c r="O475" s="114" t="n"/>
      <c r="P475" s="120">
        <f>IF(OR($D475="",$I475=""),"",IF(OR($J475="Tamamlandı",$J475="İptal"),"",$I475-TODAY()))</f>
        <v/>
      </c>
      <c r="Q475" s="112">
        <f>IF($D475="","",IF($E475="TANIMSIZ MÜŞTERİ","HATA",IF(OR($J475="Tamamlandı",$J475="İptal"),"KAPALI",IF(AND($C475="Görüşme",$N475=""),"SONRAKİ İŞLEM EKSİK",IF($I475="","TARİH EKSİK",IF($I475&lt;TODAY(),"GECİKMİŞ",IF($I475=TODAY(),"BUGÜN",IF($I475&lt;=TODAY()+7,"7 GÜN İÇİNDE","PLANLI"))))))))</f>
        <v/>
      </c>
      <c r="R475" s="6" t="n"/>
      <c r="S475" s="6" t="n"/>
    </row>
    <row r="476">
      <c r="A476" s="6" t="n"/>
      <c r="B476" s="112">
        <f>IF($D476="","","A"&amp;TEXT(ROW()-6,"00000"))</f>
        <v/>
      </c>
      <c r="C476" s="107" t="n"/>
      <c r="D476" s="107" t="n"/>
      <c r="E476" s="113">
        <f>IF($D476="","",IFERROR(INDEX(MUSTERILER!$C$7:$C$106,MATCH($D476,MUSTERILER!$B$7:$B$106,0)),"TANIMSIZ MÜŞTERİ"))</f>
        <v/>
      </c>
      <c r="F476" s="108" t="n"/>
      <c r="G476" s="107" t="n"/>
      <c r="H476" s="114" t="n"/>
      <c r="I476" s="114" t="n"/>
      <c r="J476" s="107" t="n"/>
      <c r="K476" s="107" t="n"/>
      <c r="L476" s="108" t="n"/>
      <c r="M476" s="108" t="n"/>
      <c r="N476" s="108" t="n"/>
      <c r="O476" s="114" t="n"/>
      <c r="P476" s="120">
        <f>IF(OR($D476="",$I476=""),"",IF(OR($J476="Tamamlandı",$J476="İptal"),"",$I476-TODAY()))</f>
        <v/>
      </c>
      <c r="Q476" s="112">
        <f>IF($D476="","",IF($E476="TANIMSIZ MÜŞTERİ","HATA",IF(OR($J476="Tamamlandı",$J476="İptal"),"KAPALI",IF(AND($C476="Görüşme",$N476=""),"SONRAKİ İŞLEM EKSİK",IF($I476="","TARİH EKSİK",IF($I476&lt;TODAY(),"GECİKMİŞ",IF($I476=TODAY(),"BUGÜN",IF($I476&lt;=TODAY()+7,"7 GÜN İÇİNDE","PLANLI"))))))))</f>
        <v/>
      </c>
      <c r="R476" s="6" t="n"/>
      <c r="S476" s="6" t="n"/>
    </row>
    <row r="477">
      <c r="A477" s="6" t="n"/>
      <c r="B477" s="112">
        <f>IF($D477="","","A"&amp;TEXT(ROW()-6,"00000"))</f>
        <v/>
      </c>
      <c r="C477" s="107" t="n"/>
      <c r="D477" s="107" t="n"/>
      <c r="E477" s="113">
        <f>IF($D477="","",IFERROR(INDEX(MUSTERILER!$C$7:$C$106,MATCH($D477,MUSTERILER!$B$7:$B$106,0)),"TANIMSIZ MÜŞTERİ"))</f>
        <v/>
      </c>
      <c r="F477" s="108" t="n"/>
      <c r="G477" s="107" t="n"/>
      <c r="H477" s="114" t="n"/>
      <c r="I477" s="114" t="n"/>
      <c r="J477" s="107" t="n"/>
      <c r="K477" s="107" t="n"/>
      <c r="L477" s="108" t="n"/>
      <c r="M477" s="108" t="n"/>
      <c r="N477" s="108" t="n"/>
      <c r="O477" s="114" t="n"/>
      <c r="P477" s="120">
        <f>IF(OR($D477="",$I477=""),"",IF(OR($J477="Tamamlandı",$J477="İptal"),"",$I477-TODAY()))</f>
        <v/>
      </c>
      <c r="Q477" s="112">
        <f>IF($D477="","",IF($E477="TANIMSIZ MÜŞTERİ","HATA",IF(OR($J477="Tamamlandı",$J477="İptal"),"KAPALI",IF(AND($C477="Görüşme",$N477=""),"SONRAKİ İŞLEM EKSİK",IF($I477="","TARİH EKSİK",IF($I477&lt;TODAY(),"GECİKMİŞ",IF($I477=TODAY(),"BUGÜN",IF($I477&lt;=TODAY()+7,"7 GÜN İÇİNDE","PLANLI"))))))))</f>
        <v/>
      </c>
      <c r="R477" s="6" t="n"/>
      <c r="S477" s="6" t="n"/>
    </row>
    <row r="478">
      <c r="A478" s="6" t="n"/>
      <c r="B478" s="112">
        <f>IF($D478="","","A"&amp;TEXT(ROW()-6,"00000"))</f>
        <v/>
      </c>
      <c r="C478" s="107" t="n"/>
      <c r="D478" s="107" t="n"/>
      <c r="E478" s="113">
        <f>IF($D478="","",IFERROR(INDEX(MUSTERILER!$C$7:$C$106,MATCH($D478,MUSTERILER!$B$7:$B$106,0)),"TANIMSIZ MÜŞTERİ"))</f>
        <v/>
      </c>
      <c r="F478" s="108" t="n"/>
      <c r="G478" s="107" t="n"/>
      <c r="H478" s="114" t="n"/>
      <c r="I478" s="114" t="n"/>
      <c r="J478" s="107" t="n"/>
      <c r="K478" s="107" t="n"/>
      <c r="L478" s="108" t="n"/>
      <c r="M478" s="108" t="n"/>
      <c r="N478" s="108" t="n"/>
      <c r="O478" s="114" t="n"/>
      <c r="P478" s="120">
        <f>IF(OR($D478="",$I478=""),"",IF(OR($J478="Tamamlandı",$J478="İptal"),"",$I478-TODAY()))</f>
        <v/>
      </c>
      <c r="Q478" s="112">
        <f>IF($D478="","",IF($E478="TANIMSIZ MÜŞTERİ","HATA",IF(OR($J478="Tamamlandı",$J478="İptal"),"KAPALI",IF(AND($C478="Görüşme",$N478=""),"SONRAKİ İŞLEM EKSİK",IF($I478="","TARİH EKSİK",IF($I478&lt;TODAY(),"GECİKMİŞ",IF($I478=TODAY(),"BUGÜN",IF($I478&lt;=TODAY()+7,"7 GÜN İÇİNDE","PLANLI"))))))))</f>
        <v/>
      </c>
      <c r="R478" s="6" t="n"/>
      <c r="S478" s="6" t="n"/>
    </row>
    <row r="479">
      <c r="A479" s="6" t="n"/>
      <c r="B479" s="112">
        <f>IF($D479="","","A"&amp;TEXT(ROW()-6,"00000"))</f>
        <v/>
      </c>
      <c r="C479" s="107" t="n"/>
      <c r="D479" s="107" t="n"/>
      <c r="E479" s="113">
        <f>IF($D479="","",IFERROR(INDEX(MUSTERILER!$C$7:$C$106,MATCH($D479,MUSTERILER!$B$7:$B$106,0)),"TANIMSIZ MÜŞTERİ"))</f>
        <v/>
      </c>
      <c r="F479" s="108" t="n"/>
      <c r="G479" s="107" t="n"/>
      <c r="H479" s="114" t="n"/>
      <c r="I479" s="114" t="n"/>
      <c r="J479" s="107" t="n"/>
      <c r="K479" s="107" t="n"/>
      <c r="L479" s="108" t="n"/>
      <c r="M479" s="108" t="n"/>
      <c r="N479" s="108" t="n"/>
      <c r="O479" s="114" t="n"/>
      <c r="P479" s="120">
        <f>IF(OR($D479="",$I479=""),"",IF(OR($J479="Tamamlandı",$J479="İptal"),"",$I479-TODAY()))</f>
        <v/>
      </c>
      <c r="Q479" s="112">
        <f>IF($D479="","",IF($E479="TANIMSIZ MÜŞTERİ","HATA",IF(OR($J479="Tamamlandı",$J479="İptal"),"KAPALI",IF(AND($C479="Görüşme",$N479=""),"SONRAKİ İŞLEM EKSİK",IF($I479="","TARİH EKSİK",IF($I479&lt;TODAY(),"GECİKMİŞ",IF($I479=TODAY(),"BUGÜN",IF($I479&lt;=TODAY()+7,"7 GÜN İÇİNDE","PLANLI"))))))))</f>
        <v/>
      </c>
      <c r="R479" s="6" t="n"/>
      <c r="S479" s="6" t="n"/>
    </row>
    <row r="480">
      <c r="A480" s="6" t="n"/>
      <c r="B480" s="112">
        <f>IF($D480="","","A"&amp;TEXT(ROW()-6,"00000"))</f>
        <v/>
      </c>
      <c r="C480" s="107" t="n"/>
      <c r="D480" s="107" t="n"/>
      <c r="E480" s="113">
        <f>IF($D480="","",IFERROR(INDEX(MUSTERILER!$C$7:$C$106,MATCH($D480,MUSTERILER!$B$7:$B$106,0)),"TANIMSIZ MÜŞTERİ"))</f>
        <v/>
      </c>
      <c r="F480" s="108" t="n"/>
      <c r="G480" s="107" t="n"/>
      <c r="H480" s="114" t="n"/>
      <c r="I480" s="114" t="n"/>
      <c r="J480" s="107" t="n"/>
      <c r="K480" s="107" t="n"/>
      <c r="L480" s="108" t="n"/>
      <c r="M480" s="108" t="n"/>
      <c r="N480" s="108" t="n"/>
      <c r="O480" s="114" t="n"/>
      <c r="P480" s="120">
        <f>IF(OR($D480="",$I480=""),"",IF(OR($J480="Tamamlandı",$J480="İptal"),"",$I480-TODAY()))</f>
        <v/>
      </c>
      <c r="Q480" s="112">
        <f>IF($D480="","",IF($E480="TANIMSIZ MÜŞTERİ","HATA",IF(OR($J480="Tamamlandı",$J480="İptal"),"KAPALI",IF(AND($C480="Görüşme",$N480=""),"SONRAKİ İŞLEM EKSİK",IF($I480="","TARİH EKSİK",IF($I480&lt;TODAY(),"GECİKMİŞ",IF($I480=TODAY(),"BUGÜN",IF($I480&lt;=TODAY()+7,"7 GÜN İÇİNDE","PLANLI"))))))))</f>
        <v/>
      </c>
      <c r="R480" s="6" t="n"/>
      <c r="S480" s="6" t="n"/>
    </row>
    <row r="481">
      <c r="A481" s="6" t="n"/>
      <c r="B481" s="112">
        <f>IF($D481="","","A"&amp;TEXT(ROW()-6,"00000"))</f>
        <v/>
      </c>
      <c r="C481" s="107" t="n"/>
      <c r="D481" s="107" t="n"/>
      <c r="E481" s="113">
        <f>IF($D481="","",IFERROR(INDEX(MUSTERILER!$C$7:$C$106,MATCH($D481,MUSTERILER!$B$7:$B$106,0)),"TANIMSIZ MÜŞTERİ"))</f>
        <v/>
      </c>
      <c r="F481" s="108" t="n"/>
      <c r="G481" s="107" t="n"/>
      <c r="H481" s="114" t="n"/>
      <c r="I481" s="114" t="n"/>
      <c r="J481" s="107" t="n"/>
      <c r="K481" s="107" t="n"/>
      <c r="L481" s="108" t="n"/>
      <c r="M481" s="108" t="n"/>
      <c r="N481" s="108" t="n"/>
      <c r="O481" s="114" t="n"/>
      <c r="P481" s="120">
        <f>IF(OR($D481="",$I481=""),"",IF(OR($J481="Tamamlandı",$J481="İptal"),"",$I481-TODAY()))</f>
        <v/>
      </c>
      <c r="Q481" s="112">
        <f>IF($D481="","",IF($E481="TANIMSIZ MÜŞTERİ","HATA",IF(OR($J481="Tamamlandı",$J481="İptal"),"KAPALI",IF(AND($C481="Görüşme",$N481=""),"SONRAKİ İŞLEM EKSİK",IF($I481="","TARİH EKSİK",IF($I481&lt;TODAY(),"GECİKMİŞ",IF($I481=TODAY(),"BUGÜN",IF($I481&lt;=TODAY()+7,"7 GÜN İÇİNDE","PLANLI"))))))))</f>
        <v/>
      </c>
      <c r="R481" s="6" t="n"/>
      <c r="S481" s="6" t="n"/>
    </row>
    <row r="482">
      <c r="A482" s="6" t="n"/>
      <c r="B482" s="112">
        <f>IF($D482="","","A"&amp;TEXT(ROW()-6,"00000"))</f>
        <v/>
      </c>
      <c r="C482" s="107" t="n"/>
      <c r="D482" s="107" t="n"/>
      <c r="E482" s="113">
        <f>IF($D482="","",IFERROR(INDEX(MUSTERILER!$C$7:$C$106,MATCH($D482,MUSTERILER!$B$7:$B$106,0)),"TANIMSIZ MÜŞTERİ"))</f>
        <v/>
      </c>
      <c r="F482" s="108" t="n"/>
      <c r="G482" s="107" t="n"/>
      <c r="H482" s="114" t="n"/>
      <c r="I482" s="114" t="n"/>
      <c r="J482" s="107" t="n"/>
      <c r="K482" s="107" t="n"/>
      <c r="L482" s="108" t="n"/>
      <c r="M482" s="108" t="n"/>
      <c r="N482" s="108" t="n"/>
      <c r="O482" s="114" t="n"/>
      <c r="P482" s="120">
        <f>IF(OR($D482="",$I482=""),"",IF(OR($J482="Tamamlandı",$J482="İptal"),"",$I482-TODAY()))</f>
        <v/>
      </c>
      <c r="Q482" s="112">
        <f>IF($D482="","",IF($E482="TANIMSIZ MÜŞTERİ","HATA",IF(OR($J482="Tamamlandı",$J482="İptal"),"KAPALI",IF(AND($C482="Görüşme",$N482=""),"SONRAKİ İŞLEM EKSİK",IF($I482="","TARİH EKSİK",IF($I482&lt;TODAY(),"GECİKMİŞ",IF($I482=TODAY(),"BUGÜN",IF($I482&lt;=TODAY()+7,"7 GÜN İÇİNDE","PLANLI"))))))))</f>
        <v/>
      </c>
      <c r="R482" s="6" t="n"/>
      <c r="S482" s="6" t="n"/>
    </row>
    <row r="483">
      <c r="A483" s="6" t="n"/>
      <c r="B483" s="112">
        <f>IF($D483="","","A"&amp;TEXT(ROW()-6,"00000"))</f>
        <v/>
      </c>
      <c r="C483" s="107" t="n"/>
      <c r="D483" s="107" t="n"/>
      <c r="E483" s="113">
        <f>IF($D483="","",IFERROR(INDEX(MUSTERILER!$C$7:$C$106,MATCH($D483,MUSTERILER!$B$7:$B$106,0)),"TANIMSIZ MÜŞTERİ"))</f>
        <v/>
      </c>
      <c r="F483" s="108" t="n"/>
      <c r="G483" s="107" t="n"/>
      <c r="H483" s="114" t="n"/>
      <c r="I483" s="114" t="n"/>
      <c r="J483" s="107" t="n"/>
      <c r="K483" s="107" t="n"/>
      <c r="L483" s="108" t="n"/>
      <c r="M483" s="108" t="n"/>
      <c r="N483" s="108" t="n"/>
      <c r="O483" s="114" t="n"/>
      <c r="P483" s="120">
        <f>IF(OR($D483="",$I483=""),"",IF(OR($J483="Tamamlandı",$J483="İptal"),"",$I483-TODAY()))</f>
        <v/>
      </c>
      <c r="Q483" s="112">
        <f>IF($D483="","",IF($E483="TANIMSIZ MÜŞTERİ","HATA",IF(OR($J483="Tamamlandı",$J483="İptal"),"KAPALI",IF(AND($C483="Görüşme",$N483=""),"SONRAKİ İŞLEM EKSİK",IF($I483="","TARİH EKSİK",IF($I483&lt;TODAY(),"GECİKMİŞ",IF($I483=TODAY(),"BUGÜN",IF($I483&lt;=TODAY()+7,"7 GÜN İÇİNDE","PLANLI"))))))))</f>
        <v/>
      </c>
      <c r="R483" s="6" t="n"/>
      <c r="S483" s="6" t="n"/>
    </row>
    <row r="484">
      <c r="A484" s="6" t="n"/>
      <c r="B484" s="112">
        <f>IF($D484="","","A"&amp;TEXT(ROW()-6,"00000"))</f>
        <v/>
      </c>
      <c r="C484" s="107" t="n"/>
      <c r="D484" s="107" t="n"/>
      <c r="E484" s="113">
        <f>IF($D484="","",IFERROR(INDEX(MUSTERILER!$C$7:$C$106,MATCH($D484,MUSTERILER!$B$7:$B$106,0)),"TANIMSIZ MÜŞTERİ"))</f>
        <v/>
      </c>
      <c r="F484" s="108" t="n"/>
      <c r="G484" s="107" t="n"/>
      <c r="H484" s="114" t="n"/>
      <c r="I484" s="114" t="n"/>
      <c r="J484" s="107" t="n"/>
      <c r="K484" s="107" t="n"/>
      <c r="L484" s="108" t="n"/>
      <c r="M484" s="108" t="n"/>
      <c r="N484" s="108" t="n"/>
      <c r="O484" s="114" t="n"/>
      <c r="P484" s="120">
        <f>IF(OR($D484="",$I484=""),"",IF(OR($J484="Tamamlandı",$J484="İptal"),"",$I484-TODAY()))</f>
        <v/>
      </c>
      <c r="Q484" s="112">
        <f>IF($D484="","",IF($E484="TANIMSIZ MÜŞTERİ","HATA",IF(OR($J484="Tamamlandı",$J484="İptal"),"KAPALI",IF(AND($C484="Görüşme",$N484=""),"SONRAKİ İŞLEM EKSİK",IF($I484="","TARİH EKSİK",IF($I484&lt;TODAY(),"GECİKMİŞ",IF($I484=TODAY(),"BUGÜN",IF($I484&lt;=TODAY()+7,"7 GÜN İÇİNDE","PLANLI"))))))))</f>
        <v/>
      </c>
      <c r="R484" s="6" t="n"/>
      <c r="S484" s="6" t="n"/>
    </row>
    <row r="485">
      <c r="A485" s="6" t="n"/>
      <c r="B485" s="112">
        <f>IF($D485="","","A"&amp;TEXT(ROW()-6,"00000"))</f>
        <v/>
      </c>
      <c r="C485" s="107" t="n"/>
      <c r="D485" s="107" t="n"/>
      <c r="E485" s="113">
        <f>IF($D485="","",IFERROR(INDEX(MUSTERILER!$C$7:$C$106,MATCH($D485,MUSTERILER!$B$7:$B$106,0)),"TANIMSIZ MÜŞTERİ"))</f>
        <v/>
      </c>
      <c r="F485" s="108" t="n"/>
      <c r="G485" s="107" t="n"/>
      <c r="H485" s="114" t="n"/>
      <c r="I485" s="114" t="n"/>
      <c r="J485" s="107" t="n"/>
      <c r="K485" s="107" t="n"/>
      <c r="L485" s="108" t="n"/>
      <c r="M485" s="108" t="n"/>
      <c r="N485" s="108" t="n"/>
      <c r="O485" s="114" t="n"/>
      <c r="P485" s="120">
        <f>IF(OR($D485="",$I485=""),"",IF(OR($J485="Tamamlandı",$J485="İptal"),"",$I485-TODAY()))</f>
        <v/>
      </c>
      <c r="Q485" s="112">
        <f>IF($D485="","",IF($E485="TANIMSIZ MÜŞTERİ","HATA",IF(OR($J485="Tamamlandı",$J485="İptal"),"KAPALI",IF(AND($C485="Görüşme",$N485=""),"SONRAKİ İŞLEM EKSİK",IF($I485="","TARİH EKSİK",IF($I485&lt;TODAY(),"GECİKMİŞ",IF($I485=TODAY(),"BUGÜN",IF($I485&lt;=TODAY()+7,"7 GÜN İÇİNDE","PLANLI"))))))))</f>
        <v/>
      </c>
      <c r="R485" s="6" t="n"/>
      <c r="S485" s="6" t="n"/>
    </row>
    <row r="486">
      <c r="A486" s="6" t="n"/>
      <c r="B486" s="112">
        <f>IF($D486="","","A"&amp;TEXT(ROW()-6,"00000"))</f>
        <v/>
      </c>
      <c r="C486" s="107" t="n"/>
      <c r="D486" s="107" t="n"/>
      <c r="E486" s="113">
        <f>IF($D486="","",IFERROR(INDEX(MUSTERILER!$C$7:$C$106,MATCH($D486,MUSTERILER!$B$7:$B$106,0)),"TANIMSIZ MÜŞTERİ"))</f>
        <v/>
      </c>
      <c r="F486" s="108" t="n"/>
      <c r="G486" s="107" t="n"/>
      <c r="H486" s="114" t="n"/>
      <c r="I486" s="114" t="n"/>
      <c r="J486" s="107" t="n"/>
      <c r="K486" s="107" t="n"/>
      <c r="L486" s="108" t="n"/>
      <c r="M486" s="108" t="n"/>
      <c r="N486" s="108" t="n"/>
      <c r="O486" s="114" t="n"/>
      <c r="P486" s="120">
        <f>IF(OR($D486="",$I486=""),"",IF(OR($J486="Tamamlandı",$J486="İptal"),"",$I486-TODAY()))</f>
        <v/>
      </c>
      <c r="Q486" s="112">
        <f>IF($D486="","",IF($E486="TANIMSIZ MÜŞTERİ","HATA",IF(OR($J486="Tamamlandı",$J486="İptal"),"KAPALI",IF(AND($C486="Görüşme",$N486=""),"SONRAKİ İŞLEM EKSİK",IF($I486="","TARİH EKSİK",IF($I486&lt;TODAY(),"GECİKMİŞ",IF($I486=TODAY(),"BUGÜN",IF($I486&lt;=TODAY()+7,"7 GÜN İÇİNDE","PLANLI"))))))))</f>
        <v/>
      </c>
      <c r="R486" s="6" t="n"/>
      <c r="S486" s="6" t="n"/>
    </row>
    <row r="487">
      <c r="A487" s="6" t="n"/>
      <c r="B487" s="112">
        <f>IF($D487="","","A"&amp;TEXT(ROW()-6,"00000"))</f>
        <v/>
      </c>
      <c r="C487" s="107" t="n"/>
      <c r="D487" s="107" t="n"/>
      <c r="E487" s="113">
        <f>IF($D487="","",IFERROR(INDEX(MUSTERILER!$C$7:$C$106,MATCH($D487,MUSTERILER!$B$7:$B$106,0)),"TANIMSIZ MÜŞTERİ"))</f>
        <v/>
      </c>
      <c r="F487" s="108" t="n"/>
      <c r="G487" s="107" t="n"/>
      <c r="H487" s="114" t="n"/>
      <c r="I487" s="114" t="n"/>
      <c r="J487" s="107" t="n"/>
      <c r="K487" s="107" t="n"/>
      <c r="L487" s="108" t="n"/>
      <c r="M487" s="108" t="n"/>
      <c r="N487" s="108" t="n"/>
      <c r="O487" s="114" t="n"/>
      <c r="P487" s="120">
        <f>IF(OR($D487="",$I487=""),"",IF(OR($J487="Tamamlandı",$J487="İptal"),"",$I487-TODAY()))</f>
        <v/>
      </c>
      <c r="Q487" s="112">
        <f>IF($D487="","",IF($E487="TANIMSIZ MÜŞTERİ","HATA",IF(OR($J487="Tamamlandı",$J487="İptal"),"KAPALI",IF(AND($C487="Görüşme",$N487=""),"SONRAKİ İŞLEM EKSİK",IF($I487="","TARİH EKSİK",IF($I487&lt;TODAY(),"GECİKMİŞ",IF($I487=TODAY(),"BUGÜN",IF($I487&lt;=TODAY()+7,"7 GÜN İÇİNDE","PLANLI"))))))))</f>
        <v/>
      </c>
      <c r="R487" s="6" t="n"/>
      <c r="S487" s="6" t="n"/>
    </row>
    <row r="488">
      <c r="A488" s="6" t="n"/>
      <c r="B488" s="112">
        <f>IF($D488="","","A"&amp;TEXT(ROW()-6,"00000"))</f>
        <v/>
      </c>
      <c r="C488" s="107" t="n"/>
      <c r="D488" s="107" t="n"/>
      <c r="E488" s="113">
        <f>IF($D488="","",IFERROR(INDEX(MUSTERILER!$C$7:$C$106,MATCH($D488,MUSTERILER!$B$7:$B$106,0)),"TANIMSIZ MÜŞTERİ"))</f>
        <v/>
      </c>
      <c r="F488" s="108" t="n"/>
      <c r="G488" s="107" t="n"/>
      <c r="H488" s="114" t="n"/>
      <c r="I488" s="114" t="n"/>
      <c r="J488" s="107" t="n"/>
      <c r="K488" s="107" t="n"/>
      <c r="L488" s="108" t="n"/>
      <c r="M488" s="108" t="n"/>
      <c r="N488" s="108" t="n"/>
      <c r="O488" s="114" t="n"/>
      <c r="P488" s="120">
        <f>IF(OR($D488="",$I488=""),"",IF(OR($J488="Tamamlandı",$J488="İptal"),"",$I488-TODAY()))</f>
        <v/>
      </c>
      <c r="Q488" s="112">
        <f>IF($D488="","",IF($E488="TANIMSIZ MÜŞTERİ","HATA",IF(OR($J488="Tamamlandı",$J488="İptal"),"KAPALI",IF(AND($C488="Görüşme",$N488=""),"SONRAKİ İŞLEM EKSİK",IF($I488="","TARİH EKSİK",IF($I488&lt;TODAY(),"GECİKMİŞ",IF($I488=TODAY(),"BUGÜN",IF($I488&lt;=TODAY()+7,"7 GÜN İÇİNDE","PLANLI"))))))))</f>
        <v/>
      </c>
      <c r="R488" s="6" t="n"/>
      <c r="S488" s="6" t="n"/>
    </row>
    <row r="489">
      <c r="A489" s="6" t="n"/>
      <c r="B489" s="112">
        <f>IF($D489="","","A"&amp;TEXT(ROW()-6,"00000"))</f>
        <v/>
      </c>
      <c r="C489" s="107" t="n"/>
      <c r="D489" s="107" t="n"/>
      <c r="E489" s="113">
        <f>IF($D489="","",IFERROR(INDEX(MUSTERILER!$C$7:$C$106,MATCH($D489,MUSTERILER!$B$7:$B$106,0)),"TANIMSIZ MÜŞTERİ"))</f>
        <v/>
      </c>
      <c r="F489" s="108" t="n"/>
      <c r="G489" s="107" t="n"/>
      <c r="H489" s="114" t="n"/>
      <c r="I489" s="114" t="n"/>
      <c r="J489" s="107" t="n"/>
      <c r="K489" s="107" t="n"/>
      <c r="L489" s="108" t="n"/>
      <c r="M489" s="108" t="n"/>
      <c r="N489" s="108" t="n"/>
      <c r="O489" s="114" t="n"/>
      <c r="P489" s="120">
        <f>IF(OR($D489="",$I489=""),"",IF(OR($J489="Tamamlandı",$J489="İptal"),"",$I489-TODAY()))</f>
        <v/>
      </c>
      <c r="Q489" s="112">
        <f>IF($D489="","",IF($E489="TANIMSIZ MÜŞTERİ","HATA",IF(OR($J489="Tamamlandı",$J489="İptal"),"KAPALI",IF(AND($C489="Görüşme",$N489=""),"SONRAKİ İŞLEM EKSİK",IF($I489="","TARİH EKSİK",IF($I489&lt;TODAY(),"GECİKMİŞ",IF($I489=TODAY(),"BUGÜN",IF($I489&lt;=TODAY()+7,"7 GÜN İÇİNDE","PLANLI"))))))))</f>
        <v/>
      </c>
      <c r="R489" s="6" t="n"/>
      <c r="S489" s="6" t="n"/>
    </row>
    <row r="490">
      <c r="A490" s="6" t="n"/>
      <c r="B490" s="112">
        <f>IF($D490="","","A"&amp;TEXT(ROW()-6,"00000"))</f>
        <v/>
      </c>
      <c r="C490" s="107" t="n"/>
      <c r="D490" s="107" t="n"/>
      <c r="E490" s="113">
        <f>IF($D490="","",IFERROR(INDEX(MUSTERILER!$C$7:$C$106,MATCH($D490,MUSTERILER!$B$7:$B$106,0)),"TANIMSIZ MÜŞTERİ"))</f>
        <v/>
      </c>
      <c r="F490" s="108" t="n"/>
      <c r="G490" s="107" t="n"/>
      <c r="H490" s="114" t="n"/>
      <c r="I490" s="114" t="n"/>
      <c r="J490" s="107" t="n"/>
      <c r="K490" s="107" t="n"/>
      <c r="L490" s="108" t="n"/>
      <c r="M490" s="108" t="n"/>
      <c r="N490" s="108" t="n"/>
      <c r="O490" s="114" t="n"/>
      <c r="P490" s="120">
        <f>IF(OR($D490="",$I490=""),"",IF(OR($J490="Tamamlandı",$J490="İptal"),"",$I490-TODAY()))</f>
        <v/>
      </c>
      <c r="Q490" s="112">
        <f>IF($D490="","",IF($E490="TANIMSIZ MÜŞTERİ","HATA",IF(OR($J490="Tamamlandı",$J490="İptal"),"KAPALI",IF(AND($C490="Görüşme",$N490=""),"SONRAKİ İŞLEM EKSİK",IF($I490="","TARİH EKSİK",IF($I490&lt;TODAY(),"GECİKMİŞ",IF($I490=TODAY(),"BUGÜN",IF($I490&lt;=TODAY()+7,"7 GÜN İÇİNDE","PLANLI"))))))))</f>
        <v/>
      </c>
      <c r="R490" s="6" t="n"/>
      <c r="S490" s="6" t="n"/>
    </row>
    <row r="491">
      <c r="A491" s="6" t="n"/>
      <c r="B491" s="112">
        <f>IF($D491="","","A"&amp;TEXT(ROW()-6,"00000"))</f>
        <v/>
      </c>
      <c r="C491" s="107" t="n"/>
      <c r="D491" s="107" t="n"/>
      <c r="E491" s="113">
        <f>IF($D491="","",IFERROR(INDEX(MUSTERILER!$C$7:$C$106,MATCH($D491,MUSTERILER!$B$7:$B$106,0)),"TANIMSIZ MÜŞTERİ"))</f>
        <v/>
      </c>
      <c r="F491" s="108" t="n"/>
      <c r="G491" s="107" t="n"/>
      <c r="H491" s="114" t="n"/>
      <c r="I491" s="114" t="n"/>
      <c r="J491" s="107" t="n"/>
      <c r="K491" s="107" t="n"/>
      <c r="L491" s="108" t="n"/>
      <c r="M491" s="108" t="n"/>
      <c r="N491" s="108" t="n"/>
      <c r="O491" s="114" t="n"/>
      <c r="P491" s="120">
        <f>IF(OR($D491="",$I491=""),"",IF(OR($J491="Tamamlandı",$J491="İptal"),"",$I491-TODAY()))</f>
        <v/>
      </c>
      <c r="Q491" s="112">
        <f>IF($D491="","",IF($E491="TANIMSIZ MÜŞTERİ","HATA",IF(OR($J491="Tamamlandı",$J491="İptal"),"KAPALI",IF(AND($C491="Görüşme",$N491=""),"SONRAKİ İŞLEM EKSİK",IF($I491="","TARİH EKSİK",IF($I491&lt;TODAY(),"GECİKMİŞ",IF($I491=TODAY(),"BUGÜN",IF($I491&lt;=TODAY()+7,"7 GÜN İÇİNDE","PLANLI"))))))))</f>
        <v/>
      </c>
      <c r="R491" s="6" t="n"/>
      <c r="S491" s="6" t="n"/>
    </row>
    <row r="492">
      <c r="A492" s="6" t="n"/>
      <c r="B492" s="112">
        <f>IF($D492="","","A"&amp;TEXT(ROW()-6,"00000"))</f>
        <v/>
      </c>
      <c r="C492" s="107" t="n"/>
      <c r="D492" s="107" t="n"/>
      <c r="E492" s="113">
        <f>IF($D492="","",IFERROR(INDEX(MUSTERILER!$C$7:$C$106,MATCH($D492,MUSTERILER!$B$7:$B$106,0)),"TANIMSIZ MÜŞTERİ"))</f>
        <v/>
      </c>
      <c r="F492" s="108" t="n"/>
      <c r="G492" s="107" t="n"/>
      <c r="H492" s="114" t="n"/>
      <c r="I492" s="114" t="n"/>
      <c r="J492" s="107" t="n"/>
      <c r="K492" s="107" t="n"/>
      <c r="L492" s="108" t="n"/>
      <c r="M492" s="108" t="n"/>
      <c r="N492" s="108" t="n"/>
      <c r="O492" s="114" t="n"/>
      <c r="P492" s="120">
        <f>IF(OR($D492="",$I492=""),"",IF(OR($J492="Tamamlandı",$J492="İptal"),"",$I492-TODAY()))</f>
        <v/>
      </c>
      <c r="Q492" s="112">
        <f>IF($D492="","",IF($E492="TANIMSIZ MÜŞTERİ","HATA",IF(OR($J492="Tamamlandı",$J492="İptal"),"KAPALI",IF(AND($C492="Görüşme",$N492=""),"SONRAKİ İŞLEM EKSİK",IF($I492="","TARİH EKSİK",IF($I492&lt;TODAY(),"GECİKMİŞ",IF($I492=TODAY(),"BUGÜN",IF($I492&lt;=TODAY()+7,"7 GÜN İÇİNDE","PLANLI"))))))))</f>
        <v/>
      </c>
      <c r="R492" s="6" t="n"/>
      <c r="S492" s="6" t="n"/>
    </row>
    <row r="493">
      <c r="A493" s="6" t="n"/>
      <c r="B493" s="112">
        <f>IF($D493="","","A"&amp;TEXT(ROW()-6,"00000"))</f>
        <v/>
      </c>
      <c r="C493" s="107" t="n"/>
      <c r="D493" s="107" t="n"/>
      <c r="E493" s="113">
        <f>IF($D493="","",IFERROR(INDEX(MUSTERILER!$C$7:$C$106,MATCH($D493,MUSTERILER!$B$7:$B$106,0)),"TANIMSIZ MÜŞTERİ"))</f>
        <v/>
      </c>
      <c r="F493" s="108" t="n"/>
      <c r="G493" s="107" t="n"/>
      <c r="H493" s="114" t="n"/>
      <c r="I493" s="114" t="n"/>
      <c r="J493" s="107" t="n"/>
      <c r="K493" s="107" t="n"/>
      <c r="L493" s="108" t="n"/>
      <c r="M493" s="108" t="n"/>
      <c r="N493" s="108" t="n"/>
      <c r="O493" s="114" t="n"/>
      <c r="P493" s="120">
        <f>IF(OR($D493="",$I493=""),"",IF(OR($J493="Tamamlandı",$J493="İptal"),"",$I493-TODAY()))</f>
        <v/>
      </c>
      <c r="Q493" s="112">
        <f>IF($D493="","",IF($E493="TANIMSIZ MÜŞTERİ","HATA",IF(OR($J493="Tamamlandı",$J493="İptal"),"KAPALI",IF(AND($C493="Görüşme",$N493=""),"SONRAKİ İŞLEM EKSİK",IF($I493="","TARİH EKSİK",IF($I493&lt;TODAY(),"GECİKMİŞ",IF($I493=TODAY(),"BUGÜN",IF($I493&lt;=TODAY()+7,"7 GÜN İÇİNDE","PLANLI"))))))))</f>
        <v/>
      </c>
      <c r="R493" s="6" t="n"/>
      <c r="S493" s="6" t="n"/>
    </row>
    <row r="494">
      <c r="A494" s="6" t="n"/>
      <c r="B494" s="112">
        <f>IF($D494="","","A"&amp;TEXT(ROW()-6,"00000"))</f>
        <v/>
      </c>
      <c r="C494" s="107" t="n"/>
      <c r="D494" s="107" t="n"/>
      <c r="E494" s="113">
        <f>IF($D494="","",IFERROR(INDEX(MUSTERILER!$C$7:$C$106,MATCH($D494,MUSTERILER!$B$7:$B$106,0)),"TANIMSIZ MÜŞTERİ"))</f>
        <v/>
      </c>
      <c r="F494" s="108" t="n"/>
      <c r="G494" s="107" t="n"/>
      <c r="H494" s="114" t="n"/>
      <c r="I494" s="114" t="n"/>
      <c r="J494" s="107" t="n"/>
      <c r="K494" s="107" t="n"/>
      <c r="L494" s="108" t="n"/>
      <c r="M494" s="108" t="n"/>
      <c r="N494" s="108" t="n"/>
      <c r="O494" s="114" t="n"/>
      <c r="P494" s="120">
        <f>IF(OR($D494="",$I494=""),"",IF(OR($J494="Tamamlandı",$J494="İptal"),"",$I494-TODAY()))</f>
        <v/>
      </c>
      <c r="Q494" s="112">
        <f>IF($D494="","",IF($E494="TANIMSIZ MÜŞTERİ","HATA",IF(OR($J494="Tamamlandı",$J494="İptal"),"KAPALI",IF(AND($C494="Görüşme",$N494=""),"SONRAKİ İŞLEM EKSİK",IF($I494="","TARİH EKSİK",IF($I494&lt;TODAY(),"GECİKMİŞ",IF($I494=TODAY(),"BUGÜN",IF($I494&lt;=TODAY()+7,"7 GÜN İÇİNDE","PLANLI"))))))))</f>
        <v/>
      </c>
      <c r="R494" s="6" t="n"/>
      <c r="S494" s="6" t="n"/>
    </row>
    <row r="495">
      <c r="A495" s="6" t="n"/>
      <c r="B495" s="112">
        <f>IF($D495="","","A"&amp;TEXT(ROW()-6,"00000"))</f>
        <v/>
      </c>
      <c r="C495" s="107" t="n"/>
      <c r="D495" s="107" t="n"/>
      <c r="E495" s="113">
        <f>IF($D495="","",IFERROR(INDEX(MUSTERILER!$C$7:$C$106,MATCH($D495,MUSTERILER!$B$7:$B$106,0)),"TANIMSIZ MÜŞTERİ"))</f>
        <v/>
      </c>
      <c r="F495" s="108" t="n"/>
      <c r="G495" s="107" t="n"/>
      <c r="H495" s="114" t="n"/>
      <c r="I495" s="114" t="n"/>
      <c r="J495" s="107" t="n"/>
      <c r="K495" s="107" t="n"/>
      <c r="L495" s="108" t="n"/>
      <c r="M495" s="108" t="n"/>
      <c r="N495" s="108" t="n"/>
      <c r="O495" s="114" t="n"/>
      <c r="P495" s="120">
        <f>IF(OR($D495="",$I495=""),"",IF(OR($J495="Tamamlandı",$J495="İptal"),"",$I495-TODAY()))</f>
        <v/>
      </c>
      <c r="Q495" s="112">
        <f>IF($D495="","",IF($E495="TANIMSIZ MÜŞTERİ","HATA",IF(OR($J495="Tamamlandı",$J495="İptal"),"KAPALI",IF(AND($C495="Görüşme",$N495=""),"SONRAKİ İŞLEM EKSİK",IF($I495="","TARİH EKSİK",IF($I495&lt;TODAY(),"GECİKMİŞ",IF($I495=TODAY(),"BUGÜN",IF($I495&lt;=TODAY()+7,"7 GÜN İÇİNDE","PLANLI"))))))))</f>
        <v/>
      </c>
      <c r="R495" s="6" t="n"/>
      <c r="S495" s="6" t="n"/>
    </row>
    <row r="496">
      <c r="A496" s="6" t="n"/>
      <c r="B496" s="112">
        <f>IF($D496="","","A"&amp;TEXT(ROW()-6,"00000"))</f>
        <v/>
      </c>
      <c r="C496" s="107" t="n"/>
      <c r="D496" s="107" t="n"/>
      <c r="E496" s="113">
        <f>IF($D496="","",IFERROR(INDEX(MUSTERILER!$C$7:$C$106,MATCH($D496,MUSTERILER!$B$7:$B$106,0)),"TANIMSIZ MÜŞTERİ"))</f>
        <v/>
      </c>
      <c r="F496" s="108" t="n"/>
      <c r="G496" s="107" t="n"/>
      <c r="H496" s="114" t="n"/>
      <c r="I496" s="114" t="n"/>
      <c r="J496" s="107" t="n"/>
      <c r="K496" s="107" t="n"/>
      <c r="L496" s="108" t="n"/>
      <c r="M496" s="108" t="n"/>
      <c r="N496" s="108" t="n"/>
      <c r="O496" s="114" t="n"/>
      <c r="P496" s="120">
        <f>IF(OR($D496="",$I496=""),"",IF(OR($J496="Tamamlandı",$J496="İptal"),"",$I496-TODAY()))</f>
        <v/>
      </c>
      <c r="Q496" s="112">
        <f>IF($D496="","",IF($E496="TANIMSIZ MÜŞTERİ","HATA",IF(OR($J496="Tamamlandı",$J496="İptal"),"KAPALI",IF(AND($C496="Görüşme",$N496=""),"SONRAKİ İŞLEM EKSİK",IF($I496="","TARİH EKSİK",IF($I496&lt;TODAY(),"GECİKMİŞ",IF($I496=TODAY(),"BUGÜN",IF($I496&lt;=TODAY()+7,"7 GÜN İÇİNDE","PLANLI"))))))))</f>
        <v/>
      </c>
      <c r="R496" s="6" t="n"/>
      <c r="S496" s="6" t="n"/>
    </row>
    <row r="497">
      <c r="A497" s="6" t="n"/>
      <c r="B497" s="112">
        <f>IF($D497="","","A"&amp;TEXT(ROW()-6,"00000"))</f>
        <v/>
      </c>
      <c r="C497" s="107" t="n"/>
      <c r="D497" s="107" t="n"/>
      <c r="E497" s="113">
        <f>IF($D497="","",IFERROR(INDEX(MUSTERILER!$C$7:$C$106,MATCH($D497,MUSTERILER!$B$7:$B$106,0)),"TANIMSIZ MÜŞTERİ"))</f>
        <v/>
      </c>
      <c r="F497" s="108" t="n"/>
      <c r="G497" s="107" t="n"/>
      <c r="H497" s="114" t="n"/>
      <c r="I497" s="114" t="n"/>
      <c r="J497" s="107" t="n"/>
      <c r="K497" s="107" t="n"/>
      <c r="L497" s="108" t="n"/>
      <c r="M497" s="108" t="n"/>
      <c r="N497" s="108" t="n"/>
      <c r="O497" s="114" t="n"/>
      <c r="P497" s="120">
        <f>IF(OR($D497="",$I497=""),"",IF(OR($J497="Tamamlandı",$J497="İptal"),"",$I497-TODAY()))</f>
        <v/>
      </c>
      <c r="Q497" s="112">
        <f>IF($D497="","",IF($E497="TANIMSIZ MÜŞTERİ","HATA",IF(OR($J497="Tamamlandı",$J497="İptal"),"KAPALI",IF(AND($C497="Görüşme",$N497=""),"SONRAKİ İŞLEM EKSİK",IF($I497="","TARİH EKSİK",IF($I497&lt;TODAY(),"GECİKMİŞ",IF($I497=TODAY(),"BUGÜN",IF($I497&lt;=TODAY()+7,"7 GÜN İÇİNDE","PLANLI"))))))))</f>
        <v/>
      </c>
      <c r="R497" s="6" t="n"/>
      <c r="S497" s="6" t="n"/>
    </row>
    <row r="498">
      <c r="A498" s="6" t="n"/>
      <c r="B498" s="112">
        <f>IF($D498="","","A"&amp;TEXT(ROW()-6,"00000"))</f>
        <v/>
      </c>
      <c r="C498" s="107" t="n"/>
      <c r="D498" s="107" t="n"/>
      <c r="E498" s="113">
        <f>IF($D498="","",IFERROR(INDEX(MUSTERILER!$C$7:$C$106,MATCH($D498,MUSTERILER!$B$7:$B$106,0)),"TANIMSIZ MÜŞTERİ"))</f>
        <v/>
      </c>
      <c r="F498" s="108" t="n"/>
      <c r="G498" s="107" t="n"/>
      <c r="H498" s="114" t="n"/>
      <c r="I498" s="114" t="n"/>
      <c r="J498" s="107" t="n"/>
      <c r="K498" s="107" t="n"/>
      <c r="L498" s="108" t="n"/>
      <c r="M498" s="108" t="n"/>
      <c r="N498" s="108" t="n"/>
      <c r="O498" s="114" t="n"/>
      <c r="P498" s="120">
        <f>IF(OR($D498="",$I498=""),"",IF(OR($J498="Tamamlandı",$J498="İptal"),"",$I498-TODAY()))</f>
        <v/>
      </c>
      <c r="Q498" s="112">
        <f>IF($D498="","",IF($E498="TANIMSIZ MÜŞTERİ","HATA",IF(OR($J498="Tamamlandı",$J498="İptal"),"KAPALI",IF(AND($C498="Görüşme",$N498=""),"SONRAKİ İŞLEM EKSİK",IF($I498="","TARİH EKSİK",IF($I498&lt;TODAY(),"GECİKMİŞ",IF($I498=TODAY(),"BUGÜN",IF($I498&lt;=TODAY()+7,"7 GÜN İÇİNDE","PLANLI"))))))))</f>
        <v/>
      </c>
      <c r="R498" s="6" t="n"/>
      <c r="S498" s="6" t="n"/>
    </row>
    <row r="499">
      <c r="A499" s="6" t="n"/>
      <c r="B499" s="112">
        <f>IF($D499="","","A"&amp;TEXT(ROW()-6,"00000"))</f>
        <v/>
      </c>
      <c r="C499" s="107" t="n"/>
      <c r="D499" s="107" t="n"/>
      <c r="E499" s="113">
        <f>IF($D499="","",IFERROR(INDEX(MUSTERILER!$C$7:$C$106,MATCH($D499,MUSTERILER!$B$7:$B$106,0)),"TANIMSIZ MÜŞTERİ"))</f>
        <v/>
      </c>
      <c r="F499" s="108" t="n"/>
      <c r="G499" s="107" t="n"/>
      <c r="H499" s="114" t="n"/>
      <c r="I499" s="114" t="n"/>
      <c r="J499" s="107" t="n"/>
      <c r="K499" s="107" t="n"/>
      <c r="L499" s="108" t="n"/>
      <c r="M499" s="108" t="n"/>
      <c r="N499" s="108" t="n"/>
      <c r="O499" s="114" t="n"/>
      <c r="P499" s="120">
        <f>IF(OR($D499="",$I499=""),"",IF(OR($J499="Tamamlandı",$J499="İptal"),"",$I499-TODAY()))</f>
        <v/>
      </c>
      <c r="Q499" s="112">
        <f>IF($D499="","",IF($E499="TANIMSIZ MÜŞTERİ","HATA",IF(OR($J499="Tamamlandı",$J499="İptal"),"KAPALI",IF(AND($C499="Görüşme",$N499=""),"SONRAKİ İŞLEM EKSİK",IF($I499="","TARİH EKSİK",IF($I499&lt;TODAY(),"GECİKMİŞ",IF($I499=TODAY(),"BUGÜN",IF($I499&lt;=TODAY()+7,"7 GÜN İÇİNDE","PLANLI"))))))))</f>
        <v/>
      </c>
      <c r="R499" s="6" t="n"/>
      <c r="S499" s="6" t="n"/>
    </row>
    <row r="500">
      <c r="A500" s="6" t="n"/>
      <c r="B500" s="112">
        <f>IF($D500="","","A"&amp;TEXT(ROW()-6,"00000"))</f>
        <v/>
      </c>
      <c r="C500" s="107" t="n"/>
      <c r="D500" s="107" t="n"/>
      <c r="E500" s="113">
        <f>IF($D500="","",IFERROR(INDEX(MUSTERILER!$C$7:$C$106,MATCH($D500,MUSTERILER!$B$7:$B$106,0)),"TANIMSIZ MÜŞTERİ"))</f>
        <v/>
      </c>
      <c r="F500" s="108" t="n"/>
      <c r="G500" s="107" t="n"/>
      <c r="H500" s="114" t="n"/>
      <c r="I500" s="114" t="n"/>
      <c r="J500" s="107" t="n"/>
      <c r="K500" s="107" t="n"/>
      <c r="L500" s="108" t="n"/>
      <c r="M500" s="108" t="n"/>
      <c r="N500" s="108" t="n"/>
      <c r="O500" s="114" t="n"/>
      <c r="P500" s="120">
        <f>IF(OR($D500="",$I500=""),"",IF(OR($J500="Tamamlandı",$J500="İptal"),"",$I500-TODAY()))</f>
        <v/>
      </c>
      <c r="Q500" s="112">
        <f>IF($D500="","",IF($E500="TANIMSIZ MÜŞTERİ","HATA",IF(OR($J500="Tamamlandı",$J500="İptal"),"KAPALI",IF(AND($C500="Görüşme",$N500=""),"SONRAKİ İŞLEM EKSİK",IF($I500="","TARİH EKSİK",IF($I500&lt;TODAY(),"GECİKMİŞ",IF($I500=TODAY(),"BUGÜN",IF($I500&lt;=TODAY()+7,"7 GÜN İÇİNDE","PLANLI"))))))))</f>
        <v/>
      </c>
      <c r="R500" s="6" t="n"/>
      <c r="S500" s="6" t="n"/>
    </row>
    <row r="501">
      <c r="A501" s="6" t="n"/>
      <c r="B501" s="112">
        <f>IF($D501="","","A"&amp;TEXT(ROW()-6,"00000"))</f>
        <v/>
      </c>
      <c r="C501" s="107" t="n"/>
      <c r="D501" s="107" t="n"/>
      <c r="E501" s="113">
        <f>IF($D501="","",IFERROR(INDEX(MUSTERILER!$C$7:$C$106,MATCH($D501,MUSTERILER!$B$7:$B$106,0)),"TANIMSIZ MÜŞTERİ"))</f>
        <v/>
      </c>
      <c r="F501" s="108" t="n"/>
      <c r="G501" s="107" t="n"/>
      <c r="H501" s="114" t="n"/>
      <c r="I501" s="114" t="n"/>
      <c r="J501" s="107" t="n"/>
      <c r="K501" s="107" t="n"/>
      <c r="L501" s="108" t="n"/>
      <c r="M501" s="108" t="n"/>
      <c r="N501" s="108" t="n"/>
      <c r="O501" s="114" t="n"/>
      <c r="P501" s="120">
        <f>IF(OR($D501="",$I501=""),"",IF(OR($J501="Tamamlandı",$J501="İptal"),"",$I501-TODAY()))</f>
        <v/>
      </c>
      <c r="Q501" s="112">
        <f>IF($D501="","",IF($E501="TANIMSIZ MÜŞTERİ","HATA",IF(OR($J501="Tamamlandı",$J501="İptal"),"KAPALI",IF(AND($C501="Görüşme",$N501=""),"SONRAKİ İŞLEM EKSİK",IF($I501="","TARİH EKSİK",IF($I501&lt;TODAY(),"GECİKMİŞ",IF($I501=TODAY(),"BUGÜN",IF($I501&lt;=TODAY()+7,"7 GÜN İÇİNDE","PLANLI"))))))))</f>
        <v/>
      </c>
      <c r="R501" s="6" t="n"/>
      <c r="S501" s="6" t="n"/>
    </row>
    <row r="502">
      <c r="A502" s="6" t="n"/>
      <c r="B502" s="112">
        <f>IF($D502="","","A"&amp;TEXT(ROW()-6,"00000"))</f>
        <v/>
      </c>
      <c r="C502" s="107" t="n"/>
      <c r="D502" s="107" t="n"/>
      <c r="E502" s="113">
        <f>IF($D502="","",IFERROR(INDEX(MUSTERILER!$C$7:$C$106,MATCH($D502,MUSTERILER!$B$7:$B$106,0)),"TANIMSIZ MÜŞTERİ"))</f>
        <v/>
      </c>
      <c r="F502" s="108" t="n"/>
      <c r="G502" s="107" t="n"/>
      <c r="H502" s="114" t="n"/>
      <c r="I502" s="114" t="n"/>
      <c r="J502" s="107" t="n"/>
      <c r="K502" s="107" t="n"/>
      <c r="L502" s="108" t="n"/>
      <c r="M502" s="108" t="n"/>
      <c r="N502" s="108" t="n"/>
      <c r="O502" s="114" t="n"/>
      <c r="P502" s="120">
        <f>IF(OR($D502="",$I502=""),"",IF(OR($J502="Tamamlandı",$J502="İptal"),"",$I502-TODAY()))</f>
        <v/>
      </c>
      <c r="Q502" s="112">
        <f>IF($D502="","",IF($E502="TANIMSIZ MÜŞTERİ","HATA",IF(OR($J502="Tamamlandı",$J502="İptal"),"KAPALI",IF(AND($C502="Görüşme",$N502=""),"SONRAKİ İŞLEM EKSİK",IF($I502="","TARİH EKSİK",IF($I502&lt;TODAY(),"GECİKMİŞ",IF($I502=TODAY(),"BUGÜN",IF($I502&lt;=TODAY()+7,"7 GÜN İÇİNDE","PLANLI"))))))))</f>
        <v/>
      </c>
      <c r="R502" s="6" t="n"/>
      <c r="S502" s="6" t="n"/>
    </row>
    <row r="503">
      <c r="A503" s="6" t="n"/>
      <c r="B503" s="112">
        <f>IF($D503="","","A"&amp;TEXT(ROW()-6,"00000"))</f>
        <v/>
      </c>
      <c r="C503" s="107" t="n"/>
      <c r="D503" s="107" t="n"/>
      <c r="E503" s="113">
        <f>IF($D503="","",IFERROR(INDEX(MUSTERILER!$C$7:$C$106,MATCH($D503,MUSTERILER!$B$7:$B$106,0)),"TANIMSIZ MÜŞTERİ"))</f>
        <v/>
      </c>
      <c r="F503" s="108" t="n"/>
      <c r="G503" s="107" t="n"/>
      <c r="H503" s="114" t="n"/>
      <c r="I503" s="114" t="n"/>
      <c r="J503" s="107" t="n"/>
      <c r="K503" s="107" t="n"/>
      <c r="L503" s="108" t="n"/>
      <c r="M503" s="108" t="n"/>
      <c r="N503" s="108" t="n"/>
      <c r="O503" s="114" t="n"/>
      <c r="P503" s="120">
        <f>IF(OR($D503="",$I503=""),"",IF(OR($J503="Tamamlandı",$J503="İptal"),"",$I503-TODAY()))</f>
        <v/>
      </c>
      <c r="Q503" s="112">
        <f>IF($D503="","",IF($E503="TANIMSIZ MÜŞTERİ","HATA",IF(OR($J503="Tamamlandı",$J503="İptal"),"KAPALI",IF(AND($C503="Görüşme",$N503=""),"SONRAKİ İŞLEM EKSİK",IF($I503="","TARİH EKSİK",IF($I503&lt;TODAY(),"GECİKMİŞ",IF($I503=TODAY(),"BUGÜN",IF($I503&lt;=TODAY()+7,"7 GÜN İÇİNDE","PLANLI"))))))))</f>
        <v/>
      </c>
      <c r="R503" s="6" t="n"/>
      <c r="S503" s="6" t="n"/>
    </row>
    <row r="504">
      <c r="A504" s="6" t="n"/>
      <c r="B504" s="112">
        <f>IF($D504="","","A"&amp;TEXT(ROW()-6,"00000"))</f>
        <v/>
      </c>
      <c r="C504" s="107" t="n"/>
      <c r="D504" s="107" t="n"/>
      <c r="E504" s="113">
        <f>IF($D504="","",IFERROR(INDEX(MUSTERILER!$C$7:$C$106,MATCH($D504,MUSTERILER!$B$7:$B$106,0)),"TANIMSIZ MÜŞTERİ"))</f>
        <v/>
      </c>
      <c r="F504" s="108" t="n"/>
      <c r="G504" s="107" t="n"/>
      <c r="H504" s="114" t="n"/>
      <c r="I504" s="114" t="n"/>
      <c r="J504" s="107" t="n"/>
      <c r="K504" s="107" t="n"/>
      <c r="L504" s="108" t="n"/>
      <c r="M504" s="108" t="n"/>
      <c r="N504" s="108" t="n"/>
      <c r="O504" s="114" t="n"/>
      <c r="P504" s="120">
        <f>IF(OR($D504="",$I504=""),"",IF(OR($J504="Tamamlandı",$J504="İptal"),"",$I504-TODAY()))</f>
        <v/>
      </c>
      <c r="Q504" s="112">
        <f>IF($D504="","",IF($E504="TANIMSIZ MÜŞTERİ","HATA",IF(OR($J504="Tamamlandı",$J504="İptal"),"KAPALI",IF(AND($C504="Görüşme",$N504=""),"SONRAKİ İŞLEM EKSİK",IF($I504="","TARİH EKSİK",IF($I504&lt;TODAY(),"GECİKMİŞ",IF($I504=TODAY(),"BUGÜN",IF($I504&lt;=TODAY()+7,"7 GÜN İÇİNDE","PLANLI"))))))))</f>
        <v/>
      </c>
      <c r="R504" s="6" t="n"/>
      <c r="S504" s="6" t="n"/>
    </row>
    <row r="505">
      <c r="A505" s="6" t="n"/>
      <c r="B505" s="112">
        <f>IF($D505="","","A"&amp;TEXT(ROW()-6,"00000"))</f>
        <v/>
      </c>
      <c r="C505" s="107" t="n"/>
      <c r="D505" s="107" t="n"/>
      <c r="E505" s="113">
        <f>IF($D505="","",IFERROR(INDEX(MUSTERILER!$C$7:$C$106,MATCH($D505,MUSTERILER!$B$7:$B$106,0)),"TANIMSIZ MÜŞTERİ"))</f>
        <v/>
      </c>
      <c r="F505" s="108" t="n"/>
      <c r="G505" s="107" t="n"/>
      <c r="H505" s="114" t="n"/>
      <c r="I505" s="114" t="n"/>
      <c r="J505" s="107" t="n"/>
      <c r="K505" s="107" t="n"/>
      <c r="L505" s="108" t="n"/>
      <c r="M505" s="108" t="n"/>
      <c r="N505" s="108" t="n"/>
      <c r="O505" s="114" t="n"/>
      <c r="P505" s="120">
        <f>IF(OR($D505="",$I505=""),"",IF(OR($J505="Tamamlandı",$J505="İptal"),"",$I505-TODAY()))</f>
        <v/>
      </c>
      <c r="Q505" s="112">
        <f>IF($D505="","",IF($E505="TANIMSIZ MÜŞTERİ","HATA",IF(OR($J505="Tamamlandı",$J505="İptal"),"KAPALI",IF(AND($C505="Görüşme",$N505=""),"SONRAKİ İŞLEM EKSİK",IF($I505="","TARİH EKSİK",IF($I505&lt;TODAY(),"GECİKMİŞ",IF($I505=TODAY(),"BUGÜN",IF($I505&lt;=TODAY()+7,"7 GÜN İÇİNDE","PLANLI"))))))))</f>
        <v/>
      </c>
      <c r="R505" s="6" t="n"/>
      <c r="S505" s="6" t="n"/>
    </row>
    <row r="506">
      <c r="A506" s="6" t="n"/>
      <c r="B506" s="112">
        <f>IF($D506="","","A"&amp;TEXT(ROW()-6,"00000"))</f>
        <v/>
      </c>
      <c r="C506" s="107" t="n"/>
      <c r="D506" s="107" t="n"/>
      <c r="E506" s="113">
        <f>IF($D506="","",IFERROR(INDEX(MUSTERILER!$C$7:$C$106,MATCH($D506,MUSTERILER!$B$7:$B$106,0)),"TANIMSIZ MÜŞTERİ"))</f>
        <v/>
      </c>
      <c r="F506" s="108" t="n"/>
      <c r="G506" s="107" t="n"/>
      <c r="H506" s="114" t="n"/>
      <c r="I506" s="114" t="n"/>
      <c r="J506" s="107" t="n"/>
      <c r="K506" s="107" t="n"/>
      <c r="L506" s="108" t="n"/>
      <c r="M506" s="108" t="n"/>
      <c r="N506" s="108" t="n"/>
      <c r="O506" s="114" t="n"/>
      <c r="P506" s="120">
        <f>IF(OR($D506="",$I506=""),"",IF(OR($J506="Tamamlandı",$J506="İptal"),"",$I506-TODAY()))</f>
        <v/>
      </c>
      <c r="Q506" s="112">
        <f>IF($D506="","",IF($E506="TANIMSIZ MÜŞTERİ","HATA",IF(OR($J506="Tamamlandı",$J506="İptal"),"KAPALI",IF(AND($C506="Görüşme",$N506=""),"SONRAKİ İŞLEM EKSİK",IF($I506="","TARİH EKSİK",IF($I506&lt;TODAY(),"GECİKMİŞ",IF($I506=TODAY(),"BUGÜN",IF($I506&lt;=TODAY()+7,"7 GÜN İÇİNDE","PLANLI"))))))))</f>
        <v/>
      </c>
      <c r="R506" s="6" t="n"/>
      <c r="S506" s="6" t="n"/>
    </row>
    <row r="507">
      <c r="A507" s="6" t="n"/>
      <c r="B507" s="112">
        <f>IF($D507="","","A"&amp;TEXT(ROW()-6,"00000"))</f>
        <v/>
      </c>
      <c r="C507" s="107" t="n"/>
      <c r="D507" s="107" t="n"/>
      <c r="E507" s="113">
        <f>IF($D507="","",IFERROR(INDEX(MUSTERILER!$C$7:$C$106,MATCH($D507,MUSTERILER!$B$7:$B$106,0)),"TANIMSIZ MÜŞTERİ"))</f>
        <v/>
      </c>
      <c r="F507" s="108" t="n"/>
      <c r="G507" s="107" t="n"/>
      <c r="H507" s="114" t="n"/>
      <c r="I507" s="114" t="n"/>
      <c r="J507" s="107" t="n"/>
      <c r="K507" s="107" t="n"/>
      <c r="L507" s="108" t="n"/>
      <c r="M507" s="108" t="n"/>
      <c r="N507" s="108" t="n"/>
      <c r="O507" s="114" t="n"/>
      <c r="P507" s="120">
        <f>IF(OR($D507="",$I507=""),"",IF(OR($J507="Tamamlandı",$J507="İptal"),"",$I507-TODAY()))</f>
        <v/>
      </c>
      <c r="Q507" s="112">
        <f>IF($D507="","",IF($E507="TANIMSIZ MÜŞTERİ","HATA",IF(OR($J507="Tamamlandı",$J507="İptal"),"KAPALI",IF(AND($C507="Görüşme",$N507=""),"SONRAKİ İŞLEM EKSİK",IF($I507="","TARİH EKSİK",IF($I507&lt;TODAY(),"GECİKMİŞ",IF($I507=TODAY(),"BUGÜN",IF($I507&lt;=TODAY()+7,"7 GÜN İÇİNDE","PLANLI"))))))))</f>
        <v/>
      </c>
      <c r="R507" s="6" t="n"/>
      <c r="S507" s="6" t="n"/>
    </row>
    <row r="508">
      <c r="A508" s="6" t="n"/>
      <c r="B508" s="112">
        <f>IF($D508="","","A"&amp;TEXT(ROW()-6,"00000"))</f>
        <v/>
      </c>
      <c r="C508" s="107" t="n"/>
      <c r="D508" s="107" t="n"/>
      <c r="E508" s="113">
        <f>IF($D508="","",IFERROR(INDEX(MUSTERILER!$C$7:$C$106,MATCH($D508,MUSTERILER!$B$7:$B$106,0)),"TANIMSIZ MÜŞTERİ"))</f>
        <v/>
      </c>
      <c r="F508" s="108" t="n"/>
      <c r="G508" s="107" t="n"/>
      <c r="H508" s="114" t="n"/>
      <c r="I508" s="114" t="n"/>
      <c r="J508" s="107" t="n"/>
      <c r="K508" s="107" t="n"/>
      <c r="L508" s="108" t="n"/>
      <c r="M508" s="108" t="n"/>
      <c r="N508" s="108" t="n"/>
      <c r="O508" s="114" t="n"/>
      <c r="P508" s="120">
        <f>IF(OR($D508="",$I508=""),"",IF(OR($J508="Tamamlandı",$J508="İptal"),"",$I508-TODAY()))</f>
        <v/>
      </c>
      <c r="Q508" s="112">
        <f>IF($D508="","",IF($E508="TANIMSIZ MÜŞTERİ","HATA",IF(OR($J508="Tamamlandı",$J508="İptal"),"KAPALI",IF(AND($C508="Görüşme",$N508=""),"SONRAKİ İŞLEM EKSİK",IF($I508="","TARİH EKSİK",IF($I508&lt;TODAY(),"GECİKMİŞ",IF($I508=TODAY(),"BUGÜN",IF($I508&lt;=TODAY()+7,"7 GÜN İÇİNDE","PLANLI"))))))))</f>
        <v/>
      </c>
      <c r="R508" s="6" t="n"/>
      <c r="S508" s="6" t="n"/>
    </row>
    <row r="509">
      <c r="A509" s="6" t="n"/>
      <c r="B509" s="112">
        <f>IF($D509="","","A"&amp;TEXT(ROW()-6,"00000"))</f>
        <v/>
      </c>
      <c r="C509" s="107" t="n"/>
      <c r="D509" s="107" t="n"/>
      <c r="E509" s="113">
        <f>IF($D509="","",IFERROR(INDEX(MUSTERILER!$C$7:$C$106,MATCH($D509,MUSTERILER!$B$7:$B$106,0)),"TANIMSIZ MÜŞTERİ"))</f>
        <v/>
      </c>
      <c r="F509" s="108" t="n"/>
      <c r="G509" s="107" t="n"/>
      <c r="H509" s="114" t="n"/>
      <c r="I509" s="114" t="n"/>
      <c r="J509" s="107" t="n"/>
      <c r="K509" s="107" t="n"/>
      <c r="L509" s="108" t="n"/>
      <c r="M509" s="108" t="n"/>
      <c r="N509" s="108" t="n"/>
      <c r="O509" s="114" t="n"/>
      <c r="P509" s="120">
        <f>IF(OR($D509="",$I509=""),"",IF(OR($J509="Tamamlandı",$J509="İptal"),"",$I509-TODAY()))</f>
        <v/>
      </c>
      <c r="Q509" s="112">
        <f>IF($D509="","",IF($E509="TANIMSIZ MÜŞTERİ","HATA",IF(OR($J509="Tamamlandı",$J509="İptal"),"KAPALI",IF(AND($C509="Görüşme",$N509=""),"SONRAKİ İŞLEM EKSİK",IF($I509="","TARİH EKSİK",IF($I509&lt;TODAY(),"GECİKMİŞ",IF($I509=TODAY(),"BUGÜN",IF($I509&lt;=TODAY()+7,"7 GÜN İÇİNDE","PLANLI"))))))))</f>
        <v/>
      </c>
      <c r="R509" s="6" t="n"/>
      <c r="S509" s="6" t="n"/>
    </row>
    <row r="510">
      <c r="A510" s="6" t="n"/>
      <c r="B510" s="112">
        <f>IF($D510="","","A"&amp;TEXT(ROW()-6,"00000"))</f>
        <v/>
      </c>
      <c r="C510" s="107" t="n"/>
      <c r="D510" s="107" t="n"/>
      <c r="E510" s="113">
        <f>IF($D510="","",IFERROR(INDEX(MUSTERILER!$C$7:$C$106,MATCH($D510,MUSTERILER!$B$7:$B$106,0)),"TANIMSIZ MÜŞTERİ"))</f>
        <v/>
      </c>
      <c r="F510" s="108" t="n"/>
      <c r="G510" s="107" t="n"/>
      <c r="H510" s="114" t="n"/>
      <c r="I510" s="114" t="n"/>
      <c r="J510" s="107" t="n"/>
      <c r="K510" s="107" t="n"/>
      <c r="L510" s="108" t="n"/>
      <c r="M510" s="108" t="n"/>
      <c r="N510" s="108" t="n"/>
      <c r="O510" s="114" t="n"/>
      <c r="P510" s="120">
        <f>IF(OR($D510="",$I510=""),"",IF(OR($J510="Tamamlandı",$J510="İptal"),"",$I510-TODAY()))</f>
        <v/>
      </c>
      <c r="Q510" s="112">
        <f>IF($D510="","",IF($E510="TANIMSIZ MÜŞTERİ","HATA",IF(OR($J510="Tamamlandı",$J510="İptal"),"KAPALI",IF(AND($C510="Görüşme",$N510=""),"SONRAKİ İŞLEM EKSİK",IF($I510="","TARİH EKSİK",IF($I510&lt;TODAY(),"GECİKMİŞ",IF($I510=TODAY(),"BUGÜN",IF($I510&lt;=TODAY()+7,"7 GÜN İÇİNDE","PLANLI"))))))))</f>
        <v/>
      </c>
      <c r="R510" s="6" t="n"/>
      <c r="S510" s="6" t="n"/>
    </row>
    <row r="511">
      <c r="A511" s="6" t="n"/>
      <c r="B511" s="112">
        <f>IF($D511="","","A"&amp;TEXT(ROW()-6,"00000"))</f>
        <v/>
      </c>
      <c r="C511" s="107" t="n"/>
      <c r="D511" s="107" t="n"/>
      <c r="E511" s="113">
        <f>IF($D511="","",IFERROR(INDEX(MUSTERILER!$C$7:$C$106,MATCH($D511,MUSTERILER!$B$7:$B$106,0)),"TANIMSIZ MÜŞTERİ"))</f>
        <v/>
      </c>
      <c r="F511" s="108" t="n"/>
      <c r="G511" s="107" t="n"/>
      <c r="H511" s="114" t="n"/>
      <c r="I511" s="114" t="n"/>
      <c r="J511" s="107" t="n"/>
      <c r="K511" s="107" t="n"/>
      <c r="L511" s="108" t="n"/>
      <c r="M511" s="108" t="n"/>
      <c r="N511" s="108" t="n"/>
      <c r="O511" s="114" t="n"/>
      <c r="P511" s="120">
        <f>IF(OR($D511="",$I511=""),"",IF(OR($J511="Tamamlandı",$J511="İptal"),"",$I511-TODAY()))</f>
        <v/>
      </c>
      <c r="Q511" s="112">
        <f>IF($D511="","",IF($E511="TANIMSIZ MÜŞTERİ","HATA",IF(OR($J511="Tamamlandı",$J511="İptal"),"KAPALI",IF(AND($C511="Görüşme",$N511=""),"SONRAKİ İŞLEM EKSİK",IF($I511="","TARİH EKSİK",IF($I511&lt;TODAY(),"GECİKMİŞ",IF($I511=TODAY(),"BUGÜN",IF($I511&lt;=TODAY()+7,"7 GÜN İÇİNDE","PLANLI"))))))))</f>
        <v/>
      </c>
      <c r="R511" s="6" t="n"/>
      <c r="S511" s="6" t="n"/>
    </row>
    <row r="512">
      <c r="A512" s="6" t="n"/>
      <c r="B512" s="112">
        <f>IF($D512="","","A"&amp;TEXT(ROW()-6,"00000"))</f>
        <v/>
      </c>
      <c r="C512" s="107" t="n"/>
      <c r="D512" s="107" t="n"/>
      <c r="E512" s="113">
        <f>IF($D512="","",IFERROR(INDEX(MUSTERILER!$C$7:$C$106,MATCH($D512,MUSTERILER!$B$7:$B$106,0)),"TANIMSIZ MÜŞTERİ"))</f>
        <v/>
      </c>
      <c r="F512" s="108" t="n"/>
      <c r="G512" s="107" t="n"/>
      <c r="H512" s="114" t="n"/>
      <c r="I512" s="114" t="n"/>
      <c r="J512" s="107" t="n"/>
      <c r="K512" s="107" t="n"/>
      <c r="L512" s="108" t="n"/>
      <c r="M512" s="108" t="n"/>
      <c r="N512" s="108" t="n"/>
      <c r="O512" s="114" t="n"/>
      <c r="P512" s="120">
        <f>IF(OR($D512="",$I512=""),"",IF(OR($J512="Tamamlandı",$J512="İptal"),"",$I512-TODAY()))</f>
        <v/>
      </c>
      <c r="Q512" s="112">
        <f>IF($D512="","",IF($E512="TANIMSIZ MÜŞTERİ","HATA",IF(OR($J512="Tamamlandı",$J512="İptal"),"KAPALI",IF(AND($C512="Görüşme",$N512=""),"SONRAKİ İŞLEM EKSİK",IF($I512="","TARİH EKSİK",IF($I512&lt;TODAY(),"GECİKMİŞ",IF($I512=TODAY(),"BUGÜN",IF($I512&lt;=TODAY()+7,"7 GÜN İÇİNDE","PLANLI"))))))))</f>
        <v/>
      </c>
      <c r="R512" s="6" t="n"/>
      <c r="S512" s="6" t="n"/>
    </row>
    <row r="513">
      <c r="A513" s="6" t="n"/>
      <c r="B513" s="112">
        <f>IF($D513="","","A"&amp;TEXT(ROW()-6,"00000"))</f>
        <v/>
      </c>
      <c r="C513" s="107" t="n"/>
      <c r="D513" s="107" t="n"/>
      <c r="E513" s="113">
        <f>IF($D513="","",IFERROR(INDEX(MUSTERILER!$C$7:$C$106,MATCH($D513,MUSTERILER!$B$7:$B$106,0)),"TANIMSIZ MÜŞTERİ"))</f>
        <v/>
      </c>
      <c r="F513" s="108" t="n"/>
      <c r="G513" s="107" t="n"/>
      <c r="H513" s="114" t="n"/>
      <c r="I513" s="114" t="n"/>
      <c r="J513" s="107" t="n"/>
      <c r="K513" s="107" t="n"/>
      <c r="L513" s="108" t="n"/>
      <c r="M513" s="108" t="n"/>
      <c r="N513" s="108" t="n"/>
      <c r="O513" s="114" t="n"/>
      <c r="P513" s="120">
        <f>IF(OR($D513="",$I513=""),"",IF(OR($J513="Tamamlandı",$J513="İptal"),"",$I513-TODAY()))</f>
        <v/>
      </c>
      <c r="Q513" s="112">
        <f>IF($D513="","",IF($E513="TANIMSIZ MÜŞTERİ","HATA",IF(OR($J513="Tamamlandı",$J513="İptal"),"KAPALI",IF(AND($C513="Görüşme",$N513=""),"SONRAKİ İŞLEM EKSİK",IF($I513="","TARİH EKSİK",IF($I513&lt;TODAY(),"GECİKMİŞ",IF($I513=TODAY(),"BUGÜN",IF($I513&lt;=TODAY()+7,"7 GÜN İÇİNDE","PLANLI"))))))))</f>
        <v/>
      </c>
      <c r="R513" s="6" t="n"/>
      <c r="S513" s="6" t="n"/>
    </row>
    <row r="514">
      <c r="A514" s="6" t="n"/>
      <c r="B514" s="112">
        <f>IF($D514="","","A"&amp;TEXT(ROW()-6,"00000"))</f>
        <v/>
      </c>
      <c r="C514" s="107" t="n"/>
      <c r="D514" s="107" t="n"/>
      <c r="E514" s="113">
        <f>IF($D514="","",IFERROR(INDEX(MUSTERILER!$C$7:$C$106,MATCH($D514,MUSTERILER!$B$7:$B$106,0)),"TANIMSIZ MÜŞTERİ"))</f>
        <v/>
      </c>
      <c r="F514" s="108" t="n"/>
      <c r="G514" s="107" t="n"/>
      <c r="H514" s="114" t="n"/>
      <c r="I514" s="114" t="n"/>
      <c r="J514" s="107" t="n"/>
      <c r="K514" s="107" t="n"/>
      <c r="L514" s="108" t="n"/>
      <c r="M514" s="108" t="n"/>
      <c r="N514" s="108" t="n"/>
      <c r="O514" s="114" t="n"/>
      <c r="P514" s="120">
        <f>IF(OR($D514="",$I514=""),"",IF(OR($J514="Tamamlandı",$J514="İptal"),"",$I514-TODAY()))</f>
        <v/>
      </c>
      <c r="Q514" s="112">
        <f>IF($D514="","",IF($E514="TANIMSIZ MÜŞTERİ","HATA",IF(OR($J514="Tamamlandı",$J514="İptal"),"KAPALI",IF(AND($C514="Görüşme",$N514=""),"SONRAKİ İŞLEM EKSİK",IF($I514="","TARİH EKSİK",IF($I514&lt;TODAY(),"GECİKMİŞ",IF($I514=TODAY(),"BUGÜN",IF($I514&lt;=TODAY()+7,"7 GÜN İÇİNDE","PLANLI"))))))))</f>
        <v/>
      </c>
      <c r="R514" s="6" t="n"/>
      <c r="S514" s="6" t="n"/>
    </row>
    <row r="515">
      <c r="A515" s="6" t="n"/>
      <c r="B515" s="112">
        <f>IF($D515="","","A"&amp;TEXT(ROW()-6,"00000"))</f>
        <v/>
      </c>
      <c r="C515" s="107" t="n"/>
      <c r="D515" s="107" t="n"/>
      <c r="E515" s="113">
        <f>IF($D515="","",IFERROR(INDEX(MUSTERILER!$C$7:$C$106,MATCH($D515,MUSTERILER!$B$7:$B$106,0)),"TANIMSIZ MÜŞTERİ"))</f>
        <v/>
      </c>
      <c r="F515" s="108" t="n"/>
      <c r="G515" s="107" t="n"/>
      <c r="H515" s="114" t="n"/>
      <c r="I515" s="114" t="n"/>
      <c r="J515" s="107" t="n"/>
      <c r="K515" s="107" t="n"/>
      <c r="L515" s="108" t="n"/>
      <c r="M515" s="108" t="n"/>
      <c r="N515" s="108" t="n"/>
      <c r="O515" s="114" t="n"/>
      <c r="P515" s="120">
        <f>IF(OR($D515="",$I515=""),"",IF(OR($J515="Tamamlandı",$J515="İptal"),"",$I515-TODAY()))</f>
        <v/>
      </c>
      <c r="Q515" s="112">
        <f>IF($D515="","",IF($E515="TANIMSIZ MÜŞTERİ","HATA",IF(OR($J515="Tamamlandı",$J515="İptal"),"KAPALI",IF(AND($C515="Görüşme",$N515=""),"SONRAKİ İŞLEM EKSİK",IF($I515="","TARİH EKSİK",IF($I515&lt;TODAY(),"GECİKMİŞ",IF($I515=TODAY(),"BUGÜN",IF($I515&lt;=TODAY()+7,"7 GÜN İÇİNDE","PLANLI"))))))))</f>
        <v/>
      </c>
      <c r="R515" s="6" t="n"/>
      <c r="S515" s="6" t="n"/>
    </row>
    <row r="516">
      <c r="A516" s="6" t="n"/>
      <c r="B516" s="112">
        <f>IF($D516="","","A"&amp;TEXT(ROW()-6,"00000"))</f>
        <v/>
      </c>
      <c r="C516" s="107" t="n"/>
      <c r="D516" s="107" t="n"/>
      <c r="E516" s="113">
        <f>IF($D516="","",IFERROR(INDEX(MUSTERILER!$C$7:$C$106,MATCH($D516,MUSTERILER!$B$7:$B$106,0)),"TANIMSIZ MÜŞTERİ"))</f>
        <v/>
      </c>
      <c r="F516" s="108" t="n"/>
      <c r="G516" s="107" t="n"/>
      <c r="H516" s="114" t="n"/>
      <c r="I516" s="114" t="n"/>
      <c r="J516" s="107" t="n"/>
      <c r="K516" s="107" t="n"/>
      <c r="L516" s="108" t="n"/>
      <c r="M516" s="108" t="n"/>
      <c r="N516" s="108" t="n"/>
      <c r="O516" s="114" t="n"/>
      <c r="P516" s="120">
        <f>IF(OR($D516="",$I516=""),"",IF(OR($J516="Tamamlandı",$J516="İptal"),"",$I516-TODAY()))</f>
        <v/>
      </c>
      <c r="Q516" s="112">
        <f>IF($D516="","",IF($E516="TANIMSIZ MÜŞTERİ","HATA",IF(OR($J516="Tamamlandı",$J516="İptal"),"KAPALI",IF(AND($C516="Görüşme",$N516=""),"SONRAKİ İŞLEM EKSİK",IF($I516="","TARİH EKSİK",IF($I516&lt;TODAY(),"GECİKMİŞ",IF($I516=TODAY(),"BUGÜN",IF($I516&lt;=TODAY()+7,"7 GÜN İÇİNDE","PLANLI"))))))))</f>
        <v/>
      </c>
      <c r="R516" s="6" t="n"/>
      <c r="S516" s="6" t="n"/>
    </row>
    <row r="517">
      <c r="A517" s="6" t="n"/>
      <c r="B517" s="112">
        <f>IF($D517="","","A"&amp;TEXT(ROW()-6,"00000"))</f>
        <v/>
      </c>
      <c r="C517" s="107" t="n"/>
      <c r="D517" s="107" t="n"/>
      <c r="E517" s="113">
        <f>IF($D517="","",IFERROR(INDEX(MUSTERILER!$C$7:$C$106,MATCH($D517,MUSTERILER!$B$7:$B$106,0)),"TANIMSIZ MÜŞTERİ"))</f>
        <v/>
      </c>
      <c r="F517" s="108" t="n"/>
      <c r="G517" s="107" t="n"/>
      <c r="H517" s="114" t="n"/>
      <c r="I517" s="114" t="n"/>
      <c r="J517" s="107" t="n"/>
      <c r="K517" s="107" t="n"/>
      <c r="L517" s="108" t="n"/>
      <c r="M517" s="108" t="n"/>
      <c r="N517" s="108" t="n"/>
      <c r="O517" s="114" t="n"/>
      <c r="P517" s="120">
        <f>IF(OR($D517="",$I517=""),"",IF(OR($J517="Tamamlandı",$J517="İptal"),"",$I517-TODAY()))</f>
        <v/>
      </c>
      <c r="Q517" s="112">
        <f>IF($D517="","",IF($E517="TANIMSIZ MÜŞTERİ","HATA",IF(OR($J517="Tamamlandı",$J517="İptal"),"KAPALI",IF(AND($C517="Görüşme",$N517=""),"SONRAKİ İŞLEM EKSİK",IF($I517="","TARİH EKSİK",IF($I517&lt;TODAY(),"GECİKMİŞ",IF($I517=TODAY(),"BUGÜN",IF($I517&lt;=TODAY()+7,"7 GÜN İÇİNDE","PLANLI"))))))))</f>
        <v/>
      </c>
      <c r="R517" s="6" t="n"/>
      <c r="S517" s="6" t="n"/>
    </row>
    <row r="518">
      <c r="A518" s="6" t="n"/>
      <c r="B518" s="112">
        <f>IF($D518="","","A"&amp;TEXT(ROW()-6,"00000"))</f>
        <v/>
      </c>
      <c r="C518" s="107" t="n"/>
      <c r="D518" s="107" t="n"/>
      <c r="E518" s="113">
        <f>IF($D518="","",IFERROR(INDEX(MUSTERILER!$C$7:$C$106,MATCH($D518,MUSTERILER!$B$7:$B$106,0)),"TANIMSIZ MÜŞTERİ"))</f>
        <v/>
      </c>
      <c r="F518" s="108" t="n"/>
      <c r="G518" s="107" t="n"/>
      <c r="H518" s="114" t="n"/>
      <c r="I518" s="114" t="n"/>
      <c r="J518" s="107" t="n"/>
      <c r="K518" s="107" t="n"/>
      <c r="L518" s="108" t="n"/>
      <c r="M518" s="108" t="n"/>
      <c r="N518" s="108" t="n"/>
      <c r="O518" s="114" t="n"/>
      <c r="P518" s="120">
        <f>IF(OR($D518="",$I518=""),"",IF(OR($J518="Tamamlandı",$J518="İptal"),"",$I518-TODAY()))</f>
        <v/>
      </c>
      <c r="Q518" s="112">
        <f>IF($D518="","",IF($E518="TANIMSIZ MÜŞTERİ","HATA",IF(OR($J518="Tamamlandı",$J518="İptal"),"KAPALI",IF(AND($C518="Görüşme",$N518=""),"SONRAKİ İŞLEM EKSİK",IF($I518="","TARİH EKSİK",IF($I518&lt;TODAY(),"GECİKMİŞ",IF($I518=TODAY(),"BUGÜN",IF($I518&lt;=TODAY()+7,"7 GÜN İÇİNDE","PLANLI"))))))))</f>
        <v/>
      </c>
      <c r="R518" s="6" t="n"/>
      <c r="S518" s="6" t="n"/>
    </row>
    <row r="519">
      <c r="A519" s="6" t="n"/>
      <c r="B519" s="112">
        <f>IF($D519="","","A"&amp;TEXT(ROW()-6,"00000"))</f>
        <v/>
      </c>
      <c r="C519" s="107" t="n"/>
      <c r="D519" s="107" t="n"/>
      <c r="E519" s="113">
        <f>IF($D519="","",IFERROR(INDEX(MUSTERILER!$C$7:$C$106,MATCH($D519,MUSTERILER!$B$7:$B$106,0)),"TANIMSIZ MÜŞTERİ"))</f>
        <v/>
      </c>
      <c r="F519" s="108" t="n"/>
      <c r="G519" s="107" t="n"/>
      <c r="H519" s="114" t="n"/>
      <c r="I519" s="114" t="n"/>
      <c r="J519" s="107" t="n"/>
      <c r="K519" s="107" t="n"/>
      <c r="L519" s="108" t="n"/>
      <c r="M519" s="108" t="n"/>
      <c r="N519" s="108" t="n"/>
      <c r="O519" s="114" t="n"/>
      <c r="P519" s="120">
        <f>IF(OR($D519="",$I519=""),"",IF(OR($J519="Tamamlandı",$J519="İptal"),"",$I519-TODAY()))</f>
        <v/>
      </c>
      <c r="Q519" s="112">
        <f>IF($D519="","",IF($E519="TANIMSIZ MÜŞTERİ","HATA",IF(OR($J519="Tamamlandı",$J519="İptal"),"KAPALI",IF(AND($C519="Görüşme",$N519=""),"SONRAKİ İŞLEM EKSİK",IF($I519="","TARİH EKSİK",IF($I519&lt;TODAY(),"GECİKMİŞ",IF($I519=TODAY(),"BUGÜN",IF($I519&lt;=TODAY()+7,"7 GÜN İÇİNDE","PLANLI"))))))))</f>
        <v/>
      </c>
      <c r="R519" s="6" t="n"/>
      <c r="S519" s="6" t="n"/>
    </row>
    <row r="520">
      <c r="A520" s="6" t="n"/>
      <c r="B520" s="112">
        <f>IF($D520="","","A"&amp;TEXT(ROW()-6,"00000"))</f>
        <v/>
      </c>
      <c r="C520" s="107" t="n"/>
      <c r="D520" s="107" t="n"/>
      <c r="E520" s="113">
        <f>IF($D520="","",IFERROR(INDEX(MUSTERILER!$C$7:$C$106,MATCH($D520,MUSTERILER!$B$7:$B$106,0)),"TANIMSIZ MÜŞTERİ"))</f>
        <v/>
      </c>
      <c r="F520" s="108" t="n"/>
      <c r="G520" s="107" t="n"/>
      <c r="H520" s="114" t="n"/>
      <c r="I520" s="114" t="n"/>
      <c r="J520" s="107" t="n"/>
      <c r="K520" s="107" t="n"/>
      <c r="L520" s="108" t="n"/>
      <c r="M520" s="108" t="n"/>
      <c r="N520" s="108" t="n"/>
      <c r="O520" s="114" t="n"/>
      <c r="P520" s="120">
        <f>IF(OR($D520="",$I520=""),"",IF(OR($J520="Tamamlandı",$J520="İptal"),"",$I520-TODAY()))</f>
        <v/>
      </c>
      <c r="Q520" s="112">
        <f>IF($D520="","",IF($E520="TANIMSIZ MÜŞTERİ","HATA",IF(OR($J520="Tamamlandı",$J520="İptal"),"KAPALI",IF(AND($C520="Görüşme",$N520=""),"SONRAKİ İŞLEM EKSİK",IF($I520="","TARİH EKSİK",IF($I520&lt;TODAY(),"GECİKMİŞ",IF($I520=TODAY(),"BUGÜN",IF($I520&lt;=TODAY()+7,"7 GÜN İÇİNDE","PLANLI"))))))))</f>
        <v/>
      </c>
      <c r="R520" s="6" t="n"/>
      <c r="S520" s="6" t="n"/>
    </row>
    <row r="521">
      <c r="A521" s="6" t="n"/>
      <c r="B521" s="112">
        <f>IF($D521="","","A"&amp;TEXT(ROW()-6,"00000"))</f>
        <v/>
      </c>
      <c r="C521" s="107" t="n"/>
      <c r="D521" s="107" t="n"/>
      <c r="E521" s="113">
        <f>IF($D521="","",IFERROR(INDEX(MUSTERILER!$C$7:$C$106,MATCH($D521,MUSTERILER!$B$7:$B$106,0)),"TANIMSIZ MÜŞTERİ"))</f>
        <v/>
      </c>
      <c r="F521" s="108" t="n"/>
      <c r="G521" s="107" t="n"/>
      <c r="H521" s="114" t="n"/>
      <c r="I521" s="114" t="n"/>
      <c r="J521" s="107" t="n"/>
      <c r="K521" s="107" t="n"/>
      <c r="L521" s="108" t="n"/>
      <c r="M521" s="108" t="n"/>
      <c r="N521" s="108" t="n"/>
      <c r="O521" s="114" t="n"/>
      <c r="P521" s="120">
        <f>IF(OR($D521="",$I521=""),"",IF(OR($J521="Tamamlandı",$J521="İptal"),"",$I521-TODAY()))</f>
        <v/>
      </c>
      <c r="Q521" s="112">
        <f>IF($D521="","",IF($E521="TANIMSIZ MÜŞTERİ","HATA",IF(OR($J521="Tamamlandı",$J521="İptal"),"KAPALI",IF(AND($C521="Görüşme",$N521=""),"SONRAKİ İŞLEM EKSİK",IF($I521="","TARİH EKSİK",IF($I521&lt;TODAY(),"GECİKMİŞ",IF($I521=TODAY(),"BUGÜN",IF($I521&lt;=TODAY()+7,"7 GÜN İÇİNDE","PLANLI"))))))))</f>
        <v/>
      </c>
      <c r="R521" s="6" t="n"/>
      <c r="S521" s="6" t="n"/>
    </row>
    <row r="522">
      <c r="A522" s="6" t="n"/>
      <c r="B522" s="112">
        <f>IF($D522="","","A"&amp;TEXT(ROW()-6,"00000"))</f>
        <v/>
      </c>
      <c r="C522" s="107" t="n"/>
      <c r="D522" s="107" t="n"/>
      <c r="E522" s="113">
        <f>IF($D522="","",IFERROR(INDEX(MUSTERILER!$C$7:$C$106,MATCH($D522,MUSTERILER!$B$7:$B$106,0)),"TANIMSIZ MÜŞTERİ"))</f>
        <v/>
      </c>
      <c r="F522" s="108" t="n"/>
      <c r="G522" s="107" t="n"/>
      <c r="H522" s="114" t="n"/>
      <c r="I522" s="114" t="n"/>
      <c r="J522" s="107" t="n"/>
      <c r="K522" s="107" t="n"/>
      <c r="L522" s="108" t="n"/>
      <c r="M522" s="108" t="n"/>
      <c r="N522" s="108" t="n"/>
      <c r="O522" s="114" t="n"/>
      <c r="P522" s="120">
        <f>IF(OR($D522="",$I522=""),"",IF(OR($J522="Tamamlandı",$J522="İptal"),"",$I522-TODAY()))</f>
        <v/>
      </c>
      <c r="Q522" s="112">
        <f>IF($D522="","",IF($E522="TANIMSIZ MÜŞTERİ","HATA",IF(OR($J522="Tamamlandı",$J522="İptal"),"KAPALI",IF(AND($C522="Görüşme",$N522=""),"SONRAKİ İŞLEM EKSİK",IF($I522="","TARİH EKSİK",IF($I522&lt;TODAY(),"GECİKMİŞ",IF($I522=TODAY(),"BUGÜN",IF($I522&lt;=TODAY()+7,"7 GÜN İÇİNDE","PLANLI"))))))))</f>
        <v/>
      </c>
      <c r="R522" s="6" t="n"/>
      <c r="S522" s="6" t="n"/>
    </row>
    <row r="523">
      <c r="A523" s="6" t="n"/>
      <c r="B523" s="112">
        <f>IF($D523="","","A"&amp;TEXT(ROW()-6,"00000"))</f>
        <v/>
      </c>
      <c r="C523" s="107" t="n"/>
      <c r="D523" s="107" t="n"/>
      <c r="E523" s="113">
        <f>IF($D523="","",IFERROR(INDEX(MUSTERILER!$C$7:$C$106,MATCH($D523,MUSTERILER!$B$7:$B$106,0)),"TANIMSIZ MÜŞTERİ"))</f>
        <v/>
      </c>
      <c r="F523" s="108" t="n"/>
      <c r="G523" s="107" t="n"/>
      <c r="H523" s="114" t="n"/>
      <c r="I523" s="114" t="n"/>
      <c r="J523" s="107" t="n"/>
      <c r="K523" s="107" t="n"/>
      <c r="L523" s="108" t="n"/>
      <c r="M523" s="108" t="n"/>
      <c r="N523" s="108" t="n"/>
      <c r="O523" s="114" t="n"/>
      <c r="P523" s="120">
        <f>IF(OR($D523="",$I523=""),"",IF(OR($J523="Tamamlandı",$J523="İptal"),"",$I523-TODAY()))</f>
        <v/>
      </c>
      <c r="Q523" s="112">
        <f>IF($D523="","",IF($E523="TANIMSIZ MÜŞTERİ","HATA",IF(OR($J523="Tamamlandı",$J523="İptal"),"KAPALI",IF(AND($C523="Görüşme",$N523=""),"SONRAKİ İŞLEM EKSİK",IF($I523="","TARİH EKSİK",IF($I523&lt;TODAY(),"GECİKMİŞ",IF($I523=TODAY(),"BUGÜN",IF($I523&lt;=TODAY()+7,"7 GÜN İÇİNDE","PLANLI"))))))))</f>
        <v/>
      </c>
      <c r="R523" s="6" t="n"/>
      <c r="S523" s="6" t="n"/>
    </row>
    <row r="524">
      <c r="A524" s="6" t="n"/>
      <c r="B524" s="112">
        <f>IF($D524="","","A"&amp;TEXT(ROW()-6,"00000"))</f>
        <v/>
      </c>
      <c r="C524" s="107" t="n"/>
      <c r="D524" s="107" t="n"/>
      <c r="E524" s="113">
        <f>IF($D524="","",IFERROR(INDEX(MUSTERILER!$C$7:$C$106,MATCH($D524,MUSTERILER!$B$7:$B$106,0)),"TANIMSIZ MÜŞTERİ"))</f>
        <v/>
      </c>
      <c r="F524" s="108" t="n"/>
      <c r="G524" s="107" t="n"/>
      <c r="H524" s="114" t="n"/>
      <c r="I524" s="114" t="n"/>
      <c r="J524" s="107" t="n"/>
      <c r="K524" s="107" t="n"/>
      <c r="L524" s="108" t="n"/>
      <c r="M524" s="108" t="n"/>
      <c r="N524" s="108" t="n"/>
      <c r="O524" s="114" t="n"/>
      <c r="P524" s="120">
        <f>IF(OR($D524="",$I524=""),"",IF(OR($J524="Tamamlandı",$J524="İptal"),"",$I524-TODAY()))</f>
        <v/>
      </c>
      <c r="Q524" s="112">
        <f>IF($D524="","",IF($E524="TANIMSIZ MÜŞTERİ","HATA",IF(OR($J524="Tamamlandı",$J524="İptal"),"KAPALI",IF(AND($C524="Görüşme",$N524=""),"SONRAKİ İŞLEM EKSİK",IF($I524="","TARİH EKSİK",IF($I524&lt;TODAY(),"GECİKMİŞ",IF($I524=TODAY(),"BUGÜN",IF($I524&lt;=TODAY()+7,"7 GÜN İÇİNDE","PLANLI"))))))))</f>
        <v/>
      </c>
      <c r="R524" s="6" t="n"/>
      <c r="S524" s="6" t="n"/>
    </row>
    <row r="525">
      <c r="A525" s="6" t="n"/>
      <c r="B525" s="112">
        <f>IF($D525="","","A"&amp;TEXT(ROW()-6,"00000"))</f>
        <v/>
      </c>
      <c r="C525" s="107" t="n"/>
      <c r="D525" s="107" t="n"/>
      <c r="E525" s="113">
        <f>IF($D525="","",IFERROR(INDEX(MUSTERILER!$C$7:$C$106,MATCH($D525,MUSTERILER!$B$7:$B$106,0)),"TANIMSIZ MÜŞTERİ"))</f>
        <v/>
      </c>
      <c r="F525" s="108" t="n"/>
      <c r="G525" s="107" t="n"/>
      <c r="H525" s="114" t="n"/>
      <c r="I525" s="114" t="n"/>
      <c r="J525" s="107" t="n"/>
      <c r="K525" s="107" t="n"/>
      <c r="L525" s="108" t="n"/>
      <c r="M525" s="108" t="n"/>
      <c r="N525" s="108" t="n"/>
      <c r="O525" s="114" t="n"/>
      <c r="P525" s="120">
        <f>IF(OR($D525="",$I525=""),"",IF(OR($J525="Tamamlandı",$J525="İptal"),"",$I525-TODAY()))</f>
        <v/>
      </c>
      <c r="Q525" s="112">
        <f>IF($D525="","",IF($E525="TANIMSIZ MÜŞTERİ","HATA",IF(OR($J525="Tamamlandı",$J525="İptal"),"KAPALI",IF(AND($C525="Görüşme",$N525=""),"SONRAKİ İŞLEM EKSİK",IF($I525="","TARİH EKSİK",IF($I525&lt;TODAY(),"GECİKMİŞ",IF($I525=TODAY(),"BUGÜN",IF($I525&lt;=TODAY()+7,"7 GÜN İÇİNDE","PLANLI"))))))))</f>
        <v/>
      </c>
      <c r="R525" s="6" t="n"/>
      <c r="S525" s="6" t="n"/>
    </row>
    <row r="526">
      <c r="A526" s="6" t="n"/>
      <c r="B526" s="112">
        <f>IF($D526="","","A"&amp;TEXT(ROW()-6,"00000"))</f>
        <v/>
      </c>
      <c r="C526" s="107" t="n"/>
      <c r="D526" s="107" t="n"/>
      <c r="E526" s="113">
        <f>IF($D526="","",IFERROR(INDEX(MUSTERILER!$C$7:$C$106,MATCH($D526,MUSTERILER!$B$7:$B$106,0)),"TANIMSIZ MÜŞTERİ"))</f>
        <v/>
      </c>
      <c r="F526" s="108" t="n"/>
      <c r="G526" s="107" t="n"/>
      <c r="H526" s="114" t="n"/>
      <c r="I526" s="114" t="n"/>
      <c r="J526" s="107" t="n"/>
      <c r="K526" s="107" t="n"/>
      <c r="L526" s="108" t="n"/>
      <c r="M526" s="108" t="n"/>
      <c r="N526" s="108" t="n"/>
      <c r="O526" s="114" t="n"/>
      <c r="P526" s="120">
        <f>IF(OR($D526="",$I526=""),"",IF(OR($J526="Tamamlandı",$J526="İptal"),"",$I526-TODAY()))</f>
        <v/>
      </c>
      <c r="Q526" s="112">
        <f>IF($D526="","",IF($E526="TANIMSIZ MÜŞTERİ","HATA",IF(OR($J526="Tamamlandı",$J526="İptal"),"KAPALI",IF(AND($C526="Görüşme",$N526=""),"SONRAKİ İŞLEM EKSİK",IF($I526="","TARİH EKSİK",IF($I526&lt;TODAY(),"GECİKMİŞ",IF($I526=TODAY(),"BUGÜN",IF($I526&lt;=TODAY()+7,"7 GÜN İÇİNDE","PLANLI"))))))))</f>
        <v/>
      </c>
      <c r="R526" s="6" t="n"/>
      <c r="S526" s="6" t="n"/>
    </row>
    <row r="527">
      <c r="A527" s="6" t="n"/>
      <c r="B527" s="112">
        <f>IF($D527="","","A"&amp;TEXT(ROW()-6,"00000"))</f>
        <v/>
      </c>
      <c r="C527" s="107" t="n"/>
      <c r="D527" s="107" t="n"/>
      <c r="E527" s="113">
        <f>IF($D527="","",IFERROR(INDEX(MUSTERILER!$C$7:$C$106,MATCH($D527,MUSTERILER!$B$7:$B$106,0)),"TANIMSIZ MÜŞTERİ"))</f>
        <v/>
      </c>
      <c r="F527" s="108" t="n"/>
      <c r="G527" s="107" t="n"/>
      <c r="H527" s="114" t="n"/>
      <c r="I527" s="114" t="n"/>
      <c r="J527" s="107" t="n"/>
      <c r="K527" s="107" t="n"/>
      <c r="L527" s="108" t="n"/>
      <c r="M527" s="108" t="n"/>
      <c r="N527" s="108" t="n"/>
      <c r="O527" s="114" t="n"/>
      <c r="P527" s="120">
        <f>IF(OR($D527="",$I527=""),"",IF(OR($J527="Tamamlandı",$J527="İptal"),"",$I527-TODAY()))</f>
        <v/>
      </c>
      <c r="Q527" s="112">
        <f>IF($D527="","",IF($E527="TANIMSIZ MÜŞTERİ","HATA",IF(OR($J527="Tamamlandı",$J527="İptal"),"KAPALI",IF(AND($C527="Görüşme",$N527=""),"SONRAKİ İŞLEM EKSİK",IF($I527="","TARİH EKSİK",IF($I527&lt;TODAY(),"GECİKMİŞ",IF($I527=TODAY(),"BUGÜN",IF($I527&lt;=TODAY()+7,"7 GÜN İÇİNDE","PLANLI"))))))))</f>
        <v/>
      </c>
      <c r="R527" s="6" t="n"/>
      <c r="S527" s="6" t="n"/>
    </row>
    <row r="528">
      <c r="A528" s="6" t="n"/>
      <c r="B528" s="112">
        <f>IF($D528="","","A"&amp;TEXT(ROW()-6,"00000"))</f>
        <v/>
      </c>
      <c r="C528" s="107" t="n"/>
      <c r="D528" s="107" t="n"/>
      <c r="E528" s="113">
        <f>IF($D528="","",IFERROR(INDEX(MUSTERILER!$C$7:$C$106,MATCH($D528,MUSTERILER!$B$7:$B$106,0)),"TANIMSIZ MÜŞTERİ"))</f>
        <v/>
      </c>
      <c r="F528" s="108" t="n"/>
      <c r="G528" s="107" t="n"/>
      <c r="H528" s="114" t="n"/>
      <c r="I528" s="114" t="n"/>
      <c r="J528" s="107" t="n"/>
      <c r="K528" s="107" t="n"/>
      <c r="L528" s="108" t="n"/>
      <c r="M528" s="108" t="n"/>
      <c r="N528" s="108" t="n"/>
      <c r="O528" s="114" t="n"/>
      <c r="P528" s="120">
        <f>IF(OR($D528="",$I528=""),"",IF(OR($J528="Tamamlandı",$J528="İptal"),"",$I528-TODAY()))</f>
        <v/>
      </c>
      <c r="Q528" s="112">
        <f>IF($D528="","",IF($E528="TANIMSIZ MÜŞTERİ","HATA",IF(OR($J528="Tamamlandı",$J528="İptal"),"KAPALI",IF(AND($C528="Görüşme",$N528=""),"SONRAKİ İŞLEM EKSİK",IF($I528="","TARİH EKSİK",IF($I528&lt;TODAY(),"GECİKMİŞ",IF($I528=TODAY(),"BUGÜN",IF($I528&lt;=TODAY()+7,"7 GÜN İÇİNDE","PLANLI"))))))))</f>
        <v/>
      </c>
      <c r="R528" s="6" t="n"/>
      <c r="S528" s="6" t="n"/>
    </row>
    <row r="529">
      <c r="A529" s="6" t="n"/>
      <c r="B529" s="112">
        <f>IF($D529="","","A"&amp;TEXT(ROW()-6,"00000"))</f>
        <v/>
      </c>
      <c r="C529" s="107" t="n"/>
      <c r="D529" s="107" t="n"/>
      <c r="E529" s="113">
        <f>IF($D529="","",IFERROR(INDEX(MUSTERILER!$C$7:$C$106,MATCH($D529,MUSTERILER!$B$7:$B$106,0)),"TANIMSIZ MÜŞTERİ"))</f>
        <v/>
      </c>
      <c r="F529" s="108" t="n"/>
      <c r="G529" s="107" t="n"/>
      <c r="H529" s="114" t="n"/>
      <c r="I529" s="114" t="n"/>
      <c r="J529" s="107" t="n"/>
      <c r="K529" s="107" t="n"/>
      <c r="L529" s="108" t="n"/>
      <c r="M529" s="108" t="n"/>
      <c r="N529" s="108" t="n"/>
      <c r="O529" s="114" t="n"/>
      <c r="P529" s="120">
        <f>IF(OR($D529="",$I529=""),"",IF(OR($J529="Tamamlandı",$J529="İptal"),"",$I529-TODAY()))</f>
        <v/>
      </c>
      <c r="Q529" s="112">
        <f>IF($D529="","",IF($E529="TANIMSIZ MÜŞTERİ","HATA",IF(OR($J529="Tamamlandı",$J529="İptal"),"KAPALI",IF(AND($C529="Görüşme",$N529=""),"SONRAKİ İŞLEM EKSİK",IF($I529="","TARİH EKSİK",IF($I529&lt;TODAY(),"GECİKMİŞ",IF($I529=TODAY(),"BUGÜN",IF($I529&lt;=TODAY()+7,"7 GÜN İÇİNDE","PLANLI"))))))))</f>
        <v/>
      </c>
      <c r="R529" s="6" t="n"/>
      <c r="S529" s="6" t="n"/>
    </row>
    <row r="530">
      <c r="A530" s="6" t="n"/>
      <c r="B530" s="112">
        <f>IF($D530="","","A"&amp;TEXT(ROW()-6,"00000"))</f>
        <v/>
      </c>
      <c r="C530" s="107" t="n"/>
      <c r="D530" s="107" t="n"/>
      <c r="E530" s="113">
        <f>IF($D530="","",IFERROR(INDEX(MUSTERILER!$C$7:$C$106,MATCH($D530,MUSTERILER!$B$7:$B$106,0)),"TANIMSIZ MÜŞTERİ"))</f>
        <v/>
      </c>
      <c r="F530" s="108" t="n"/>
      <c r="G530" s="107" t="n"/>
      <c r="H530" s="114" t="n"/>
      <c r="I530" s="114" t="n"/>
      <c r="J530" s="107" t="n"/>
      <c r="K530" s="107" t="n"/>
      <c r="L530" s="108" t="n"/>
      <c r="M530" s="108" t="n"/>
      <c r="N530" s="108" t="n"/>
      <c r="O530" s="114" t="n"/>
      <c r="P530" s="120">
        <f>IF(OR($D530="",$I530=""),"",IF(OR($J530="Tamamlandı",$J530="İptal"),"",$I530-TODAY()))</f>
        <v/>
      </c>
      <c r="Q530" s="112">
        <f>IF($D530="","",IF($E530="TANIMSIZ MÜŞTERİ","HATA",IF(OR($J530="Tamamlandı",$J530="İptal"),"KAPALI",IF(AND($C530="Görüşme",$N530=""),"SONRAKİ İŞLEM EKSİK",IF($I530="","TARİH EKSİK",IF($I530&lt;TODAY(),"GECİKMİŞ",IF($I530=TODAY(),"BUGÜN",IF($I530&lt;=TODAY()+7,"7 GÜN İÇİNDE","PLANLI"))))))))</f>
        <v/>
      </c>
      <c r="R530" s="6" t="n"/>
      <c r="S530" s="6" t="n"/>
    </row>
    <row r="531">
      <c r="A531" s="6" t="n"/>
      <c r="B531" s="112">
        <f>IF($D531="","","A"&amp;TEXT(ROW()-6,"00000"))</f>
        <v/>
      </c>
      <c r="C531" s="107" t="n"/>
      <c r="D531" s="107" t="n"/>
      <c r="E531" s="113">
        <f>IF($D531="","",IFERROR(INDEX(MUSTERILER!$C$7:$C$106,MATCH($D531,MUSTERILER!$B$7:$B$106,0)),"TANIMSIZ MÜŞTERİ"))</f>
        <v/>
      </c>
      <c r="F531" s="108" t="n"/>
      <c r="G531" s="107" t="n"/>
      <c r="H531" s="114" t="n"/>
      <c r="I531" s="114" t="n"/>
      <c r="J531" s="107" t="n"/>
      <c r="K531" s="107" t="n"/>
      <c r="L531" s="108" t="n"/>
      <c r="M531" s="108" t="n"/>
      <c r="N531" s="108" t="n"/>
      <c r="O531" s="114" t="n"/>
      <c r="P531" s="120">
        <f>IF(OR($D531="",$I531=""),"",IF(OR($J531="Tamamlandı",$J531="İptal"),"",$I531-TODAY()))</f>
        <v/>
      </c>
      <c r="Q531" s="112">
        <f>IF($D531="","",IF($E531="TANIMSIZ MÜŞTERİ","HATA",IF(OR($J531="Tamamlandı",$J531="İptal"),"KAPALI",IF(AND($C531="Görüşme",$N531=""),"SONRAKİ İŞLEM EKSİK",IF($I531="","TARİH EKSİK",IF($I531&lt;TODAY(),"GECİKMİŞ",IF($I531=TODAY(),"BUGÜN",IF($I531&lt;=TODAY()+7,"7 GÜN İÇİNDE","PLANLI"))))))))</f>
        <v/>
      </c>
      <c r="R531" s="6" t="n"/>
      <c r="S531" s="6" t="n"/>
    </row>
    <row r="532">
      <c r="A532" s="6" t="n"/>
      <c r="B532" s="112">
        <f>IF($D532="","","A"&amp;TEXT(ROW()-6,"00000"))</f>
        <v/>
      </c>
      <c r="C532" s="107" t="n"/>
      <c r="D532" s="107" t="n"/>
      <c r="E532" s="113">
        <f>IF($D532="","",IFERROR(INDEX(MUSTERILER!$C$7:$C$106,MATCH($D532,MUSTERILER!$B$7:$B$106,0)),"TANIMSIZ MÜŞTERİ"))</f>
        <v/>
      </c>
      <c r="F532" s="108" t="n"/>
      <c r="G532" s="107" t="n"/>
      <c r="H532" s="114" t="n"/>
      <c r="I532" s="114" t="n"/>
      <c r="J532" s="107" t="n"/>
      <c r="K532" s="107" t="n"/>
      <c r="L532" s="108" t="n"/>
      <c r="M532" s="108" t="n"/>
      <c r="N532" s="108" t="n"/>
      <c r="O532" s="114" t="n"/>
      <c r="P532" s="120">
        <f>IF(OR($D532="",$I532=""),"",IF(OR($J532="Tamamlandı",$J532="İptal"),"",$I532-TODAY()))</f>
        <v/>
      </c>
      <c r="Q532" s="112">
        <f>IF($D532="","",IF($E532="TANIMSIZ MÜŞTERİ","HATA",IF(OR($J532="Tamamlandı",$J532="İptal"),"KAPALI",IF(AND($C532="Görüşme",$N532=""),"SONRAKİ İŞLEM EKSİK",IF($I532="","TARİH EKSİK",IF($I532&lt;TODAY(),"GECİKMİŞ",IF($I532=TODAY(),"BUGÜN",IF($I532&lt;=TODAY()+7,"7 GÜN İÇİNDE","PLANLI"))))))))</f>
        <v/>
      </c>
      <c r="R532" s="6" t="n"/>
      <c r="S532" s="6" t="n"/>
    </row>
    <row r="533">
      <c r="A533" s="6" t="n"/>
      <c r="B533" s="112">
        <f>IF($D533="","","A"&amp;TEXT(ROW()-6,"00000"))</f>
        <v/>
      </c>
      <c r="C533" s="107" t="n"/>
      <c r="D533" s="107" t="n"/>
      <c r="E533" s="113">
        <f>IF($D533="","",IFERROR(INDEX(MUSTERILER!$C$7:$C$106,MATCH($D533,MUSTERILER!$B$7:$B$106,0)),"TANIMSIZ MÜŞTERİ"))</f>
        <v/>
      </c>
      <c r="F533" s="108" t="n"/>
      <c r="G533" s="107" t="n"/>
      <c r="H533" s="114" t="n"/>
      <c r="I533" s="114" t="n"/>
      <c r="J533" s="107" t="n"/>
      <c r="K533" s="107" t="n"/>
      <c r="L533" s="108" t="n"/>
      <c r="M533" s="108" t="n"/>
      <c r="N533" s="108" t="n"/>
      <c r="O533" s="114" t="n"/>
      <c r="P533" s="120">
        <f>IF(OR($D533="",$I533=""),"",IF(OR($J533="Tamamlandı",$J533="İptal"),"",$I533-TODAY()))</f>
        <v/>
      </c>
      <c r="Q533" s="112">
        <f>IF($D533="","",IF($E533="TANIMSIZ MÜŞTERİ","HATA",IF(OR($J533="Tamamlandı",$J533="İptal"),"KAPALI",IF(AND($C533="Görüşme",$N533=""),"SONRAKİ İŞLEM EKSİK",IF($I533="","TARİH EKSİK",IF($I533&lt;TODAY(),"GECİKMİŞ",IF($I533=TODAY(),"BUGÜN",IF($I533&lt;=TODAY()+7,"7 GÜN İÇİNDE","PLANLI"))))))))</f>
        <v/>
      </c>
      <c r="R533" s="6" t="n"/>
      <c r="S533" s="6" t="n"/>
    </row>
    <row r="534">
      <c r="A534" s="6" t="n"/>
      <c r="B534" s="112">
        <f>IF($D534="","","A"&amp;TEXT(ROW()-6,"00000"))</f>
        <v/>
      </c>
      <c r="C534" s="107" t="n"/>
      <c r="D534" s="107" t="n"/>
      <c r="E534" s="113">
        <f>IF($D534="","",IFERROR(INDEX(MUSTERILER!$C$7:$C$106,MATCH($D534,MUSTERILER!$B$7:$B$106,0)),"TANIMSIZ MÜŞTERİ"))</f>
        <v/>
      </c>
      <c r="F534" s="108" t="n"/>
      <c r="G534" s="107" t="n"/>
      <c r="H534" s="114" t="n"/>
      <c r="I534" s="114" t="n"/>
      <c r="J534" s="107" t="n"/>
      <c r="K534" s="107" t="n"/>
      <c r="L534" s="108" t="n"/>
      <c r="M534" s="108" t="n"/>
      <c r="N534" s="108" t="n"/>
      <c r="O534" s="114" t="n"/>
      <c r="P534" s="120">
        <f>IF(OR($D534="",$I534=""),"",IF(OR($J534="Tamamlandı",$J534="İptal"),"",$I534-TODAY()))</f>
        <v/>
      </c>
      <c r="Q534" s="112">
        <f>IF($D534="","",IF($E534="TANIMSIZ MÜŞTERİ","HATA",IF(OR($J534="Tamamlandı",$J534="İptal"),"KAPALI",IF(AND($C534="Görüşme",$N534=""),"SONRAKİ İŞLEM EKSİK",IF($I534="","TARİH EKSİK",IF($I534&lt;TODAY(),"GECİKMİŞ",IF($I534=TODAY(),"BUGÜN",IF($I534&lt;=TODAY()+7,"7 GÜN İÇİNDE","PLANLI"))))))))</f>
        <v/>
      </c>
      <c r="R534" s="6" t="n"/>
      <c r="S534" s="6" t="n"/>
    </row>
    <row r="535">
      <c r="A535" s="6" t="n"/>
      <c r="B535" s="112">
        <f>IF($D535="","","A"&amp;TEXT(ROW()-6,"00000"))</f>
        <v/>
      </c>
      <c r="C535" s="107" t="n"/>
      <c r="D535" s="107" t="n"/>
      <c r="E535" s="113">
        <f>IF($D535="","",IFERROR(INDEX(MUSTERILER!$C$7:$C$106,MATCH($D535,MUSTERILER!$B$7:$B$106,0)),"TANIMSIZ MÜŞTERİ"))</f>
        <v/>
      </c>
      <c r="F535" s="108" t="n"/>
      <c r="G535" s="107" t="n"/>
      <c r="H535" s="114" t="n"/>
      <c r="I535" s="114" t="n"/>
      <c r="J535" s="107" t="n"/>
      <c r="K535" s="107" t="n"/>
      <c r="L535" s="108" t="n"/>
      <c r="M535" s="108" t="n"/>
      <c r="N535" s="108" t="n"/>
      <c r="O535" s="114" t="n"/>
      <c r="P535" s="120">
        <f>IF(OR($D535="",$I535=""),"",IF(OR($J535="Tamamlandı",$J535="İptal"),"",$I535-TODAY()))</f>
        <v/>
      </c>
      <c r="Q535" s="112">
        <f>IF($D535="","",IF($E535="TANIMSIZ MÜŞTERİ","HATA",IF(OR($J535="Tamamlandı",$J535="İptal"),"KAPALI",IF(AND($C535="Görüşme",$N535=""),"SONRAKİ İŞLEM EKSİK",IF($I535="","TARİH EKSİK",IF($I535&lt;TODAY(),"GECİKMİŞ",IF($I535=TODAY(),"BUGÜN",IF($I535&lt;=TODAY()+7,"7 GÜN İÇİNDE","PLANLI"))))))))</f>
        <v/>
      </c>
      <c r="R535" s="6" t="n"/>
      <c r="S535" s="6" t="n"/>
    </row>
    <row r="536">
      <c r="A536" s="6" t="n"/>
      <c r="B536" s="112">
        <f>IF($D536="","","A"&amp;TEXT(ROW()-6,"00000"))</f>
        <v/>
      </c>
      <c r="C536" s="107" t="n"/>
      <c r="D536" s="107" t="n"/>
      <c r="E536" s="113">
        <f>IF($D536="","",IFERROR(INDEX(MUSTERILER!$C$7:$C$106,MATCH($D536,MUSTERILER!$B$7:$B$106,0)),"TANIMSIZ MÜŞTERİ"))</f>
        <v/>
      </c>
      <c r="F536" s="108" t="n"/>
      <c r="G536" s="107" t="n"/>
      <c r="H536" s="114" t="n"/>
      <c r="I536" s="114" t="n"/>
      <c r="J536" s="107" t="n"/>
      <c r="K536" s="107" t="n"/>
      <c r="L536" s="108" t="n"/>
      <c r="M536" s="108" t="n"/>
      <c r="N536" s="108" t="n"/>
      <c r="O536" s="114" t="n"/>
      <c r="P536" s="120">
        <f>IF(OR($D536="",$I536=""),"",IF(OR($J536="Tamamlandı",$J536="İptal"),"",$I536-TODAY()))</f>
        <v/>
      </c>
      <c r="Q536" s="112">
        <f>IF($D536="","",IF($E536="TANIMSIZ MÜŞTERİ","HATA",IF(OR($J536="Tamamlandı",$J536="İptal"),"KAPALI",IF(AND($C536="Görüşme",$N536=""),"SONRAKİ İŞLEM EKSİK",IF($I536="","TARİH EKSİK",IF($I536&lt;TODAY(),"GECİKMİŞ",IF($I536=TODAY(),"BUGÜN",IF($I536&lt;=TODAY()+7,"7 GÜN İÇİNDE","PLANLI"))))))))</f>
        <v/>
      </c>
      <c r="R536" s="6" t="n"/>
      <c r="S536" s="6" t="n"/>
    </row>
    <row r="537">
      <c r="A537" s="6" t="n"/>
      <c r="B537" s="112">
        <f>IF($D537="","","A"&amp;TEXT(ROW()-6,"00000"))</f>
        <v/>
      </c>
      <c r="C537" s="107" t="n"/>
      <c r="D537" s="107" t="n"/>
      <c r="E537" s="113">
        <f>IF($D537="","",IFERROR(INDEX(MUSTERILER!$C$7:$C$106,MATCH($D537,MUSTERILER!$B$7:$B$106,0)),"TANIMSIZ MÜŞTERİ"))</f>
        <v/>
      </c>
      <c r="F537" s="108" t="n"/>
      <c r="G537" s="107" t="n"/>
      <c r="H537" s="114" t="n"/>
      <c r="I537" s="114" t="n"/>
      <c r="J537" s="107" t="n"/>
      <c r="K537" s="107" t="n"/>
      <c r="L537" s="108" t="n"/>
      <c r="M537" s="108" t="n"/>
      <c r="N537" s="108" t="n"/>
      <c r="O537" s="114" t="n"/>
      <c r="P537" s="120">
        <f>IF(OR($D537="",$I537=""),"",IF(OR($J537="Tamamlandı",$J537="İptal"),"",$I537-TODAY()))</f>
        <v/>
      </c>
      <c r="Q537" s="112">
        <f>IF($D537="","",IF($E537="TANIMSIZ MÜŞTERİ","HATA",IF(OR($J537="Tamamlandı",$J537="İptal"),"KAPALI",IF(AND($C537="Görüşme",$N537=""),"SONRAKİ İŞLEM EKSİK",IF($I537="","TARİH EKSİK",IF($I537&lt;TODAY(),"GECİKMİŞ",IF($I537=TODAY(),"BUGÜN",IF($I537&lt;=TODAY()+7,"7 GÜN İÇİNDE","PLANLI"))))))))</f>
        <v/>
      </c>
      <c r="R537" s="6" t="n"/>
      <c r="S537" s="6" t="n"/>
    </row>
    <row r="538">
      <c r="A538" s="6" t="n"/>
      <c r="B538" s="112">
        <f>IF($D538="","","A"&amp;TEXT(ROW()-6,"00000"))</f>
        <v/>
      </c>
      <c r="C538" s="107" t="n"/>
      <c r="D538" s="107" t="n"/>
      <c r="E538" s="113">
        <f>IF($D538="","",IFERROR(INDEX(MUSTERILER!$C$7:$C$106,MATCH($D538,MUSTERILER!$B$7:$B$106,0)),"TANIMSIZ MÜŞTERİ"))</f>
        <v/>
      </c>
      <c r="F538" s="108" t="n"/>
      <c r="G538" s="107" t="n"/>
      <c r="H538" s="114" t="n"/>
      <c r="I538" s="114" t="n"/>
      <c r="J538" s="107" t="n"/>
      <c r="K538" s="107" t="n"/>
      <c r="L538" s="108" t="n"/>
      <c r="M538" s="108" t="n"/>
      <c r="N538" s="108" t="n"/>
      <c r="O538" s="114" t="n"/>
      <c r="P538" s="120">
        <f>IF(OR($D538="",$I538=""),"",IF(OR($J538="Tamamlandı",$J538="İptal"),"",$I538-TODAY()))</f>
        <v/>
      </c>
      <c r="Q538" s="112">
        <f>IF($D538="","",IF($E538="TANIMSIZ MÜŞTERİ","HATA",IF(OR($J538="Tamamlandı",$J538="İptal"),"KAPALI",IF(AND($C538="Görüşme",$N538=""),"SONRAKİ İŞLEM EKSİK",IF($I538="","TARİH EKSİK",IF($I538&lt;TODAY(),"GECİKMİŞ",IF($I538=TODAY(),"BUGÜN",IF($I538&lt;=TODAY()+7,"7 GÜN İÇİNDE","PLANLI"))))))))</f>
        <v/>
      </c>
      <c r="R538" s="6" t="n"/>
      <c r="S538" s="6" t="n"/>
    </row>
    <row r="539">
      <c r="A539" s="6" t="n"/>
      <c r="B539" s="112">
        <f>IF($D539="","","A"&amp;TEXT(ROW()-6,"00000"))</f>
        <v/>
      </c>
      <c r="C539" s="107" t="n"/>
      <c r="D539" s="107" t="n"/>
      <c r="E539" s="113">
        <f>IF($D539="","",IFERROR(INDEX(MUSTERILER!$C$7:$C$106,MATCH($D539,MUSTERILER!$B$7:$B$106,0)),"TANIMSIZ MÜŞTERİ"))</f>
        <v/>
      </c>
      <c r="F539" s="108" t="n"/>
      <c r="G539" s="107" t="n"/>
      <c r="H539" s="114" t="n"/>
      <c r="I539" s="114" t="n"/>
      <c r="J539" s="107" t="n"/>
      <c r="K539" s="107" t="n"/>
      <c r="L539" s="108" t="n"/>
      <c r="M539" s="108" t="n"/>
      <c r="N539" s="108" t="n"/>
      <c r="O539" s="114" t="n"/>
      <c r="P539" s="120">
        <f>IF(OR($D539="",$I539=""),"",IF(OR($J539="Tamamlandı",$J539="İptal"),"",$I539-TODAY()))</f>
        <v/>
      </c>
      <c r="Q539" s="112">
        <f>IF($D539="","",IF($E539="TANIMSIZ MÜŞTERİ","HATA",IF(OR($J539="Tamamlandı",$J539="İptal"),"KAPALI",IF(AND($C539="Görüşme",$N539=""),"SONRAKİ İŞLEM EKSİK",IF($I539="","TARİH EKSİK",IF($I539&lt;TODAY(),"GECİKMİŞ",IF($I539=TODAY(),"BUGÜN",IF($I539&lt;=TODAY()+7,"7 GÜN İÇİNDE","PLANLI"))))))))</f>
        <v/>
      </c>
      <c r="R539" s="6" t="n"/>
      <c r="S539" s="6" t="n"/>
    </row>
    <row r="540">
      <c r="A540" s="6" t="n"/>
      <c r="B540" s="112">
        <f>IF($D540="","","A"&amp;TEXT(ROW()-6,"00000"))</f>
        <v/>
      </c>
      <c r="C540" s="107" t="n"/>
      <c r="D540" s="107" t="n"/>
      <c r="E540" s="113">
        <f>IF($D540="","",IFERROR(INDEX(MUSTERILER!$C$7:$C$106,MATCH($D540,MUSTERILER!$B$7:$B$106,0)),"TANIMSIZ MÜŞTERİ"))</f>
        <v/>
      </c>
      <c r="F540" s="108" t="n"/>
      <c r="G540" s="107" t="n"/>
      <c r="H540" s="114" t="n"/>
      <c r="I540" s="114" t="n"/>
      <c r="J540" s="107" t="n"/>
      <c r="K540" s="107" t="n"/>
      <c r="L540" s="108" t="n"/>
      <c r="M540" s="108" t="n"/>
      <c r="N540" s="108" t="n"/>
      <c r="O540" s="114" t="n"/>
      <c r="P540" s="120">
        <f>IF(OR($D540="",$I540=""),"",IF(OR($J540="Tamamlandı",$J540="İptal"),"",$I540-TODAY()))</f>
        <v/>
      </c>
      <c r="Q540" s="112">
        <f>IF($D540="","",IF($E540="TANIMSIZ MÜŞTERİ","HATA",IF(OR($J540="Tamamlandı",$J540="İptal"),"KAPALI",IF(AND($C540="Görüşme",$N540=""),"SONRAKİ İŞLEM EKSİK",IF($I540="","TARİH EKSİK",IF($I540&lt;TODAY(),"GECİKMİŞ",IF($I540=TODAY(),"BUGÜN",IF($I540&lt;=TODAY()+7,"7 GÜN İÇİNDE","PLANLI"))))))))</f>
        <v/>
      </c>
      <c r="R540" s="6" t="n"/>
      <c r="S540" s="6" t="n"/>
    </row>
    <row r="541">
      <c r="A541" s="6" t="n"/>
      <c r="B541" s="112">
        <f>IF($D541="","","A"&amp;TEXT(ROW()-6,"00000"))</f>
        <v/>
      </c>
      <c r="C541" s="107" t="n"/>
      <c r="D541" s="107" t="n"/>
      <c r="E541" s="113">
        <f>IF($D541="","",IFERROR(INDEX(MUSTERILER!$C$7:$C$106,MATCH($D541,MUSTERILER!$B$7:$B$106,0)),"TANIMSIZ MÜŞTERİ"))</f>
        <v/>
      </c>
      <c r="F541" s="108" t="n"/>
      <c r="G541" s="107" t="n"/>
      <c r="H541" s="114" t="n"/>
      <c r="I541" s="114" t="n"/>
      <c r="J541" s="107" t="n"/>
      <c r="K541" s="107" t="n"/>
      <c r="L541" s="108" t="n"/>
      <c r="M541" s="108" t="n"/>
      <c r="N541" s="108" t="n"/>
      <c r="O541" s="114" t="n"/>
      <c r="P541" s="120">
        <f>IF(OR($D541="",$I541=""),"",IF(OR($J541="Tamamlandı",$J541="İptal"),"",$I541-TODAY()))</f>
        <v/>
      </c>
      <c r="Q541" s="112">
        <f>IF($D541="","",IF($E541="TANIMSIZ MÜŞTERİ","HATA",IF(OR($J541="Tamamlandı",$J541="İptal"),"KAPALI",IF(AND($C541="Görüşme",$N541=""),"SONRAKİ İŞLEM EKSİK",IF($I541="","TARİH EKSİK",IF($I541&lt;TODAY(),"GECİKMİŞ",IF($I541=TODAY(),"BUGÜN",IF($I541&lt;=TODAY()+7,"7 GÜN İÇİNDE","PLANLI"))))))))</f>
        <v/>
      </c>
      <c r="R541" s="6" t="n"/>
      <c r="S541" s="6" t="n"/>
    </row>
    <row r="542">
      <c r="A542" s="6" t="n"/>
      <c r="B542" s="112">
        <f>IF($D542="","","A"&amp;TEXT(ROW()-6,"00000"))</f>
        <v/>
      </c>
      <c r="C542" s="107" t="n"/>
      <c r="D542" s="107" t="n"/>
      <c r="E542" s="113">
        <f>IF($D542="","",IFERROR(INDEX(MUSTERILER!$C$7:$C$106,MATCH($D542,MUSTERILER!$B$7:$B$106,0)),"TANIMSIZ MÜŞTERİ"))</f>
        <v/>
      </c>
      <c r="F542" s="108" t="n"/>
      <c r="G542" s="107" t="n"/>
      <c r="H542" s="114" t="n"/>
      <c r="I542" s="114" t="n"/>
      <c r="J542" s="107" t="n"/>
      <c r="K542" s="107" t="n"/>
      <c r="L542" s="108" t="n"/>
      <c r="M542" s="108" t="n"/>
      <c r="N542" s="108" t="n"/>
      <c r="O542" s="114" t="n"/>
      <c r="P542" s="120">
        <f>IF(OR($D542="",$I542=""),"",IF(OR($J542="Tamamlandı",$J542="İptal"),"",$I542-TODAY()))</f>
        <v/>
      </c>
      <c r="Q542" s="112">
        <f>IF($D542="","",IF($E542="TANIMSIZ MÜŞTERİ","HATA",IF(OR($J542="Tamamlandı",$J542="İptal"),"KAPALI",IF(AND($C542="Görüşme",$N542=""),"SONRAKİ İŞLEM EKSİK",IF($I542="","TARİH EKSİK",IF($I542&lt;TODAY(),"GECİKMİŞ",IF($I542=TODAY(),"BUGÜN",IF($I542&lt;=TODAY()+7,"7 GÜN İÇİNDE","PLANLI"))))))))</f>
        <v/>
      </c>
      <c r="R542" s="6" t="n"/>
      <c r="S542" s="6" t="n"/>
    </row>
    <row r="543">
      <c r="A543" s="6" t="n"/>
      <c r="B543" s="112">
        <f>IF($D543="","","A"&amp;TEXT(ROW()-6,"00000"))</f>
        <v/>
      </c>
      <c r="C543" s="107" t="n"/>
      <c r="D543" s="107" t="n"/>
      <c r="E543" s="113">
        <f>IF($D543="","",IFERROR(INDEX(MUSTERILER!$C$7:$C$106,MATCH($D543,MUSTERILER!$B$7:$B$106,0)),"TANIMSIZ MÜŞTERİ"))</f>
        <v/>
      </c>
      <c r="F543" s="108" t="n"/>
      <c r="G543" s="107" t="n"/>
      <c r="H543" s="114" t="n"/>
      <c r="I543" s="114" t="n"/>
      <c r="J543" s="107" t="n"/>
      <c r="K543" s="107" t="n"/>
      <c r="L543" s="108" t="n"/>
      <c r="M543" s="108" t="n"/>
      <c r="N543" s="108" t="n"/>
      <c r="O543" s="114" t="n"/>
      <c r="P543" s="120">
        <f>IF(OR($D543="",$I543=""),"",IF(OR($J543="Tamamlandı",$J543="İptal"),"",$I543-TODAY()))</f>
        <v/>
      </c>
      <c r="Q543" s="112">
        <f>IF($D543="","",IF($E543="TANIMSIZ MÜŞTERİ","HATA",IF(OR($J543="Tamamlandı",$J543="İptal"),"KAPALI",IF(AND($C543="Görüşme",$N543=""),"SONRAKİ İŞLEM EKSİK",IF($I543="","TARİH EKSİK",IF($I543&lt;TODAY(),"GECİKMİŞ",IF($I543=TODAY(),"BUGÜN",IF($I543&lt;=TODAY()+7,"7 GÜN İÇİNDE","PLANLI"))))))))</f>
        <v/>
      </c>
      <c r="R543" s="6" t="n"/>
      <c r="S543" s="6" t="n"/>
    </row>
    <row r="544">
      <c r="A544" s="6" t="n"/>
      <c r="B544" s="112">
        <f>IF($D544="","","A"&amp;TEXT(ROW()-6,"00000"))</f>
        <v/>
      </c>
      <c r="C544" s="107" t="n"/>
      <c r="D544" s="107" t="n"/>
      <c r="E544" s="113">
        <f>IF($D544="","",IFERROR(INDEX(MUSTERILER!$C$7:$C$106,MATCH($D544,MUSTERILER!$B$7:$B$106,0)),"TANIMSIZ MÜŞTERİ"))</f>
        <v/>
      </c>
      <c r="F544" s="108" t="n"/>
      <c r="G544" s="107" t="n"/>
      <c r="H544" s="114" t="n"/>
      <c r="I544" s="114" t="n"/>
      <c r="J544" s="107" t="n"/>
      <c r="K544" s="107" t="n"/>
      <c r="L544" s="108" t="n"/>
      <c r="M544" s="108" t="n"/>
      <c r="N544" s="108" t="n"/>
      <c r="O544" s="114" t="n"/>
      <c r="P544" s="120">
        <f>IF(OR($D544="",$I544=""),"",IF(OR($J544="Tamamlandı",$J544="İptal"),"",$I544-TODAY()))</f>
        <v/>
      </c>
      <c r="Q544" s="112">
        <f>IF($D544="","",IF($E544="TANIMSIZ MÜŞTERİ","HATA",IF(OR($J544="Tamamlandı",$J544="İptal"),"KAPALI",IF(AND($C544="Görüşme",$N544=""),"SONRAKİ İŞLEM EKSİK",IF($I544="","TARİH EKSİK",IF($I544&lt;TODAY(),"GECİKMİŞ",IF($I544=TODAY(),"BUGÜN",IF($I544&lt;=TODAY()+7,"7 GÜN İÇİNDE","PLANLI"))))))))</f>
        <v/>
      </c>
      <c r="R544" s="6" t="n"/>
      <c r="S544" s="6" t="n"/>
    </row>
    <row r="545">
      <c r="A545" s="6" t="n"/>
      <c r="B545" s="112">
        <f>IF($D545="","","A"&amp;TEXT(ROW()-6,"00000"))</f>
        <v/>
      </c>
      <c r="C545" s="107" t="n"/>
      <c r="D545" s="107" t="n"/>
      <c r="E545" s="113">
        <f>IF($D545="","",IFERROR(INDEX(MUSTERILER!$C$7:$C$106,MATCH($D545,MUSTERILER!$B$7:$B$106,0)),"TANIMSIZ MÜŞTERİ"))</f>
        <v/>
      </c>
      <c r="F545" s="108" t="n"/>
      <c r="G545" s="107" t="n"/>
      <c r="H545" s="114" t="n"/>
      <c r="I545" s="114" t="n"/>
      <c r="J545" s="107" t="n"/>
      <c r="K545" s="107" t="n"/>
      <c r="L545" s="108" t="n"/>
      <c r="M545" s="108" t="n"/>
      <c r="N545" s="108" t="n"/>
      <c r="O545" s="114" t="n"/>
      <c r="P545" s="120">
        <f>IF(OR($D545="",$I545=""),"",IF(OR($J545="Tamamlandı",$J545="İptal"),"",$I545-TODAY()))</f>
        <v/>
      </c>
      <c r="Q545" s="112">
        <f>IF($D545="","",IF($E545="TANIMSIZ MÜŞTERİ","HATA",IF(OR($J545="Tamamlandı",$J545="İptal"),"KAPALI",IF(AND($C545="Görüşme",$N545=""),"SONRAKİ İŞLEM EKSİK",IF($I545="","TARİH EKSİK",IF($I545&lt;TODAY(),"GECİKMİŞ",IF($I545=TODAY(),"BUGÜN",IF($I545&lt;=TODAY()+7,"7 GÜN İÇİNDE","PLANLI"))))))))</f>
        <v/>
      </c>
      <c r="R545" s="6" t="n"/>
      <c r="S545" s="6" t="n"/>
    </row>
    <row r="546">
      <c r="A546" s="6" t="n"/>
      <c r="B546" s="112">
        <f>IF($D546="","","A"&amp;TEXT(ROW()-6,"00000"))</f>
        <v/>
      </c>
      <c r="C546" s="107" t="n"/>
      <c r="D546" s="107" t="n"/>
      <c r="E546" s="113">
        <f>IF($D546="","",IFERROR(INDEX(MUSTERILER!$C$7:$C$106,MATCH($D546,MUSTERILER!$B$7:$B$106,0)),"TANIMSIZ MÜŞTERİ"))</f>
        <v/>
      </c>
      <c r="F546" s="108" t="n"/>
      <c r="G546" s="107" t="n"/>
      <c r="H546" s="114" t="n"/>
      <c r="I546" s="114" t="n"/>
      <c r="J546" s="107" t="n"/>
      <c r="K546" s="107" t="n"/>
      <c r="L546" s="108" t="n"/>
      <c r="M546" s="108" t="n"/>
      <c r="N546" s="108" t="n"/>
      <c r="O546" s="114" t="n"/>
      <c r="P546" s="120">
        <f>IF(OR($D546="",$I546=""),"",IF(OR($J546="Tamamlandı",$J546="İptal"),"",$I546-TODAY()))</f>
        <v/>
      </c>
      <c r="Q546" s="112">
        <f>IF($D546="","",IF($E546="TANIMSIZ MÜŞTERİ","HATA",IF(OR($J546="Tamamlandı",$J546="İptal"),"KAPALI",IF(AND($C546="Görüşme",$N546=""),"SONRAKİ İŞLEM EKSİK",IF($I546="","TARİH EKSİK",IF($I546&lt;TODAY(),"GECİKMİŞ",IF($I546=TODAY(),"BUGÜN",IF($I546&lt;=TODAY()+7,"7 GÜN İÇİNDE","PLANLI"))))))))</f>
        <v/>
      </c>
      <c r="R546" s="6" t="n"/>
      <c r="S546" s="6" t="n"/>
    </row>
    <row r="547">
      <c r="A547" s="6" t="n"/>
      <c r="B547" s="112">
        <f>IF($D547="","","A"&amp;TEXT(ROW()-6,"00000"))</f>
        <v/>
      </c>
      <c r="C547" s="107" t="n"/>
      <c r="D547" s="107" t="n"/>
      <c r="E547" s="113">
        <f>IF($D547="","",IFERROR(INDEX(MUSTERILER!$C$7:$C$106,MATCH($D547,MUSTERILER!$B$7:$B$106,0)),"TANIMSIZ MÜŞTERİ"))</f>
        <v/>
      </c>
      <c r="F547" s="108" t="n"/>
      <c r="G547" s="107" t="n"/>
      <c r="H547" s="114" t="n"/>
      <c r="I547" s="114" t="n"/>
      <c r="J547" s="107" t="n"/>
      <c r="K547" s="107" t="n"/>
      <c r="L547" s="108" t="n"/>
      <c r="M547" s="108" t="n"/>
      <c r="N547" s="108" t="n"/>
      <c r="O547" s="114" t="n"/>
      <c r="P547" s="120">
        <f>IF(OR($D547="",$I547=""),"",IF(OR($J547="Tamamlandı",$J547="İptal"),"",$I547-TODAY()))</f>
        <v/>
      </c>
      <c r="Q547" s="112">
        <f>IF($D547="","",IF($E547="TANIMSIZ MÜŞTERİ","HATA",IF(OR($J547="Tamamlandı",$J547="İptal"),"KAPALI",IF(AND($C547="Görüşme",$N547=""),"SONRAKİ İŞLEM EKSİK",IF($I547="","TARİH EKSİK",IF($I547&lt;TODAY(),"GECİKMİŞ",IF($I547=TODAY(),"BUGÜN",IF($I547&lt;=TODAY()+7,"7 GÜN İÇİNDE","PLANLI"))))))))</f>
        <v/>
      </c>
      <c r="R547" s="6" t="n"/>
      <c r="S547" s="6" t="n"/>
    </row>
    <row r="548">
      <c r="A548" s="6" t="n"/>
      <c r="B548" s="112">
        <f>IF($D548="","","A"&amp;TEXT(ROW()-6,"00000"))</f>
        <v/>
      </c>
      <c r="C548" s="107" t="n"/>
      <c r="D548" s="107" t="n"/>
      <c r="E548" s="113">
        <f>IF($D548="","",IFERROR(INDEX(MUSTERILER!$C$7:$C$106,MATCH($D548,MUSTERILER!$B$7:$B$106,0)),"TANIMSIZ MÜŞTERİ"))</f>
        <v/>
      </c>
      <c r="F548" s="108" t="n"/>
      <c r="G548" s="107" t="n"/>
      <c r="H548" s="114" t="n"/>
      <c r="I548" s="114" t="n"/>
      <c r="J548" s="107" t="n"/>
      <c r="K548" s="107" t="n"/>
      <c r="L548" s="108" t="n"/>
      <c r="M548" s="108" t="n"/>
      <c r="N548" s="108" t="n"/>
      <c r="O548" s="114" t="n"/>
      <c r="P548" s="120">
        <f>IF(OR($D548="",$I548=""),"",IF(OR($J548="Tamamlandı",$J548="İptal"),"",$I548-TODAY()))</f>
        <v/>
      </c>
      <c r="Q548" s="112">
        <f>IF($D548="","",IF($E548="TANIMSIZ MÜŞTERİ","HATA",IF(OR($J548="Tamamlandı",$J548="İptal"),"KAPALI",IF(AND($C548="Görüşme",$N548=""),"SONRAKİ İŞLEM EKSİK",IF($I548="","TARİH EKSİK",IF($I548&lt;TODAY(),"GECİKMİŞ",IF($I548=TODAY(),"BUGÜN",IF($I548&lt;=TODAY()+7,"7 GÜN İÇİNDE","PLANLI"))))))))</f>
        <v/>
      </c>
      <c r="R548" s="6" t="n"/>
      <c r="S548" s="6" t="n"/>
    </row>
    <row r="549">
      <c r="A549" s="6" t="n"/>
      <c r="B549" s="112">
        <f>IF($D549="","","A"&amp;TEXT(ROW()-6,"00000"))</f>
        <v/>
      </c>
      <c r="C549" s="107" t="n"/>
      <c r="D549" s="107" t="n"/>
      <c r="E549" s="113">
        <f>IF($D549="","",IFERROR(INDEX(MUSTERILER!$C$7:$C$106,MATCH($D549,MUSTERILER!$B$7:$B$106,0)),"TANIMSIZ MÜŞTERİ"))</f>
        <v/>
      </c>
      <c r="F549" s="108" t="n"/>
      <c r="G549" s="107" t="n"/>
      <c r="H549" s="114" t="n"/>
      <c r="I549" s="114" t="n"/>
      <c r="J549" s="107" t="n"/>
      <c r="K549" s="107" t="n"/>
      <c r="L549" s="108" t="n"/>
      <c r="M549" s="108" t="n"/>
      <c r="N549" s="108" t="n"/>
      <c r="O549" s="114" t="n"/>
      <c r="P549" s="120">
        <f>IF(OR($D549="",$I549=""),"",IF(OR($J549="Tamamlandı",$J549="İptal"),"",$I549-TODAY()))</f>
        <v/>
      </c>
      <c r="Q549" s="112">
        <f>IF($D549="","",IF($E549="TANIMSIZ MÜŞTERİ","HATA",IF(OR($J549="Tamamlandı",$J549="İptal"),"KAPALI",IF(AND($C549="Görüşme",$N549=""),"SONRAKİ İŞLEM EKSİK",IF($I549="","TARİH EKSİK",IF($I549&lt;TODAY(),"GECİKMİŞ",IF($I549=TODAY(),"BUGÜN",IF($I549&lt;=TODAY()+7,"7 GÜN İÇİNDE","PLANLI"))))))))</f>
        <v/>
      </c>
      <c r="R549" s="6" t="n"/>
      <c r="S549" s="6" t="n"/>
    </row>
    <row r="550">
      <c r="A550" s="6" t="n"/>
      <c r="B550" s="112">
        <f>IF($D550="","","A"&amp;TEXT(ROW()-6,"00000"))</f>
        <v/>
      </c>
      <c r="C550" s="107" t="n"/>
      <c r="D550" s="107" t="n"/>
      <c r="E550" s="113">
        <f>IF($D550="","",IFERROR(INDEX(MUSTERILER!$C$7:$C$106,MATCH($D550,MUSTERILER!$B$7:$B$106,0)),"TANIMSIZ MÜŞTERİ"))</f>
        <v/>
      </c>
      <c r="F550" s="108" t="n"/>
      <c r="G550" s="107" t="n"/>
      <c r="H550" s="114" t="n"/>
      <c r="I550" s="114" t="n"/>
      <c r="J550" s="107" t="n"/>
      <c r="K550" s="107" t="n"/>
      <c r="L550" s="108" t="n"/>
      <c r="M550" s="108" t="n"/>
      <c r="N550" s="108" t="n"/>
      <c r="O550" s="114" t="n"/>
      <c r="P550" s="120">
        <f>IF(OR($D550="",$I550=""),"",IF(OR($J550="Tamamlandı",$J550="İptal"),"",$I550-TODAY()))</f>
        <v/>
      </c>
      <c r="Q550" s="112">
        <f>IF($D550="","",IF($E550="TANIMSIZ MÜŞTERİ","HATA",IF(OR($J550="Tamamlandı",$J550="İptal"),"KAPALI",IF(AND($C550="Görüşme",$N550=""),"SONRAKİ İŞLEM EKSİK",IF($I550="","TARİH EKSİK",IF($I550&lt;TODAY(),"GECİKMİŞ",IF($I550=TODAY(),"BUGÜN",IF($I550&lt;=TODAY()+7,"7 GÜN İÇİNDE","PLANLI"))))))))</f>
        <v/>
      </c>
      <c r="R550" s="6" t="n"/>
      <c r="S550" s="6" t="n"/>
    </row>
    <row r="551">
      <c r="A551" s="6" t="n"/>
      <c r="B551" s="112">
        <f>IF($D551="","","A"&amp;TEXT(ROW()-6,"00000"))</f>
        <v/>
      </c>
      <c r="C551" s="107" t="n"/>
      <c r="D551" s="107" t="n"/>
      <c r="E551" s="113">
        <f>IF($D551="","",IFERROR(INDEX(MUSTERILER!$C$7:$C$106,MATCH($D551,MUSTERILER!$B$7:$B$106,0)),"TANIMSIZ MÜŞTERİ"))</f>
        <v/>
      </c>
      <c r="F551" s="108" t="n"/>
      <c r="G551" s="107" t="n"/>
      <c r="H551" s="114" t="n"/>
      <c r="I551" s="114" t="n"/>
      <c r="J551" s="107" t="n"/>
      <c r="K551" s="107" t="n"/>
      <c r="L551" s="108" t="n"/>
      <c r="M551" s="108" t="n"/>
      <c r="N551" s="108" t="n"/>
      <c r="O551" s="114" t="n"/>
      <c r="P551" s="120">
        <f>IF(OR($D551="",$I551=""),"",IF(OR($J551="Tamamlandı",$J551="İptal"),"",$I551-TODAY()))</f>
        <v/>
      </c>
      <c r="Q551" s="112">
        <f>IF($D551="","",IF($E551="TANIMSIZ MÜŞTERİ","HATA",IF(OR($J551="Tamamlandı",$J551="İptal"),"KAPALI",IF(AND($C551="Görüşme",$N551=""),"SONRAKİ İŞLEM EKSİK",IF($I551="","TARİH EKSİK",IF($I551&lt;TODAY(),"GECİKMİŞ",IF($I551=TODAY(),"BUGÜN",IF($I551&lt;=TODAY()+7,"7 GÜN İÇİNDE","PLANLI"))))))))</f>
        <v/>
      </c>
      <c r="R551" s="6" t="n"/>
      <c r="S551" s="6" t="n"/>
    </row>
    <row r="552">
      <c r="A552" s="6" t="n"/>
      <c r="B552" s="112">
        <f>IF($D552="","","A"&amp;TEXT(ROW()-6,"00000"))</f>
        <v/>
      </c>
      <c r="C552" s="107" t="n"/>
      <c r="D552" s="107" t="n"/>
      <c r="E552" s="113">
        <f>IF($D552="","",IFERROR(INDEX(MUSTERILER!$C$7:$C$106,MATCH($D552,MUSTERILER!$B$7:$B$106,0)),"TANIMSIZ MÜŞTERİ"))</f>
        <v/>
      </c>
      <c r="F552" s="108" t="n"/>
      <c r="G552" s="107" t="n"/>
      <c r="H552" s="114" t="n"/>
      <c r="I552" s="114" t="n"/>
      <c r="J552" s="107" t="n"/>
      <c r="K552" s="107" t="n"/>
      <c r="L552" s="108" t="n"/>
      <c r="M552" s="108" t="n"/>
      <c r="N552" s="108" t="n"/>
      <c r="O552" s="114" t="n"/>
      <c r="P552" s="120">
        <f>IF(OR($D552="",$I552=""),"",IF(OR($J552="Tamamlandı",$J552="İptal"),"",$I552-TODAY()))</f>
        <v/>
      </c>
      <c r="Q552" s="112">
        <f>IF($D552="","",IF($E552="TANIMSIZ MÜŞTERİ","HATA",IF(OR($J552="Tamamlandı",$J552="İptal"),"KAPALI",IF(AND($C552="Görüşme",$N552=""),"SONRAKİ İŞLEM EKSİK",IF($I552="","TARİH EKSİK",IF($I552&lt;TODAY(),"GECİKMİŞ",IF($I552=TODAY(),"BUGÜN",IF($I552&lt;=TODAY()+7,"7 GÜN İÇİNDE","PLANLI"))))))))</f>
        <v/>
      </c>
      <c r="R552" s="6" t="n"/>
      <c r="S552" s="6" t="n"/>
    </row>
    <row r="553">
      <c r="A553" s="6" t="n"/>
      <c r="B553" s="112">
        <f>IF($D553="","","A"&amp;TEXT(ROW()-6,"00000"))</f>
        <v/>
      </c>
      <c r="C553" s="107" t="n"/>
      <c r="D553" s="107" t="n"/>
      <c r="E553" s="113">
        <f>IF($D553="","",IFERROR(INDEX(MUSTERILER!$C$7:$C$106,MATCH($D553,MUSTERILER!$B$7:$B$106,0)),"TANIMSIZ MÜŞTERİ"))</f>
        <v/>
      </c>
      <c r="F553" s="108" t="n"/>
      <c r="G553" s="107" t="n"/>
      <c r="H553" s="114" t="n"/>
      <c r="I553" s="114" t="n"/>
      <c r="J553" s="107" t="n"/>
      <c r="K553" s="107" t="n"/>
      <c r="L553" s="108" t="n"/>
      <c r="M553" s="108" t="n"/>
      <c r="N553" s="108" t="n"/>
      <c r="O553" s="114" t="n"/>
      <c r="P553" s="120">
        <f>IF(OR($D553="",$I553=""),"",IF(OR($J553="Tamamlandı",$J553="İptal"),"",$I553-TODAY()))</f>
        <v/>
      </c>
      <c r="Q553" s="112">
        <f>IF($D553="","",IF($E553="TANIMSIZ MÜŞTERİ","HATA",IF(OR($J553="Tamamlandı",$J553="İptal"),"KAPALI",IF(AND($C553="Görüşme",$N553=""),"SONRAKİ İŞLEM EKSİK",IF($I553="","TARİH EKSİK",IF($I553&lt;TODAY(),"GECİKMİŞ",IF($I553=TODAY(),"BUGÜN",IF($I553&lt;=TODAY()+7,"7 GÜN İÇİNDE","PLANLI"))))))))</f>
        <v/>
      </c>
      <c r="R553" s="6" t="n"/>
      <c r="S553" s="6" t="n"/>
    </row>
    <row r="554">
      <c r="A554" s="6" t="n"/>
      <c r="B554" s="112">
        <f>IF($D554="","","A"&amp;TEXT(ROW()-6,"00000"))</f>
        <v/>
      </c>
      <c r="C554" s="107" t="n"/>
      <c r="D554" s="107" t="n"/>
      <c r="E554" s="113">
        <f>IF($D554="","",IFERROR(INDEX(MUSTERILER!$C$7:$C$106,MATCH($D554,MUSTERILER!$B$7:$B$106,0)),"TANIMSIZ MÜŞTERİ"))</f>
        <v/>
      </c>
      <c r="F554" s="108" t="n"/>
      <c r="G554" s="107" t="n"/>
      <c r="H554" s="114" t="n"/>
      <c r="I554" s="114" t="n"/>
      <c r="J554" s="107" t="n"/>
      <c r="K554" s="107" t="n"/>
      <c r="L554" s="108" t="n"/>
      <c r="M554" s="108" t="n"/>
      <c r="N554" s="108" t="n"/>
      <c r="O554" s="114" t="n"/>
      <c r="P554" s="120">
        <f>IF(OR($D554="",$I554=""),"",IF(OR($J554="Tamamlandı",$J554="İptal"),"",$I554-TODAY()))</f>
        <v/>
      </c>
      <c r="Q554" s="112">
        <f>IF($D554="","",IF($E554="TANIMSIZ MÜŞTERİ","HATA",IF(OR($J554="Tamamlandı",$J554="İptal"),"KAPALI",IF(AND($C554="Görüşme",$N554=""),"SONRAKİ İŞLEM EKSİK",IF($I554="","TARİH EKSİK",IF($I554&lt;TODAY(),"GECİKMİŞ",IF($I554=TODAY(),"BUGÜN",IF($I554&lt;=TODAY()+7,"7 GÜN İÇİNDE","PLANLI"))))))))</f>
        <v/>
      </c>
      <c r="R554" s="6" t="n"/>
      <c r="S554" s="6" t="n"/>
    </row>
    <row r="555">
      <c r="A555" s="6" t="n"/>
      <c r="B555" s="112">
        <f>IF($D555="","","A"&amp;TEXT(ROW()-6,"00000"))</f>
        <v/>
      </c>
      <c r="C555" s="107" t="n"/>
      <c r="D555" s="107" t="n"/>
      <c r="E555" s="113">
        <f>IF($D555="","",IFERROR(INDEX(MUSTERILER!$C$7:$C$106,MATCH($D555,MUSTERILER!$B$7:$B$106,0)),"TANIMSIZ MÜŞTERİ"))</f>
        <v/>
      </c>
      <c r="F555" s="108" t="n"/>
      <c r="G555" s="107" t="n"/>
      <c r="H555" s="114" t="n"/>
      <c r="I555" s="114" t="n"/>
      <c r="J555" s="107" t="n"/>
      <c r="K555" s="107" t="n"/>
      <c r="L555" s="108" t="n"/>
      <c r="M555" s="108" t="n"/>
      <c r="N555" s="108" t="n"/>
      <c r="O555" s="114" t="n"/>
      <c r="P555" s="120">
        <f>IF(OR($D555="",$I555=""),"",IF(OR($J555="Tamamlandı",$J555="İptal"),"",$I555-TODAY()))</f>
        <v/>
      </c>
      <c r="Q555" s="112">
        <f>IF($D555="","",IF($E555="TANIMSIZ MÜŞTERİ","HATA",IF(OR($J555="Tamamlandı",$J555="İptal"),"KAPALI",IF(AND($C555="Görüşme",$N555=""),"SONRAKİ İŞLEM EKSİK",IF($I555="","TARİH EKSİK",IF($I555&lt;TODAY(),"GECİKMİŞ",IF($I555=TODAY(),"BUGÜN",IF($I555&lt;=TODAY()+7,"7 GÜN İÇİNDE","PLANLI"))))))))</f>
        <v/>
      </c>
      <c r="R555" s="6" t="n"/>
      <c r="S555" s="6" t="n"/>
    </row>
    <row r="556">
      <c r="A556" s="6" t="n"/>
      <c r="B556" s="112">
        <f>IF($D556="","","A"&amp;TEXT(ROW()-6,"00000"))</f>
        <v/>
      </c>
      <c r="C556" s="107" t="n"/>
      <c r="D556" s="107" t="n"/>
      <c r="E556" s="113">
        <f>IF($D556="","",IFERROR(INDEX(MUSTERILER!$C$7:$C$106,MATCH($D556,MUSTERILER!$B$7:$B$106,0)),"TANIMSIZ MÜŞTERİ"))</f>
        <v/>
      </c>
      <c r="F556" s="108" t="n"/>
      <c r="G556" s="107" t="n"/>
      <c r="H556" s="114" t="n"/>
      <c r="I556" s="114" t="n"/>
      <c r="J556" s="107" t="n"/>
      <c r="K556" s="107" t="n"/>
      <c r="L556" s="108" t="n"/>
      <c r="M556" s="108" t="n"/>
      <c r="N556" s="108" t="n"/>
      <c r="O556" s="114" t="n"/>
      <c r="P556" s="120">
        <f>IF(OR($D556="",$I556=""),"",IF(OR($J556="Tamamlandı",$J556="İptal"),"",$I556-TODAY()))</f>
        <v/>
      </c>
      <c r="Q556" s="112">
        <f>IF($D556="","",IF($E556="TANIMSIZ MÜŞTERİ","HATA",IF(OR($J556="Tamamlandı",$J556="İptal"),"KAPALI",IF(AND($C556="Görüşme",$N556=""),"SONRAKİ İŞLEM EKSİK",IF($I556="","TARİH EKSİK",IF($I556&lt;TODAY(),"GECİKMİŞ",IF($I556=TODAY(),"BUGÜN",IF($I556&lt;=TODAY()+7,"7 GÜN İÇİNDE","PLANLI"))))))))</f>
        <v/>
      </c>
      <c r="R556" s="6" t="n"/>
      <c r="S556" s="6" t="n"/>
    </row>
    <row r="557">
      <c r="A557" s="6" t="n"/>
      <c r="B557" s="112">
        <f>IF($D557="","","A"&amp;TEXT(ROW()-6,"00000"))</f>
        <v/>
      </c>
      <c r="C557" s="107" t="n"/>
      <c r="D557" s="107" t="n"/>
      <c r="E557" s="113">
        <f>IF($D557="","",IFERROR(INDEX(MUSTERILER!$C$7:$C$106,MATCH($D557,MUSTERILER!$B$7:$B$106,0)),"TANIMSIZ MÜŞTERİ"))</f>
        <v/>
      </c>
      <c r="F557" s="108" t="n"/>
      <c r="G557" s="107" t="n"/>
      <c r="H557" s="114" t="n"/>
      <c r="I557" s="114" t="n"/>
      <c r="J557" s="107" t="n"/>
      <c r="K557" s="107" t="n"/>
      <c r="L557" s="108" t="n"/>
      <c r="M557" s="108" t="n"/>
      <c r="N557" s="108" t="n"/>
      <c r="O557" s="114" t="n"/>
      <c r="P557" s="120">
        <f>IF(OR($D557="",$I557=""),"",IF(OR($J557="Tamamlandı",$J557="İptal"),"",$I557-TODAY()))</f>
        <v/>
      </c>
      <c r="Q557" s="112">
        <f>IF($D557="","",IF($E557="TANIMSIZ MÜŞTERİ","HATA",IF(OR($J557="Tamamlandı",$J557="İptal"),"KAPALI",IF(AND($C557="Görüşme",$N557=""),"SONRAKİ İŞLEM EKSİK",IF($I557="","TARİH EKSİK",IF($I557&lt;TODAY(),"GECİKMİŞ",IF($I557=TODAY(),"BUGÜN",IF($I557&lt;=TODAY()+7,"7 GÜN İÇİNDE","PLANLI"))))))))</f>
        <v/>
      </c>
      <c r="R557" s="6" t="n"/>
      <c r="S557" s="6" t="n"/>
    </row>
    <row r="558">
      <c r="A558" s="6" t="n"/>
      <c r="B558" s="112">
        <f>IF($D558="","","A"&amp;TEXT(ROW()-6,"00000"))</f>
        <v/>
      </c>
      <c r="C558" s="107" t="n"/>
      <c r="D558" s="107" t="n"/>
      <c r="E558" s="113">
        <f>IF($D558="","",IFERROR(INDEX(MUSTERILER!$C$7:$C$106,MATCH($D558,MUSTERILER!$B$7:$B$106,0)),"TANIMSIZ MÜŞTERİ"))</f>
        <v/>
      </c>
      <c r="F558" s="108" t="n"/>
      <c r="G558" s="107" t="n"/>
      <c r="H558" s="114" t="n"/>
      <c r="I558" s="114" t="n"/>
      <c r="J558" s="107" t="n"/>
      <c r="K558" s="107" t="n"/>
      <c r="L558" s="108" t="n"/>
      <c r="M558" s="108" t="n"/>
      <c r="N558" s="108" t="n"/>
      <c r="O558" s="114" t="n"/>
      <c r="P558" s="120">
        <f>IF(OR($D558="",$I558=""),"",IF(OR($J558="Tamamlandı",$J558="İptal"),"",$I558-TODAY()))</f>
        <v/>
      </c>
      <c r="Q558" s="112">
        <f>IF($D558="","",IF($E558="TANIMSIZ MÜŞTERİ","HATA",IF(OR($J558="Tamamlandı",$J558="İptal"),"KAPALI",IF(AND($C558="Görüşme",$N558=""),"SONRAKİ İŞLEM EKSİK",IF($I558="","TARİH EKSİK",IF($I558&lt;TODAY(),"GECİKMİŞ",IF($I558=TODAY(),"BUGÜN",IF($I558&lt;=TODAY()+7,"7 GÜN İÇİNDE","PLANLI"))))))))</f>
        <v/>
      </c>
      <c r="R558" s="6" t="n"/>
      <c r="S558" s="6" t="n"/>
    </row>
    <row r="559">
      <c r="A559" s="6" t="n"/>
      <c r="B559" s="112">
        <f>IF($D559="","","A"&amp;TEXT(ROW()-6,"00000"))</f>
        <v/>
      </c>
      <c r="C559" s="107" t="n"/>
      <c r="D559" s="107" t="n"/>
      <c r="E559" s="113">
        <f>IF($D559="","",IFERROR(INDEX(MUSTERILER!$C$7:$C$106,MATCH($D559,MUSTERILER!$B$7:$B$106,0)),"TANIMSIZ MÜŞTERİ"))</f>
        <v/>
      </c>
      <c r="F559" s="108" t="n"/>
      <c r="G559" s="107" t="n"/>
      <c r="H559" s="114" t="n"/>
      <c r="I559" s="114" t="n"/>
      <c r="J559" s="107" t="n"/>
      <c r="K559" s="107" t="n"/>
      <c r="L559" s="108" t="n"/>
      <c r="M559" s="108" t="n"/>
      <c r="N559" s="108" t="n"/>
      <c r="O559" s="114" t="n"/>
      <c r="P559" s="120">
        <f>IF(OR($D559="",$I559=""),"",IF(OR($J559="Tamamlandı",$J559="İptal"),"",$I559-TODAY()))</f>
        <v/>
      </c>
      <c r="Q559" s="112">
        <f>IF($D559="","",IF($E559="TANIMSIZ MÜŞTERİ","HATA",IF(OR($J559="Tamamlandı",$J559="İptal"),"KAPALI",IF(AND($C559="Görüşme",$N559=""),"SONRAKİ İŞLEM EKSİK",IF($I559="","TARİH EKSİK",IF($I559&lt;TODAY(),"GECİKMİŞ",IF($I559=TODAY(),"BUGÜN",IF($I559&lt;=TODAY()+7,"7 GÜN İÇİNDE","PLANLI"))))))))</f>
        <v/>
      </c>
      <c r="R559" s="6" t="n"/>
      <c r="S559" s="6" t="n"/>
    </row>
    <row r="560">
      <c r="A560" s="6" t="n"/>
      <c r="B560" s="112">
        <f>IF($D560="","","A"&amp;TEXT(ROW()-6,"00000"))</f>
        <v/>
      </c>
      <c r="C560" s="107" t="n"/>
      <c r="D560" s="107" t="n"/>
      <c r="E560" s="113">
        <f>IF($D560="","",IFERROR(INDEX(MUSTERILER!$C$7:$C$106,MATCH($D560,MUSTERILER!$B$7:$B$106,0)),"TANIMSIZ MÜŞTERİ"))</f>
        <v/>
      </c>
      <c r="F560" s="108" t="n"/>
      <c r="G560" s="107" t="n"/>
      <c r="H560" s="114" t="n"/>
      <c r="I560" s="114" t="n"/>
      <c r="J560" s="107" t="n"/>
      <c r="K560" s="107" t="n"/>
      <c r="L560" s="108" t="n"/>
      <c r="M560" s="108" t="n"/>
      <c r="N560" s="108" t="n"/>
      <c r="O560" s="114" t="n"/>
      <c r="P560" s="120">
        <f>IF(OR($D560="",$I560=""),"",IF(OR($J560="Tamamlandı",$J560="İptal"),"",$I560-TODAY()))</f>
        <v/>
      </c>
      <c r="Q560" s="112">
        <f>IF($D560="","",IF($E560="TANIMSIZ MÜŞTERİ","HATA",IF(OR($J560="Tamamlandı",$J560="İptal"),"KAPALI",IF(AND($C560="Görüşme",$N560=""),"SONRAKİ İŞLEM EKSİK",IF($I560="","TARİH EKSİK",IF($I560&lt;TODAY(),"GECİKMİŞ",IF($I560=TODAY(),"BUGÜN",IF($I560&lt;=TODAY()+7,"7 GÜN İÇİNDE","PLANLI"))))))))</f>
        <v/>
      </c>
      <c r="R560" s="6" t="n"/>
      <c r="S560" s="6" t="n"/>
    </row>
    <row r="561">
      <c r="A561" s="6" t="n"/>
      <c r="B561" s="112">
        <f>IF($D561="","","A"&amp;TEXT(ROW()-6,"00000"))</f>
        <v/>
      </c>
      <c r="C561" s="107" t="n"/>
      <c r="D561" s="107" t="n"/>
      <c r="E561" s="113">
        <f>IF($D561="","",IFERROR(INDEX(MUSTERILER!$C$7:$C$106,MATCH($D561,MUSTERILER!$B$7:$B$106,0)),"TANIMSIZ MÜŞTERİ"))</f>
        <v/>
      </c>
      <c r="F561" s="108" t="n"/>
      <c r="G561" s="107" t="n"/>
      <c r="H561" s="114" t="n"/>
      <c r="I561" s="114" t="n"/>
      <c r="J561" s="107" t="n"/>
      <c r="K561" s="107" t="n"/>
      <c r="L561" s="108" t="n"/>
      <c r="M561" s="108" t="n"/>
      <c r="N561" s="108" t="n"/>
      <c r="O561" s="114" t="n"/>
      <c r="P561" s="120">
        <f>IF(OR($D561="",$I561=""),"",IF(OR($J561="Tamamlandı",$J561="İptal"),"",$I561-TODAY()))</f>
        <v/>
      </c>
      <c r="Q561" s="112">
        <f>IF($D561="","",IF($E561="TANIMSIZ MÜŞTERİ","HATA",IF(OR($J561="Tamamlandı",$J561="İptal"),"KAPALI",IF(AND($C561="Görüşme",$N561=""),"SONRAKİ İŞLEM EKSİK",IF($I561="","TARİH EKSİK",IF($I561&lt;TODAY(),"GECİKMİŞ",IF($I561=TODAY(),"BUGÜN",IF($I561&lt;=TODAY()+7,"7 GÜN İÇİNDE","PLANLI"))))))))</f>
        <v/>
      </c>
      <c r="R561" s="6" t="n"/>
      <c r="S561" s="6" t="n"/>
    </row>
    <row r="562">
      <c r="A562" s="6" t="n"/>
      <c r="B562" s="112">
        <f>IF($D562="","","A"&amp;TEXT(ROW()-6,"00000"))</f>
        <v/>
      </c>
      <c r="C562" s="107" t="n"/>
      <c r="D562" s="107" t="n"/>
      <c r="E562" s="113">
        <f>IF($D562="","",IFERROR(INDEX(MUSTERILER!$C$7:$C$106,MATCH($D562,MUSTERILER!$B$7:$B$106,0)),"TANIMSIZ MÜŞTERİ"))</f>
        <v/>
      </c>
      <c r="F562" s="108" t="n"/>
      <c r="G562" s="107" t="n"/>
      <c r="H562" s="114" t="n"/>
      <c r="I562" s="114" t="n"/>
      <c r="J562" s="107" t="n"/>
      <c r="K562" s="107" t="n"/>
      <c r="L562" s="108" t="n"/>
      <c r="M562" s="108" t="n"/>
      <c r="N562" s="108" t="n"/>
      <c r="O562" s="114" t="n"/>
      <c r="P562" s="120">
        <f>IF(OR($D562="",$I562=""),"",IF(OR($J562="Tamamlandı",$J562="İptal"),"",$I562-TODAY()))</f>
        <v/>
      </c>
      <c r="Q562" s="112">
        <f>IF($D562="","",IF($E562="TANIMSIZ MÜŞTERİ","HATA",IF(OR($J562="Tamamlandı",$J562="İptal"),"KAPALI",IF(AND($C562="Görüşme",$N562=""),"SONRAKİ İŞLEM EKSİK",IF($I562="","TARİH EKSİK",IF($I562&lt;TODAY(),"GECİKMİŞ",IF($I562=TODAY(),"BUGÜN",IF($I562&lt;=TODAY()+7,"7 GÜN İÇİNDE","PLANLI"))))))))</f>
        <v/>
      </c>
      <c r="R562" s="6" t="n"/>
      <c r="S562" s="6" t="n"/>
    </row>
    <row r="563">
      <c r="A563" s="6" t="n"/>
      <c r="B563" s="112">
        <f>IF($D563="","","A"&amp;TEXT(ROW()-6,"00000"))</f>
        <v/>
      </c>
      <c r="C563" s="107" t="n"/>
      <c r="D563" s="107" t="n"/>
      <c r="E563" s="113">
        <f>IF($D563="","",IFERROR(INDEX(MUSTERILER!$C$7:$C$106,MATCH($D563,MUSTERILER!$B$7:$B$106,0)),"TANIMSIZ MÜŞTERİ"))</f>
        <v/>
      </c>
      <c r="F563" s="108" t="n"/>
      <c r="G563" s="107" t="n"/>
      <c r="H563" s="114" t="n"/>
      <c r="I563" s="114" t="n"/>
      <c r="J563" s="107" t="n"/>
      <c r="K563" s="107" t="n"/>
      <c r="L563" s="108" t="n"/>
      <c r="M563" s="108" t="n"/>
      <c r="N563" s="108" t="n"/>
      <c r="O563" s="114" t="n"/>
      <c r="P563" s="120">
        <f>IF(OR($D563="",$I563=""),"",IF(OR($J563="Tamamlandı",$J563="İptal"),"",$I563-TODAY()))</f>
        <v/>
      </c>
      <c r="Q563" s="112">
        <f>IF($D563="","",IF($E563="TANIMSIZ MÜŞTERİ","HATA",IF(OR($J563="Tamamlandı",$J563="İptal"),"KAPALI",IF(AND($C563="Görüşme",$N563=""),"SONRAKİ İŞLEM EKSİK",IF($I563="","TARİH EKSİK",IF($I563&lt;TODAY(),"GECİKMİŞ",IF($I563=TODAY(),"BUGÜN",IF($I563&lt;=TODAY()+7,"7 GÜN İÇİNDE","PLANLI"))))))))</f>
        <v/>
      </c>
      <c r="R563" s="6" t="n"/>
      <c r="S563" s="6" t="n"/>
    </row>
    <row r="564">
      <c r="A564" s="6" t="n"/>
      <c r="B564" s="112">
        <f>IF($D564="","","A"&amp;TEXT(ROW()-6,"00000"))</f>
        <v/>
      </c>
      <c r="C564" s="107" t="n"/>
      <c r="D564" s="107" t="n"/>
      <c r="E564" s="113">
        <f>IF($D564="","",IFERROR(INDEX(MUSTERILER!$C$7:$C$106,MATCH($D564,MUSTERILER!$B$7:$B$106,0)),"TANIMSIZ MÜŞTERİ"))</f>
        <v/>
      </c>
      <c r="F564" s="108" t="n"/>
      <c r="G564" s="107" t="n"/>
      <c r="H564" s="114" t="n"/>
      <c r="I564" s="114" t="n"/>
      <c r="J564" s="107" t="n"/>
      <c r="K564" s="107" t="n"/>
      <c r="L564" s="108" t="n"/>
      <c r="M564" s="108" t="n"/>
      <c r="N564" s="108" t="n"/>
      <c r="O564" s="114" t="n"/>
      <c r="P564" s="120">
        <f>IF(OR($D564="",$I564=""),"",IF(OR($J564="Tamamlandı",$J564="İptal"),"",$I564-TODAY()))</f>
        <v/>
      </c>
      <c r="Q564" s="112">
        <f>IF($D564="","",IF($E564="TANIMSIZ MÜŞTERİ","HATA",IF(OR($J564="Tamamlandı",$J564="İptal"),"KAPALI",IF(AND($C564="Görüşme",$N564=""),"SONRAKİ İŞLEM EKSİK",IF($I564="","TARİH EKSİK",IF($I564&lt;TODAY(),"GECİKMİŞ",IF($I564=TODAY(),"BUGÜN",IF($I564&lt;=TODAY()+7,"7 GÜN İÇİNDE","PLANLI"))))))))</f>
        <v/>
      </c>
      <c r="R564" s="6" t="n"/>
      <c r="S564" s="6" t="n"/>
    </row>
    <row r="565">
      <c r="A565" s="6" t="n"/>
      <c r="B565" s="112">
        <f>IF($D565="","","A"&amp;TEXT(ROW()-6,"00000"))</f>
        <v/>
      </c>
      <c r="C565" s="107" t="n"/>
      <c r="D565" s="107" t="n"/>
      <c r="E565" s="113">
        <f>IF($D565="","",IFERROR(INDEX(MUSTERILER!$C$7:$C$106,MATCH($D565,MUSTERILER!$B$7:$B$106,0)),"TANIMSIZ MÜŞTERİ"))</f>
        <v/>
      </c>
      <c r="F565" s="108" t="n"/>
      <c r="G565" s="107" t="n"/>
      <c r="H565" s="114" t="n"/>
      <c r="I565" s="114" t="n"/>
      <c r="J565" s="107" t="n"/>
      <c r="K565" s="107" t="n"/>
      <c r="L565" s="108" t="n"/>
      <c r="M565" s="108" t="n"/>
      <c r="N565" s="108" t="n"/>
      <c r="O565" s="114" t="n"/>
      <c r="P565" s="120">
        <f>IF(OR($D565="",$I565=""),"",IF(OR($J565="Tamamlandı",$J565="İptal"),"",$I565-TODAY()))</f>
        <v/>
      </c>
      <c r="Q565" s="112">
        <f>IF($D565="","",IF($E565="TANIMSIZ MÜŞTERİ","HATA",IF(OR($J565="Tamamlandı",$J565="İptal"),"KAPALI",IF(AND($C565="Görüşme",$N565=""),"SONRAKİ İŞLEM EKSİK",IF($I565="","TARİH EKSİK",IF($I565&lt;TODAY(),"GECİKMİŞ",IF($I565=TODAY(),"BUGÜN",IF($I565&lt;=TODAY()+7,"7 GÜN İÇİNDE","PLANLI"))))))))</f>
        <v/>
      </c>
      <c r="R565" s="6" t="n"/>
      <c r="S565" s="6" t="n"/>
    </row>
    <row r="566">
      <c r="A566" s="6" t="n"/>
      <c r="B566" s="112">
        <f>IF($D566="","","A"&amp;TEXT(ROW()-6,"00000"))</f>
        <v/>
      </c>
      <c r="C566" s="107" t="n"/>
      <c r="D566" s="107" t="n"/>
      <c r="E566" s="113">
        <f>IF($D566="","",IFERROR(INDEX(MUSTERILER!$C$7:$C$106,MATCH($D566,MUSTERILER!$B$7:$B$106,0)),"TANIMSIZ MÜŞTERİ"))</f>
        <v/>
      </c>
      <c r="F566" s="108" t="n"/>
      <c r="G566" s="107" t="n"/>
      <c r="H566" s="114" t="n"/>
      <c r="I566" s="114" t="n"/>
      <c r="J566" s="107" t="n"/>
      <c r="K566" s="107" t="n"/>
      <c r="L566" s="108" t="n"/>
      <c r="M566" s="108" t="n"/>
      <c r="N566" s="108" t="n"/>
      <c r="O566" s="114" t="n"/>
      <c r="P566" s="120">
        <f>IF(OR($D566="",$I566=""),"",IF(OR($J566="Tamamlandı",$J566="İptal"),"",$I566-TODAY()))</f>
        <v/>
      </c>
      <c r="Q566" s="112">
        <f>IF($D566="","",IF($E566="TANIMSIZ MÜŞTERİ","HATA",IF(OR($J566="Tamamlandı",$J566="İptal"),"KAPALI",IF(AND($C566="Görüşme",$N566=""),"SONRAKİ İŞLEM EKSİK",IF($I566="","TARİH EKSİK",IF($I566&lt;TODAY(),"GECİKMİŞ",IF($I566=TODAY(),"BUGÜN",IF($I566&lt;=TODAY()+7,"7 GÜN İÇİNDE","PLANLI"))))))))</f>
        <v/>
      </c>
      <c r="R566" s="6" t="n"/>
      <c r="S566" s="6" t="n"/>
    </row>
    <row r="567">
      <c r="A567" s="6" t="n"/>
      <c r="B567" s="112">
        <f>IF($D567="","","A"&amp;TEXT(ROW()-6,"00000"))</f>
        <v/>
      </c>
      <c r="C567" s="107" t="n"/>
      <c r="D567" s="107" t="n"/>
      <c r="E567" s="113">
        <f>IF($D567="","",IFERROR(INDEX(MUSTERILER!$C$7:$C$106,MATCH($D567,MUSTERILER!$B$7:$B$106,0)),"TANIMSIZ MÜŞTERİ"))</f>
        <v/>
      </c>
      <c r="F567" s="108" t="n"/>
      <c r="G567" s="107" t="n"/>
      <c r="H567" s="114" t="n"/>
      <c r="I567" s="114" t="n"/>
      <c r="J567" s="107" t="n"/>
      <c r="K567" s="107" t="n"/>
      <c r="L567" s="108" t="n"/>
      <c r="M567" s="108" t="n"/>
      <c r="N567" s="108" t="n"/>
      <c r="O567" s="114" t="n"/>
      <c r="P567" s="120">
        <f>IF(OR($D567="",$I567=""),"",IF(OR($J567="Tamamlandı",$J567="İptal"),"",$I567-TODAY()))</f>
        <v/>
      </c>
      <c r="Q567" s="112">
        <f>IF($D567="","",IF($E567="TANIMSIZ MÜŞTERİ","HATA",IF(OR($J567="Tamamlandı",$J567="İptal"),"KAPALI",IF(AND($C567="Görüşme",$N567=""),"SONRAKİ İŞLEM EKSİK",IF($I567="","TARİH EKSİK",IF($I567&lt;TODAY(),"GECİKMİŞ",IF($I567=TODAY(),"BUGÜN",IF($I567&lt;=TODAY()+7,"7 GÜN İÇİNDE","PLANLI"))))))))</f>
        <v/>
      </c>
      <c r="R567" s="6" t="n"/>
      <c r="S567" s="6" t="n"/>
    </row>
    <row r="568">
      <c r="A568" s="6" t="n"/>
      <c r="B568" s="112">
        <f>IF($D568="","","A"&amp;TEXT(ROW()-6,"00000"))</f>
        <v/>
      </c>
      <c r="C568" s="107" t="n"/>
      <c r="D568" s="107" t="n"/>
      <c r="E568" s="113">
        <f>IF($D568="","",IFERROR(INDEX(MUSTERILER!$C$7:$C$106,MATCH($D568,MUSTERILER!$B$7:$B$106,0)),"TANIMSIZ MÜŞTERİ"))</f>
        <v/>
      </c>
      <c r="F568" s="108" t="n"/>
      <c r="G568" s="107" t="n"/>
      <c r="H568" s="114" t="n"/>
      <c r="I568" s="114" t="n"/>
      <c r="J568" s="107" t="n"/>
      <c r="K568" s="107" t="n"/>
      <c r="L568" s="108" t="n"/>
      <c r="M568" s="108" t="n"/>
      <c r="N568" s="108" t="n"/>
      <c r="O568" s="114" t="n"/>
      <c r="P568" s="120">
        <f>IF(OR($D568="",$I568=""),"",IF(OR($J568="Tamamlandı",$J568="İptal"),"",$I568-TODAY()))</f>
        <v/>
      </c>
      <c r="Q568" s="112">
        <f>IF($D568="","",IF($E568="TANIMSIZ MÜŞTERİ","HATA",IF(OR($J568="Tamamlandı",$J568="İptal"),"KAPALI",IF(AND($C568="Görüşme",$N568=""),"SONRAKİ İŞLEM EKSİK",IF($I568="","TARİH EKSİK",IF($I568&lt;TODAY(),"GECİKMİŞ",IF($I568=TODAY(),"BUGÜN",IF($I568&lt;=TODAY()+7,"7 GÜN İÇİNDE","PLANLI"))))))))</f>
        <v/>
      </c>
      <c r="R568" s="6" t="n"/>
      <c r="S568" s="6" t="n"/>
    </row>
    <row r="569">
      <c r="A569" s="6" t="n"/>
      <c r="B569" s="112">
        <f>IF($D569="","","A"&amp;TEXT(ROW()-6,"00000"))</f>
        <v/>
      </c>
      <c r="C569" s="107" t="n"/>
      <c r="D569" s="107" t="n"/>
      <c r="E569" s="113">
        <f>IF($D569="","",IFERROR(INDEX(MUSTERILER!$C$7:$C$106,MATCH($D569,MUSTERILER!$B$7:$B$106,0)),"TANIMSIZ MÜŞTERİ"))</f>
        <v/>
      </c>
      <c r="F569" s="108" t="n"/>
      <c r="G569" s="107" t="n"/>
      <c r="H569" s="114" t="n"/>
      <c r="I569" s="114" t="n"/>
      <c r="J569" s="107" t="n"/>
      <c r="K569" s="107" t="n"/>
      <c r="L569" s="108" t="n"/>
      <c r="M569" s="108" t="n"/>
      <c r="N569" s="108" t="n"/>
      <c r="O569" s="114" t="n"/>
      <c r="P569" s="120">
        <f>IF(OR($D569="",$I569=""),"",IF(OR($J569="Tamamlandı",$J569="İptal"),"",$I569-TODAY()))</f>
        <v/>
      </c>
      <c r="Q569" s="112">
        <f>IF($D569="","",IF($E569="TANIMSIZ MÜŞTERİ","HATA",IF(OR($J569="Tamamlandı",$J569="İptal"),"KAPALI",IF(AND($C569="Görüşme",$N569=""),"SONRAKİ İŞLEM EKSİK",IF($I569="","TARİH EKSİK",IF($I569&lt;TODAY(),"GECİKMİŞ",IF($I569=TODAY(),"BUGÜN",IF($I569&lt;=TODAY()+7,"7 GÜN İÇİNDE","PLANLI"))))))))</f>
        <v/>
      </c>
      <c r="R569" s="6" t="n"/>
      <c r="S569" s="6" t="n"/>
    </row>
    <row r="570">
      <c r="A570" s="6" t="n"/>
      <c r="B570" s="112">
        <f>IF($D570="","","A"&amp;TEXT(ROW()-6,"00000"))</f>
        <v/>
      </c>
      <c r="C570" s="107" t="n"/>
      <c r="D570" s="107" t="n"/>
      <c r="E570" s="113">
        <f>IF($D570="","",IFERROR(INDEX(MUSTERILER!$C$7:$C$106,MATCH($D570,MUSTERILER!$B$7:$B$106,0)),"TANIMSIZ MÜŞTERİ"))</f>
        <v/>
      </c>
      <c r="F570" s="108" t="n"/>
      <c r="G570" s="107" t="n"/>
      <c r="H570" s="114" t="n"/>
      <c r="I570" s="114" t="n"/>
      <c r="J570" s="107" t="n"/>
      <c r="K570" s="107" t="n"/>
      <c r="L570" s="108" t="n"/>
      <c r="M570" s="108" t="n"/>
      <c r="N570" s="108" t="n"/>
      <c r="O570" s="114" t="n"/>
      <c r="P570" s="120">
        <f>IF(OR($D570="",$I570=""),"",IF(OR($J570="Tamamlandı",$J570="İptal"),"",$I570-TODAY()))</f>
        <v/>
      </c>
      <c r="Q570" s="112">
        <f>IF($D570="","",IF($E570="TANIMSIZ MÜŞTERİ","HATA",IF(OR($J570="Tamamlandı",$J570="İptal"),"KAPALI",IF(AND($C570="Görüşme",$N570=""),"SONRAKİ İŞLEM EKSİK",IF($I570="","TARİH EKSİK",IF($I570&lt;TODAY(),"GECİKMİŞ",IF($I570=TODAY(),"BUGÜN",IF($I570&lt;=TODAY()+7,"7 GÜN İÇİNDE","PLANLI"))))))))</f>
        <v/>
      </c>
      <c r="R570" s="6" t="n"/>
      <c r="S570" s="6" t="n"/>
    </row>
    <row r="571">
      <c r="A571" s="6" t="n"/>
      <c r="B571" s="112">
        <f>IF($D571="","","A"&amp;TEXT(ROW()-6,"00000"))</f>
        <v/>
      </c>
      <c r="C571" s="107" t="n"/>
      <c r="D571" s="107" t="n"/>
      <c r="E571" s="113">
        <f>IF($D571="","",IFERROR(INDEX(MUSTERILER!$C$7:$C$106,MATCH($D571,MUSTERILER!$B$7:$B$106,0)),"TANIMSIZ MÜŞTERİ"))</f>
        <v/>
      </c>
      <c r="F571" s="108" t="n"/>
      <c r="G571" s="107" t="n"/>
      <c r="H571" s="114" t="n"/>
      <c r="I571" s="114" t="n"/>
      <c r="J571" s="107" t="n"/>
      <c r="K571" s="107" t="n"/>
      <c r="L571" s="108" t="n"/>
      <c r="M571" s="108" t="n"/>
      <c r="N571" s="108" t="n"/>
      <c r="O571" s="114" t="n"/>
      <c r="P571" s="120">
        <f>IF(OR($D571="",$I571=""),"",IF(OR($J571="Tamamlandı",$J571="İptal"),"",$I571-TODAY()))</f>
        <v/>
      </c>
      <c r="Q571" s="112">
        <f>IF($D571="","",IF($E571="TANIMSIZ MÜŞTERİ","HATA",IF(OR($J571="Tamamlandı",$J571="İptal"),"KAPALI",IF(AND($C571="Görüşme",$N571=""),"SONRAKİ İŞLEM EKSİK",IF($I571="","TARİH EKSİK",IF($I571&lt;TODAY(),"GECİKMİŞ",IF($I571=TODAY(),"BUGÜN",IF($I571&lt;=TODAY()+7,"7 GÜN İÇİNDE","PLANLI"))))))))</f>
        <v/>
      </c>
      <c r="R571" s="6" t="n"/>
      <c r="S571" s="6" t="n"/>
    </row>
    <row r="572">
      <c r="A572" s="6" t="n"/>
      <c r="B572" s="112">
        <f>IF($D572="","","A"&amp;TEXT(ROW()-6,"00000"))</f>
        <v/>
      </c>
      <c r="C572" s="107" t="n"/>
      <c r="D572" s="107" t="n"/>
      <c r="E572" s="113">
        <f>IF($D572="","",IFERROR(INDEX(MUSTERILER!$C$7:$C$106,MATCH($D572,MUSTERILER!$B$7:$B$106,0)),"TANIMSIZ MÜŞTERİ"))</f>
        <v/>
      </c>
      <c r="F572" s="108" t="n"/>
      <c r="G572" s="107" t="n"/>
      <c r="H572" s="114" t="n"/>
      <c r="I572" s="114" t="n"/>
      <c r="J572" s="107" t="n"/>
      <c r="K572" s="107" t="n"/>
      <c r="L572" s="108" t="n"/>
      <c r="M572" s="108" t="n"/>
      <c r="N572" s="108" t="n"/>
      <c r="O572" s="114" t="n"/>
      <c r="P572" s="120">
        <f>IF(OR($D572="",$I572=""),"",IF(OR($J572="Tamamlandı",$J572="İptal"),"",$I572-TODAY()))</f>
        <v/>
      </c>
      <c r="Q572" s="112">
        <f>IF($D572="","",IF($E572="TANIMSIZ MÜŞTERİ","HATA",IF(OR($J572="Tamamlandı",$J572="İptal"),"KAPALI",IF(AND($C572="Görüşme",$N572=""),"SONRAKİ İŞLEM EKSİK",IF($I572="","TARİH EKSİK",IF($I572&lt;TODAY(),"GECİKMİŞ",IF($I572=TODAY(),"BUGÜN",IF($I572&lt;=TODAY()+7,"7 GÜN İÇİNDE","PLANLI"))))))))</f>
        <v/>
      </c>
      <c r="R572" s="6" t="n"/>
      <c r="S572" s="6" t="n"/>
    </row>
    <row r="573">
      <c r="A573" s="6" t="n"/>
      <c r="B573" s="112">
        <f>IF($D573="","","A"&amp;TEXT(ROW()-6,"00000"))</f>
        <v/>
      </c>
      <c r="C573" s="107" t="n"/>
      <c r="D573" s="107" t="n"/>
      <c r="E573" s="113">
        <f>IF($D573="","",IFERROR(INDEX(MUSTERILER!$C$7:$C$106,MATCH($D573,MUSTERILER!$B$7:$B$106,0)),"TANIMSIZ MÜŞTERİ"))</f>
        <v/>
      </c>
      <c r="F573" s="108" t="n"/>
      <c r="G573" s="107" t="n"/>
      <c r="H573" s="114" t="n"/>
      <c r="I573" s="114" t="n"/>
      <c r="J573" s="107" t="n"/>
      <c r="K573" s="107" t="n"/>
      <c r="L573" s="108" t="n"/>
      <c r="M573" s="108" t="n"/>
      <c r="N573" s="108" t="n"/>
      <c r="O573" s="114" t="n"/>
      <c r="P573" s="120">
        <f>IF(OR($D573="",$I573=""),"",IF(OR($J573="Tamamlandı",$J573="İptal"),"",$I573-TODAY()))</f>
        <v/>
      </c>
      <c r="Q573" s="112">
        <f>IF($D573="","",IF($E573="TANIMSIZ MÜŞTERİ","HATA",IF(OR($J573="Tamamlandı",$J573="İptal"),"KAPALI",IF(AND($C573="Görüşme",$N573=""),"SONRAKİ İŞLEM EKSİK",IF($I573="","TARİH EKSİK",IF($I573&lt;TODAY(),"GECİKMİŞ",IF($I573=TODAY(),"BUGÜN",IF($I573&lt;=TODAY()+7,"7 GÜN İÇİNDE","PLANLI"))))))))</f>
        <v/>
      </c>
      <c r="R573" s="6" t="n"/>
      <c r="S573" s="6" t="n"/>
    </row>
    <row r="574">
      <c r="A574" s="6" t="n"/>
      <c r="B574" s="112">
        <f>IF($D574="","","A"&amp;TEXT(ROW()-6,"00000"))</f>
        <v/>
      </c>
      <c r="C574" s="107" t="n"/>
      <c r="D574" s="107" t="n"/>
      <c r="E574" s="113">
        <f>IF($D574="","",IFERROR(INDEX(MUSTERILER!$C$7:$C$106,MATCH($D574,MUSTERILER!$B$7:$B$106,0)),"TANIMSIZ MÜŞTERİ"))</f>
        <v/>
      </c>
      <c r="F574" s="108" t="n"/>
      <c r="G574" s="107" t="n"/>
      <c r="H574" s="114" t="n"/>
      <c r="I574" s="114" t="n"/>
      <c r="J574" s="107" t="n"/>
      <c r="K574" s="107" t="n"/>
      <c r="L574" s="108" t="n"/>
      <c r="M574" s="108" t="n"/>
      <c r="N574" s="108" t="n"/>
      <c r="O574" s="114" t="n"/>
      <c r="P574" s="120">
        <f>IF(OR($D574="",$I574=""),"",IF(OR($J574="Tamamlandı",$J574="İptal"),"",$I574-TODAY()))</f>
        <v/>
      </c>
      <c r="Q574" s="112">
        <f>IF($D574="","",IF($E574="TANIMSIZ MÜŞTERİ","HATA",IF(OR($J574="Tamamlandı",$J574="İptal"),"KAPALI",IF(AND($C574="Görüşme",$N574=""),"SONRAKİ İŞLEM EKSİK",IF($I574="","TARİH EKSİK",IF($I574&lt;TODAY(),"GECİKMİŞ",IF($I574=TODAY(),"BUGÜN",IF($I574&lt;=TODAY()+7,"7 GÜN İÇİNDE","PLANLI"))))))))</f>
        <v/>
      </c>
      <c r="R574" s="6" t="n"/>
      <c r="S574" s="6" t="n"/>
    </row>
    <row r="575">
      <c r="A575" s="6" t="n"/>
      <c r="B575" s="112">
        <f>IF($D575="","","A"&amp;TEXT(ROW()-6,"00000"))</f>
        <v/>
      </c>
      <c r="C575" s="107" t="n"/>
      <c r="D575" s="107" t="n"/>
      <c r="E575" s="113">
        <f>IF($D575="","",IFERROR(INDEX(MUSTERILER!$C$7:$C$106,MATCH($D575,MUSTERILER!$B$7:$B$106,0)),"TANIMSIZ MÜŞTERİ"))</f>
        <v/>
      </c>
      <c r="F575" s="108" t="n"/>
      <c r="G575" s="107" t="n"/>
      <c r="H575" s="114" t="n"/>
      <c r="I575" s="114" t="n"/>
      <c r="J575" s="107" t="n"/>
      <c r="K575" s="107" t="n"/>
      <c r="L575" s="108" t="n"/>
      <c r="M575" s="108" t="n"/>
      <c r="N575" s="108" t="n"/>
      <c r="O575" s="114" t="n"/>
      <c r="P575" s="120">
        <f>IF(OR($D575="",$I575=""),"",IF(OR($J575="Tamamlandı",$J575="İptal"),"",$I575-TODAY()))</f>
        <v/>
      </c>
      <c r="Q575" s="112">
        <f>IF($D575="","",IF($E575="TANIMSIZ MÜŞTERİ","HATA",IF(OR($J575="Tamamlandı",$J575="İptal"),"KAPALI",IF(AND($C575="Görüşme",$N575=""),"SONRAKİ İŞLEM EKSİK",IF($I575="","TARİH EKSİK",IF($I575&lt;TODAY(),"GECİKMİŞ",IF($I575=TODAY(),"BUGÜN",IF($I575&lt;=TODAY()+7,"7 GÜN İÇİNDE","PLANLI"))))))))</f>
        <v/>
      </c>
      <c r="R575" s="6" t="n"/>
      <c r="S575" s="6" t="n"/>
    </row>
    <row r="576">
      <c r="A576" s="6" t="n"/>
      <c r="B576" s="112">
        <f>IF($D576="","","A"&amp;TEXT(ROW()-6,"00000"))</f>
        <v/>
      </c>
      <c r="C576" s="107" t="n"/>
      <c r="D576" s="107" t="n"/>
      <c r="E576" s="113">
        <f>IF($D576="","",IFERROR(INDEX(MUSTERILER!$C$7:$C$106,MATCH($D576,MUSTERILER!$B$7:$B$106,0)),"TANIMSIZ MÜŞTERİ"))</f>
        <v/>
      </c>
      <c r="F576" s="108" t="n"/>
      <c r="G576" s="107" t="n"/>
      <c r="H576" s="114" t="n"/>
      <c r="I576" s="114" t="n"/>
      <c r="J576" s="107" t="n"/>
      <c r="K576" s="107" t="n"/>
      <c r="L576" s="108" t="n"/>
      <c r="M576" s="108" t="n"/>
      <c r="N576" s="108" t="n"/>
      <c r="O576" s="114" t="n"/>
      <c r="P576" s="120">
        <f>IF(OR($D576="",$I576=""),"",IF(OR($J576="Tamamlandı",$J576="İptal"),"",$I576-TODAY()))</f>
        <v/>
      </c>
      <c r="Q576" s="112">
        <f>IF($D576="","",IF($E576="TANIMSIZ MÜŞTERİ","HATA",IF(OR($J576="Tamamlandı",$J576="İptal"),"KAPALI",IF(AND($C576="Görüşme",$N576=""),"SONRAKİ İŞLEM EKSİK",IF($I576="","TARİH EKSİK",IF($I576&lt;TODAY(),"GECİKMİŞ",IF($I576=TODAY(),"BUGÜN",IF($I576&lt;=TODAY()+7,"7 GÜN İÇİNDE","PLANLI"))))))))</f>
        <v/>
      </c>
      <c r="R576" s="6" t="n"/>
      <c r="S576" s="6" t="n"/>
    </row>
    <row r="577">
      <c r="A577" s="6" t="n"/>
      <c r="B577" s="112">
        <f>IF($D577="","","A"&amp;TEXT(ROW()-6,"00000"))</f>
        <v/>
      </c>
      <c r="C577" s="107" t="n"/>
      <c r="D577" s="107" t="n"/>
      <c r="E577" s="113">
        <f>IF($D577="","",IFERROR(INDEX(MUSTERILER!$C$7:$C$106,MATCH($D577,MUSTERILER!$B$7:$B$106,0)),"TANIMSIZ MÜŞTERİ"))</f>
        <v/>
      </c>
      <c r="F577" s="108" t="n"/>
      <c r="G577" s="107" t="n"/>
      <c r="H577" s="114" t="n"/>
      <c r="I577" s="114" t="n"/>
      <c r="J577" s="107" t="n"/>
      <c r="K577" s="107" t="n"/>
      <c r="L577" s="108" t="n"/>
      <c r="M577" s="108" t="n"/>
      <c r="N577" s="108" t="n"/>
      <c r="O577" s="114" t="n"/>
      <c r="P577" s="120">
        <f>IF(OR($D577="",$I577=""),"",IF(OR($J577="Tamamlandı",$J577="İptal"),"",$I577-TODAY()))</f>
        <v/>
      </c>
      <c r="Q577" s="112">
        <f>IF($D577="","",IF($E577="TANIMSIZ MÜŞTERİ","HATA",IF(OR($J577="Tamamlandı",$J577="İptal"),"KAPALI",IF(AND($C577="Görüşme",$N577=""),"SONRAKİ İŞLEM EKSİK",IF($I577="","TARİH EKSİK",IF($I577&lt;TODAY(),"GECİKMİŞ",IF($I577=TODAY(),"BUGÜN",IF($I577&lt;=TODAY()+7,"7 GÜN İÇİNDE","PLANLI"))))))))</f>
        <v/>
      </c>
      <c r="R577" s="6" t="n"/>
      <c r="S577" s="6" t="n"/>
    </row>
    <row r="578">
      <c r="A578" s="6" t="n"/>
      <c r="B578" s="112">
        <f>IF($D578="","","A"&amp;TEXT(ROW()-6,"00000"))</f>
        <v/>
      </c>
      <c r="C578" s="107" t="n"/>
      <c r="D578" s="107" t="n"/>
      <c r="E578" s="113">
        <f>IF($D578="","",IFERROR(INDEX(MUSTERILER!$C$7:$C$106,MATCH($D578,MUSTERILER!$B$7:$B$106,0)),"TANIMSIZ MÜŞTERİ"))</f>
        <v/>
      </c>
      <c r="F578" s="108" t="n"/>
      <c r="G578" s="107" t="n"/>
      <c r="H578" s="114" t="n"/>
      <c r="I578" s="114" t="n"/>
      <c r="J578" s="107" t="n"/>
      <c r="K578" s="107" t="n"/>
      <c r="L578" s="108" t="n"/>
      <c r="M578" s="108" t="n"/>
      <c r="N578" s="108" t="n"/>
      <c r="O578" s="114" t="n"/>
      <c r="P578" s="120">
        <f>IF(OR($D578="",$I578=""),"",IF(OR($J578="Tamamlandı",$J578="İptal"),"",$I578-TODAY()))</f>
        <v/>
      </c>
      <c r="Q578" s="112">
        <f>IF($D578="","",IF($E578="TANIMSIZ MÜŞTERİ","HATA",IF(OR($J578="Tamamlandı",$J578="İptal"),"KAPALI",IF(AND($C578="Görüşme",$N578=""),"SONRAKİ İŞLEM EKSİK",IF($I578="","TARİH EKSİK",IF($I578&lt;TODAY(),"GECİKMİŞ",IF($I578=TODAY(),"BUGÜN",IF($I578&lt;=TODAY()+7,"7 GÜN İÇİNDE","PLANLI"))))))))</f>
        <v/>
      </c>
      <c r="R578" s="6" t="n"/>
      <c r="S578" s="6" t="n"/>
    </row>
    <row r="579">
      <c r="A579" s="6" t="n"/>
      <c r="B579" s="112">
        <f>IF($D579="","","A"&amp;TEXT(ROW()-6,"00000"))</f>
        <v/>
      </c>
      <c r="C579" s="107" t="n"/>
      <c r="D579" s="107" t="n"/>
      <c r="E579" s="113">
        <f>IF($D579="","",IFERROR(INDEX(MUSTERILER!$C$7:$C$106,MATCH($D579,MUSTERILER!$B$7:$B$106,0)),"TANIMSIZ MÜŞTERİ"))</f>
        <v/>
      </c>
      <c r="F579" s="108" t="n"/>
      <c r="G579" s="107" t="n"/>
      <c r="H579" s="114" t="n"/>
      <c r="I579" s="114" t="n"/>
      <c r="J579" s="107" t="n"/>
      <c r="K579" s="107" t="n"/>
      <c r="L579" s="108" t="n"/>
      <c r="M579" s="108" t="n"/>
      <c r="N579" s="108" t="n"/>
      <c r="O579" s="114" t="n"/>
      <c r="P579" s="120">
        <f>IF(OR($D579="",$I579=""),"",IF(OR($J579="Tamamlandı",$J579="İptal"),"",$I579-TODAY()))</f>
        <v/>
      </c>
      <c r="Q579" s="112">
        <f>IF($D579="","",IF($E579="TANIMSIZ MÜŞTERİ","HATA",IF(OR($J579="Tamamlandı",$J579="İptal"),"KAPALI",IF(AND($C579="Görüşme",$N579=""),"SONRAKİ İŞLEM EKSİK",IF($I579="","TARİH EKSİK",IF($I579&lt;TODAY(),"GECİKMİŞ",IF($I579=TODAY(),"BUGÜN",IF($I579&lt;=TODAY()+7,"7 GÜN İÇİNDE","PLANLI"))))))))</f>
        <v/>
      </c>
      <c r="R579" s="6" t="n"/>
      <c r="S579" s="6" t="n"/>
    </row>
    <row r="580">
      <c r="A580" s="6" t="n"/>
      <c r="B580" s="112">
        <f>IF($D580="","","A"&amp;TEXT(ROW()-6,"00000"))</f>
        <v/>
      </c>
      <c r="C580" s="107" t="n"/>
      <c r="D580" s="107" t="n"/>
      <c r="E580" s="113">
        <f>IF($D580="","",IFERROR(INDEX(MUSTERILER!$C$7:$C$106,MATCH($D580,MUSTERILER!$B$7:$B$106,0)),"TANIMSIZ MÜŞTERİ"))</f>
        <v/>
      </c>
      <c r="F580" s="108" t="n"/>
      <c r="G580" s="107" t="n"/>
      <c r="H580" s="114" t="n"/>
      <c r="I580" s="114" t="n"/>
      <c r="J580" s="107" t="n"/>
      <c r="K580" s="107" t="n"/>
      <c r="L580" s="108" t="n"/>
      <c r="M580" s="108" t="n"/>
      <c r="N580" s="108" t="n"/>
      <c r="O580" s="114" t="n"/>
      <c r="P580" s="120">
        <f>IF(OR($D580="",$I580=""),"",IF(OR($J580="Tamamlandı",$J580="İptal"),"",$I580-TODAY()))</f>
        <v/>
      </c>
      <c r="Q580" s="112">
        <f>IF($D580="","",IF($E580="TANIMSIZ MÜŞTERİ","HATA",IF(OR($J580="Tamamlandı",$J580="İptal"),"KAPALI",IF(AND($C580="Görüşme",$N580=""),"SONRAKİ İŞLEM EKSİK",IF($I580="","TARİH EKSİK",IF($I580&lt;TODAY(),"GECİKMİŞ",IF($I580=TODAY(),"BUGÜN",IF($I580&lt;=TODAY()+7,"7 GÜN İÇİNDE","PLANLI"))))))))</f>
        <v/>
      </c>
      <c r="R580" s="6" t="n"/>
      <c r="S580" s="6" t="n"/>
    </row>
    <row r="581">
      <c r="A581" s="6" t="n"/>
      <c r="B581" s="112">
        <f>IF($D581="","","A"&amp;TEXT(ROW()-6,"00000"))</f>
        <v/>
      </c>
      <c r="C581" s="107" t="n"/>
      <c r="D581" s="107" t="n"/>
      <c r="E581" s="113">
        <f>IF($D581="","",IFERROR(INDEX(MUSTERILER!$C$7:$C$106,MATCH($D581,MUSTERILER!$B$7:$B$106,0)),"TANIMSIZ MÜŞTERİ"))</f>
        <v/>
      </c>
      <c r="F581" s="108" t="n"/>
      <c r="G581" s="107" t="n"/>
      <c r="H581" s="114" t="n"/>
      <c r="I581" s="114" t="n"/>
      <c r="J581" s="107" t="n"/>
      <c r="K581" s="107" t="n"/>
      <c r="L581" s="108" t="n"/>
      <c r="M581" s="108" t="n"/>
      <c r="N581" s="108" t="n"/>
      <c r="O581" s="114" t="n"/>
      <c r="P581" s="120">
        <f>IF(OR($D581="",$I581=""),"",IF(OR($J581="Tamamlandı",$J581="İptal"),"",$I581-TODAY()))</f>
        <v/>
      </c>
      <c r="Q581" s="112">
        <f>IF($D581="","",IF($E581="TANIMSIZ MÜŞTERİ","HATA",IF(OR($J581="Tamamlandı",$J581="İptal"),"KAPALI",IF(AND($C581="Görüşme",$N581=""),"SONRAKİ İŞLEM EKSİK",IF($I581="","TARİH EKSİK",IF($I581&lt;TODAY(),"GECİKMİŞ",IF($I581=TODAY(),"BUGÜN",IF($I581&lt;=TODAY()+7,"7 GÜN İÇİNDE","PLANLI"))))))))</f>
        <v/>
      </c>
      <c r="R581" s="6" t="n"/>
      <c r="S581" s="6" t="n"/>
    </row>
    <row r="582">
      <c r="A582" s="6" t="n"/>
      <c r="B582" s="112">
        <f>IF($D582="","","A"&amp;TEXT(ROW()-6,"00000"))</f>
        <v/>
      </c>
      <c r="C582" s="107" t="n"/>
      <c r="D582" s="107" t="n"/>
      <c r="E582" s="113">
        <f>IF($D582="","",IFERROR(INDEX(MUSTERILER!$C$7:$C$106,MATCH($D582,MUSTERILER!$B$7:$B$106,0)),"TANIMSIZ MÜŞTERİ"))</f>
        <v/>
      </c>
      <c r="F582" s="108" t="n"/>
      <c r="G582" s="107" t="n"/>
      <c r="H582" s="114" t="n"/>
      <c r="I582" s="114" t="n"/>
      <c r="J582" s="107" t="n"/>
      <c r="K582" s="107" t="n"/>
      <c r="L582" s="108" t="n"/>
      <c r="M582" s="108" t="n"/>
      <c r="N582" s="108" t="n"/>
      <c r="O582" s="114" t="n"/>
      <c r="P582" s="120">
        <f>IF(OR($D582="",$I582=""),"",IF(OR($J582="Tamamlandı",$J582="İptal"),"",$I582-TODAY()))</f>
        <v/>
      </c>
      <c r="Q582" s="112">
        <f>IF($D582="","",IF($E582="TANIMSIZ MÜŞTERİ","HATA",IF(OR($J582="Tamamlandı",$J582="İptal"),"KAPALI",IF(AND($C582="Görüşme",$N582=""),"SONRAKİ İŞLEM EKSİK",IF($I582="","TARİH EKSİK",IF($I582&lt;TODAY(),"GECİKMİŞ",IF($I582=TODAY(),"BUGÜN",IF($I582&lt;=TODAY()+7,"7 GÜN İÇİNDE","PLANLI"))))))))</f>
        <v/>
      </c>
      <c r="R582" s="6" t="n"/>
      <c r="S582" s="6" t="n"/>
    </row>
    <row r="583">
      <c r="A583" s="6" t="n"/>
      <c r="B583" s="112">
        <f>IF($D583="","","A"&amp;TEXT(ROW()-6,"00000"))</f>
        <v/>
      </c>
      <c r="C583" s="107" t="n"/>
      <c r="D583" s="107" t="n"/>
      <c r="E583" s="113">
        <f>IF($D583="","",IFERROR(INDEX(MUSTERILER!$C$7:$C$106,MATCH($D583,MUSTERILER!$B$7:$B$106,0)),"TANIMSIZ MÜŞTERİ"))</f>
        <v/>
      </c>
      <c r="F583" s="108" t="n"/>
      <c r="G583" s="107" t="n"/>
      <c r="H583" s="114" t="n"/>
      <c r="I583" s="114" t="n"/>
      <c r="J583" s="107" t="n"/>
      <c r="K583" s="107" t="n"/>
      <c r="L583" s="108" t="n"/>
      <c r="M583" s="108" t="n"/>
      <c r="N583" s="108" t="n"/>
      <c r="O583" s="114" t="n"/>
      <c r="P583" s="120">
        <f>IF(OR($D583="",$I583=""),"",IF(OR($J583="Tamamlandı",$J583="İptal"),"",$I583-TODAY()))</f>
        <v/>
      </c>
      <c r="Q583" s="112">
        <f>IF($D583="","",IF($E583="TANIMSIZ MÜŞTERİ","HATA",IF(OR($J583="Tamamlandı",$J583="İptal"),"KAPALI",IF(AND($C583="Görüşme",$N583=""),"SONRAKİ İŞLEM EKSİK",IF($I583="","TARİH EKSİK",IF($I583&lt;TODAY(),"GECİKMİŞ",IF($I583=TODAY(),"BUGÜN",IF($I583&lt;=TODAY()+7,"7 GÜN İÇİNDE","PLANLI"))))))))</f>
        <v/>
      </c>
      <c r="R583" s="6" t="n"/>
      <c r="S583" s="6" t="n"/>
    </row>
    <row r="584">
      <c r="A584" s="6" t="n"/>
      <c r="B584" s="112">
        <f>IF($D584="","","A"&amp;TEXT(ROW()-6,"00000"))</f>
        <v/>
      </c>
      <c r="C584" s="107" t="n"/>
      <c r="D584" s="107" t="n"/>
      <c r="E584" s="113">
        <f>IF($D584="","",IFERROR(INDEX(MUSTERILER!$C$7:$C$106,MATCH($D584,MUSTERILER!$B$7:$B$106,0)),"TANIMSIZ MÜŞTERİ"))</f>
        <v/>
      </c>
      <c r="F584" s="108" t="n"/>
      <c r="G584" s="107" t="n"/>
      <c r="H584" s="114" t="n"/>
      <c r="I584" s="114" t="n"/>
      <c r="J584" s="107" t="n"/>
      <c r="K584" s="107" t="n"/>
      <c r="L584" s="108" t="n"/>
      <c r="M584" s="108" t="n"/>
      <c r="N584" s="108" t="n"/>
      <c r="O584" s="114" t="n"/>
      <c r="P584" s="120">
        <f>IF(OR($D584="",$I584=""),"",IF(OR($J584="Tamamlandı",$J584="İptal"),"",$I584-TODAY()))</f>
        <v/>
      </c>
      <c r="Q584" s="112">
        <f>IF($D584="","",IF($E584="TANIMSIZ MÜŞTERİ","HATA",IF(OR($J584="Tamamlandı",$J584="İptal"),"KAPALI",IF(AND($C584="Görüşme",$N584=""),"SONRAKİ İŞLEM EKSİK",IF($I584="","TARİH EKSİK",IF($I584&lt;TODAY(),"GECİKMİŞ",IF($I584=TODAY(),"BUGÜN",IF($I584&lt;=TODAY()+7,"7 GÜN İÇİNDE","PLANLI"))))))))</f>
        <v/>
      </c>
      <c r="R584" s="6" t="n"/>
      <c r="S584" s="6" t="n"/>
    </row>
    <row r="585">
      <c r="A585" s="6" t="n"/>
      <c r="B585" s="112">
        <f>IF($D585="","","A"&amp;TEXT(ROW()-6,"00000"))</f>
        <v/>
      </c>
      <c r="C585" s="107" t="n"/>
      <c r="D585" s="107" t="n"/>
      <c r="E585" s="113">
        <f>IF($D585="","",IFERROR(INDEX(MUSTERILER!$C$7:$C$106,MATCH($D585,MUSTERILER!$B$7:$B$106,0)),"TANIMSIZ MÜŞTERİ"))</f>
        <v/>
      </c>
      <c r="F585" s="108" t="n"/>
      <c r="G585" s="107" t="n"/>
      <c r="H585" s="114" t="n"/>
      <c r="I585" s="114" t="n"/>
      <c r="J585" s="107" t="n"/>
      <c r="K585" s="107" t="n"/>
      <c r="L585" s="108" t="n"/>
      <c r="M585" s="108" t="n"/>
      <c r="N585" s="108" t="n"/>
      <c r="O585" s="114" t="n"/>
      <c r="P585" s="120">
        <f>IF(OR($D585="",$I585=""),"",IF(OR($J585="Tamamlandı",$J585="İptal"),"",$I585-TODAY()))</f>
        <v/>
      </c>
      <c r="Q585" s="112">
        <f>IF($D585="","",IF($E585="TANIMSIZ MÜŞTERİ","HATA",IF(OR($J585="Tamamlandı",$J585="İptal"),"KAPALI",IF(AND($C585="Görüşme",$N585=""),"SONRAKİ İŞLEM EKSİK",IF($I585="","TARİH EKSİK",IF($I585&lt;TODAY(),"GECİKMİŞ",IF($I585=TODAY(),"BUGÜN",IF($I585&lt;=TODAY()+7,"7 GÜN İÇİNDE","PLANLI"))))))))</f>
        <v/>
      </c>
      <c r="R585" s="6" t="n"/>
      <c r="S585" s="6" t="n"/>
    </row>
    <row r="586">
      <c r="A586" s="6" t="n"/>
      <c r="B586" s="112">
        <f>IF($D586="","","A"&amp;TEXT(ROW()-6,"00000"))</f>
        <v/>
      </c>
      <c r="C586" s="107" t="n"/>
      <c r="D586" s="107" t="n"/>
      <c r="E586" s="113">
        <f>IF($D586="","",IFERROR(INDEX(MUSTERILER!$C$7:$C$106,MATCH($D586,MUSTERILER!$B$7:$B$106,0)),"TANIMSIZ MÜŞTERİ"))</f>
        <v/>
      </c>
      <c r="F586" s="108" t="n"/>
      <c r="G586" s="107" t="n"/>
      <c r="H586" s="114" t="n"/>
      <c r="I586" s="114" t="n"/>
      <c r="J586" s="107" t="n"/>
      <c r="K586" s="107" t="n"/>
      <c r="L586" s="108" t="n"/>
      <c r="M586" s="108" t="n"/>
      <c r="N586" s="108" t="n"/>
      <c r="O586" s="114" t="n"/>
      <c r="P586" s="120">
        <f>IF(OR($D586="",$I586=""),"",IF(OR($J586="Tamamlandı",$J586="İptal"),"",$I586-TODAY()))</f>
        <v/>
      </c>
      <c r="Q586" s="112">
        <f>IF($D586="","",IF($E586="TANIMSIZ MÜŞTERİ","HATA",IF(OR($J586="Tamamlandı",$J586="İptal"),"KAPALI",IF(AND($C586="Görüşme",$N586=""),"SONRAKİ İŞLEM EKSİK",IF($I586="","TARİH EKSİK",IF($I586&lt;TODAY(),"GECİKMİŞ",IF($I586=TODAY(),"BUGÜN",IF($I586&lt;=TODAY()+7,"7 GÜN İÇİNDE","PLANLI"))))))))</f>
        <v/>
      </c>
      <c r="R586" s="6" t="n"/>
      <c r="S586" s="6" t="n"/>
    </row>
    <row r="587">
      <c r="A587" s="6" t="n"/>
      <c r="B587" s="112">
        <f>IF($D587="","","A"&amp;TEXT(ROW()-6,"00000"))</f>
        <v/>
      </c>
      <c r="C587" s="107" t="n"/>
      <c r="D587" s="107" t="n"/>
      <c r="E587" s="113">
        <f>IF($D587="","",IFERROR(INDEX(MUSTERILER!$C$7:$C$106,MATCH($D587,MUSTERILER!$B$7:$B$106,0)),"TANIMSIZ MÜŞTERİ"))</f>
        <v/>
      </c>
      <c r="F587" s="108" t="n"/>
      <c r="G587" s="107" t="n"/>
      <c r="H587" s="114" t="n"/>
      <c r="I587" s="114" t="n"/>
      <c r="J587" s="107" t="n"/>
      <c r="K587" s="107" t="n"/>
      <c r="L587" s="108" t="n"/>
      <c r="M587" s="108" t="n"/>
      <c r="N587" s="108" t="n"/>
      <c r="O587" s="114" t="n"/>
      <c r="P587" s="120">
        <f>IF(OR($D587="",$I587=""),"",IF(OR($J587="Tamamlandı",$J587="İptal"),"",$I587-TODAY()))</f>
        <v/>
      </c>
      <c r="Q587" s="112">
        <f>IF($D587="","",IF($E587="TANIMSIZ MÜŞTERİ","HATA",IF(OR($J587="Tamamlandı",$J587="İptal"),"KAPALI",IF(AND($C587="Görüşme",$N587=""),"SONRAKİ İŞLEM EKSİK",IF($I587="","TARİH EKSİK",IF($I587&lt;TODAY(),"GECİKMİŞ",IF($I587=TODAY(),"BUGÜN",IF($I587&lt;=TODAY()+7,"7 GÜN İÇİNDE","PLANLI"))))))))</f>
        <v/>
      </c>
      <c r="R587" s="6" t="n"/>
      <c r="S587" s="6" t="n"/>
    </row>
    <row r="588">
      <c r="A588" s="6" t="n"/>
      <c r="B588" s="112">
        <f>IF($D588="","","A"&amp;TEXT(ROW()-6,"00000"))</f>
        <v/>
      </c>
      <c r="C588" s="107" t="n"/>
      <c r="D588" s="107" t="n"/>
      <c r="E588" s="113">
        <f>IF($D588="","",IFERROR(INDEX(MUSTERILER!$C$7:$C$106,MATCH($D588,MUSTERILER!$B$7:$B$106,0)),"TANIMSIZ MÜŞTERİ"))</f>
        <v/>
      </c>
      <c r="F588" s="108" t="n"/>
      <c r="G588" s="107" t="n"/>
      <c r="H588" s="114" t="n"/>
      <c r="I588" s="114" t="n"/>
      <c r="J588" s="107" t="n"/>
      <c r="K588" s="107" t="n"/>
      <c r="L588" s="108" t="n"/>
      <c r="M588" s="108" t="n"/>
      <c r="N588" s="108" t="n"/>
      <c r="O588" s="114" t="n"/>
      <c r="P588" s="120">
        <f>IF(OR($D588="",$I588=""),"",IF(OR($J588="Tamamlandı",$J588="İptal"),"",$I588-TODAY()))</f>
        <v/>
      </c>
      <c r="Q588" s="112">
        <f>IF($D588="","",IF($E588="TANIMSIZ MÜŞTERİ","HATA",IF(OR($J588="Tamamlandı",$J588="İptal"),"KAPALI",IF(AND($C588="Görüşme",$N588=""),"SONRAKİ İŞLEM EKSİK",IF($I588="","TARİH EKSİK",IF($I588&lt;TODAY(),"GECİKMİŞ",IF($I588=TODAY(),"BUGÜN",IF($I588&lt;=TODAY()+7,"7 GÜN İÇİNDE","PLANLI"))))))))</f>
        <v/>
      </c>
      <c r="R588" s="6" t="n"/>
      <c r="S588" s="6" t="n"/>
    </row>
    <row r="589">
      <c r="A589" s="6" t="n"/>
      <c r="B589" s="112">
        <f>IF($D589="","","A"&amp;TEXT(ROW()-6,"00000"))</f>
        <v/>
      </c>
      <c r="C589" s="107" t="n"/>
      <c r="D589" s="107" t="n"/>
      <c r="E589" s="113">
        <f>IF($D589="","",IFERROR(INDEX(MUSTERILER!$C$7:$C$106,MATCH($D589,MUSTERILER!$B$7:$B$106,0)),"TANIMSIZ MÜŞTERİ"))</f>
        <v/>
      </c>
      <c r="F589" s="108" t="n"/>
      <c r="G589" s="107" t="n"/>
      <c r="H589" s="114" t="n"/>
      <c r="I589" s="114" t="n"/>
      <c r="J589" s="107" t="n"/>
      <c r="K589" s="107" t="n"/>
      <c r="L589" s="108" t="n"/>
      <c r="M589" s="108" t="n"/>
      <c r="N589" s="108" t="n"/>
      <c r="O589" s="114" t="n"/>
      <c r="P589" s="120">
        <f>IF(OR($D589="",$I589=""),"",IF(OR($J589="Tamamlandı",$J589="İptal"),"",$I589-TODAY()))</f>
        <v/>
      </c>
      <c r="Q589" s="112">
        <f>IF($D589="","",IF($E589="TANIMSIZ MÜŞTERİ","HATA",IF(OR($J589="Tamamlandı",$J589="İptal"),"KAPALI",IF(AND($C589="Görüşme",$N589=""),"SONRAKİ İŞLEM EKSİK",IF($I589="","TARİH EKSİK",IF($I589&lt;TODAY(),"GECİKMİŞ",IF($I589=TODAY(),"BUGÜN",IF($I589&lt;=TODAY()+7,"7 GÜN İÇİNDE","PLANLI"))))))))</f>
        <v/>
      </c>
      <c r="R589" s="6" t="n"/>
      <c r="S589" s="6" t="n"/>
    </row>
    <row r="590">
      <c r="A590" s="6" t="n"/>
      <c r="B590" s="112">
        <f>IF($D590="","","A"&amp;TEXT(ROW()-6,"00000"))</f>
        <v/>
      </c>
      <c r="C590" s="107" t="n"/>
      <c r="D590" s="107" t="n"/>
      <c r="E590" s="113">
        <f>IF($D590="","",IFERROR(INDEX(MUSTERILER!$C$7:$C$106,MATCH($D590,MUSTERILER!$B$7:$B$106,0)),"TANIMSIZ MÜŞTERİ"))</f>
        <v/>
      </c>
      <c r="F590" s="108" t="n"/>
      <c r="G590" s="107" t="n"/>
      <c r="H590" s="114" t="n"/>
      <c r="I590" s="114" t="n"/>
      <c r="J590" s="107" t="n"/>
      <c r="K590" s="107" t="n"/>
      <c r="L590" s="108" t="n"/>
      <c r="M590" s="108" t="n"/>
      <c r="N590" s="108" t="n"/>
      <c r="O590" s="114" t="n"/>
      <c r="P590" s="120">
        <f>IF(OR($D590="",$I590=""),"",IF(OR($J590="Tamamlandı",$J590="İptal"),"",$I590-TODAY()))</f>
        <v/>
      </c>
      <c r="Q590" s="112">
        <f>IF($D590="","",IF($E590="TANIMSIZ MÜŞTERİ","HATA",IF(OR($J590="Tamamlandı",$J590="İptal"),"KAPALI",IF(AND($C590="Görüşme",$N590=""),"SONRAKİ İŞLEM EKSİK",IF($I590="","TARİH EKSİK",IF($I590&lt;TODAY(),"GECİKMİŞ",IF($I590=TODAY(),"BUGÜN",IF($I590&lt;=TODAY()+7,"7 GÜN İÇİNDE","PLANLI"))))))))</f>
        <v/>
      </c>
      <c r="R590" s="6" t="n"/>
      <c r="S590" s="6" t="n"/>
    </row>
    <row r="591">
      <c r="A591" s="6" t="n"/>
      <c r="B591" s="112">
        <f>IF($D591="","","A"&amp;TEXT(ROW()-6,"00000"))</f>
        <v/>
      </c>
      <c r="C591" s="107" t="n"/>
      <c r="D591" s="107" t="n"/>
      <c r="E591" s="113">
        <f>IF($D591="","",IFERROR(INDEX(MUSTERILER!$C$7:$C$106,MATCH($D591,MUSTERILER!$B$7:$B$106,0)),"TANIMSIZ MÜŞTERİ"))</f>
        <v/>
      </c>
      <c r="F591" s="108" t="n"/>
      <c r="G591" s="107" t="n"/>
      <c r="H591" s="114" t="n"/>
      <c r="I591" s="114" t="n"/>
      <c r="J591" s="107" t="n"/>
      <c r="K591" s="107" t="n"/>
      <c r="L591" s="108" t="n"/>
      <c r="M591" s="108" t="n"/>
      <c r="N591" s="108" t="n"/>
      <c r="O591" s="114" t="n"/>
      <c r="P591" s="120">
        <f>IF(OR($D591="",$I591=""),"",IF(OR($J591="Tamamlandı",$J591="İptal"),"",$I591-TODAY()))</f>
        <v/>
      </c>
      <c r="Q591" s="112">
        <f>IF($D591="","",IF($E591="TANIMSIZ MÜŞTERİ","HATA",IF(OR($J591="Tamamlandı",$J591="İptal"),"KAPALI",IF(AND($C591="Görüşme",$N591=""),"SONRAKİ İŞLEM EKSİK",IF($I591="","TARİH EKSİK",IF($I591&lt;TODAY(),"GECİKMİŞ",IF($I591=TODAY(),"BUGÜN",IF($I591&lt;=TODAY()+7,"7 GÜN İÇİNDE","PLANLI"))))))))</f>
        <v/>
      </c>
      <c r="R591" s="6" t="n"/>
      <c r="S591" s="6" t="n"/>
    </row>
    <row r="592">
      <c r="A592" s="6" t="n"/>
      <c r="B592" s="112">
        <f>IF($D592="","","A"&amp;TEXT(ROW()-6,"00000"))</f>
        <v/>
      </c>
      <c r="C592" s="107" t="n"/>
      <c r="D592" s="107" t="n"/>
      <c r="E592" s="113">
        <f>IF($D592="","",IFERROR(INDEX(MUSTERILER!$C$7:$C$106,MATCH($D592,MUSTERILER!$B$7:$B$106,0)),"TANIMSIZ MÜŞTERİ"))</f>
        <v/>
      </c>
      <c r="F592" s="108" t="n"/>
      <c r="G592" s="107" t="n"/>
      <c r="H592" s="114" t="n"/>
      <c r="I592" s="114" t="n"/>
      <c r="J592" s="107" t="n"/>
      <c r="K592" s="107" t="n"/>
      <c r="L592" s="108" t="n"/>
      <c r="M592" s="108" t="n"/>
      <c r="N592" s="108" t="n"/>
      <c r="O592" s="114" t="n"/>
      <c r="P592" s="120">
        <f>IF(OR($D592="",$I592=""),"",IF(OR($J592="Tamamlandı",$J592="İptal"),"",$I592-TODAY()))</f>
        <v/>
      </c>
      <c r="Q592" s="112">
        <f>IF($D592="","",IF($E592="TANIMSIZ MÜŞTERİ","HATA",IF(OR($J592="Tamamlandı",$J592="İptal"),"KAPALI",IF(AND($C592="Görüşme",$N592=""),"SONRAKİ İŞLEM EKSİK",IF($I592="","TARİH EKSİK",IF($I592&lt;TODAY(),"GECİKMİŞ",IF($I592=TODAY(),"BUGÜN",IF($I592&lt;=TODAY()+7,"7 GÜN İÇİNDE","PLANLI"))))))))</f>
        <v/>
      </c>
      <c r="R592" s="6" t="n"/>
      <c r="S592" s="6" t="n"/>
    </row>
    <row r="593">
      <c r="A593" s="6" t="n"/>
      <c r="B593" s="112">
        <f>IF($D593="","","A"&amp;TEXT(ROW()-6,"00000"))</f>
        <v/>
      </c>
      <c r="C593" s="107" t="n"/>
      <c r="D593" s="107" t="n"/>
      <c r="E593" s="113">
        <f>IF($D593="","",IFERROR(INDEX(MUSTERILER!$C$7:$C$106,MATCH($D593,MUSTERILER!$B$7:$B$106,0)),"TANIMSIZ MÜŞTERİ"))</f>
        <v/>
      </c>
      <c r="F593" s="108" t="n"/>
      <c r="G593" s="107" t="n"/>
      <c r="H593" s="114" t="n"/>
      <c r="I593" s="114" t="n"/>
      <c r="J593" s="107" t="n"/>
      <c r="K593" s="107" t="n"/>
      <c r="L593" s="108" t="n"/>
      <c r="M593" s="108" t="n"/>
      <c r="N593" s="108" t="n"/>
      <c r="O593" s="114" t="n"/>
      <c r="P593" s="120">
        <f>IF(OR($D593="",$I593=""),"",IF(OR($J593="Tamamlandı",$J593="İptal"),"",$I593-TODAY()))</f>
        <v/>
      </c>
      <c r="Q593" s="112">
        <f>IF($D593="","",IF($E593="TANIMSIZ MÜŞTERİ","HATA",IF(OR($J593="Tamamlandı",$J593="İptal"),"KAPALI",IF(AND($C593="Görüşme",$N593=""),"SONRAKİ İŞLEM EKSİK",IF($I593="","TARİH EKSİK",IF($I593&lt;TODAY(),"GECİKMİŞ",IF($I593=TODAY(),"BUGÜN",IF($I593&lt;=TODAY()+7,"7 GÜN İÇİNDE","PLANLI"))))))))</f>
        <v/>
      </c>
      <c r="R593" s="6" t="n"/>
      <c r="S593" s="6" t="n"/>
    </row>
    <row r="594">
      <c r="A594" s="6" t="n"/>
      <c r="B594" s="112">
        <f>IF($D594="","","A"&amp;TEXT(ROW()-6,"00000"))</f>
        <v/>
      </c>
      <c r="C594" s="107" t="n"/>
      <c r="D594" s="107" t="n"/>
      <c r="E594" s="113">
        <f>IF($D594="","",IFERROR(INDEX(MUSTERILER!$C$7:$C$106,MATCH($D594,MUSTERILER!$B$7:$B$106,0)),"TANIMSIZ MÜŞTERİ"))</f>
        <v/>
      </c>
      <c r="F594" s="108" t="n"/>
      <c r="G594" s="107" t="n"/>
      <c r="H594" s="114" t="n"/>
      <c r="I594" s="114" t="n"/>
      <c r="J594" s="107" t="n"/>
      <c r="K594" s="107" t="n"/>
      <c r="L594" s="108" t="n"/>
      <c r="M594" s="108" t="n"/>
      <c r="N594" s="108" t="n"/>
      <c r="O594" s="114" t="n"/>
      <c r="P594" s="120">
        <f>IF(OR($D594="",$I594=""),"",IF(OR($J594="Tamamlandı",$J594="İptal"),"",$I594-TODAY()))</f>
        <v/>
      </c>
      <c r="Q594" s="112">
        <f>IF($D594="","",IF($E594="TANIMSIZ MÜŞTERİ","HATA",IF(OR($J594="Tamamlandı",$J594="İptal"),"KAPALI",IF(AND($C594="Görüşme",$N594=""),"SONRAKİ İŞLEM EKSİK",IF($I594="","TARİH EKSİK",IF($I594&lt;TODAY(),"GECİKMİŞ",IF($I594=TODAY(),"BUGÜN",IF($I594&lt;=TODAY()+7,"7 GÜN İÇİNDE","PLANLI"))))))))</f>
        <v/>
      </c>
      <c r="R594" s="6" t="n"/>
      <c r="S594" s="6" t="n"/>
    </row>
    <row r="595">
      <c r="A595" s="6" t="n"/>
      <c r="B595" s="112">
        <f>IF($D595="","","A"&amp;TEXT(ROW()-6,"00000"))</f>
        <v/>
      </c>
      <c r="C595" s="107" t="n"/>
      <c r="D595" s="107" t="n"/>
      <c r="E595" s="113">
        <f>IF($D595="","",IFERROR(INDEX(MUSTERILER!$C$7:$C$106,MATCH($D595,MUSTERILER!$B$7:$B$106,0)),"TANIMSIZ MÜŞTERİ"))</f>
        <v/>
      </c>
      <c r="F595" s="108" t="n"/>
      <c r="G595" s="107" t="n"/>
      <c r="H595" s="114" t="n"/>
      <c r="I595" s="114" t="n"/>
      <c r="J595" s="107" t="n"/>
      <c r="K595" s="107" t="n"/>
      <c r="L595" s="108" t="n"/>
      <c r="M595" s="108" t="n"/>
      <c r="N595" s="108" t="n"/>
      <c r="O595" s="114" t="n"/>
      <c r="P595" s="120">
        <f>IF(OR($D595="",$I595=""),"",IF(OR($J595="Tamamlandı",$J595="İptal"),"",$I595-TODAY()))</f>
        <v/>
      </c>
      <c r="Q595" s="112">
        <f>IF($D595="","",IF($E595="TANIMSIZ MÜŞTERİ","HATA",IF(OR($J595="Tamamlandı",$J595="İptal"),"KAPALI",IF(AND($C595="Görüşme",$N595=""),"SONRAKİ İŞLEM EKSİK",IF($I595="","TARİH EKSİK",IF($I595&lt;TODAY(),"GECİKMİŞ",IF($I595=TODAY(),"BUGÜN",IF($I595&lt;=TODAY()+7,"7 GÜN İÇİNDE","PLANLI"))))))))</f>
        <v/>
      </c>
      <c r="R595" s="6" t="n"/>
      <c r="S595" s="6" t="n"/>
    </row>
    <row r="596">
      <c r="A596" s="6" t="n"/>
      <c r="B596" s="112">
        <f>IF($D596="","","A"&amp;TEXT(ROW()-6,"00000"))</f>
        <v/>
      </c>
      <c r="C596" s="107" t="n"/>
      <c r="D596" s="107" t="n"/>
      <c r="E596" s="113">
        <f>IF($D596="","",IFERROR(INDEX(MUSTERILER!$C$7:$C$106,MATCH($D596,MUSTERILER!$B$7:$B$106,0)),"TANIMSIZ MÜŞTERİ"))</f>
        <v/>
      </c>
      <c r="F596" s="108" t="n"/>
      <c r="G596" s="107" t="n"/>
      <c r="H596" s="114" t="n"/>
      <c r="I596" s="114" t="n"/>
      <c r="J596" s="107" t="n"/>
      <c r="K596" s="107" t="n"/>
      <c r="L596" s="108" t="n"/>
      <c r="M596" s="108" t="n"/>
      <c r="N596" s="108" t="n"/>
      <c r="O596" s="114" t="n"/>
      <c r="P596" s="120">
        <f>IF(OR($D596="",$I596=""),"",IF(OR($J596="Tamamlandı",$J596="İptal"),"",$I596-TODAY()))</f>
        <v/>
      </c>
      <c r="Q596" s="112">
        <f>IF($D596="","",IF($E596="TANIMSIZ MÜŞTERİ","HATA",IF(OR($J596="Tamamlandı",$J596="İptal"),"KAPALI",IF(AND($C596="Görüşme",$N596=""),"SONRAKİ İŞLEM EKSİK",IF($I596="","TARİH EKSİK",IF($I596&lt;TODAY(),"GECİKMİŞ",IF($I596=TODAY(),"BUGÜN",IF($I596&lt;=TODAY()+7,"7 GÜN İÇİNDE","PLANLI"))))))))</f>
        <v/>
      </c>
      <c r="R596" s="6" t="n"/>
      <c r="S596" s="6" t="n"/>
    </row>
    <row r="597">
      <c r="A597" s="6" t="n"/>
      <c r="B597" s="112">
        <f>IF($D597="","","A"&amp;TEXT(ROW()-6,"00000"))</f>
        <v/>
      </c>
      <c r="C597" s="107" t="n"/>
      <c r="D597" s="107" t="n"/>
      <c r="E597" s="113">
        <f>IF($D597="","",IFERROR(INDEX(MUSTERILER!$C$7:$C$106,MATCH($D597,MUSTERILER!$B$7:$B$106,0)),"TANIMSIZ MÜŞTERİ"))</f>
        <v/>
      </c>
      <c r="F597" s="108" t="n"/>
      <c r="G597" s="107" t="n"/>
      <c r="H597" s="114" t="n"/>
      <c r="I597" s="114" t="n"/>
      <c r="J597" s="107" t="n"/>
      <c r="K597" s="107" t="n"/>
      <c r="L597" s="108" t="n"/>
      <c r="M597" s="108" t="n"/>
      <c r="N597" s="108" t="n"/>
      <c r="O597" s="114" t="n"/>
      <c r="P597" s="120">
        <f>IF(OR($D597="",$I597=""),"",IF(OR($J597="Tamamlandı",$J597="İptal"),"",$I597-TODAY()))</f>
        <v/>
      </c>
      <c r="Q597" s="112">
        <f>IF($D597="","",IF($E597="TANIMSIZ MÜŞTERİ","HATA",IF(OR($J597="Tamamlandı",$J597="İptal"),"KAPALI",IF(AND($C597="Görüşme",$N597=""),"SONRAKİ İŞLEM EKSİK",IF($I597="","TARİH EKSİK",IF($I597&lt;TODAY(),"GECİKMİŞ",IF($I597=TODAY(),"BUGÜN",IF($I597&lt;=TODAY()+7,"7 GÜN İÇİNDE","PLANLI"))))))))</f>
        <v/>
      </c>
      <c r="R597" s="6" t="n"/>
      <c r="S597" s="6" t="n"/>
    </row>
    <row r="598">
      <c r="A598" s="6" t="n"/>
      <c r="B598" s="112">
        <f>IF($D598="","","A"&amp;TEXT(ROW()-6,"00000"))</f>
        <v/>
      </c>
      <c r="C598" s="107" t="n"/>
      <c r="D598" s="107" t="n"/>
      <c r="E598" s="113">
        <f>IF($D598="","",IFERROR(INDEX(MUSTERILER!$C$7:$C$106,MATCH($D598,MUSTERILER!$B$7:$B$106,0)),"TANIMSIZ MÜŞTERİ"))</f>
        <v/>
      </c>
      <c r="F598" s="108" t="n"/>
      <c r="G598" s="107" t="n"/>
      <c r="H598" s="114" t="n"/>
      <c r="I598" s="114" t="n"/>
      <c r="J598" s="107" t="n"/>
      <c r="K598" s="107" t="n"/>
      <c r="L598" s="108" t="n"/>
      <c r="M598" s="108" t="n"/>
      <c r="N598" s="108" t="n"/>
      <c r="O598" s="114" t="n"/>
      <c r="P598" s="120">
        <f>IF(OR($D598="",$I598=""),"",IF(OR($J598="Tamamlandı",$J598="İptal"),"",$I598-TODAY()))</f>
        <v/>
      </c>
      <c r="Q598" s="112">
        <f>IF($D598="","",IF($E598="TANIMSIZ MÜŞTERİ","HATA",IF(OR($J598="Tamamlandı",$J598="İptal"),"KAPALI",IF(AND($C598="Görüşme",$N598=""),"SONRAKİ İŞLEM EKSİK",IF($I598="","TARİH EKSİK",IF($I598&lt;TODAY(),"GECİKMİŞ",IF($I598=TODAY(),"BUGÜN",IF($I598&lt;=TODAY()+7,"7 GÜN İÇİNDE","PLANLI"))))))))</f>
        <v/>
      </c>
      <c r="R598" s="6" t="n"/>
      <c r="S598" s="6" t="n"/>
    </row>
    <row r="599">
      <c r="A599" s="6" t="n"/>
      <c r="B599" s="112">
        <f>IF($D599="","","A"&amp;TEXT(ROW()-6,"00000"))</f>
        <v/>
      </c>
      <c r="C599" s="107" t="n"/>
      <c r="D599" s="107" t="n"/>
      <c r="E599" s="113">
        <f>IF($D599="","",IFERROR(INDEX(MUSTERILER!$C$7:$C$106,MATCH($D599,MUSTERILER!$B$7:$B$106,0)),"TANIMSIZ MÜŞTERİ"))</f>
        <v/>
      </c>
      <c r="F599" s="108" t="n"/>
      <c r="G599" s="107" t="n"/>
      <c r="H599" s="114" t="n"/>
      <c r="I599" s="114" t="n"/>
      <c r="J599" s="107" t="n"/>
      <c r="K599" s="107" t="n"/>
      <c r="L599" s="108" t="n"/>
      <c r="M599" s="108" t="n"/>
      <c r="N599" s="108" t="n"/>
      <c r="O599" s="114" t="n"/>
      <c r="P599" s="120">
        <f>IF(OR($D599="",$I599=""),"",IF(OR($J599="Tamamlandı",$J599="İptal"),"",$I599-TODAY()))</f>
        <v/>
      </c>
      <c r="Q599" s="112">
        <f>IF($D599="","",IF($E599="TANIMSIZ MÜŞTERİ","HATA",IF(OR($J599="Tamamlandı",$J599="İptal"),"KAPALI",IF(AND($C599="Görüşme",$N599=""),"SONRAKİ İŞLEM EKSİK",IF($I599="","TARİH EKSİK",IF($I599&lt;TODAY(),"GECİKMİŞ",IF($I599=TODAY(),"BUGÜN",IF($I599&lt;=TODAY()+7,"7 GÜN İÇİNDE","PLANLI"))))))))</f>
        <v/>
      </c>
      <c r="R599" s="6" t="n"/>
      <c r="S599" s="6" t="n"/>
    </row>
    <row r="600">
      <c r="A600" s="6" t="n"/>
      <c r="B600" s="112">
        <f>IF($D600="","","A"&amp;TEXT(ROW()-6,"00000"))</f>
        <v/>
      </c>
      <c r="C600" s="107" t="n"/>
      <c r="D600" s="107" t="n"/>
      <c r="E600" s="113">
        <f>IF($D600="","",IFERROR(INDEX(MUSTERILER!$C$7:$C$106,MATCH($D600,MUSTERILER!$B$7:$B$106,0)),"TANIMSIZ MÜŞTERİ"))</f>
        <v/>
      </c>
      <c r="F600" s="108" t="n"/>
      <c r="G600" s="107" t="n"/>
      <c r="H600" s="114" t="n"/>
      <c r="I600" s="114" t="n"/>
      <c r="J600" s="107" t="n"/>
      <c r="K600" s="107" t="n"/>
      <c r="L600" s="108" t="n"/>
      <c r="M600" s="108" t="n"/>
      <c r="N600" s="108" t="n"/>
      <c r="O600" s="114" t="n"/>
      <c r="P600" s="120">
        <f>IF(OR($D600="",$I600=""),"",IF(OR($J600="Tamamlandı",$J600="İptal"),"",$I600-TODAY()))</f>
        <v/>
      </c>
      <c r="Q600" s="112">
        <f>IF($D600="","",IF($E600="TANIMSIZ MÜŞTERİ","HATA",IF(OR($J600="Tamamlandı",$J600="İptal"),"KAPALI",IF(AND($C600="Görüşme",$N600=""),"SONRAKİ İŞLEM EKSİK",IF($I600="","TARİH EKSİK",IF($I600&lt;TODAY(),"GECİKMİŞ",IF($I600=TODAY(),"BUGÜN",IF($I600&lt;=TODAY()+7,"7 GÜN İÇİNDE","PLANLI"))))))))</f>
        <v/>
      </c>
      <c r="R600" s="6" t="n"/>
      <c r="S600" s="6" t="n"/>
    </row>
    <row r="601">
      <c r="A601" s="6" t="n"/>
      <c r="B601" s="112">
        <f>IF($D601="","","A"&amp;TEXT(ROW()-6,"00000"))</f>
        <v/>
      </c>
      <c r="C601" s="107" t="n"/>
      <c r="D601" s="107" t="n"/>
      <c r="E601" s="113">
        <f>IF($D601="","",IFERROR(INDEX(MUSTERILER!$C$7:$C$106,MATCH($D601,MUSTERILER!$B$7:$B$106,0)),"TANIMSIZ MÜŞTERİ"))</f>
        <v/>
      </c>
      <c r="F601" s="108" t="n"/>
      <c r="G601" s="107" t="n"/>
      <c r="H601" s="114" t="n"/>
      <c r="I601" s="114" t="n"/>
      <c r="J601" s="107" t="n"/>
      <c r="K601" s="107" t="n"/>
      <c r="L601" s="108" t="n"/>
      <c r="M601" s="108" t="n"/>
      <c r="N601" s="108" t="n"/>
      <c r="O601" s="114" t="n"/>
      <c r="P601" s="120">
        <f>IF(OR($D601="",$I601=""),"",IF(OR($J601="Tamamlandı",$J601="İptal"),"",$I601-TODAY()))</f>
        <v/>
      </c>
      <c r="Q601" s="112">
        <f>IF($D601="","",IF($E601="TANIMSIZ MÜŞTERİ","HATA",IF(OR($J601="Tamamlandı",$J601="İptal"),"KAPALI",IF(AND($C601="Görüşme",$N601=""),"SONRAKİ İŞLEM EKSİK",IF($I601="","TARİH EKSİK",IF($I601&lt;TODAY(),"GECİKMİŞ",IF($I601=TODAY(),"BUGÜN",IF($I601&lt;=TODAY()+7,"7 GÜN İÇİNDE","PLANLI"))))))))</f>
        <v/>
      </c>
      <c r="R601" s="6" t="n"/>
      <c r="S601" s="6" t="n"/>
    </row>
    <row r="602">
      <c r="A602" s="6" t="n"/>
      <c r="B602" s="112">
        <f>IF($D602="","","A"&amp;TEXT(ROW()-6,"00000"))</f>
        <v/>
      </c>
      <c r="C602" s="107" t="n"/>
      <c r="D602" s="107" t="n"/>
      <c r="E602" s="113">
        <f>IF($D602="","",IFERROR(INDEX(MUSTERILER!$C$7:$C$106,MATCH($D602,MUSTERILER!$B$7:$B$106,0)),"TANIMSIZ MÜŞTERİ"))</f>
        <v/>
      </c>
      <c r="F602" s="108" t="n"/>
      <c r="G602" s="107" t="n"/>
      <c r="H602" s="114" t="n"/>
      <c r="I602" s="114" t="n"/>
      <c r="J602" s="107" t="n"/>
      <c r="K602" s="107" t="n"/>
      <c r="L602" s="108" t="n"/>
      <c r="M602" s="108" t="n"/>
      <c r="N602" s="108" t="n"/>
      <c r="O602" s="114" t="n"/>
      <c r="P602" s="120">
        <f>IF(OR($D602="",$I602=""),"",IF(OR($J602="Tamamlandı",$J602="İptal"),"",$I602-TODAY()))</f>
        <v/>
      </c>
      <c r="Q602" s="112">
        <f>IF($D602="","",IF($E602="TANIMSIZ MÜŞTERİ","HATA",IF(OR($J602="Tamamlandı",$J602="İptal"),"KAPALI",IF(AND($C602="Görüşme",$N602=""),"SONRAKİ İŞLEM EKSİK",IF($I602="","TARİH EKSİK",IF($I602&lt;TODAY(),"GECİKMİŞ",IF($I602=TODAY(),"BUGÜN",IF($I602&lt;=TODAY()+7,"7 GÜN İÇİNDE","PLANLI"))))))))</f>
        <v/>
      </c>
      <c r="R602" s="6" t="n"/>
      <c r="S602" s="6" t="n"/>
    </row>
    <row r="603">
      <c r="A603" s="6" t="n"/>
      <c r="B603" s="112">
        <f>IF($D603="","","A"&amp;TEXT(ROW()-6,"00000"))</f>
        <v/>
      </c>
      <c r="C603" s="107" t="n"/>
      <c r="D603" s="107" t="n"/>
      <c r="E603" s="113">
        <f>IF($D603="","",IFERROR(INDEX(MUSTERILER!$C$7:$C$106,MATCH($D603,MUSTERILER!$B$7:$B$106,0)),"TANIMSIZ MÜŞTERİ"))</f>
        <v/>
      </c>
      <c r="F603" s="108" t="n"/>
      <c r="G603" s="107" t="n"/>
      <c r="H603" s="114" t="n"/>
      <c r="I603" s="114" t="n"/>
      <c r="J603" s="107" t="n"/>
      <c r="K603" s="107" t="n"/>
      <c r="L603" s="108" t="n"/>
      <c r="M603" s="108" t="n"/>
      <c r="N603" s="108" t="n"/>
      <c r="O603" s="114" t="n"/>
      <c r="P603" s="120">
        <f>IF(OR($D603="",$I603=""),"",IF(OR($J603="Tamamlandı",$J603="İptal"),"",$I603-TODAY()))</f>
        <v/>
      </c>
      <c r="Q603" s="112">
        <f>IF($D603="","",IF($E603="TANIMSIZ MÜŞTERİ","HATA",IF(OR($J603="Tamamlandı",$J603="İptal"),"KAPALI",IF(AND($C603="Görüşme",$N603=""),"SONRAKİ İŞLEM EKSİK",IF($I603="","TARİH EKSİK",IF($I603&lt;TODAY(),"GECİKMİŞ",IF($I603=TODAY(),"BUGÜN",IF($I603&lt;=TODAY()+7,"7 GÜN İÇİNDE","PLANLI"))))))))</f>
        <v/>
      </c>
      <c r="R603" s="6" t="n"/>
      <c r="S603" s="6" t="n"/>
    </row>
    <row r="604">
      <c r="A604" s="6" t="n"/>
      <c r="B604" s="112">
        <f>IF($D604="","","A"&amp;TEXT(ROW()-6,"00000"))</f>
        <v/>
      </c>
      <c r="C604" s="107" t="n"/>
      <c r="D604" s="107" t="n"/>
      <c r="E604" s="113">
        <f>IF($D604="","",IFERROR(INDEX(MUSTERILER!$C$7:$C$106,MATCH($D604,MUSTERILER!$B$7:$B$106,0)),"TANIMSIZ MÜŞTERİ"))</f>
        <v/>
      </c>
      <c r="F604" s="108" t="n"/>
      <c r="G604" s="107" t="n"/>
      <c r="H604" s="114" t="n"/>
      <c r="I604" s="114" t="n"/>
      <c r="J604" s="107" t="n"/>
      <c r="K604" s="107" t="n"/>
      <c r="L604" s="108" t="n"/>
      <c r="M604" s="108" t="n"/>
      <c r="N604" s="108" t="n"/>
      <c r="O604" s="114" t="n"/>
      <c r="P604" s="120">
        <f>IF(OR($D604="",$I604=""),"",IF(OR($J604="Tamamlandı",$J604="İptal"),"",$I604-TODAY()))</f>
        <v/>
      </c>
      <c r="Q604" s="112">
        <f>IF($D604="","",IF($E604="TANIMSIZ MÜŞTERİ","HATA",IF(OR($J604="Tamamlandı",$J604="İptal"),"KAPALI",IF(AND($C604="Görüşme",$N604=""),"SONRAKİ İŞLEM EKSİK",IF($I604="","TARİH EKSİK",IF($I604&lt;TODAY(),"GECİKMİŞ",IF($I604=TODAY(),"BUGÜN",IF($I604&lt;=TODAY()+7,"7 GÜN İÇİNDE","PLANLI"))))))))</f>
        <v/>
      </c>
      <c r="R604" s="6" t="n"/>
      <c r="S604" s="6" t="n"/>
    </row>
    <row r="605">
      <c r="A605" s="6" t="n"/>
      <c r="B605" s="112">
        <f>IF($D605="","","A"&amp;TEXT(ROW()-6,"00000"))</f>
        <v/>
      </c>
      <c r="C605" s="107" t="n"/>
      <c r="D605" s="107" t="n"/>
      <c r="E605" s="113">
        <f>IF($D605="","",IFERROR(INDEX(MUSTERILER!$C$7:$C$106,MATCH($D605,MUSTERILER!$B$7:$B$106,0)),"TANIMSIZ MÜŞTERİ"))</f>
        <v/>
      </c>
      <c r="F605" s="108" t="n"/>
      <c r="G605" s="107" t="n"/>
      <c r="H605" s="114" t="n"/>
      <c r="I605" s="114" t="n"/>
      <c r="J605" s="107" t="n"/>
      <c r="K605" s="107" t="n"/>
      <c r="L605" s="108" t="n"/>
      <c r="M605" s="108" t="n"/>
      <c r="N605" s="108" t="n"/>
      <c r="O605" s="114" t="n"/>
      <c r="P605" s="120">
        <f>IF(OR($D605="",$I605=""),"",IF(OR($J605="Tamamlandı",$J605="İptal"),"",$I605-TODAY()))</f>
        <v/>
      </c>
      <c r="Q605" s="112">
        <f>IF($D605="","",IF($E605="TANIMSIZ MÜŞTERİ","HATA",IF(OR($J605="Tamamlandı",$J605="İptal"),"KAPALI",IF(AND($C605="Görüşme",$N605=""),"SONRAKİ İŞLEM EKSİK",IF($I605="","TARİH EKSİK",IF($I605&lt;TODAY(),"GECİKMİŞ",IF($I605=TODAY(),"BUGÜN",IF($I605&lt;=TODAY()+7,"7 GÜN İÇİNDE","PLANLI"))))))))</f>
        <v/>
      </c>
      <c r="R605" s="6" t="n"/>
      <c r="S605" s="6" t="n"/>
    </row>
    <row r="606">
      <c r="A606" s="6" t="n"/>
      <c r="B606" s="112">
        <f>IF($D606="","","A"&amp;TEXT(ROW()-6,"00000"))</f>
        <v/>
      </c>
      <c r="C606" s="107" t="n"/>
      <c r="D606" s="107" t="n"/>
      <c r="E606" s="113">
        <f>IF($D606="","",IFERROR(INDEX(MUSTERILER!$C$7:$C$106,MATCH($D606,MUSTERILER!$B$7:$B$106,0)),"TANIMSIZ MÜŞTERİ"))</f>
        <v/>
      </c>
      <c r="F606" s="108" t="n"/>
      <c r="G606" s="107" t="n"/>
      <c r="H606" s="114" t="n"/>
      <c r="I606" s="114" t="n"/>
      <c r="J606" s="107" t="n"/>
      <c r="K606" s="107" t="n"/>
      <c r="L606" s="108" t="n"/>
      <c r="M606" s="108" t="n"/>
      <c r="N606" s="108" t="n"/>
      <c r="O606" s="114" t="n"/>
      <c r="P606" s="120">
        <f>IF(OR($D606="",$I606=""),"",IF(OR($J606="Tamamlandı",$J606="İptal"),"",$I606-TODAY()))</f>
        <v/>
      </c>
      <c r="Q606" s="112">
        <f>IF($D606="","",IF($E606="TANIMSIZ MÜŞTERİ","HATA",IF(OR($J606="Tamamlandı",$J606="İptal"),"KAPALI",IF(AND($C606="Görüşme",$N606=""),"SONRAKİ İŞLEM EKSİK",IF($I606="","TARİH EKSİK",IF($I606&lt;TODAY(),"GECİKMİŞ",IF($I606=TODAY(),"BUGÜN",IF($I606&lt;=TODAY()+7,"7 GÜN İÇİNDE","PLANLI"))))))))</f>
        <v/>
      </c>
      <c r="R606" s="6" t="n"/>
      <c r="S606" s="6" t="n"/>
    </row>
    <row r="607">
      <c r="A607" s="6" t="n"/>
      <c r="B607" s="112">
        <f>IF($D607="","","A"&amp;TEXT(ROW()-6,"00000"))</f>
        <v/>
      </c>
      <c r="C607" s="107" t="n"/>
      <c r="D607" s="107" t="n"/>
      <c r="E607" s="113">
        <f>IF($D607="","",IFERROR(INDEX(MUSTERILER!$C$7:$C$106,MATCH($D607,MUSTERILER!$B$7:$B$106,0)),"TANIMSIZ MÜŞTERİ"))</f>
        <v/>
      </c>
      <c r="F607" s="108" t="n"/>
      <c r="G607" s="107" t="n"/>
      <c r="H607" s="114" t="n"/>
      <c r="I607" s="114" t="n"/>
      <c r="J607" s="107" t="n"/>
      <c r="K607" s="107" t="n"/>
      <c r="L607" s="108" t="n"/>
      <c r="M607" s="108" t="n"/>
      <c r="N607" s="108" t="n"/>
      <c r="O607" s="114" t="n"/>
      <c r="P607" s="120">
        <f>IF(OR($D607="",$I607=""),"",IF(OR($J607="Tamamlandı",$J607="İptal"),"",$I607-TODAY()))</f>
        <v/>
      </c>
      <c r="Q607" s="112">
        <f>IF($D607="","",IF($E607="TANIMSIZ MÜŞTERİ","HATA",IF(OR($J607="Tamamlandı",$J607="İptal"),"KAPALI",IF(AND($C607="Görüşme",$N607=""),"SONRAKİ İŞLEM EKSİK",IF($I607="","TARİH EKSİK",IF($I607&lt;TODAY(),"GECİKMİŞ",IF($I607=TODAY(),"BUGÜN",IF($I607&lt;=TODAY()+7,"7 GÜN İÇİNDE","PLANLI"))))))))</f>
        <v/>
      </c>
      <c r="R607" s="6" t="n"/>
      <c r="S607" s="6" t="n"/>
    </row>
    <row r="608">
      <c r="A608" s="6" t="n"/>
      <c r="B608" s="112">
        <f>IF($D608="","","A"&amp;TEXT(ROW()-6,"00000"))</f>
        <v/>
      </c>
      <c r="C608" s="107" t="n"/>
      <c r="D608" s="107" t="n"/>
      <c r="E608" s="113">
        <f>IF($D608="","",IFERROR(INDEX(MUSTERILER!$C$7:$C$106,MATCH($D608,MUSTERILER!$B$7:$B$106,0)),"TANIMSIZ MÜŞTERİ"))</f>
        <v/>
      </c>
      <c r="F608" s="108" t="n"/>
      <c r="G608" s="107" t="n"/>
      <c r="H608" s="114" t="n"/>
      <c r="I608" s="114" t="n"/>
      <c r="J608" s="107" t="n"/>
      <c r="K608" s="107" t="n"/>
      <c r="L608" s="108" t="n"/>
      <c r="M608" s="108" t="n"/>
      <c r="N608" s="108" t="n"/>
      <c r="O608" s="114" t="n"/>
      <c r="P608" s="120">
        <f>IF(OR($D608="",$I608=""),"",IF(OR($J608="Tamamlandı",$J608="İptal"),"",$I608-TODAY()))</f>
        <v/>
      </c>
      <c r="Q608" s="112">
        <f>IF($D608="","",IF($E608="TANIMSIZ MÜŞTERİ","HATA",IF(OR($J608="Tamamlandı",$J608="İptal"),"KAPALI",IF(AND($C608="Görüşme",$N608=""),"SONRAKİ İŞLEM EKSİK",IF($I608="","TARİH EKSİK",IF($I608&lt;TODAY(),"GECİKMİŞ",IF($I608=TODAY(),"BUGÜN",IF($I608&lt;=TODAY()+7,"7 GÜN İÇİNDE","PLANLI"))))))))</f>
        <v/>
      </c>
      <c r="R608" s="6" t="n"/>
      <c r="S608" s="6" t="n"/>
    </row>
    <row r="609">
      <c r="A609" s="6" t="n"/>
      <c r="B609" s="112">
        <f>IF($D609="","","A"&amp;TEXT(ROW()-6,"00000"))</f>
        <v/>
      </c>
      <c r="C609" s="107" t="n"/>
      <c r="D609" s="107" t="n"/>
      <c r="E609" s="113">
        <f>IF($D609="","",IFERROR(INDEX(MUSTERILER!$C$7:$C$106,MATCH($D609,MUSTERILER!$B$7:$B$106,0)),"TANIMSIZ MÜŞTERİ"))</f>
        <v/>
      </c>
      <c r="F609" s="108" t="n"/>
      <c r="G609" s="107" t="n"/>
      <c r="H609" s="114" t="n"/>
      <c r="I609" s="114" t="n"/>
      <c r="J609" s="107" t="n"/>
      <c r="K609" s="107" t="n"/>
      <c r="L609" s="108" t="n"/>
      <c r="M609" s="108" t="n"/>
      <c r="N609" s="108" t="n"/>
      <c r="O609" s="114" t="n"/>
      <c r="P609" s="120">
        <f>IF(OR($D609="",$I609=""),"",IF(OR($J609="Tamamlandı",$J609="İptal"),"",$I609-TODAY()))</f>
        <v/>
      </c>
      <c r="Q609" s="112">
        <f>IF($D609="","",IF($E609="TANIMSIZ MÜŞTERİ","HATA",IF(OR($J609="Tamamlandı",$J609="İptal"),"KAPALI",IF(AND($C609="Görüşme",$N609=""),"SONRAKİ İŞLEM EKSİK",IF($I609="","TARİH EKSİK",IF($I609&lt;TODAY(),"GECİKMİŞ",IF($I609=TODAY(),"BUGÜN",IF($I609&lt;=TODAY()+7,"7 GÜN İÇİNDE","PLANLI"))))))))</f>
        <v/>
      </c>
      <c r="R609" s="6" t="n"/>
      <c r="S609" s="6" t="n"/>
    </row>
    <row r="610">
      <c r="A610" s="6" t="n"/>
      <c r="B610" s="112">
        <f>IF($D610="","","A"&amp;TEXT(ROW()-6,"00000"))</f>
        <v/>
      </c>
      <c r="C610" s="107" t="n"/>
      <c r="D610" s="107" t="n"/>
      <c r="E610" s="113">
        <f>IF($D610="","",IFERROR(INDEX(MUSTERILER!$C$7:$C$106,MATCH($D610,MUSTERILER!$B$7:$B$106,0)),"TANIMSIZ MÜŞTERİ"))</f>
        <v/>
      </c>
      <c r="F610" s="108" t="n"/>
      <c r="G610" s="107" t="n"/>
      <c r="H610" s="114" t="n"/>
      <c r="I610" s="114" t="n"/>
      <c r="J610" s="107" t="n"/>
      <c r="K610" s="107" t="n"/>
      <c r="L610" s="108" t="n"/>
      <c r="M610" s="108" t="n"/>
      <c r="N610" s="108" t="n"/>
      <c r="O610" s="114" t="n"/>
      <c r="P610" s="120">
        <f>IF(OR($D610="",$I610=""),"",IF(OR($J610="Tamamlandı",$J610="İptal"),"",$I610-TODAY()))</f>
        <v/>
      </c>
      <c r="Q610" s="112">
        <f>IF($D610="","",IF($E610="TANIMSIZ MÜŞTERİ","HATA",IF(OR($J610="Tamamlandı",$J610="İptal"),"KAPALI",IF(AND($C610="Görüşme",$N610=""),"SONRAKİ İŞLEM EKSİK",IF($I610="","TARİH EKSİK",IF($I610&lt;TODAY(),"GECİKMİŞ",IF($I610=TODAY(),"BUGÜN",IF($I610&lt;=TODAY()+7,"7 GÜN İÇİNDE","PLANLI"))))))))</f>
        <v/>
      </c>
      <c r="R610" s="6" t="n"/>
      <c r="S610" s="6" t="n"/>
    </row>
    <row r="611">
      <c r="A611" s="6" t="n"/>
      <c r="B611" s="112">
        <f>IF($D611="","","A"&amp;TEXT(ROW()-6,"00000"))</f>
        <v/>
      </c>
      <c r="C611" s="107" t="n"/>
      <c r="D611" s="107" t="n"/>
      <c r="E611" s="113">
        <f>IF($D611="","",IFERROR(INDEX(MUSTERILER!$C$7:$C$106,MATCH($D611,MUSTERILER!$B$7:$B$106,0)),"TANIMSIZ MÜŞTERİ"))</f>
        <v/>
      </c>
      <c r="F611" s="108" t="n"/>
      <c r="G611" s="107" t="n"/>
      <c r="H611" s="114" t="n"/>
      <c r="I611" s="114" t="n"/>
      <c r="J611" s="107" t="n"/>
      <c r="K611" s="107" t="n"/>
      <c r="L611" s="108" t="n"/>
      <c r="M611" s="108" t="n"/>
      <c r="N611" s="108" t="n"/>
      <c r="O611" s="114" t="n"/>
      <c r="P611" s="120">
        <f>IF(OR($D611="",$I611=""),"",IF(OR($J611="Tamamlandı",$J611="İptal"),"",$I611-TODAY()))</f>
        <v/>
      </c>
      <c r="Q611" s="112">
        <f>IF($D611="","",IF($E611="TANIMSIZ MÜŞTERİ","HATA",IF(OR($J611="Tamamlandı",$J611="İptal"),"KAPALI",IF(AND($C611="Görüşme",$N611=""),"SONRAKİ İŞLEM EKSİK",IF($I611="","TARİH EKSİK",IF($I611&lt;TODAY(),"GECİKMİŞ",IF($I611=TODAY(),"BUGÜN",IF($I611&lt;=TODAY()+7,"7 GÜN İÇİNDE","PLANLI"))))))))</f>
        <v/>
      </c>
      <c r="R611" s="6" t="n"/>
      <c r="S611" s="6" t="n"/>
    </row>
    <row r="612">
      <c r="A612" s="6" t="n"/>
      <c r="B612" s="112">
        <f>IF($D612="","","A"&amp;TEXT(ROW()-6,"00000"))</f>
        <v/>
      </c>
      <c r="C612" s="107" t="n"/>
      <c r="D612" s="107" t="n"/>
      <c r="E612" s="113">
        <f>IF($D612="","",IFERROR(INDEX(MUSTERILER!$C$7:$C$106,MATCH($D612,MUSTERILER!$B$7:$B$106,0)),"TANIMSIZ MÜŞTERİ"))</f>
        <v/>
      </c>
      <c r="F612" s="108" t="n"/>
      <c r="G612" s="107" t="n"/>
      <c r="H612" s="114" t="n"/>
      <c r="I612" s="114" t="n"/>
      <c r="J612" s="107" t="n"/>
      <c r="K612" s="107" t="n"/>
      <c r="L612" s="108" t="n"/>
      <c r="M612" s="108" t="n"/>
      <c r="N612" s="108" t="n"/>
      <c r="O612" s="114" t="n"/>
      <c r="P612" s="120">
        <f>IF(OR($D612="",$I612=""),"",IF(OR($J612="Tamamlandı",$J612="İptal"),"",$I612-TODAY()))</f>
        <v/>
      </c>
      <c r="Q612" s="112">
        <f>IF($D612="","",IF($E612="TANIMSIZ MÜŞTERİ","HATA",IF(OR($J612="Tamamlandı",$J612="İptal"),"KAPALI",IF(AND($C612="Görüşme",$N612=""),"SONRAKİ İŞLEM EKSİK",IF($I612="","TARİH EKSİK",IF($I612&lt;TODAY(),"GECİKMİŞ",IF($I612=TODAY(),"BUGÜN",IF($I612&lt;=TODAY()+7,"7 GÜN İÇİNDE","PLANLI"))))))))</f>
        <v/>
      </c>
      <c r="R612" s="6" t="n"/>
      <c r="S612" s="6" t="n"/>
    </row>
    <row r="613">
      <c r="A613" s="6" t="n"/>
      <c r="B613" s="112">
        <f>IF($D613="","","A"&amp;TEXT(ROW()-6,"00000"))</f>
        <v/>
      </c>
      <c r="C613" s="107" t="n"/>
      <c r="D613" s="107" t="n"/>
      <c r="E613" s="113">
        <f>IF($D613="","",IFERROR(INDEX(MUSTERILER!$C$7:$C$106,MATCH($D613,MUSTERILER!$B$7:$B$106,0)),"TANIMSIZ MÜŞTERİ"))</f>
        <v/>
      </c>
      <c r="F613" s="108" t="n"/>
      <c r="G613" s="107" t="n"/>
      <c r="H613" s="114" t="n"/>
      <c r="I613" s="114" t="n"/>
      <c r="J613" s="107" t="n"/>
      <c r="K613" s="107" t="n"/>
      <c r="L613" s="108" t="n"/>
      <c r="M613" s="108" t="n"/>
      <c r="N613" s="108" t="n"/>
      <c r="O613" s="114" t="n"/>
      <c r="P613" s="120">
        <f>IF(OR($D613="",$I613=""),"",IF(OR($J613="Tamamlandı",$J613="İptal"),"",$I613-TODAY()))</f>
        <v/>
      </c>
      <c r="Q613" s="112">
        <f>IF($D613="","",IF($E613="TANIMSIZ MÜŞTERİ","HATA",IF(OR($J613="Tamamlandı",$J613="İptal"),"KAPALI",IF(AND($C613="Görüşme",$N613=""),"SONRAKİ İŞLEM EKSİK",IF($I613="","TARİH EKSİK",IF($I613&lt;TODAY(),"GECİKMİŞ",IF($I613=TODAY(),"BUGÜN",IF($I613&lt;=TODAY()+7,"7 GÜN İÇİNDE","PLANLI"))))))))</f>
        <v/>
      </c>
      <c r="R613" s="6" t="n"/>
      <c r="S613" s="6" t="n"/>
    </row>
    <row r="614">
      <c r="A614" s="6" t="n"/>
      <c r="B614" s="112">
        <f>IF($D614="","","A"&amp;TEXT(ROW()-6,"00000"))</f>
        <v/>
      </c>
      <c r="C614" s="107" t="n"/>
      <c r="D614" s="107" t="n"/>
      <c r="E614" s="113">
        <f>IF($D614="","",IFERROR(INDEX(MUSTERILER!$C$7:$C$106,MATCH($D614,MUSTERILER!$B$7:$B$106,0)),"TANIMSIZ MÜŞTERİ"))</f>
        <v/>
      </c>
      <c r="F614" s="108" t="n"/>
      <c r="G614" s="107" t="n"/>
      <c r="H614" s="114" t="n"/>
      <c r="I614" s="114" t="n"/>
      <c r="J614" s="107" t="n"/>
      <c r="K614" s="107" t="n"/>
      <c r="L614" s="108" t="n"/>
      <c r="M614" s="108" t="n"/>
      <c r="N614" s="108" t="n"/>
      <c r="O614" s="114" t="n"/>
      <c r="P614" s="120">
        <f>IF(OR($D614="",$I614=""),"",IF(OR($J614="Tamamlandı",$J614="İptal"),"",$I614-TODAY()))</f>
        <v/>
      </c>
      <c r="Q614" s="112">
        <f>IF($D614="","",IF($E614="TANIMSIZ MÜŞTERİ","HATA",IF(OR($J614="Tamamlandı",$J614="İptal"),"KAPALI",IF(AND($C614="Görüşme",$N614=""),"SONRAKİ İŞLEM EKSİK",IF($I614="","TARİH EKSİK",IF($I614&lt;TODAY(),"GECİKMİŞ",IF($I614=TODAY(),"BUGÜN",IF($I614&lt;=TODAY()+7,"7 GÜN İÇİNDE","PLANLI"))))))))</f>
        <v/>
      </c>
      <c r="R614" s="6" t="n"/>
      <c r="S614" s="6" t="n"/>
    </row>
    <row r="615">
      <c r="A615" s="6" t="n"/>
      <c r="B615" s="112">
        <f>IF($D615="","","A"&amp;TEXT(ROW()-6,"00000"))</f>
        <v/>
      </c>
      <c r="C615" s="107" t="n"/>
      <c r="D615" s="107" t="n"/>
      <c r="E615" s="113">
        <f>IF($D615="","",IFERROR(INDEX(MUSTERILER!$C$7:$C$106,MATCH($D615,MUSTERILER!$B$7:$B$106,0)),"TANIMSIZ MÜŞTERİ"))</f>
        <v/>
      </c>
      <c r="F615" s="108" t="n"/>
      <c r="G615" s="107" t="n"/>
      <c r="H615" s="114" t="n"/>
      <c r="I615" s="114" t="n"/>
      <c r="J615" s="107" t="n"/>
      <c r="K615" s="107" t="n"/>
      <c r="L615" s="108" t="n"/>
      <c r="M615" s="108" t="n"/>
      <c r="N615" s="108" t="n"/>
      <c r="O615" s="114" t="n"/>
      <c r="P615" s="120">
        <f>IF(OR($D615="",$I615=""),"",IF(OR($J615="Tamamlandı",$J615="İptal"),"",$I615-TODAY()))</f>
        <v/>
      </c>
      <c r="Q615" s="112">
        <f>IF($D615="","",IF($E615="TANIMSIZ MÜŞTERİ","HATA",IF(OR($J615="Tamamlandı",$J615="İptal"),"KAPALI",IF(AND($C615="Görüşme",$N615=""),"SONRAKİ İŞLEM EKSİK",IF($I615="","TARİH EKSİK",IF($I615&lt;TODAY(),"GECİKMİŞ",IF($I615=TODAY(),"BUGÜN",IF($I615&lt;=TODAY()+7,"7 GÜN İÇİNDE","PLANLI"))))))))</f>
        <v/>
      </c>
      <c r="R615" s="6" t="n"/>
      <c r="S615" s="6" t="n"/>
    </row>
    <row r="616">
      <c r="A616" s="6" t="n"/>
      <c r="B616" s="112">
        <f>IF($D616="","","A"&amp;TEXT(ROW()-6,"00000"))</f>
        <v/>
      </c>
      <c r="C616" s="107" t="n"/>
      <c r="D616" s="107" t="n"/>
      <c r="E616" s="113">
        <f>IF($D616="","",IFERROR(INDEX(MUSTERILER!$C$7:$C$106,MATCH($D616,MUSTERILER!$B$7:$B$106,0)),"TANIMSIZ MÜŞTERİ"))</f>
        <v/>
      </c>
      <c r="F616" s="108" t="n"/>
      <c r="G616" s="107" t="n"/>
      <c r="H616" s="114" t="n"/>
      <c r="I616" s="114" t="n"/>
      <c r="J616" s="107" t="n"/>
      <c r="K616" s="107" t="n"/>
      <c r="L616" s="108" t="n"/>
      <c r="M616" s="108" t="n"/>
      <c r="N616" s="108" t="n"/>
      <c r="O616" s="114" t="n"/>
      <c r="P616" s="120">
        <f>IF(OR($D616="",$I616=""),"",IF(OR($J616="Tamamlandı",$J616="İptal"),"",$I616-TODAY()))</f>
        <v/>
      </c>
      <c r="Q616" s="112">
        <f>IF($D616="","",IF($E616="TANIMSIZ MÜŞTERİ","HATA",IF(OR($J616="Tamamlandı",$J616="İptal"),"KAPALI",IF(AND($C616="Görüşme",$N616=""),"SONRAKİ İŞLEM EKSİK",IF($I616="","TARİH EKSİK",IF($I616&lt;TODAY(),"GECİKMİŞ",IF($I616=TODAY(),"BUGÜN",IF($I616&lt;=TODAY()+7,"7 GÜN İÇİNDE","PLANLI"))))))))</f>
        <v/>
      </c>
      <c r="R616" s="6" t="n"/>
      <c r="S616" s="6" t="n"/>
    </row>
    <row r="617">
      <c r="A617" s="6" t="n"/>
      <c r="B617" s="112">
        <f>IF($D617="","","A"&amp;TEXT(ROW()-6,"00000"))</f>
        <v/>
      </c>
      <c r="C617" s="107" t="n"/>
      <c r="D617" s="107" t="n"/>
      <c r="E617" s="113">
        <f>IF($D617="","",IFERROR(INDEX(MUSTERILER!$C$7:$C$106,MATCH($D617,MUSTERILER!$B$7:$B$106,0)),"TANIMSIZ MÜŞTERİ"))</f>
        <v/>
      </c>
      <c r="F617" s="108" t="n"/>
      <c r="G617" s="107" t="n"/>
      <c r="H617" s="114" t="n"/>
      <c r="I617" s="114" t="n"/>
      <c r="J617" s="107" t="n"/>
      <c r="K617" s="107" t="n"/>
      <c r="L617" s="108" t="n"/>
      <c r="M617" s="108" t="n"/>
      <c r="N617" s="108" t="n"/>
      <c r="O617" s="114" t="n"/>
      <c r="P617" s="120">
        <f>IF(OR($D617="",$I617=""),"",IF(OR($J617="Tamamlandı",$J617="İptal"),"",$I617-TODAY()))</f>
        <v/>
      </c>
      <c r="Q617" s="112">
        <f>IF($D617="","",IF($E617="TANIMSIZ MÜŞTERİ","HATA",IF(OR($J617="Tamamlandı",$J617="İptal"),"KAPALI",IF(AND($C617="Görüşme",$N617=""),"SONRAKİ İŞLEM EKSİK",IF($I617="","TARİH EKSİK",IF($I617&lt;TODAY(),"GECİKMİŞ",IF($I617=TODAY(),"BUGÜN",IF($I617&lt;=TODAY()+7,"7 GÜN İÇİNDE","PLANLI"))))))))</f>
        <v/>
      </c>
      <c r="R617" s="6" t="n"/>
      <c r="S617" s="6" t="n"/>
    </row>
    <row r="618">
      <c r="A618" s="6" t="n"/>
      <c r="B618" s="112">
        <f>IF($D618="","","A"&amp;TEXT(ROW()-6,"00000"))</f>
        <v/>
      </c>
      <c r="C618" s="107" t="n"/>
      <c r="D618" s="107" t="n"/>
      <c r="E618" s="113">
        <f>IF($D618="","",IFERROR(INDEX(MUSTERILER!$C$7:$C$106,MATCH($D618,MUSTERILER!$B$7:$B$106,0)),"TANIMSIZ MÜŞTERİ"))</f>
        <v/>
      </c>
      <c r="F618" s="108" t="n"/>
      <c r="G618" s="107" t="n"/>
      <c r="H618" s="114" t="n"/>
      <c r="I618" s="114" t="n"/>
      <c r="J618" s="107" t="n"/>
      <c r="K618" s="107" t="n"/>
      <c r="L618" s="108" t="n"/>
      <c r="M618" s="108" t="n"/>
      <c r="N618" s="108" t="n"/>
      <c r="O618" s="114" t="n"/>
      <c r="P618" s="120">
        <f>IF(OR($D618="",$I618=""),"",IF(OR($J618="Tamamlandı",$J618="İptal"),"",$I618-TODAY()))</f>
        <v/>
      </c>
      <c r="Q618" s="112">
        <f>IF($D618="","",IF($E618="TANIMSIZ MÜŞTERİ","HATA",IF(OR($J618="Tamamlandı",$J618="İptal"),"KAPALI",IF(AND($C618="Görüşme",$N618=""),"SONRAKİ İŞLEM EKSİK",IF($I618="","TARİH EKSİK",IF($I618&lt;TODAY(),"GECİKMİŞ",IF($I618=TODAY(),"BUGÜN",IF($I618&lt;=TODAY()+7,"7 GÜN İÇİNDE","PLANLI"))))))))</f>
        <v/>
      </c>
      <c r="R618" s="6" t="n"/>
      <c r="S618" s="6" t="n"/>
    </row>
    <row r="619">
      <c r="A619" s="6" t="n"/>
      <c r="B619" s="112">
        <f>IF($D619="","","A"&amp;TEXT(ROW()-6,"00000"))</f>
        <v/>
      </c>
      <c r="C619" s="107" t="n"/>
      <c r="D619" s="107" t="n"/>
      <c r="E619" s="113">
        <f>IF($D619="","",IFERROR(INDEX(MUSTERILER!$C$7:$C$106,MATCH($D619,MUSTERILER!$B$7:$B$106,0)),"TANIMSIZ MÜŞTERİ"))</f>
        <v/>
      </c>
      <c r="F619" s="108" t="n"/>
      <c r="G619" s="107" t="n"/>
      <c r="H619" s="114" t="n"/>
      <c r="I619" s="114" t="n"/>
      <c r="J619" s="107" t="n"/>
      <c r="K619" s="107" t="n"/>
      <c r="L619" s="108" t="n"/>
      <c r="M619" s="108" t="n"/>
      <c r="N619" s="108" t="n"/>
      <c r="O619" s="114" t="n"/>
      <c r="P619" s="120">
        <f>IF(OR($D619="",$I619=""),"",IF(OR($J619="Tamamlandı",$J619="İptal"),"",$I619-TODAY()))</f>
        <v/>
      </c>
      <c r="Q619" s="112">
        <f>IF($D619="","",IF($E619="TANIMSIZ MÜŞTERİ","HATA",IF(OR($J619="Tamamlandı",$J619="İptal"),"KAPALI",IF(AND($C619="Görüşme",$N619=""),"SONRAKİ İŞLEM EKSİK",IF($I619="","TARİH EKSİK",IF($I619&lt;TODAY(),"GECİKMİŞ",IF($I619=TODAY(),"BUGÜN",IF($I619&lt;=TODAY()+7,"7 GÜN İÇİNDE","PLANLI"))))))))</f>
        <v/>
      </c>
      <c r="R619" s="6" t="n"/>
      <c r="S619" s="6" t="n"/>
    </row>
    <row r="620">
      <c r="A620" s="6" t="n"/>
      <c r="B620" s="112">
        <f>IF($D620="","","A"&amp;TEXT(ROW()-6,"00000"))</f>
        <v/>
      </c>
      <c r="C620" s="107" t="n"/>
      <c r="D620" s="107" t="n"/>
      <c r="E620" s="113">
        <f>IF($D620="","",IFERROR(INDEX(MUSTERILER!$C$7:$C$106,MATCH($D620,MUSTERILER!$B$7:$B$106,0)),"TANIMSIZ MÜŞTERİ"))</f>
        <v/>
      </c>
      <c r="F620" s="108" t="n"/>
      <c r="G620" s="107" t="n"/>
      <c r="H620" s="114" t="n"/>
      <c r="I620" s="114" t="n"/>
      <c r="J620" s="107" t="n"/>
      <c r="K620" s="107" t="n"/>
      <c r="L620" s="108" t="n"/>
      <c r="M620" s="108" t="n"/>
      <c r="N620" s="108" t="n"/>
      <c r="O620" s="114" t="n"/>
      <c r="P620" s="120">
        <f>IF(OR($D620="",$I620=""),"",IF(OR($J620="Tamamlandı",$J620="İptal"),"",$I620-TODAY()))</f>
        <v/>
      </c>
      <c r="Q620" s="112">
        <f>IF($D620="","",IF($E620="TANIMSIZ MÜŞTERİ","HATA",IF(OR($J620="Tamamlandı",$J620="İptal"),"KAPALI",IF(AND($C620="Görüşme",$N620=""),"SONRAKİ İŞLEM EKSİK",IF($I620="","TARİH EKSİK",IF($I620&lt;TODAY(),"GECİKMİŞ",IF($I620=TODAY(),"BUGÜN",IF($I620&lt;=TODAY()+7,"7 GÜN İÇİNDE","PLANLI"))))))))</f>
        <v/>
      </c>
      <c r="R620" s="6" t="n"/>
      <c r="S620" s="6" t="n"/>
    </row>
    <row r="621">
      <c r="A621" s="6" t="n"/>
      <c r="B621" s="112">
        <f>IF($D621="","","A"&amp;TEXT(ROW()-6,"00000"))</f>
        <v/>
      </c>
      <c r="C621" s="107" t="n"/>
      <c r="D621" s="107" t="n"/>
      <c r="E621" s="113">
        <f>IF($D621="","",IFERROR(INDEX(MUSTERILER!$C$7:$C$106,MATCH($D621,MUSTERILER!$B$7:$B$106,0)),"TANIMSIZ MÜŞTERİ"))</f>
        <v/>
      </c>
      <c r="F621" s="108" t="n"/>
      <c r="G621" s="107" t="n"/>
      <c r="H621" s="114" t="n"/>
      <c r="I621" s="114" t="n"/>
      <c r="J621" s="107" t="n"/>
      <c r="K621" s="107" t="n"/>
      <c r="L621" s="108" t="n"/>
      <c r="M621" s="108" t="n"/>
      <c r="N621" s="108" t="n"/>
      <c r="O621" s="114" t="n"/>
      <c r="P621" s="120">
        <f>IF(OR($D621="",$I621=""),"",IF(OR($J621="Tamamlandı",$J621="İptal"),"",$I621-TODAY()))</f>
        <v/>
      </c>
      <c r="Q621" s="112">
        <f>IF($D621="","",IF($E621="TANIMSIZ MÜŞTERİ","HATA",IF(OR($J621="Tamamlandı",$J621="İptal"),"KAPALI",IF(AND($C621="Görüşme",$N621=""),"SONRAKİ İŞLEM EKSİK",IF($I621="","TARİH EKSİK",IF($I621&lt;TODAY(),"GECİKMİŞ",IF($I621=TODAY(),"BUGÜN",IF($I621&lt;=TODAY()+7,"7 GÜN İÇİNDE","PLANLI"))))))))</f>
        <v/>
      </c>
      <c r="R621" s="6" t="n"/>
      <c r="S621" s="6" t="n"/>
    </row>
    <row r="622">
      <c r="A622" s="6" t="n"/>
      <c r="B622" s="112">
        <f>IF($D622="","","A"&amp;TEXT(ROW()-6,"00000"))</f>
        <v/>
      </c>
      <c r="C622" s="107" t="n"/>
      <c r="D622" s="107" t="n"/>
      <c r="E622" s="113">
        <f>IF($D622="","",IFERROR(INDEX(MUSTERILER!$C$7:$C$106,MATCH($D622,MUSTERILER!$B$7:$B$106,0)),"TANIMSIZ MÜŞTERİ"))</f>
        <v/>
      </c>
      <c r="F622" s="108" t="n"/>
      <c r="G622" s="107" t="n"/>
      <c r="H622" s="114" t="n"/>
      <c r="I622" s="114" t="n"/>
      <c r="J622" s="107" t="n"/>
      <c r="K622" s="107" t="n"/>
      <c r="L622" s="108" t="n"/>
      <c r="M622" s="108" t="n"/>
      <c r="N622" s="108" t="n"/>
      <c r="O622" s="114" t="n"/>
      <c r="P622" s="120">
        <f>IF(OR($D622="",$I622=""),"",IF(OR($J622="Tamamlandı",$J622="İptal"),"",$I622-TODAY()))</f>
        <v/>
      </c>
      <c r="Q622" s="112">
        <f>IF($D622="","",IF($E622="TANIMSIZ MÜŞTERİ","HATA",IF(OR($J622="Tamamlandı",$J622="İptal"),"KAPALI",IF(AND($C622="Görüşme",$N622=""),"SONRAKİ İŞLEM EKSİK",IF($I622="","TARİH EKSİK",IF($I622&lt;TODAY(),"GECİKMİŞ",IF($I622=TODAY(),"BUGÜN",IF($I622&lt;=TODAY()+7,"7 GÜN İÇİNDE","PLANLI"))))))))</f>
        <v/>
      </c>
      <c r="R622" s="6" t="n"/>
      <c r="S622" s="6" t="n"/>
    </row>
    <row r="623">
      <c r="A623" s="6" t="n"/>
      <c r="B623" s="112">
        <f>IF($D623="","","A"&amp;TEXT(ROW()-6,"00000"))</f>
        <v/>
      </c>
      <c r="C623" s="107" t="n"/>
      <c r="D623" s="107" t="n"/>
      <c r="E623" s="113">
        <f>IF($D623="","",IFERROR(INDEX(MUSTERILER!$C$7:$C$106,MATCH($D623,MUSTERILER!$B$7:$B$106,0)),"TANIMSIZ MÜŞTERİ"))</f>
        <v/>
      </c>
      <c r="F623" s="108" t="n"/>
      <c r="G623" s="107" t="n"/>
      <c r="H623" s="114" t="n"/>
      <c r="I623" s="114" t="n"/>
      <c r="J623" s="107" t="n"/>
      <c r="K623" s="107" t="n"/>
      <c r="L623" s="108" t="n"/>
      <c r="M623" s="108" t="n"/>
      <c r="N623" s="108" t="n"/>
      <c r="O623" s="114" t="n"/>
      <c r="P623" s="120">
        <f>IF(OR($D623="",$I623=""),"",IF(OR($J623="Tamamlandı",$J623="İptal"),"",$I623-TODAY()))</f>
        <v/>
      </c>
      <c r="Q623" s="112">
        <f>IF($D623="","",IF($E623="TANIMSIZ MÜŞTERİ","HATA",IF(OR($J623="Tamamlandı",$J623="İptal"),"KAPALI",IF(AND($C623="Görüşme",$N623=""),"SONRAKİ İŞLEM EKSİK",IF($I623="","TARİH EKSİK",IF($I623&lt;TODAY(),"GECİKMİŞ",IF($I623=TODAY(),"BUGÜN",IF($I623&lt;=TODAY()+7,"7 GÜN İÇİNDE","PLANLI"))))))))</f>
        <v/>
      </c>
      <c r="R623" s="6" t="n"/>
      <c r="S623" s="6" t="n"/>
    </row>
    <row r="624">
      <c r="A624" s="6" t="n"/>
      <c r="B624" s="112">
        <f>IF($D624="","","A"&amp;TEXT(ROW()-6,"00000"))</f>
        <v/>
      </c>
      <c r="C624" s="107" t="n"/>
      <c r="D624" s="107" t="n"/>
      <c r="E624" s="113">
        <f>IF($D624="","",IFERROR(INDEX(MUSTERILER!$C$7:$C$106,MATCH($D624,MUSTERILER!$B$7:$B$106,0)),"TANIMSIZ MÜŞTERİ"))</f>
        <v/>
      </c>
      <c r="F624" s="108" t="n"/>
      <c r="G624" s="107" t="n"/>
      <c r="H624" s="114" t="n"/>
      <c r="I624" s="114" t="n"/>
      <c r="J624" s="107" t="n"/>
      <c r="K624" s="107" t="n"/>
      <c r="L624" s="108" t="n"/>
      <c r="M624" s="108" t="n"/>
      <c r="N624" s="108" t="n"/>
      <c r="O624" s="114" t="n"/>
      <c r="P624" s="120">
        <f>IF(OR($D624="",$I624=""),"",IF(OR($J624="Tamamlandı",$J624="İptal"),"",$I624-TODAY()))</f>
        <v/>
      </c>
      <c r="Q624" s="112">
        <f>IF($D624="","",IF($E624="TANIMSIZ MÜŞTERİ","HATA",IF(OR($J624="Tamamlandı",$J624="İptal"),"KAPALI",IF(AND($C624="Görüşme",$N624=""),"SONRAKİ İŞLEM EKSİK",IF($I624="","TARİH EKSİK",IF($I624&lt;TODAY(),"GECİKMİŞ",IF($I624=TODAY(),"BUGÜN",IF($I624&lt;=TODAY()+7,"7 GÜN İÇİNDE","PLANLI"))))))))</f>
        <v/>
      </c>
      <c r="R624" s="6" t="n"/>
      <c r="S624" s="6" t="n"/>
    </row>
    <row r="625">
      <c r="A625" s="6" t="n"/>
      <c r="B625" s="112">
        <f>IF($D625="","","A"&amp;TEXT(ROW()-6,"00000"))</f>
        <v/>
      </c>
      <c r="C625" s="107" t="n"/>
      <c r="D625" s="107" t="n"/>
      <c r="E625" s="113">
        <f>IF($D625="","",IFERROR(INDEX(MUSTERILER!$C$7:$C$106,MATCH($D625,MUSTERILER!$B$7:$B$106,0)),"TANIMSIZ MÜŞTERİ"))</f>
        <v/>
      </c>
      <c r="F625" s="108" t="n"/>
      <c r="G625" s="107" t="n"/>
      <c r="H625" s="114" t="n"/>
      <c r="I625" s="114" t="n"/>
      <c r="J625" s="107" t="n"/>
      <c r="K625" s="107" t="n"/>
      <c r="L625" s="108" t="n"/>
      <c r="M625" s="108" t="n"/>
      <c r="N625" s="108" t="n"/>
      <c r="O625" s="114" t="n"/>
      <c r="P625" s="120">
        <f>IF(OR($D625="",$I625=""),"",IF(OR($J625="Tamamlandı",$J625="İptal"),"",$I625-TODAY()))</f>
        <v/>
      </c>
      <c r="Q625" s="112">
        <f>IF($D625="","",IF($E625="TANIMSIZ MÜŞTERİ","HATA",IF(OR($J625="Tamamlandı",$J625="İptal"),"KAPALI",IF(AND($C625="Görüşme",$N625=""),"SONRAKİ İŞLEM EKSİK",IF($I625="","TARİH EKSİK",IF($I625&lt;TODAY(),"GECİKMİŞ",IF($I625=TODAY(),"BUGÜN",IF($I625&lt;=TODAY()+7,"7 GÜN İÇİNDE","PLANLI"))))))))</f>
        <v/>
      </c>
      <c r="R625" s="6" t="n"/>
      <c r="S625" s="6" t="n"/>
    </row>
    <row r="626">
      <c r="A626" s="6" t="n"/>
      <c r="B626" s="112">
        <f>IF($D626="","","A"&amp;TEXT(ROW()-6,"00000"))</f>
        <v/>
      </c>
      <c r="C626" s="107" t="n"/>
      <c r="D626" s="107" t="n"/>
      <c r="E626" s="113">
        <f>IF($D626="","",IFERROR(INDEX(MUSTERILER!$C$7:$C$106,MATCH($D626,MUSTERILER!$B$7:$B$106,0)),"TANIMSIZ MÜŞTERİ"))</f>
        <v/>
      </c>
      <c r="F626" s="108" t="n"/>
      <c r="G626" s="107" t="n"/>
      <c r="H626" s="114" t="n"/>
      <c r="I626" s="114" t="n"/>
      <c r="J626" s="107" t="n"/>
      <c r="K626" s="107" t="n"/>
      <c r="L626" s="108" t="n"/>
      <c r="M626" s="108" t="n"/>
      <c r="N626" s="108" t="n"/>
      <c r="O626" s="114" t="n"/>
      <c r="P626" s="120">
        <f>IF(OR($D626="",$I626=""),"",IF(OR($J626="Tamamlandı",$J626="İptal"),"",$I626-TODAY()))</f>
        <v/>
      </c>
      <c r="Q626" s="112">
        <f>IF($D626="","",IF($E626="TANIMSIZ MÜŞTERİ","HATA",IF(OR($J626="Tamamlandı",$J626="İptal"),"KAPALI",IF(AND($C626="Görüşme",$N626=""),"SONRAKİ İŞLEM EKSİK",IF($I626="","TARİH EKSİK",IF($I626&lt;TODAY(),"GECİKMİŞ",IF($I626=TODAY(),"BUGÜN",IF($I626&lt;=TODAY()+7,"7 GÜN İÇİNDE","PLANLI"))))))))</f>
        <v/>
      </c>
      <c r="R626" s="6" t="n"/>
      <c r="S626" s="6" t="n"/>
    </row>
    <row r="627">
      <c r="A627" s="6" t="n"/>
      <c r="B627" s="112">
        <f>IF($D627="","","A"&amp;TEXT(ROW()-6,"00000"))</f>
        <v/>
      </c>
      <c r="C627" s="107" t="n"/>
      <c r="D627" s="107" t="n"/>
      <c r="E627" s="113">
        <f>IF($D627="","",IFERROR(INDEX(MUSTERILER!$C$7:$C$106,MATCH($D627,MUSTERILER!$B$7:$B$106,0)),"TANIMSIZ MÜŞTERİ"))</f>
        <v/>
      </c>
      <c r="F627" s="108" t="n"/>
      <c r="G627" s="107" t="n"/>
      <c r="H627" s="114" t="n"/>
      <c r="I627" s="114" t="n"/>
      <c r="J627" s="107" t="n"/>
      <c r="K627" s="107" t="n"/>
      <c r="L627" s="108" t="n"/>
      <c r="M627" s="108" t="n"/>
      <c r="N627" s="108" t="n"/>
      <c r="O627" s="114" t="n"/>
      <c r="P627" s="120">
        <f>IF(OR($D627="",$I627=""),"",IF(OR($J627="Tamamlandı",$J627="İptal"),"",$I627-TODAY()))</f>
        <v/>
      </c>
      <c r="Q627" s="112">
        <f>IF($D627="","",IF($E627="TANIMSIZ MÜŞTERİ","HATA",IF(OR($J627="Tamamlandı",$J627="İptal"),"KAPALI",IF(AND($C627="Görüşme",$N627=""),"SONRAKİ İŞLEM EKSİK",IF($I627="","TARİH EKSİK",IF($I627&lt;TODAY(),"GECİKMİŞ",IF($I627=TODAY(),"BUGÜN",IF($I627&lt;=TODAY()+7,"7 GÜN İÇİNDE","PLANLI"))))))))</f>
        <v/>
      </c>
      <c r="R627" s="6" t="n"/>
      <c r="S627" s="6" t="n"/>
    </row>
    <row r="628">
      <c r="A628" s="6" t="n"/>
      <c r="B628" s="112">
        <f>IF($D628="","","A"&amp;TEXT(ROW()-6,"00000"))</f>
        <v/>
      </c>
      <c r="C628" s="107" t="n"/>
      <c r="D628" s="107" t="n"/>
      <c r="E628" s="113">
        <f>IF($D628="","",IFERROR(INDEX(MUSTERILER!$C$7:$C$106,MATCH($D628,MUSTERILER!$B$7:$B$106,0)),"TANIMSIZ MÜŞTERİ"))</f>
        <v/>
      </c>
      <c r="F628" s="108" t="n"/>
      <c r="G628" s="107" t="n"/>
      <c r="H628" s="114" t="n"/>
      <c r="I628" s="114" t="n"/>
      <c r="J628" s="107" t="n"/>
      <c r="K628" s="107" t="n"/>
      <c r="L628" s="108" t="n"/>
      <c r="M628" s="108" t="n"/>
      <c r="N628" s="108" t="n"/>
      <c r="O628" s="114" t="n"/>
      <c r="P628" s="120">
        <f>IF(OR($D628="",$I628=""),"",IF(OR($J628="Tamamlandı",$J628="İptal"),"",$I628-TODAY()))</f>
        <v/>
      </c>
      <c r="Q628" s="112">
        <f>IF($D628="","",IF($E628="TANIMSIZ MÜŞTERİ","HATA",IF(OR($J628="Tamamlandı",$J628="İptal"),"KAPALI",IF(AND($C628="Görüşme",$N628=""),"SONRAKİ İŞLEM EKSİK",IF($I628="","TARİH EKSİK",IF($I628&lt;TODAY(),"GECİKMİŞ",IF($I628=TODAY(),"BUGÜN",IF($I628&lt;=TODAY()+7,"7 GÜN İÇİNDE","PLANLI"))))))))</f>
        <v/>
      </c>
      <c r="R628" s="6" t="n"/>
      <c r="S628" s="6" t="n"/>
    </row>
    <row r="629">
      <c r="A629" s="6" t="n"/>
      <c r="B629" s="112">
        <f>IF($D629="","","A"&amp;TEXT(ROW()-6,"00000"))</f>
        <v/>
      </c>
      <c r="C629" s="107" t="n"/>
      <c r="D629" s="107" t="n"/>
      <c r="E629" s="113">
        <f>IF($D629="","",IFERROR(INDEX(MUSTERILER!$C$7:$C$106,MATCH($D629,MUSTERILER!$B$7:$B$106,0)),"TANIMSIZ MÜŞTERİ"))</f>
        <v/>
      </c>
      <c r="F629" s="108" t="n"/>
      <c r="G629" s="107" t="n"/>
      <c r="H629" s="114" t="n"/>
      <c r="I629" s="114" t="n"/>
      <c r="J629" s="107" t="n"/>
      <c r="K629" s="107" t="n"/>
      <c r="L629" s="108" t="n"/>
      <c r="M629" s="108" t="n"/>
      <c r="N629" s="108" t="n"/>
      <c r="O629" s="114" t="n"/>
      <c r="P629" s="120">
        <f>IF(OR($D629="",$I629=""),"",IF(OR($J629="Tamamlandı",$J629="İptal"),"",$I629-TODAY()))</f>
        <v/>
      </c>
      <c r="Q629" s="112">
        <f>IF($D629="","",IF($E629="TANIMSIZ MÜŞTERİ","HATA",IF(OR($J629="Tamamlandı",$J629="İptal"),"KAPALI",IF(AND($C629="Görüşme",$N629=""),"SONRAKİ İŞLEM EKSİK",IF($I629="","TARİH EKSİK",IF($I629&lt;TODAY(),"GECİKMİŞ",IF($I629=TODAY(),"BUGÜN",IF($I629&lt;=TODAY()+7,"7 GÜN İÇİNDE","PLANLI"))))))))</f>
        <v/>
      </c>
      <c r="R629" s="6" t="n"/>
      <c r="S629" s="6" t="n"/>
    </row>
    <row r="630">
      <c r="A630" s="6" t="n"/>
      <c r="B630" s="112">
        <f>IF($D630="","","A"&amp;TEXT(ROW()-6,"00000"))</f>
        <v/>
      </c>
      <c r="C630" s="107" t="n"/>
      <c r="D630" s="107" t="n"/>
      <c r="E630" s="113">
        <f>IF($D630="","",IFERROR(INDEX(MUSTERILER!$C$7:$C$106,MATCH($D630,MUSTERILER!$B$7:$B$106,0)),"TANIMSIZ MÜŞTERİ"))</f>
        <v/>
      </c>
      <c r="F630" s="108" t="n"/>
      <c r="G630" s="107" t="n"/>
      <c r="H630" s="114" t="n"/>
      <c r="I630" s="114" t="n"/>
      <c r="J630" s="107" t="n"/>
      <c r="K630" s="107" t="n"/>
      <c r="L630" s="108" t="n"/>
      <c r="M630" s="108" t="n"/>
      <c r="N630" s="108" t="n"/>
      <c r="O630" s="114" t="n"/>
      <c r="P630" s="120">
        <f>IF(OR($D630="",$I630=""),"",IF(OR($J630="Tamamlandı",$J630="İptal"),"",$I630-TODAY()))</f>
        <v/>
      </c>
      <c r="Q630" s="112">
        <f>IF($D630="","",IF($E630="TANIMSIZ MÜŞTERİ","HATA",IF(OR($J630="Tamamlandı",$J630="İptal"),"KAPALI",IF(AND($C630="Görüşme",$N630=""),"SONRAKİ İŞLEM EKSİK",IF($I630="","TARİH EKSİK",IF($I630&lt;TODAY(),"GECİKMİŞ",IF($I630=TODAY(),"BUGÜN",IF($I630&lt;=TODAY()+7,"7 GÜN İÇİNDE","PLANLI"))))))))</f>
        <v/>
      </c>
      <c r="R630" s="6" t="n"/>
      <c r="S630" s="6" t="n"/>
    </row>
    <row r="631">
      <c r="A631" s="6" t="n"/>
      <c r="B631" s="112">
        <f>IF($D631="","","A"&amp;TEXT(ROW()-6,"00000"))</f>
        <v/>
      </c>
      <c r="C631" s="107" t="n"/>
      <c r="D631" s="107" t="n"/>
      <c r="E631" s="113">
        <f>IF($D631="","",IFERROR(INDEX(MUSTERILER!$C$7:$C$106,MATCH($D631,MUSTERILER!$B$7:$B$106,0)),"TANIMSIZ MÜŞTERİ"))</f>
        <v/>
      </c>
      <c r="F631" s="108" t="n"/>
      <c r="G631" s="107" t="n"/>
      <c r="H631" s="114" t="n"/>
      <c r="I631" s="114" t="n"/>
      <c r="J631" s="107" t="n"/>
      <c r="K631" s="107" t="n"/>
      <c r="L631" s="108" t="n"/>
      <c r="M631" s="108" t="n"/>
      <c r="N631" s="108" t="n"/>
      <c r="O631" s="114" t="n"/>
      <c r="P631" s="120">
        <f>IF(OR($D631="",$I631=""),"",IF(OR($J631="Tamamlandı",$J631="İptal"),"",$I631-TODAY()))</f>
        <v/>
      </c>
      <c r="Q631" s="112">
        <f>IF($D631="","",IF($E631="TANIMSIZ MÜŞTERİ","HATA",IF(OR($J631="Tamamlandı",$J631="İptal"),"KAPALI",IF(AND($C631="Görüşme",$N631=""),"SONRAKİ İŞLEM EKSİK",IF($I631="","TARİH EKSİK",IF($I631&lt;TODAY(),"GECİKMİŞ",IF($I631=TODAY(),"BUGÜN",IF($I631&lt;=TODAY()+7,"7 GÜN İÇİNDE","PLANLI"))))))))</f>
        <v/>
      </c>
      <c r="R631" s="6" t="n"/>
      <c r="S631" s="6" t="n"/>
    </row>
    <row r="632">
      <c r="A632" s="6" t="n"/>
      <c r="B632" s="112">
        <f>IF($D632="","","A"&amp;TEXT(ROW()-6,"00000"))</f>
        <v/>
      </c>
      <c r="C632" s="107" t="n"/>
      <c r="D632" s="107" t="n"/>
      <c r="E632" s="113">
        <f>IF($D632="","",IFERROR(INDEX(MUSTERILER!$C$7:$C$106,MATCH($D632,MUSTERILER!$B$7:$B$106,0)),"TANIMSIZ MÜŞTERİ"))</f>
        <v/>
      </c>
      <c r="F632" s="108" t="n"/>
      <c r="G632" s="107" t="n"/>
      <c r="H632" s="114" t="n"/>
      <c r="I632" s="114" t="n"/>
      <c r="J632" s="107" t="n"/>
      <c r="K632" s="107" t="n"/>
      <c r="L632" s="108" t="n"/>
      <c r="M632" s="108" t="n"/>
      <c r="N632" s="108" t="n"/>
      <c r="O632" s="114" t="n"/>
      <c r="P632" s="120">
        <f>IF(OR($D632="",$I632=""),"",IF(OR($J632="Tamamlandı",$J632="İptal"),"",$I632-TODAY()))</f>
        <v/>
      </c>
      <c r="Q632" s="112">
        <f>IF($D632="","",IF($E632="TANIMSIZ MÜŞTERİ","HATA",IF(OR($J632="Tamamlandı",$J632="İptal"),"KAPALI",IF(AND($C632="Görüşme",$N632=""),"SONRAKİ İŞLEM EKSİK",IF($I632="","TARİH EKSİK",IF($I632&lt;TODAY(),"GECİKMİŞ",IF($I632=TODAY(),"BUGÜN",IF($I632&lt;=TODAY()+7,"7 GÜN İÇİNDE","PLANLI"))))))))</f>
        <v/>
      </c>
      <c r="R632" s="6" t="n"/>
      <c r="S632" s="6" t="n"/>
    </row>
    <row r="633">
      <c r="A633" s="6" t="n"/>
      <c r="B633" s="112">
        <f>IF($D633="","","A"&amp;TEXT(ROW()-6,"00000"))</f>
        <v/>
      </c>
      <c r="C633" s="107" t="n"/>
      <c r="D633" s="107" t="n"/>
      <c r="E633" s="113">
        <f>IF($D633="","",IFERROR(INDEX(MUSTERILER!$C$7:$C$106,MATCH($D633,MUSTERILER!$B$7:$B$106,0)),"TANIMSIZ MÜŞTERİ"))</f>
        <v/>
      </c>
      <c r="F633" s="108" t="n"/>
      <c r="G633" s="107" t="n"/>
      <c r="H633" s="114" t="n"/>
      <c r="I633" s="114" t="n"/>
      <c r="J633" s="107" t="n"/>
      <c r="K633" s="107" t="n"/>
      <c r="L633" s="108" t="n"/>
      <c r="M633" s="108" t="n"/>
      <c r="N633" s="108" t="n"/>
      <c r="O633" s="114" t="n"/>
      <c r="P633" s="120">
        <f>IF(OR($D633="",$I633=""),"",IF(OR($J633="Tamamlandı",$J633="İptal"),"",$I633-TODAY()))</f>
        <v/>
      </c>
      <c r="Q633" s="112">
        <f>IF($D633="","",IF($E633="TANIMSIZ MÜŞTERİ","HATA",IF(OR($J633="Tamamlandı",$J633="İptal"),"KAPALI",IF(AND($C633="Görüşme",$N633=""),"SONRAKİ İŞLEM EKSİK",IF($I633="","TARİH EKSİK",IF($I633&lt;TODAY(),"GECİKMİŞ",IF($I633=TODAY(),"BUGÜN",IF($I633&lt;=TODAY()+7,"7 GÜN İÇİNDE","PLANLI"))))))))</f>
        <v/>
      </c>
      <c r="R633" s="6" t="n"/>
      <c r="S633" s="6" t="n"/>
    </row>
    <row r="634">
      <c r="A634" s="6" t="n"/>
      <c r="B634" s="112">
        <f>IF($D634="","","A"&amp;TEXT(ROW()-6,"00000"))</f>
        <v/>
      </c>
      <c r="C634" s="107" t="n"/>
      <c r="D634" s="107" t="n"/>
      <c r="E634" s="113">
        <f>IF($D634="","",IFERROR(INDEX(MUSTERILER!$C$7:$C$106,MATCH($D634,MUSTERILER!$B$7:$B$106,0)),"TANIMSIZ MÜŞTERİ"))</f>
        <v/>
      </c>
      <c r="F634" s="108" t="n"/>
      <c r="G634" s="107" t="n"/>
      <c r="H634" s="114" t="n"/>
      <c r="I634" s="114" t="n"/>
      <c r="J634" s="107" t="n"/>
      <c r="K634" s="107" t="n"/>
      <c r="L634" s="108" t="n"/>
      <c r="M634" s="108" t="n"/>
      <c r="N634" s="108" t="n"/>
      <c r="O634" s="114" t="n"/>
      <c r="P634" s="120">
        <f>IF(OR($D634="",$I634=""),"",IF(OR($J634="Tamamlandı",$J634="İptal"),"",$I634-TODAY()))</f>
        <v/>
      </c>
      <c r="Q634" s="112">
        <f>IF($D634="","",IF($E634="TANIMSIZ MÜŞTERİ","HATA",IF(OR($J634="Tamamlandı",$J634="İptal"),"KAPALI",IF(AND($C634="Görüşme",$N634=""),"SONRAKİ İŞLEM EKSİK",IF($I634="","TARİH EKSİK",IF($I634&lt;TODAY(),"GECİKMİŞ",IF($I634=TODAY(),"BUGÜN",IF($I634&lt;=TODAY()+7,"7 GÜN İÇİNDE","PLANLI"))))))))</f>
        <v/>
      </c>
      <c r="R634" s="6" t="n"/>
      <c r="S634" s="6" t="n"/>
    </row>
    <row r="635">
      <c r="A635" s="6" t="n"/>
      <c r="B635" s="112">
        <f>IF($D635="","","A"&amp;TEXT(ROW()-6,"00000"))</f>
        <v/>
      </c>
      <c r="C635" s="107" t="n"/>
      <c r="D635" s="107" t="n"/>
      <c r="E635" s="113">
        <f>IF($D635="","",IFERROR(INDEX(MUSTERILER!$C$7:$C$106,MATCH($D635,MUSTERILER!$B$7:$B$106,0)),"TANIMSIZ MÜŞTERİ"))</f>
        <v/>
      </c>
      <c r="F635" s="108" t="n"/>
      <c r="G635" s="107" t="n"/>
      <c r="H635" s="114" t="n"/>
      <c r="I635" s="114" t="n"/>
      <c r="J635" s="107" t="n"/>
      <c r="K635" s="107" t="n"/>
      <c r="L635" s="108" t="n"/>
      <c r="M635" s="108" t="n"/>
      <c r="N635" s="108" t="n"/>
      <c r="O635" s="114" t="n"/>
      <c r="P635" s="120">
        <f>IF(OR($D635="",$I635=""),"",IF(OR($J635="Tamamlandı",$J635="İptal"),"",$I635-TODAY()))</f>
        <v/>
      </c>
      <c r="Q635" s="112">
        <f>IF($D635="","",IF($E635="TANIMSIZ MÜŞTERİ","HATA",IF(OR($J635="Tamamlandı",$J635="İptal"),"KAPALI",IF(AND($C635="Görüşme",$N635=""),"SONRAKİ İŞLEM EKSİK",IF($I635="","TARİH EKSİK",IF($I635&lt;TODAY(),"GECİKMİŞ",IF($I635=TODAY(),"BUGÜN",IF($I635&lt;=TODAY()+7,"7 GÜN İÇİNDE","PLANLI"))))))))</f>
        <v/>
      </c>
      <c r="R635" s="6" t="n"/>
      <c r="S635" s="6" t="n"/>
    </row>
    <row r="636">
      <c r="A636" s="6" t="n"/>
      <c r="B636" s="112">
        <f>IF($D636="","","A"&amp;TEXT(ROW()-6,"00000"))</f>
        <v/>
      </c>
      <c r="C636" s="107" t="n"/>
      <c r="D636" s="107" t="n"/>
      <c r="E636" s="113">
        <f>IF($D636="","",IFERROR(INDEX(MUSTERILER!$C$7:$C$106,MATCH($D636,MUSTERILER!$B$7:$B$106,0)),"TANIMSIZ MÜŞTERİ"))</f>
        <v/>
      </c>
      <c r="F636" s="108" t="n"/>
      <c r="G636" s="107" t="n"/>
      <c r="H636" s="114" t="n"/>
      <c r="I636" s="114" t="n"/>
      <c r="J636" s="107" t="n"/>
      <c r="K636" s="107" t="n"/>
      <c r="L636" s="108" t="n"/>
      <c r="M636" s="108" t="n"/>
      <c r="N636" s="108" t="n"/>
      <c r="O636" s="114" t="n"/>
      <c r="P636" s="120">
        <f>IF(OR($D636="",$I636=""),"",IF(OR($J636="Tamamlandı",$J636="İptal"),"",$I636-TODAY()))</f>
        <v/>
      </c>
      <c r="Q636" s="112">
        <f>IF($D636="","",IF($E636="TANIMSIZ MÜŞTERİ","HATA",IF(OR($J636="Tamamlandı",$J636="İptal"),"KAPALI",IF(AND($C636="Görüşme",$N636=""),"SONRAKİ İŞLEM EKSİK",IF($I636="","TARİH EKSİK",IF($I636&lt;TODAY(),"GECİKMİŞ",IF($I636=TODAY(),"BUGÜN",IF($I636&lt;=TODAY()+7,"7 GÜN İÇİNDE","PLANLI"))))))))</f>
        <v/>
      </c>
      <c r="R636" s="6" t="n"/>
      <c r="S636" s="6" t="n"/>
    </row>
    <row r="637">
      <c r="A637" s="6" t="n"/>
      <c r="B637" s="112">
        <f>IF($D637="","","A"&amp;TEXT(ROW()-6,"00000"))</f>
        <v/>
      </c>
      <c r="C637" s="107" t="n"/>
      <c r="D637" s="107" t="n"/>
      <c r="E637" s="113">
        <f>IF($D637="","",IFERROR(INDEX(MUSTERILER!$C$7:$C$106,MATCH($D637,MUSTERILER!$B$7:$B$106,0)),"TANIMSIZ MÜŞTERİ"))</f>
        <v/>
      </c>
      <c r="F637" s="108" t="n"/>
      <c r="G637" s="107" t="n"/>
      <c r="H637" s="114" t="n"/>
      <c r="I637" s="114" t="n"/>
      <c r="J637" s="107" t="n"/>
      <c r="K637" s="107" t="n"/>
      <c r="L637" s="108" t="n"/>
      <c r="M637" s="108" t="n"/>
      <c r="N637" s="108" t="n"/>
      <c r="O637" s="114" t="n"/>
      <c r="P637" s="120">
        <f>IF(OR($D637="",$I637=""),"",IF(OR($J637="Tamamlandı",$J637="İptal"),"",$I637-TODAY()))</f>
        <v/>
      </c>
      <c r="Q637" s="112">
        <f>IF($D637="","",IF($E637="TANIMSIZ MÜŞTERİ","HATA",IF(OR($J637="Tamamlandı",$J637="İptal"),"KAPALI",IF(AND($C637="Görüşme",$N637=""),"SONRAKİ İŞLEM EKSİK",IF($I637="","TARİH EKSİK",IF($I637&lt;TODAY(),"GECİKMİŞ",IF($I637=TODAY(),"BUGÜN",IF($I637&lt;=TODAY()+7,"7 GÜN İÇİNDE","PLANLI"))))))))</f>
        <v/>
      </c>
      <c r="R637" s="6" t="n"/>
      <c r="S637" s="6" t="n"/>
    </row>
    <row r="638">
      <c r="A638" s="6" t="n"/>
      <c r="B638" s="112">
        <f>IF($D638="","","A"&amp;TEXT(ROW()-6,"00000"))</f>
        <v/>
      </c>
      <c r="C638" s="107" t="n"/>
      <c r="D638" s="107" t="n"/>
      <c r="E638" s="113">
        <f>IF($D638="","",IFERROR(INDEX(MUSTERILER!$C$7:$C$106,MATCH($D638,MUSTERILER!$B$7:$B$106,0)),"TANIMSIZ MÜŞTERİ"))</f>
        <v/>
      </c>
      <c r="F638" s="108" t="n"/>
      <c r="G638" s="107" t="n"/>
      <c r="H638" s="114" t="n"/>
      <c r="I638" s="114" t="n"/>
      <c r="J638" s="107" t="n"/>
      <c r="K638" s="107" t="n"/>
      <c r="L638" s="108" t="n"/>
      <c r="M638" s="108" t="n"/>
      <c r="N638" s="108" t="n"/>
      <c r="O638" s="114" t="n"/>
      <c r="P638" s="120">
        <f>IF(OR($D638="",$I638=""),"",IF(OR($J638="Tamamlandı",$J638="İptal"),"",$I638-TODAY()))</f>
        <v/>
      </c>
      <c r="Q638" s="112">
        <f>IF($D638="","",IF($E638="TANIMSIZ MÜŞTERİ","HATA",IF(OR($J638="Tamamlandı",$J638="İptal"),"KAPALI",IF(AND($C638="Görüşme",$N638=""),"SONRAKİ İŞLEM EKSİK",IF($I638="","TARİH EKSİK",IF($I638&lt;TODAY(),"GECİKMİŞ",IF($I638=TODAY(),"BUGÜN",IF($I638&lt;=TODAY()+7,"7 GÜN İÇİNDE","PLANLI"))))))))</f>
        <v/>
      </c>
      <c r="R638" s="6" t="n"/>
      <c r="S638" s="6" t="n"/>
    </row>
    <row r="639">
      <c r="A639" s="6" t="n"/>
      <c r="B639" s="112">
        <f>IF($D639="","","A"&amp;TEXT(ROW()-6,"00000"))</f>
        <v/>
      </c>
      <c r="C639" s="107" t="n"/>
      <c r="D639" s="107" t="n"/>
      <c r="E639" s="113">
        <f>IF($D639="","",IFERROR(INDEX(MUSTERILER!$C$7:$C$106,MATCH($D639,MUSTERILER!$B$7:$B$106,0)),"TANIMSIZ MÜŞTERİ"))</f>
        <v/>
      </c>
      <c r="F639" s="108" t="n"/>
      <c r="G639" s="107" t="n"/>
      <c r="H639" s="114" t="n"/>
      <c r="I639" s="114" t="n"/>
      <c r="J639" s="107" t="n"/>
      <c r="K639" s="107" t="n"/>
      <c r="L639" s="108" t="n"/>
      <c r="M639" s="108" t="n"/>
      <c r="N639" s="108" t="n"/>
      <c r="O639" s="114" t="n"/>
      <c r="P639" s="120">
        <f>IF(OR($D639="",$I639=""),"",IF(OR($J639="Tamamlandı",$J639="İptal"),"",$I639-TODAY()))</f>
        <v/>
      </c>
      <c r="Q639" s="112">
        <f>IF($D639="","",IF($E639="TANIMSIZ MÜŞTERİ","HATA",IF(OR($J639="Tamamlandı",$J639="İptal"),"KAPALI",IF(AND($C639="Görüşme",$N639=""),"SONRAKİ İŞLEM EKSİK",IF($I639="","TARİH EKSİK",IF($I639&lt;TODAY(),"GECİKMİŞ",IF($I639=TODAY(),"BUGÜN",IF($I639&lt;=TODAY()+7,"7 GÜN İÇİNDE","PLANLI"))))))))</f>
        <v/>
      </c>
      <c r="R639" s="6" t="n"/>
      <c r="S639" s="6" t="n"/>
    </row>
    <row r="640">
      <c r="A640" s="6" t="n"/>
      <c r="B640" s="112">
        <f>IF($D640="","","A"&amp;TEXT(ROW()-6,"00000"))</f>
        <v/>
      </c>
      <c r="C640" s="107" t="n"/>
      <c r="D640" s="107" t="n"/>
      <c r="E640" s="113">
        <f>IF($D640="","",IFERROR(INDEX(MUSTERILER!$C$7:$C$106,MATCH($D640,MUSTERILER!$B$7:$B$106,0)),"TANIMSIZ MÜŞTERİ"))</f>
        <v/>
      </c>
      <c r="F640" s="108" t="n"/>
      <c r="G640" s="107" t="n"/>
      <c r="H640" s="114" t="n"/>
      <c r="I640" s="114" t="n"/>
      <c r="J640" s="107" t="n"/>
      <c r="K640" s="107" t="n"/>
      <c r="L640" s="108" t="n"/>
      <c r="M640" s="108" t="n"/>
      <c r="N640" s="108" t="n"/>
      <c r="O640" s="114" t="n"/>
      <c r="P640" s="120">
        <f>IF(OR($D640="",$I640=""),"",IF(OR($J640="Tamamlandı",$J640="İptal"),"",$I640-TODAY()))</f>
        <v/>
      </c>
      <c r="Q640" s="112">
        <f>IF($D640="","",IF($E640="TANIMSIZ MÜŞTERİ","HATA",IF(OR($J640="Tamamlandı",$J640="İptal"),"KAPALI",IF(AND($C640="Görüşme",$N640=""),"SONRAKİ İŞLEM EKSİK",IF($I640="","TARİH EKSİK",IF($I640&lt;TODAY(),"GECİKMİŞ",IF($I640=TODAY(),"BUGÜN",IF($I640&lt;=TODAY()+7,"7 GÜN İÇİNDE","PLANLI"))))))))</f>
        <v/>
      </c>
      <c r="R640" s="6" t="n"/>
      <c r="S640" s="6" t="n"/>
    </row>
    <row r="641">
      <c r="A641" s="6" t="n"/>
      <c r="B641" s="112">
        <f>IF($D641="","","A"&amp;TEXT(ROW()-6,"00000"))</f>
        <v/>
      </c>
      <c r="C641" s="107" t="n"/>
      <c r="D641" s="107" t="n"/>
      <c r="E641" s="113">
        <f>IF($D641="","",IFERROR(INDEX(MUSTERILER!$C$7:$C$106,MATCH($D641,MUSTERILER!$B$7:$B$106,0)),"TANIMSIZ MÜŞTERİ"))</f>
        <v/>
      </c>
      <c r="F641" s="108" t="n"/>
      <c r="G641" s="107" t="n"/>
      <c r="H641" s="114" t="n"/>
      <c r="I641" s="114" t="n"/>
      <c r="J641" s="107" t="n"/>
      <c r="K641" s="107" t="n"/>
      <c r="L641" s="108" t="n"/>
      <c r="M641" s="108" t="n"/>
      <c r="N641" s="108" t="n"/>
      <c r="O641" s="114" t="n"/>
      <c r="P641" s="120">
        <f>IF(OR($D641="",$I641=""),"",IF(OR($J641="Tamamlandı",$J641="İptal"),"",$I641-TODAY()))</f>
        <v/>
      </c>
      <c r="Q641" s="112">
        <f>IF($D641="","",IF($E641="TANIMSIZ MÜŞTERİ","HATA",IF(OR($J641="Tamamlandı",$J641="İptal"),"KAPALI",IF(AND($C641="Görüşme",$N641=""),"SONRAKİ İŞLEM EKSİK",IF($I641="","TARİH EKSİK",IF($I641&lt;TODAY(),"GECİKMİŞ",IF($I641=TODAY(),"BUGÜN",IF($I641&lt;=TODAY()+7,"7 GÜN İÇİNDE","PLANLI"))))))))</f>
        <v/>
      </c>
      <c r="R641" s="6" t="n"/>
      <c r="S641" s="6" t="n"/>
    </row>
    <row r="642">
      <c r="A642" s="6" t="n"/>
      <c r="B642" s="112">
        <f>IF($D642="","","A"&amp;TEXT(ROW()-6,"00000"))</f>
        <v/>
      </c>
      <c r="C642" s="107" t="n"/>
      <c r="D642" s="107" t="n"/>
      <c r="E642" s="113">
        <f>IF($D642="","",IFERROR(INDEX(MUSTERILER!$C$7:$C$106,MATCH($D642,MUSTERILER!$B$7:$B$106,0)),"TANIMSIZ MÜŞTERİ"))</f>
        <v/>
      </c>
      <c r="F642" s="108" t="n"/>
      <c r="G642" s="107" t="n"/>
      <c r="H642" s="114" t="n"/>
      <c r="I642" s="114" t="n"/>
      <c r="J642" s="107" t="n"/>
      <c r="K642" s="107" t="n"/>
      <c r="L642" s="108" t="n"/>
      <c r="M642" s="108" t="n"/>
      <c r="N642" s="108" t="n"/>
      <c r="O642" s="114" t="n"/>
      <c r="P642" s="120">
        <f>IF(OR($D642="",$I642=""),"",IF(OR($J642="Tamamlandı",$J642="İptal"),"",$I642-TODAY()))</f>
        <v/>
      </c>
      <c r="Q642" s="112">
        <f>IF($D642="","",IF($E642="TANIMSIZ MÜŞTERİ","HATA",IF(OR($J642="Tamamlandı",$J642="İptal"),"KAPALI",IF(AND($C642="Görüşme",$N642=""),"SONRAKİ İŞLEM EKSİK",IF($I642="","TARİH EKSİK",IF($I642&lt;TODAY(),"GECİKMİŞ",IF($I642=TODAY(),"BUGÜN",IF($I642&lt;=TODAY()+7,"7 GÜN İÇİNDE","PLANLI"))))))))</f>
        <v/>
      </c>
      <c r="R642" s="6" t="n"/>
      <c r="S642" s="6" t="n"/>
    </row>
    <row r="643">
      <c r="A643" s="6" t="n"/>
      <c r="B643" s="112">
        <f>IF($D643="","","A"&amp;TEXT(ROW()-6,"00000"))</f>
        <v/>
      </c>
      <c r="C643" s="107" t="n"/>
      <c r="D643" s="107" t="n"/>
      <c r="E643" s="113">
        <f>IF($D643="","",IFERROR(INDEX(MUSTERILER!$C$7:$C$106,MATCH($D643,MUSTERILER!$B$7:$B$106,0)),"TANIMSIZ MÜŞTERİ"))</f>
        <v/>
      </c>
      <c r="F643" s="108" t="n"/>
      <c r="G643" s="107" t="n"/>
      <c r="H643" s="114" t="n"/>
      <c r="I643" s="114" t="n"/>
      <c r="J643" s="107" t="n"/>
      <c r="K643" s="107" t="n"/>
      <c r="L643" s="108" t="n"/>
      <c r="M643" s="108" t="n"/>
      <c r="N643" s="108" t="n"/>
      <c r="O643" s="114" t="n"/>
      <c r="P643" s="120">
        <f>IF(OR($D643="",$I643=""),"",IF(OR($J643="Tamamlandı",$J643="İptal"),"",$I643-TODAY()))</f>
        <v/>
      </c>
      <c r="Q643" s="112">
        <f>IF($D643="","",IF($E643="TANIMSIZ MÜŞTERİ","HATA",IF(OR($J643="Tamamlandı",$J643="İptal"),"KAPALI",IF(AND($C643="Görüşme",$N643=""),"SONRAKİ İŞLEM EKSİK",IF($I643="","TARİH EKSİK",IF($I643&lt;TODAY(),"GECİKMİŞ",IF($I643=TODAY(),"BUGÜN",IF($I643&lt;=TODAY()+7,"7 GÜN İÇİNDE","PLANLI"))))))))</f>
        <v/>
      </c>
      <c r="R643" s="6" t="n"/>
      <c r="S643" s="6" t="n"/>
    </row>
    <row r="644">
      <c r="A644" s="6" t="n"/>
      <c r="B644" s="112">
        <f>IF($D644="","","A"&amp;TEXT(ROW()-6,"00000"))</f>
        <v/>
      </c>
      <c r="C644" s="107" t="n"/>
      <c r="D644" s="107" t="n"/>
      <c r="E644" s="113">
        <f>IF($D644="","",IFERROR(INDEX(MUSTERILER!$C$7:$C$106,MATCH($D644,MUSTERILER!$B$7:$B$106,0)),"TANIMSIZ MÜŞTERİ"))</f>
        <v/>
      </c>
      <c r="F644" s="108" t="n"/>
      <c r="G644" s="107" t="n"/>
      <c r="H644" s="114" t="n"/>
      <c r="I644" s="114" t="n"/>
      <c r="J644" s="107" t="n"/>
      <c r="K644" s="107" t="n"/>
      <c r="L644" s="108" t="n"/>
      <c r="M644" s="108" t="n"/>
      <c r="N644" s="108" t="n"/>
      <c r="O644" s="114" t="n"/>
      <c r="P644" s="120">
        <f>IF(OR($D644="",$I644=""),"",IF(OR($J644="Tamamlandı",$J644="İptal"),"",$I644-TODAY()))</f>
        <v/>
      </c>
      <c r="Q644" s="112">
        <f>IF($D644="","",IF($E644="TANIMSIZ MÜŞTERİ","HATA",IF(OR($J644="Tamamlandı",$J644="İptal"),"KAPALI",IF(AND($C644="Görüşme",$N644=""),"SONRAKİ İŞLEM EKSİK",IF($I644="","TARİH EKSİK",IF($I644&lt;TODAY(),"GECİKMİŞ",IF($I644=TODAY(),"BUGÜN",IF($I644&lt;=TODAY()+7,"7 GÜN İÇİNDE","PLANLI"))))))))</f>
        <v/>
      </c>
      <c r="R644" s="6" t="n"/>
      <c r="S644" s="6" t="n"/>
    </row>
    <row r="645">
      <c r="A645" s="6" t="n"/>
      <c r="B645" s="112">
        <f>IF($D645="","","A"&amp;TEXT(ROW()-6,"00000"))</f>
        <v/>
      </c>
      <c r="C645" s="107" t="n"/>
      <c r="D645" s="107" t="n"/>
      <c r="E645" s="113">
        <f>IF($D645="","",IFERROR(INDEX(MUSTERILER!$C$7:$C$106,MATCH($D645,MUSTERILER!$B$7:$B$106,0)),"TANIMSIZ MÜŞTERİ"))</f>
        <v/>
      </c>
      <c r="F645" s="108" t="n"/>
      <c r="G645" s="107" t="n"/>
      <c r="H645" s="114" t="n"/>
      <c r="I645" s="114" t="n"/>
      <c r="J645" s="107" t="n"/>
      <c r="K645" s="107" t="n"/>
      <c r="L645" s="108" t="n"/>
      <c r="M645" s="108" t="n"/>
      <c r="N645" s="108" t="n"/>
      <c r="O645" s="114" t="n"/>
      <c r="P645" s="120">
        <f>IF(OR($D645="",$I645=""),"",IF(OR($J645="Tamamlandı",$J645="İptal"),"",$I645-TODAY()))</f>
        <v/>
      </c>
      <c r="Q645" s="112">
        <f>IF($D645="","",IF($E645="TANIMSIZ MÜŞTERİ","HATA",IF(OR($J645="Tamamlandı",$J645="İptal"),"KAPALI",IF(AND($C645="Görüşme",$N645=""),"SONRAKİ İŞLEM EKSİK",IF($I645="","TARİH EKSİK",IF($I645&lt;TODAY(),"GECİKMİŞ",IF($I645=TODAY(),"BUGÜN",IF($I645&lt;=TODAY()+7,"7 GÜN İÇİNDE","PLANLI"))))))))</f>
        <v/>
      </c>
      <c r="R645" s="6" t="n"/>
      <c r="S645" s="6" t="n"/>
    </row>
    <row r="646">
      <c r="A646" s="6" t="n"/>
      <c r="B646" s="112">
        <f>IF($D646="","","A"&amp;TEXT(ROW()-6,"00000"))</f>
        <v/>
      </c>
      <c r="C646" s="107" t="n"/>
      <c r="D646" s="107" t="n"/>
      <c r="E646" s="113">
        <f>IF($D646="","",IFERROR(INDEX(MUSTERILER!$C$7:$C$106,MATCH($D646,MUSTERILER!$B$7:$B$106,0)),"TANIMSIZ MÜŞTERİ"))</f>
        <v/>
      </c>
      <c r="F646" s="108" t="n"/>
      <c r="G646" s="107" t="n"/>
      <c r="H646" s="114" t="n"/>
      <c r="I646" s="114" t="n"/>
      <c r="J646" s="107" t="n"/>
      <c r="K646" s="107" t="n"/>
      <c r="L646" s="108" t="n"/>
      <c r="M646" s="108" t="n"/>
      <c r="N646" s="108" t="n"/>
      <c r="O646" s="114" t="n"/>
      <c r="P646" s="120">
        <f>IF(OR($D646="",$I646=""),"",IF(OR($J646="Tamamlandı",$J646="İptal"),"",$I646-TODAY()))</f>
        <v/>
      </c>
      <c r="Q646" s="112">
        <f>IF($D646="","",IF($E646="TANIMSIZ MÜŞTERİ","HATA",IF(OR($J646="Tamamlandı",$J646="İptal"),"KAPALI",IF(AND($C646="Görüşme",$N646=""),"SONRAKİ İŞLEM EKSİK",IF($I646="","TARİH EKSİK",IF($I646&lt;TODAY(),"GECİKMİŞ",IF($I646=TODAY(),"BUGÜN",IF($I646&lt;=TODAY()+7,"7 GÜN İÇİNDE","PLANLI"))))))))</f>
        <v/>
      </c>
      <c r="R646" s="6" t="n"/>
      <c r="S646" s="6" t="n"/>
    </row>
    <row r="647">
      <c r="A647" s="6" t="n"/>
      <c r="B647" s="112">
        <f>IF($D647="","","A"&amp;TEXT(ROW()-6,"00000"))</f>
        <v/>
      </c>
      <c r="C647" s="107" t="n"/>
      <c r="D647" s="107" t="n"/>
      <c r="E647" s="113">
        <f>IF($D647="","",IFERROR(INDEX(MUSTERILER!$C$7:$C$106,MATCH($D647,MUSTERILER!$B$7:$B$106,0)),"TANIMSIZ MÜŞTERİ"))</f>
        <v/>
      </c>
      <c r="F647" s="108" t="n"/>
      <c r="G647" s="107" t="n"/>
      <c r="H647" s="114" t="n"/>
      <c r="I647" s="114" t="n"/>
      <c r="J647" s="107" t="n"/>
      <c r="K647" s="107" t="n"/>
      <c r="L647" s="108" t="n"/>
      <c r="M647" s="108" t="n"/>
      <c r="N647" s="108" t="n"/>
      <c r="O647" s="114" t="n"/>
      <c r="P647" s="120">
        <f>IF(OR($D647="",$I647=""),"",IF(OR($J647="Tamamlandı",$J647="İptal"),"",$I647-TODAY()))</f>
        <v/>
      </c>
      <c r="Q647" s="112">
        <f>IF($D647="","",IF($E647="TANIMSIZ MÜŞTERİ","HATA",IF(OR($J647="Tamamlandı",$J647="İptal"),"KAPALI",IF(AND($C647="Görüşme",$N647=""),"SONRAKİ İŞLEM EKSİK",IF($I647="","TARİH EKSİK",IF($I647&lt;TODAY(),"GECİKMİŞ",IF($I647=TODAY(),"BUGÜN",IF($I647&lt;=TODAY()+7,"7 GÜN İÇİNDE","PLANLI"))))))))</f>
        <v/>
      </c>
      <c r="R647" s="6" t="n"/>
      <c r="S647" s="6" t="n"/>
    </row>
    <row r="648">
      <c r="A648" s="6" t="n"/>
      <c r="B648" s="112">
        <f>IF($D648="","","A"&amp;TEXT(ROW()-6,"00000"))</f>
        <v/>
      </c>
      <c r="C648" s="107" t="n"/>
      <c r="D648" s="107" t="n"/>
      <c r="E648" s="113">
        <f>IF($D648="","",IFERROR(INDEX(MUSTERILER!$C$7:$C$106,MATCH($D648,MUSTERILER!$B$7:$B$106,0)),"TANIMSIZ MÜŞTERİ"))</f>
        <v/>
      </c>
      <c r="F648" s="108" t="n"/>
      <c r="G648" s="107" t="n"/>
      <c r="H648" s="114" t="n"/>
      <c r="I648" s="114" t="n"/>
      <c r="J648" s="107" t="n"/>
      <c r="K648" s="107" t="n"/>
      <c r="L648" s="108" t="n"/>
      <c r="M648" s="108" t="n"/>
      <c r="N648" s="108" t="n"/>
      <c r="O648" s="114" t="n"/>
      <c r="P648" s="120">
        <f>IF(OR($D648="",$I648=""),"",IF(OR($J648="Tamamlandı",$J648="İptal"),"",$I648-TODAY()))</f>
        <v/>
      </c>
      <c r="Q648" s="112">
        <f>IF($D648="","",IF($E648="TANIMSIZ MÜŞTERİ","HATA",IF(OR($J648="Tamamlandı",$J648="İptal"),"KAPALI",IF(AND($C648="Görüşme",$N648=""),"SONRAKİ İŞLEM EKSİK",IF($I648="","TARİH EKSİK",IF($I648&lt;TODAY(),"GECİKMİŞ",IF($I648=TODAY(),"BUGÜN",IF($I648&lt;=TODAY()+7,"7 GÜN İÇİNDE","PLANLI"))))))))</f>
        <v/>
      </c>
      <c r="R648" s="6" t="n"/>
      <c r="S648" s="6" t="n"/>
    </row>
    <row r="649">
      <c r="A649" s="6" t="n"/>
      <c r="B649" s="112">
        <f>IF($D649="","","A"&amp;TEXT(ROW()-6,"00000"))</f>
        <v/>
      </c>
      <c r="C649" s="107" t="n"/>
      <c r="D649" s="107" t="n"/>
      <c r="E649" s="113">
        <f>IF($D649="","",IFERROR(INDEX(MUSTERILER!$C$7:$C$106,MATCH($D649,MUSTERILER!$B$7:$B$106,0)),"TANIMSIZ MÜŞTERİ"))</f>
        <v/>
      </c>
      <c r="F649" s="108" t="n"/>
      <c r="G649" s="107" t="n"/>
      <c r="H649" s="114" t="n"/>
      <c r="I649" s="114" t="n"/>
      <c r="J649" s="107" t="n"/>
      <c r="K649" s="107" t="n"/>
      <c r="L649" s="108" t="n"/>
      <c r="M649" s="108" t="n"/>
      <c r="N649" s="108" t="n"/>
      <c r="O649" s="114" t="n"/>
      <c r="P649" s="120">
        <f>IF(OR($D649="",$I649=""),"",IF(OR($J649="Tamamlandı",$J649="İptal"),"",$I649-TODAY()))</f>
        <v/>
      </c>
      <c r="Q649" s="112">
        <f>IF($D649="","",IF($E649="TANIMSIZ MÜŞTERİ","HATA",IF(OR($J649="Tamamlandı",$J649="İptal"),"KAPALI",IF(AND($C649="Görüşme",$N649=""),"SONRAKİ İŞLEM EKSİK",IF($I649="","TARİH EKSİK",IF($I649&lt;TODAY(),"GECİKMİŞ",IF($I649=TODAY(),"BUGÜN",IF($I649&lt;=TODAY()+7,"7 GÜN İÇİNDE","PLANLI"))))))))</f>
        <v/>
      </c>
      <c r="R649" s="6" t="n"/>
      <c r="S649" s="6" t="n"/>
    </row>
    <row r="650">
      <c r="A650" s="6" t="n"/>
      <c r="B650" s="112">
        <f>IF($D650="","","A"&amp;TEXT(ROW()-6,"00000"))</f>
        <v/>
      </c>
      <c r="C650" s="107" t="n"/>
      <c r="D650" s="107" t="n"/>
      <c r="E650" s="113">
        <f>IF($D650="","",IFERROR(INDEX(MUSTERILER!$C$7:$C$106,MATCH($D650,MUSTERILER!$B$7:$B$106,0)),"TANIMSIZ MÜŞTERİ"))</f>
        <v/>
      </c>
      <c r="F650" s="108" t="n"/>
      <c r="G650" s="107" t="n"/>
      <c r="H650" s="114" t="n"/>
      <c r="I650" s="114" t="n"/>
      <c r="J650" s="107" t="n"/>
      <c r="K650" s="107" t="n"/>
      <c r="L650" s="108" t="n"/>
      <c r="M650" s="108" t="n"/>
      <c r="N650" s="108" t="n"/>
      <c r="O650" s="114" t="n"/>
      <c r="P650" s="120">
        <f>IF(OR($D650="",$I650=""),"",IF(OR($J650="Tamamlandı",$J650="İptal"),"",$I650-TODAY()))</f>
        <v/>
      </c>
      <c r="Q650" s="112">
        <f>IF($D650="","",IF($E650="TANIMSIZ MÜŞTERİ","HATA",IF(OR($J650="Tamamlandı",$J650="İptal"),"KAPALI",IF(AND($C650="Görüşme",$N650=""),"SONRAKİ İŞLEM EKSİK",IF($I650="","TARİH EKSİK",IF($I650&lt;TODAY(),"GECİKMİŞ",IF($I650=TODAY(),"BUGÜN",IF($I650&lt;=TODAY()+7,"7 GÜN İÇİNDE","PLANLI"))))))))</f>
        <v/>
      </c>
      <c r="R650" s="6" t="n"/>
      <c r="S650" s="6" t="n"/>
    </row>
    <row r="651">
      <c r="A651" s="6" t="n"/>
      <c r="B651" s="112">
        <f>IF($D651="","","A"&amp;TEXT(ROW()-6,"00000"))</f>
        <v/>
      </c>
      <c r="C651" s="107" t="n"/>
      <c r="D651" s="107" t="n"/>
      <c r="E651" s="113">
        <f>IF($D651="","",IFERROR(INDEX(MUSTERILER!$C$7:$C$106,MATCH($D651,MUSTERILER!$B$7:$B$106,0)),"TANIMSIZ MÜŞTERİ"))</f>
        <v/>
      </c>
      <c r="F651" s="108" t="n"/>
      <c r="G651" s="107" t="n"/>
      <c r="H651" s="114" t="n"/>
      <c r="I651" s="114" t="n"/>
      <c r="J651" s="107" t="n"/>
      <c r="K651" s="107" t="n"/>
      <c r="L651" s="108" t="n"/>
      <c r="M651" s="108" t="n"/>
      <c r="N651" s="108" t="n"/>
      <c r="O651" s="114" t="n"/>
      <c r="P651" s="120">
        <f>IF(OR($D651="",$I651=""),"",IF(OR($J651="Tamamlandı",$J651="İptal"),"",$I651-TODAY()))</f>
        <v/>
      </c>
      <c r="Q651" s="112">
        <f>IF($D651="","",IF($E651="TANIMSIZ MÜŞTERİ","HATA",IF(OR($J651="Tamamlandı",$J651="İptal"),"KAPALI",IF(AND($C651="Görüşme",$N651=""),"SONRAKİ İŞLEM EKSİK",IF($I651="","TARİH EKSİK",IF($I651&lt;TODAY(),"GECİKMİŞ",IF($I651=TODAY(),"BUGÜN",IF($I651&lt;=TODAY()+7,"7 GÜN İÇİNDE","PLANLI"))))))))</f>
        <v/>
      </c>
      <c r="R651" s="6" t="n"/>
      <c r="S651" s="6" t="n"/>
    </row>
    <row r="652">
      <c r="A652" s="6" t="n"/>
      <c r="B652" s="112">
        <f>IF($D652="","","A"&amp;TEXT(ROW()-6,"00000"))</f>
        <v/>
      </c>
      <c r="C652" s="107" t="n"/>
      <c r="D652" s="107" t="n"/>
      <c r="E652" s="113">
        <f>IF($D652="","",IFERROR(INDEX(MUSTERILER!$C$7:$C$106,MATCH($D652,MUSTERILER!$B$7:$B$106,0)),"TANIMSIZ MÜŞTERİ"))</f>
        <v/>
      </c>
      <c r="F652" s="108" t="n"/>
      <c r="G652" s="107" t="n"/>
      <c r="H652" s="114" t="n"/>
      <c r="I652" s="114" t="n"/>
      <c r="J652" s="107" t="n"/>
      <c r="K652" s="107" t="n"/>
      <c r="L652" s="108" t="n"/>
      <c r="M652" s="108" t="n"/>
      <c r="N652" s="108" t="n"/>
      <c r="O652" s="114" t="n"/>
      <c r="P652" s="120">
        <f>IF(OR($D652="",$I652=""),"",IF(OR($J652="Tamamlandı",$J652="İptal"),"",$I652-TODAY()))</f>
        <v/>
      </c>
      <c r="Q652" s="112">
        <f>IF($D652="","",IF($E652="TANIMSIZ MÜŞTERİ","HATA",IF(OR($J652="Tamamlandı",$J652="İptal"),"KAPALI",IF(AND($C652="Görüşme",$N652=""),"SONRAKİ İŞLEM EKSİK",IF($I652="","TARİH EKSİK",IF($I652&lt;TODAY(),"GECİKMİŞ",IF($I652=TODAY(),"BUGÜN",IF($I652&lt;=TODAY()+7,"7 GÜN İÇİNDE","PLANLI"))))))))</f>
        <v/>
      </c>
      <c r="R652" s="6" t="n"/>
      <c r="S652" s="6" t="n"/>
    </row>
    <row r="653">
      <c r="A653" s="6" t="n"/>
      <c r="B653" s="112">
        <f>IF($D653="","","A"&amp;TEXT(ROW()-6,"00000"))</f>
        <v/>
      </c>
      <c r="C653" s="107" t="n"/>
      <c r="D653" s="107" t="n"/>
      <c r="E653" s="113">
        <f>IF($D653="","",IFERROR(INDEX(MUSTERILER!$C$7:$C$106,MATCH($D653,MUSTERILER!$B$7:$B$106,0)),"TANIMSIZ MÜŞTERİ"))</f>
        <v/>
      </c>
      <c r="F653" s="108" t="n"/>
      <c r="G653" s="107" t="n"/>
      <c r="H653" s="114" t="n"/>
      <c r="I653" s="114" t="n"/>
      <c r="J653" s="107" t="n"/>
      <c r="K653" s="107" t="n"/>
      <c r="L653" s="108" t="n"/>
      <c r="M653" s="108" t="n"/>
      <c r="N653" s="108" t="n"/>
      <c r="O653" s="114" t="n"/>
      <c r="P653" s="120">
        <f>IF(OR($D653="",$I653=""),"",IF(OR($J653="Tamamlandı",$J653="İptal"),"",$I653-TODAY()))</f>
        <v/>
      </c>
      <c r="Q653" s="112">
        <f>IF($D653="","",IF($E653="TANIMSIZ MÜŞTERİ","HATA",IF(OR($J653="Tamamlandı",$J653="İptal"),"KAPALI",IF(AND($C653="Görüşme",$N653=""),"SONRAKİ İŞLEM EKSİK",IF($I653="","TARİH EKSİK",IF($I653&lt;TODAY(),"GECİKMİŞ",IF($I653=TODAY(),"BUGÜN",IF($I653&lt;=TODAY()+7,"7 GÜN İÇİNDE","PLANLI"))))))))</f>
        <v/>
      </c>
      <c r="R653" s="6" t="n"/>
      <c r="S653" s="6" t="n"/>
    </row>
    <row r="654">
      <c r="A654" s="6" t="n"/>
      <c r="B654" s="112">
        <f>IF($D654="","","A"&amp;TEXT(ROW()-6,"00000"))</f>
        <v/>
      </c>
      <c r="C654" s="107" t="n"/>
      <c r="D654" s="107" t="n"/>
      <c r="E654" s="113">
        <f>IF($D654="","",IFERROR(INDEX(MUSTERILER!$C$7:$C$106,MATCH($D654,MUSTERILER!$B$7:$B$106,0)),"TANIMSIZ MÜŞTERİ"))</f>
        <v/>
      </c>
      <c r="F654" s="108" t="n"/>
      <c r="G654" s="107" t="n"/>
      <c r="H654" s="114" t="n"/>
      <c r="I654" s="114" t="n"/>
      <c r="J654" s="107" t="n"/>
      <c r="K654" s="107" t="n"/>
      <c r="L654" s="108" t="n"/>
      <c r="M654" s="108" t="n"/>
      <c r="N654" s="108" t="n"/>
      <c r="O654" s="114" t="n"/>
      <c r="P654" s="120">
        <f>IF(OR($D654="",$I654=""),"",IF(OR($J654="Tamamlandı",$J654="İptal"),"",$I654-TODAY()))</f>
        <v/>
      </c>
      <c r="Q654" s="112">
        <f>IF($D654="","",IF($E654="TANIMSIZ MÜŞTERİ","HATA",IF(OR($J654="Tamamlandı",$J654="İptal"),"KAPALI",IF(AND($C654="Görüşme",$N654=""),"SONRAKİ İŞLEM EKSİK",IF($I654="","TARİH EKSİK",IF($I654&lt;TODAY(),"GECİKMİŞ",IF($I654=TODAY(),"BUGÜN",IF($I654&lt;=TODAY()+7,"7 GÜN İÇİNDE","PLANLI"))))))))</f>
        <v/>
      </c>
      <c r="R654" s="6" t="n"/>
      <c r="S654" s="6" t="n"/>
    </row>
    <row r="655">
      <c r="A655" s="6" t="n"/>
      <c r="B655" s="112">
        <f>IF($D655="","","A"&amp;TEXT(ROW()-6,"00000"))</f>
        <v/>
      </c>
      <c r="C655" s="107" t="n"/>
      <c r="D655" s="107" t="n"/>
      <c r="E655" s="113">
        <f>IF($D655="","",IFERROR(INDEX(MUSTERILER!$C$7:$C$106,MATCH($D655,MUSTERILER!$B$7:$B$106,0)),"TANIMSIZ MÜŞTERİ"))</f>
        <v/>
      </c>
      <c r="F655" s="108" t="n"/>
      <c r="G655" s="107" t="n"/>
      <c r="H655" s="114" t="n"/>
      <c r="I655" s="114" t="n"/>
      <c r="J655" s="107" t="n"/>
      <c r="K655" s="107" t="n"/>
      <c r="L655" s="108" t="n"/>
      <c r="M655" s="108" t="n"/>
      <c r="N655" s="108" t="n"/>
      <c r="O655" s="114" t="n"/>
      <c r="P655" s="120">
        <f>IF(OR($D655="",$I655=""),"",IF(OR($J655="Tamamlandı",$J655="İptal"),"",$I655-TODAY()))</f>
        <v/>
      </c>
      <c r="Q655" s="112">
        <f>IF($D655="","",IF($E655="TANIMSIZ MÜŞTERİ","HATA",IF(OR($J655="Tamamlandı",$J655="İptal"),"KAPALI",IF(AND($C655="Görüşme",$N655=""),"SONRAKİ İŞLEM EKSİK",IF($I655="","TARİH EKSİK",IF($I655&lt;TODAY(),"GECİKMİŞ",IF($I655=TODAY(),"BUGÜN",IF($I655&lt;=TODAY()+7,"7 GÜN İÇİNDE","PLANLI"))))))))</f>
        <v/>
      </c>
      <c r="R655" s="6" t="n"/>
      <c r="S655" s="6" t="n"/>
    </row>
    <row r="656">
      <c r="A656" s="6" t="n"/>
      <c r="B656" s="112">
        <f>IF($D656="","","A"&amp;TEXT(ROW()-6,"00000"))</f>
        <v/>
      </c>
      <c r="C656" s="107" t="n"/>
      <c r="D656" s="107" t="n"/>
      <c r="E656" s="113">
        <f>IF($D656="","",IFERROR(INDEX(MUSTERILER!$C$7:$C$106,MATCH($D656,MUSTERILER!$B$7:$B$106,0)),"TANIMSIZ MÜŞTERİ"))</f>
        <v/>
      </c>
      <c r="F656" s="108" t="n"/>
      <c r="G656" s="107" t="n"/>
      <c r="H656" s="114" t="n"/>
      <c r="I656" s="114" t="n"/>
      <c r="J656" s="107" t="n"/>
      <c r="K656" s="107" t="n"/>
      <c r="L656" s="108" t="n"/>
      <c r="M656" s="108" t="n"/>
      <c r="N656" s="108" t="n"/>
      <c r="O656" s="114" t="n"/>
      <c r="P656" s="120">
        <f>IF(OR($D656="",$I656=""),"",IF(OR($J656="Tamamlandı",$J656="İptal"),"",$I656-TODAY()))</f>
        <v/>
      </c>
      <c r="Q656" s="112">
        <f>IF($D656="","",IF($E656="TANIMSIZ MÜŞTERİ","HATA",IF(OR($J656="Tamamlandı",$J656="İptal"),"KAPALI",IF(AND($C656="Görüşme",$N656=""),"SONRAKİ İŞLEM EKSİK",IF($I656="","TARİH EKSİK",IF($I656&lt;TODAY(),"GECİKMİŞ",IF($I656=TODAY(),"BUGÜN",IF($I656&lt;=TODAY()+7,"7 GÜN İÇİNDE","PLANLI"))))))))</f>
        <v/>
      </c>
      <c r="R656" s="6" t="n"/>
      <c r="S656" s="6" t="n"/>
    </row>
    <row r="657">
      <c r="A657" s="6" t="n"/>
      <c r="B657" s="112">
        <f>IF($D657="","","A"&amp;TEXT(ROW()-6,"00000"))</f>
        <v/>
      </c>
      <c r="C657" s="107" t="n"/>
      <c r="D657" s="107" t="n"/>
      <c r="E657" s="113">
        <f>IF($D657="","",IFERROR(INDEX(MUSTERILER!$C$7:$C$106,MATCH($D657,MUSTERILER!$B$7:$B$106,0)),"TANIMSIZ MÜŞTERİ"))</f>
        <v/>
      </c>
      <c r="F657" s="108" t="n"/>
      <c r="G657" s="107" t="n"/>
      <c r="H657" s="114" t="n"/>
      <c r="I657" s="114" t="n"/>
      <c r="J657" s="107" t="n"/>
      <c r="K657" s="107" t="n"/>
      <c r="L657" s="108" t="n"/>
      <c r="M657" s="108" t="n"/>
      <c r="N657" s="108" t="n"/>
      <c r="O657" s="114" t="n"/>
      <c r="P657" s="120">
        <f>IF(OR($D657="",$I657=""),"",IF(OR($J657="Tamamlandı",$J657="İptal"),"",$I657-TODAY()))</f>
        <v/>
      </c>
      <c r="Q657" s="112">
        <f>IF($D657="","",IF($E657="TANIMSIZ MÜŞTERİ","HATA",IF(OR($J657="Tamamlandı",$J657="İptal"),"KAPALI",IF(AND($C657="Görüşme",$N657=""),"SONRAKİ İŞLEM EKSİK",IF($I657="","TARİH EKSİK",IF($I657&lt;TODAY(),"GECİKMİŞ",IF($I657=TODAY(),"BUGÜN",IF($I657&lt;=TODAY()+7,"7 GÜN İÇİNDE","PLANLI"))))))))</f>
        <v/>
      </c>
      <c r="R657" s="6" t="n"/>
      <c r="S657" s="6" t="n"/>
    </row>
    <row r="658">
      <c r="A658" s="6" t="n"/>
      <c r="B658" s="112">
        <f>IF($D658="","","A"&amp;TEXT(ROW()-6,"00000"))</f>
        <v/>
      </c>
      <c r="C658" s="107" t="n"/>
      <c r="D658" s="107" t="n"/>
      <c r="E658" s="113">
        <f>IF($D658="","",IFERROR(INDEX(MUSTERILER!$C$7:$C$106,MATCH($D658,MUSTERILER!$B$7:$B$106,0)),"TANIMSIZ MÜŞTERİ"))</f>
        <v/>
      </c>
      <c r="F658" s="108" t="n"/>
      <c r="G658" s="107" t="n"/>
      <c r="H658" s="114" t="n"/>
      <c r="I658" s="114" t="n"/>
      <c r="J658" s="107" t="n"/>
      <c r="K658" s="107" t="n"/>
      <c r="L658" s="108" t="n"/>
      <c r="M658" s="108" t="n"/>
      <c r="N658" s="108" t="n"/>
      <c r="O658" s="114" t="n"/>
      <c r="P658" s="120">
        <f>IF(OR($D658="",$I658=""),"",IF(OR($J658="Tamamlandı",$J658="İptal"),"",$I658-TODAY()))</f>
        <v/>
      </c>
      <c r="Q658" s="112">
        <f>IF($D658="","",IF($E658="TANIMSIZ MÜŞTERİ","HATA",IF(OR($J658="Tamamlandı",$J658="İptal"),"KAPALI",IF(AND($C658="Görüşme",$N658=""),"SONRAKİ İŞLEM EKSİK",IF($I658="","TARİH EKSİK",IF($I658&lt;TODAY(),"GECİKMİŞ",IF($I658=TODAY(),"BUGÜN",IF($I658&lt;=TODAY()+7,"7 GÜN İÇİNDE","PLANLI"))))))))</f>
        <v/>
      </c>
      <c r="R658" s="6" t="n"/>
      <c r="S658" s="6" t="n"/>
    </row>
    <row r="659">
      <c r="A659" s="6" t="n"/>
      <c r="B659" s="112">
        <f>IF($D659="","","A"&amp;TEXT(ROW()-6,"00000"))</f>
        <v/>
      </c>
      <c r="C659" s="107" t="n"/>
      <c r="D659" s="107" t="n"/>
      <c r="E659" s="113">
        <f>IF($D659="","",IFERROR(INDEX(MUSTERILER!$C$7:$C$106,MATCH($D659,MUSTERILER!$B$7:$B$106,0)),"TANIMSIZ MÜŞTERİ"))</f>
        <v/>
      </c>
      <c r="F659" s="108" t="n"/>
      <c r="G659" s="107" t="n"/>
      <c r="H659" s="114" t="n"/>
      <c r="I659" s="114" t="n"/>
      <c r="J659" s="107" t="n"/>
      <c r="K659" s="107" t="n"/>
      <c r="L659" s="108" t="n"/>
      <c r="M659" s="108" t="n"/>
      <c r="N659" s="108" t="n"/>
      <c r="O659" s="114" t="n"/>
      <c r="P659" s="120">
        <f>IF(OR($D659="",$I659=""),"",IF(OR($J659="Tamamlandı",$J659="İptal"),"",$I659-TODAY()))</f>
        <v/>
      </c>
      <c r="Q659" s="112">
        <f>IF($D659="","",IF($E659="TANIMSIZ MÜŞTERİ","HATA",IF(OR($J659="Tamamlandı",$J659="İptal"),"KAPALI",IF(AND($C659="Görüşme",$N659=""),"SONRAKİ İŞLEM EKSİK",IF($I659="","TARİH EKSİK",IF($I659&lt;TODAY(),"GECİKMİŞ",IF($I659=TODAY(),"BUGÜN",IF($I659&lt;=TODAY()+7,"7 GÜN İÇİNDE","PLANLI"))))))))</f>
        <v/>
      </c>
      <c r="R659" s="6" t="n"/>
      <c r="S659" s="6" t="n"/>
    </row>
    <row r="660">
      <c r="A660" s="6" t="n"/>
      <c r="B660" s="112">
        <f>IF($D660="","","A"&amp;TEXT(ROW()-6,"00000"))</f>
        <v/>
      </c>
      <c r="C660" s="107" t="n"/>
      <c r="D660" s="107" t="n"/>
      <c r="E660" s="113">
        <f>IF($D660="","",IFERROR(INDEX(MUSTERILER!$C$7:$C$106,MATCH($D660,MUSTERILER!$B$7:$B$106,0)),"TANIMSIZ MÜŞTERİ"))</f>
        <v/>
      </c>
      <c r="F660" s="108" t="n"/>
      <c r="G660" s="107" t="n"/>
      <c r="H660" s="114" t="n"/>
      <c r="I660" s="114" t="n"/>
      <c r="J660" s="107" t="n"/>
      <c r="K660" s="107" t="n"/>
      <c r="L660" s="108" t="n"/>
      <c r="M660" s="108" t="n"/>
      <c r="N660" s="108" t="n"/>
      <c r="O660" s="114" t="n"/>
      <c r="P660" s="120">
        <f>IF(OR($D660="",$I660=""),"",IF(OR($J660="Tamamlandı",$J660="İptal"),"",$I660-TODAY()))</f>
        <v/>
      </c>
      <c r="Q660" s="112">
        <f>IF($D660="","",IF($E660="TANIMSIZ MÜŞTERİ","HATA",IF(OR($J660="Tamamlandı",$J660="İptal"),"KAPALI",IF(AND($C660="Görüşme",$N660=""),"SONRAKİ İŞLEM EKSİK",IF($I660="","TARİH EKSİK",IF($I660&lt;TODAY(),"GECİKMİŞ",IF($I660=TODAY(),"BUGÜN",IF($I660&lt;=TODAY()+7,"7 GÜN İÇİNDE","PLANLI"))))))))</f>
        <v/>
      </c>
      <c r="R660" s="6" t="n"/>
      <c r="S660" s="6" t="n"/>
    </row>
    <row r="661">
      <c r="A661" s="6" t="n"/>
      <c r="B661" s="112">
        <f>IF($D661="","","A"&amp;TEXT(ROW()-6,"00000"))</f>
        <v/>
      </c>
      <c r="C661" s="107" t="n"/>
      <c r="D661" s="107" t="n"/>
      <c r="E661" s="113">
        <f>IF($D661="","",IFERROR(INDEX(MUSTERILER!$C$7:$C$106,MATCH($D661,MUSTERILER!$B$7:$B$106,0)),"TANIMSIZ MÜŞTERİ"))</f>
        <v/>
      </c>
      <c r="F661" s="108" t="n"/>
      <c r="G661" s="107" t="n"/>
      <c r="H661" s="114" t="n"/>
      <c r="I661" s="114" t="n"/>
      <c r="J661" s="107" t="n"/>
      <c r="K661" s="107" t="n"/>
      <c r="L661" s="108" t="n"/>
      <c r="M661" s="108" t="n"/>
      <c r="N661" s="108" t="n"/>
      <c r="O661" s="114" t="n"/>
      <c r="P661" s="120">
        <f>IF(OR($D661="",$I661=""),"",IF(OR($J661="Tamamlandı",$J661="İptal"),"",$I661-TODAY()))</f>
        <v/>
      </c>
      <c r="Q661" s="112">
        <f>IF($D661="","",IF($E661="TANIMSIZ MÜŞTERİ","HATA",IF(OR($J661="Tamamlandı",$J661="İptal"),"KAPALI",IF(AND($C661="Görüşme",$N661=""),"SONRAKİ İŞLEM EKSİK",IF($I661="","TARİH EKSİK",IF($I661&lt;TODAY(),"GECİKMİŞ",IF($I661=TODAY(),"BUGÜN",IF($I661&lt;=TODAY()+7,"7 GÜN İÇİNDE","PLANLI"))))))))</f>
        <v/>
      </c>
      <c r="R661" s="6" t="n"/>
      <c r="S661" s="6" t="n"/>
    </row>
    <row r="662">
      <c r="A662" s="6" t="n"/>
      <c r="B662" s="112">
        <f>IF($D662="","","A"&amp;TEXT(ROW()-6,"00000"))</f>
        <v/>
      </c>
      <c r="C662" s="107" t="n"/>
      <c r="D662" s="107" t="n"/>
      <c r="E662" s="113">
        <f>IF($D662="","",IFERROR(INDEX(MUSTERILER!$C$7:$C$106,MATCH($D662,MUSTERILER!$B$7:$B$106,0)),"TANIMSIZ MÜŞTERİ"))</f>
        <v/>
      </c>
      <c r="F662" s="108" t="n"/>
      <c r="G662" s="107" t="n"/>
      <c r="H662" s="114" t="n"/>
      <c r="I662" s="114" t="n"/>
      <c r="J662" s="107" t="n"/>
      <c r="K662" s="107" t="n"/>
      <c r="L662" s="108" t="n"/>
      <c r="M662" s="108" t="n"/>
      <c r="N662" s="108" t="n"/>
      <c r="O662" s="114" t="n"/>
      <c r="P662" s="120">
        <f>IF(OR($D662="",$I662=""),"",IF(OR($J662="Tamamlandı",$J662="İptal"),"",$I662-TODAY()))</f>
        <v/>
      </c>
      <c r="Q662" s="112">
        <f>IF($D662="","",IF($E662="TANIMSIZ MÜŞTERİ","HATA",IF(OR($J662="Tamamlandı",$J662="İptal"),"KAPALI",IF(AND($C662="Görüşme",$N662=""),"SONRAKİ İŞLEM EKSİK",IF($I662="","TARİH EKSİK",IF($I662&lt;TODAY(),"GECİKMİŞ",IF($I662=TODAY(),"BUGÜN",IF($I662&lt;=TODAY()+7,"7 GÜN İÇİNDE","PLANLI"))))))))</f>
        <v/>
      </c>
      <c r="R662" s="6" t="n"/>
      <c r="S662" s="6" t="n"/>
    </row>
    <row r="663">
      <c r="A663" s="6" t="n"/>
      <c r="B663" s="112">
        <f>IF($D663="","","A"&amp;TEXT(ROW()-6,"00000"))</f>
        <v/>
      </c>
      <c r="C663" s="107" t="n"/>
      <c r="D663" s="107" t="n"/>
      <c r="E663" s="113">
        <f>IF($D663="","",IFERROR(INDEX(MUSTERILER!$C$7:$C$106,MATCH($D663,MUSTERILER!$B$7:$B$106,0)),"TANIMSIZ MÜŞTERİ"))</f>
        <v/>
      </c>
      <c r="F663" s="108" t="n"/>
      <c r="G663" s="107" t="n"/>
      <c r="H663" s="114" t="n"/>
      <c r="I663" s="114" t="n"/>
      <c r="J663" s="107" t="n"/>
      <c r="K663" s="107" t="n"/>
      <c r="L663" s="108" t="n"/>
      <c r="M663" s="108" t="n"/>
      <c r="N663" s="108" t="n"/>
      <c r="O663" s="114" t="n"/>
      <c r="P663" s="120">
        <f>IF(OR($D663="",$I663=""),"",IF(OR($J663="Tamamlandı",$J663="İptal"),"",$I663-TODAY()))</f>
        <v/>
      </c>
      <c r="Q663" s="112">
        <f>IF($D663="","",IF($E663="TANIMSIZ MÜŞTERİ","HATA",IF(OR($J663="Tamamlandı",$J663="İptal"),"KAPALI",IF(AND($C663="Görüşme",$N663=""),"SONRAKİ İŞLEM EKSİK",IF($I663="","TARİH EKSİK",IF($I663&lt;TODAY(),"GECİKMİŞ",IF($I663=TODAY(),"BUGÜN",IF($I663&lt;=TODAY()+7,"7 GÜN İÇİNDE","PLANLI"))))))))</f>
        <v/>
      </c>
      <c r="R663" s="6" t="n"/>
      <c r="S663" s="6" t="n"/>
    </row>
    <row r="664">
      <c r="A664" s="6" t="n"/>
      <c r="B664" s="112">
        <f>IF($D664="","","A"&amp;TEXT(ROW()-6,"00000"))</f>
        <v/>
      </c>
      <c r="C664" s="107" t="n"/>
      <c r="D664" s="107" t="n"/>
      <c r="E664" s="113">
        <f>IF($D664="","",IFERROR(INDEX(MUSTERILER!$C$7:$C$106,MATCH($D664,MUSTERILER!$B$7:$B$106,0)),"TANIMSIZ MÜŞTERİ"))</f>
        <v/>
      </c>
      <c r="F664" s="108" t="n"/>
      <c r="G664" s="107" t="n"/>
      <c r="H664" s="114" t="n"/>
      <c r="I664" s="114" t="n"/>
      <c r="J664" s="107" t="n"/>
      <c r="K664" s="107" t="n"/>
      <c r="L664" s="108" t="n"/>
      <c r="M664" s="108" t="n"/>
      <c r="N664" s="108" t="n"/>
      <c r="O664" s="114" t="n"/>
      <c r="P664" s="120">
        <f>IF(OR($D664="",$I664=""),"",IF(OR($J664="Tamamlandı",$J664="İptal"),"",$I664-TODAY()))</f>
        <v/>
      </c>
      <c r="Q664" s="112">
        <f>IF($D664="","",IF($E664="TANIMSIZ MÜŞTERİ","HATA",IF(OR($J664="Tamamlandı",$J664="İptal"),"KAPALI",IF(AND($C664="Görüşme",$N664=""),"SONRAKİ İŞLEM EKSİK",IF($I664="","TARİH EKSİK",IF($I664&lt;TODAY(),"GECİKMİŞ",IF($I664=TODAY(),"BUGÜN",IF($I664&lt;=TODAY()+7,"7 GÜN İÇİNDE","PLANLI"))))))))</f>
        <v/>
      </c>
      <c r="R664" s="6" t="n"/>
      <c r="S664" s="6" t="n"/>
    </row>
    <row r="665">
      <c r="A665" s="6" t="n"/>
      <c r="B665" s="112">
        <f>IF($D665="","","A"&amp;TEXT(ROW()-6,"00000"))</f>
        <v/>
      </c>
      <c r="C665" s="107" t="n"/>
      <c r="D665" s="107" t="n"/>
      <c r="E665" s="113">
        <f>IF($D665="","",IFERROR(INDEX(MUSTERILER!$C$7:$C$106,MATCH($D665,MUSTERILER!$B$7:$B$106,0)),"TANIMSIZ MÜŞTERİ"))</f>
        <v/>
      </c>
      <c r="F665" s="108" t="n"/>
      <c r="G665" s="107" t="n"/>
      <c r="H665" s="114" t="n"/>
      <c r="I665" s="114" t="n"/>
      <c r="J665" s="107" t="n"/>
      <c r="K665" s="107" t="n"/>
      <c r="L665" s="108" t="n"/>
      <c r="M665" s="108" t="n"/>
      <c r="N665" s="108" t="n"/>
      <c r="O665" s="114" t="n"/>
      <c r="P665" s="120">
        <f>IF(OR($D665="",$I665=""),"",IF(OR($J665="Tamamlandı",$J665="İptal"),"",$I665-TODAY()))</f>
        <v/>
      </c>
      <c r="Q665" s="112">
        <f>IF($D665="","",IF($E665="TANIMSIZ MÜŞTERİ","HATA",IF(OR($J665="Tamamlandı",$J665="İptal"),"KAPALI",IF(AND($C665="Görüşme",$N665=""),"SONRAKİ İŞLEM EKSİK",IF($I665="","TARİH EKSİK",IF($I665&lt;TODAY(),"GECİKMİŞ",IF($I665=TODAY(),"BUGÜN",IF($I665&lt;=TODAY()+7,"7 GÜN İÇİNDE","PLANLI"))))))))</f>
        <v/>
      </c>
      <c r="R665" s="6" t="n"/>
      <c r="S665" s="6" t="n"/>
    </row>
    <row r="666">
      <c r="A666" s="6" t="n"/>
      <c r="B666" s="112">
        <f>IF($D666="","","A"&amp;TEXT(ROW()-6,"00000"))</f>
        <v/>
      </c>
      <c r="C666" s="107" t="n"/>
      <c r="D666" s="107" t="n"/>
      <c r="E666" s="113">
        <f>IF($D666="","",IFERROR(INDEX(MUSTERILER!$C$7:$C$106,MATCH($D666,MUSTERILER!$B$7:$B$106,0)),"TANIMSIZ MÜŞTERİ"))</f>
        <v/>
      </c>
      <c r="F666" s="108" t="n"/>
      <c r="G666" s="107" t="n"/>
      <c r="H666" s="114" t="n"/>
      <c r="I666" s="114" t="n"/>
      <c r="J666" s="107" t="n"/>
      <c r="K666" s="107" t="n"/>
      <c r="L666" s="108" t="n"/>
      <c r="M666" s="108" t="n"/>
      <c r="N666" s="108" t="n"/>
      <c r="O666" s="114" t="n"/>
      <c r="P666" s="120">
        <f>IF(OR($D666="",$I666=""),"",IF(OR($J666="Tamamlandı",$J666="İptal"),"",$I666-TODAY()))</f>
        <v/>
      </c>
      <c r="Q666" s="112">
        <f>IF($D666="","",IF($E666="TANIMSIZ MÜŞTERİ","HATA",IF(OR($J666="Tamamlandı",$J666="İptal"),"KAPALI",IF(AND($C666="Görüşme",$N666=""),"SONRAKİ İŞLEM EKSİK",IF($I666="","TARİH EKSİK",IF($I666&lt;TODAY(),"GECİKMİŞ",IF($I666=TODAY(),"BUGÜN",IF($I666&lt;=TODAY()+7,"7 GÜN İÇİNDE","PLANLI"))))))))</f>
        <v/>
      </c>
      <c r="R666" s="6" t="n"/>
      <c r="S666" s="6" t="n"/>
    </row>
    <row r="667">
      <c r="A667" s="6" t="n"/>
      <c r="B667" s="112">
        <f>IF($D667="","","A"&amp;TEXT(ROW()-6,"00000"))</f>
        <v/>
      </c>
      <c r="C667" s="107" t="n"/>
      <c r="D667" s="107" t="n"/>
      <c r="E667" s="113">
        <f>IF($D667="","",IFERROR(INDEX(MUSTERILER!$C$7:$C$106,MATCH($D667,MUSTERILER!$B$7:$B$106,0)),"TANIMSIZ MÜŞTERİ"))</f>
        <v/>
      </c>
      <c r="F667" s="108" t="n"/>
      <c r="G667" s="107" t="n"/>
      <c r="H667" s="114" t="n"/>
      <c r="I667" s="114" t="n"/>
      <c r="J667" s="107" t="n"/>
      <c r="K667" s="107" t="n"/>
      <c r="L667" s="108" t="n"/>
      <c r="M667" s="108" t="n"/>
      <c r="N667" s="108" t="n"/>
      <c r="O667" s="114" t="n"/>
      <c r="P667" s="120">
        <f>IF(OR($D667="",$I667=""),"",IF(OR($J667="Tamamlandı",$J667="İptal"),"",$I667-TODAY()))</f>
        <v/>
      </c>
      <c r="Q667" s="112">
        <f>IF($D667="","",IF($E667="TANIMSIZ MÜŞTERİ","HATA",IF(OR($J667="Tamamlandı",$J667="İptal"),"KAPALI",IF(AND($C667="Görüşme",$N667=""),"SONRAKİ İŞLEM EKSİK",IF($I667="","TARİH EKSİK",IF($I667&lt;TODAY(),"GECİKMİŞ",IF($I667=TODAY(),"BUGÜN",IF($I667&lt;=TODAY()+7,"7 GÜN İÇİNDE","PLANLI"))))))))</f>
        <v/>
      </c>
      <c r="R667" s="6" t="n"/>
      <c r="S667" s="6" t="n"/>
    </row>
    <row r="668">
      <c r="A668" s="6" t="n"/>
      <c r="B668" s="112">
        <f>IF($D668="","","A"&amp;TEXT(ROW()-6,"00000"))</f>
        <v/>
      </c>
      <c r="C668" s="107" t="n"/>
      <c r="D668" s="107" t="n"/>
      <c r="E668" s="113">
        <f>IF($D668="","",IFERROR(INDEX(MUSTERILER!$C$7:$C$106,MATCH($D668,MUSTERILER!$B$7:$B$106,0)),"TANIMSIZ MÜŞTERİ"))</f>
        <v/>
      </c>
      <c r="F668" s="108" t="n"/>
      <c r="G668" s="107" t="n"/>
      <c r="H668" s="114" t="n"/>
      <c r="I668" s="114" t="n"/>
      <c r="J668" s="107" t="n"/>
      <c r="K668" s="107" t="n"/>
      <c r="L668" s="108" t="n"/>
      <c r="M668" s="108" t="n"/>
      <c r="N668" s="108" t="n"/>
      <c r="O668" s="114" t="n"/>
      <c r="P668" s="120">
        <f>IF(OR($D668="",$I668=""),"",IF(OR($J668="Tamamlandı",$J668="İptal"),"",$I668-TODAY()))</f>
        <v/>
      </c>
      <c r="Q668" s="112">
        <f>IF($D668="","",IF($E668="TANIMSIZ MÜŞTERİ","HATA",IF(OR($J668="Tamamlandı",$J668="İptal"),"KAPALI",IF(AND($C668="Görüşme",$N668=""),"SONRAKİ İŞLEM EKSİK",IF($I668="","TARİH EKSİK",IF($I668&lt;TODAY(),"GECİKMİŞ",IF($I668=TODAY(),"BUGÜN",IF($I668&lt;=TODAY()+7,"7 GÜN İÇİNDE","PLANLI"))))))))</f>
        <v/>
      </c>
      <c r="R668" s="6" t="n"/>
      <c r="S668" s="6" t="n"/>
    </row>
    <row r="669">
      <c r="A669" s="6" t="n"/>
      <c r="B669" s="112">
        <f>IF($D669="","","A"&amp;TEXT(ROW()-6,"00000"))</f>
        <v/>
      </c>
      <c r="C669" s="107" t="n"/>
      <c r="D669" s="107" t="n"/>
      <c r="E669" s="113">
        <f>IF($D669="","",IFERROR(INDEX(MUSTERILER!$C$7:$C$106,MATCH($D669,MUSTERILER!$B$7:$B$106,0)),"TANIMSIZ MÜŞTERİ"))</f>
        <v/>
      </c>
      <c r="F669" s="108" t="n"/>
      <c r="G669" s="107" t="n"/>
      <c r="H669" s="114" t="n"/>
      <c r="I669" s="114" t="n"/>
      <c r="J669" s="107" t="n"/>
      <c r="K669" s="107" t="n"/>
      <c r="L669" s="108" t="n"/>
      <c r="M669" s="108" t="n"/>
      <c r="N669" s="108" t="n"/>
      <c r="O669" s="114" t="n"/>
      <c r="P669" s="120">
        <f>IF(OR($D669="",$I669=""),"",IF(OR($J669="Tamamlandı",$J669="İptal"),"",$I669-TODAY()))</f>
        <v/>
      </c>
      <c r="Q669" s="112">
        <f>IF($D669="","",IF($E669="TANIMSIZ MÜŞTERİ","HATA",IF(OR($J669="Tamamlandı",$J669="İptal"),"KAPALI",IF(AND($C669="Görüşme",$N669=""),"SONRAKİ İŞLEM EKSİK",IF($I669="","TARİH EKSİK",IF($I669&lt;TODAY(),"GECİKMİŞ",IF($I669=TODAY(),"BUGÜN",IF($I669&lt;=TODAY()+7,"7 GÜN İÇİNDE","PLANLI"))))))))</f>
        <v/>
      </c>
      <c r="R669" s="6" t="n"/>
      <c r="S669" s="6" t="n"/>
    </row>
    <row r="670">
      <c r="A670" s="6" t="n"/>
      <c r="B670" s="112">
        <f>IF($D670="","","A"&amp;TEXT(ROW()-6,"00000"))</f>
        <v/>
      </c>
      <c r="C670" s="107" t="n"/>
      <c r="D670" s="107" t="n"/>
      <c r="E670" s="113">
        <f>IF($D670="","",IFERROR(INDEX(MUSTERILER!$C$7:$C$106,MATCH($D670,MUSTERILER!$B$7:$B$106,0)),"TANIMSIZ MÜŞTERİ"))</f>
        <v/>
      </c>
      <c r="F670" s="108" t="n"/>
      <c r="G670" s="107" t="n"/>
      <c r="H670" s="114" t="n"/>
      <c r="I670" s="114" t="n"/>
      <c r="J670" s="107" t="n"/>
      <c r="K670" s="107" t="n"/>
      <c r="L670" s="108" t="n"/>
      <c r="M670" s="108" t="n"/>
      <c r="N670" s="108" t="n"/>
      <c r="O670" s="114" t="n"/>
      <c r="P670" s="120">
        <f>IF(OR($D670="",$I670=""),"",IF(OR($J670="Tamamlandı",$J670="İptal"),"",$I670-TODAY()))</f>
        <v/>
      </c>
      <c r="Q670" s="112">
        <f>IF($D670="","",IF($E670="TANIMSIZ MÜŞTERİ","HATA",IF(OR($J670="Tamamlandı",$J670="İptal"),"KAPALI",IF(AND($C670="Görüşme",$N670=""),"SONRAKİ İŞLEM EKSİK",IF($I670="","TARİH EKSİK",IF($I670&lt;TODAY(),"GECİKMİŞ",IF($I670=TODAY(),"BUGÜN",IF($I670&lt;=TODAY()+7,"7 GÜN İÇİNDE","PLANLI"))))))))</f>
        <v/>
      </c>
      <c r="R670" s="6" t="n"/>
      <c r="S670" s="6" t="n"/>
    </row>
    <row r="671">
      <c r="A671" s="6" t="n"/>
      <c r="B671" s="112">
        <f>IF($D671="","","A"&amp;TEXT(ROW()-6,"00000"))</f>
        <v/>
      </c>
      <c r="C671" s="107" t="n"/>
      <c r="D671" s="107" t="n"/>
      <c r="E671" s="113">
        <f>IF($D671="","",IFERROR(INDEX(MUSTERILER!$C$7:$C$106,MATCH($D671,MUSTERILER!$B$7:$B$106,0)),"TANIMSIZ MÜŞTERİ"))</f>
        <v/>
      </c>
      <c r="F671" s="108" t="n"/>
      <c r="G671" s="107" t="n"/>
      <c r="H671" s="114" t="n"/>
      <c r="I671" s="114" t="n"/>
      <c r="J671" s="107" t="n"/>
      <c r="K671" s="107" t="n"/>
      <c r="L671" s="108" t="n"/>
      <c r="M671" s="108" t="n"/>
      <c r="N671" s="108" t="n"/>
      <c r="O671" s="114" t="n"/>
      <c r="P671" s="120">
        <f>IF(OR($D671="",$I671=""),"",IF(OR($J671="Tamamlandı",$J671="İptal"),"",$I671-TODAY()))</f>
        <v/>
      </c>
      <c r="Q671" s="112">
        <f>IF($D671="","",IF($E671="TANIMSIZ MÜŞTERİ","HATA",IF(OR($J671="Tamamlandı",$J671="İptal"),"KAPALI",IF(AND($C671="Görüşme",$N671=""),"SONRAKİ İŞLEM EKSİK",IF($I671="","TARİH EKSİK",IF($I671&lt;TODAY(),"GECİKMİŞ",IF($I671=TODAY(),"BUGÜN",IF($I671&lt;=TODAY()+7,"7 GÜN İÇİNDE","PLANLI"))))))))</f>
        <v/>
      </c>
      <c r="R671" s="6" t="n"/>
      <c r="S671" s="6" t="n"/>
    </row>
    <row r="672">
      <c r="A672" s="6" t="n"/>
      <c r="B672" s="112">
        <f>IF($D672="","","A"&amp;TEXT(ROW()-6,"00000"))</f>
        <v/>
      </c>
      <c r="C672" s="107" t="n"/>
      <c r="D672" s="107" t="n"/>
      <c r="E672" s="113">
        <f>IF($D672="","",IFERROR(INDEX(MUSTERILER!$C$7:$C$106,MATCH($D672,MUSTERILER!$B$7:$B$106,0)),"TANIMSIZ MÜŞTERİ"))</f>
        <v/>
      </c>
      <c r="F672" s="108" t="n"/>
      <c r="G672" s="107" t="n"/>
      <c r="H672" s="114" t="n"/>
      <c r="I672" s="114" t="n"/>
      <c r="J672" s="107" t="n"/>
      <c r="K672" s="107" t="n"/>
      <c r="L672" s="108" t="n"/>
      <c r="M672" s="108" t="n"/>
      <c r="N672" s="108" t="n"/>
      <c r="O672" s="114" t="n"/>
      <c r="P672" s="120">
        <f>IF(OR($D672="",$I672=""),"",IF(OR($J672="Tamamlandı",$J672="İptal"),"",$I672-TODAY()))</f>
        <v/>
      </c>
      <c r="Q672" s="112">
        <f>IF($D672="","",IF($E672="TANIMSIZ MÜŞTERİ","HATA",IF(OR($J672="Tamamlandı",$J672="İptal"),"KAPALI",IF(AND($C672="Görüşme",$N672=""),"SONRAKİ İŞLEM EKSİK",IF($I672="","TARİH EKSİK",IF($I672&lt;TODAY(),"GECİKMİŞ",IF($I672=TODAY(),"BUGÜN",IF($I672&lt;=TODAY()+7,"7 GÜN İÇİNDE","PLANLI"))))))))</f>
        <v/>
      </c>
      <c r="R672" s="6" t="n"/>
      <c r="S672" s="6" t="n"/>
    </row>
    <row r="673">
      <c r="A673" s="6" t="n"/>
      <c r="B673" s="112">
        <f>IF($D673="","","A"&amp;TEXT(ROW()-6,"00000"))</f>
        <v/>
      </c>
      <c r="C673" s="107" t="n"/>
      <c r="D673" s="107" t="n"/>
      <c r="E673" s="113">
        <f>IF($D673="","",IFERROR(INDEX(MUSTERILER!$C$7:$C$106,MATCH($D673,MUSTERILER!$B$7:$B$106,0)),"TANIMSIZ MÜŞTERİ"))</f>
        <v/>
      </c>
      <c r="F673" s="108" t="n"/>
      <c r="G673" s="107" t="n"/>
      <c r="H673" s="114" t="n"/>
      <c r="I673" s="114" t="n"/>
      <c r="J673" s="107" t="n"/>
      <c r="K673" s="107" t="n"/>
      <c r="L673" s="108" t="n"/>
      <c r="M673" s="108" t="n"/>
      <c r="N673" s="108" t="n"/>
      <c r="O673" s="114" t="n"/>
      <c r="P673" s="120">
        <f>IF(OR($D673="",$I673=""),"",IF(OR($J673="Tamamlandı",$J673="İptal"),"",$I673-TODAY()))</f>
        <v/>
      </c>
      <c r="Q673" s="112">
        <f>IF($D673="","",IF($E673="TANIMSIZ MÜŞTERİ","HATA",IF(OR($J673="Tamamlandı",$J673="İptal"),"KAPALI",IF(AND($C673="Görüşme",$N673=""),"SONRAKİ İŞLEM EKSİK",IF($I673="","TARİH EKSİK",IF($I673&lt;TODAY(),"GECİKMİŞ",IF($I673=TODAY(),"BUGÜN",IF($I673&lt;=TODAY()+7,"7 GÜN İÇİNDE","PLANLI"))))))))</f>
        <v/>
      </c>
      <c r="R673" s="6" t="n"/>
      <c r="S673" s="6" t="n"/>
    </row>
    <row r="674">
      <c r="A674" s="6" t="n"/>
      <c r="B674" s="112">
        <f>IF($D674="","","A"&amp;TEXT(ROW()-6,"00000"))</f>
        <v/>
      </c>
      <c r="C674" s="107" t="n"/>
      <c r="D674" s="107" t="n"/>
      <c r="E674" s="113">
        <f>IF($D674="","",IFERROR(INDEX(MUSTERILER!$C$7:$C$106,MATCH($D674,MUSTERILER!$B$7:$B$106,0)),"TANIMSIZ MÜŞTERİ"))</f>
        <v/>
      </c>
      <c r="F674" s="108" t="n"/>
      <c r="G674" s="107" t="n"/>
      <c r="H674" s="114" t="n"/>
      <c r="I674" s="114" t="n"/>
      <c r="J674" s="107" t="n"/>
      <c r="K674" s="107" t="n"/>
      <c r="L674" s="108" t="n"/>
      <c r="M674" s="108" t="n"/>
      <c r="N674" s="108" t="n"/>
      <c r="O674" s="114" t="n"/>
      <c r="P674" s="120">
        <f>IF(OR($D674="",$I674=""),"",IF(OR($J674="Tamamlandı",$J674="İptal"),"",$I674-TODAY()))</f>
        <v/>
      </c>
      <c r="Q674" s="112">
        <f>IF($D674="","",IF($E674="TANIMSIZ MÜŞTERİ","HATA",IF(OR($J674="Tamamlandı",$J674="İptal"),"KAPALI",IF(AND($C674="Görüşme",$N674=""),"SONRAKİ İŞLEM EKSİK",IF($I674="","TARİH EKSİK",IF($I674&lt;TODAY(),"GECİKMİŞ",IF($I674=TODAY(),"BUGÜN",IF($I674&lt;=TODAY()+7,"7 GÜN İÇİNDE","PLANLI"))))))))</f>
        <v/>
      </c>
      <c r="R674" s="6" t="n"/>
      <c r="S674" s="6" t="n"/>
    </row>
    <row r="675">
      <c r="A675" s="6" t="n"/>
      <c r="B675" s="112">
        <f>IF($D675="","","A"&amp;TEXT(ROW()-6,"00000"))</f>
        <v/>
      </c>
      <c r="C675" s="107" t="n"/>
      <c r="D675" s="107" t="n"/>
      <c r="E675" s="113">
        <f>IF($D675="","",IFERROR(INDEX(MUSTERILER!$C$7:$C$106,MATCH($D675,MUSTERILER!$B$7:$B$106,0)),"TANIMSIZ MÜŞTERİ"))</f>
        <v/>
      </c>
      <c r="F675" s="108" t="n"/>
      <c r="G675" s="107" t="n"/>
      <c r="H675" s="114" t="n"/>
      <c r="I675" s="114" t="n"/>
      <c r="J675" s="107" t="n"/>
      <c r="K675" s="107" t="n"/>
      <c r="L675" s="108" t="n"/>
      <c r="M675" s="108" t="n"/>
      <c r="N675" s="108" t="n"/>
      <c r="O675" s="114" t="n"/>
      <c r="P675" s="120">
        <f>IF(OR($D675="",$I675=""),"",IF(OR($J675="Tamamlandı",$J675="İptal"),"",$I675-TODAY()))</f>
        <v/>
      </c>
      <c r="Q675" s="112">
        <f>IF($D675="","",IF($E675="TANIMSIZ MÜŞTERİ","HATA",IF(OR($J675="Tamamlandı",$J675="İptal"),"KAPALI",IF(AND($C675="Görüşme",$N675=""),"SONRAKİ İŞLEM EKSİK",IF($I675="","TARİH EKSİK",IF($I675&lt;TODAY(),"GECİKMİŞ",IF($I675=TODAY(),"BUGÜN",IF($I675&lt;=TODAY()+7,"7 GÜN İÇİNDE","PLANLI"))))))))</f>
        <v/>
      </c>
      <c r="R675" s="6" t="n"/>
      <c r="S675" s="6" t="n"/>
    </row>
    <row r="676">
      <c r="A676" s="6" t="n"/>
      <c r="B676" s="112">
        <f>IF($D676="","","A"&amp;TEXT(ROW()-6,"00000"))</f>
        <v/>
      </c>
      <c r="C676" s="107" t="n"/>
      <c r="D676" s="107" t="n"/>
      <c r="E676" s="113">
        <f>IF($D676="","",IFERROR(INDEX(MUSTERILER!$C$7:$C$106,MATCH($D676,MUSTERILER!$B$7:$B$106,0)),"TANIMSIZ MÜŞTERİ"))</f>
        <v/>
      </c>
      <c r="F676" s="108" t="n"/>
      <c r="G676" s="107" t="n"/>
      <c r="H676" s="114" t="n"/>
      <c r="I676" s="114" t="n"/>
      <c r="J676" s="107" t="n"/>
      <c r="K676" s="107" t="n"/>
      <c r="L676" s="108" t="n"/>
      <c r="M676" s="108" t="n"/>
      <c r="N676" s="108" t="n"/>
      <c r="O676" s="114" t="n"/>
      <c r="P676" s="120">
        <f>IF(OR($D676="",$I676=""),"",IF(OR($J676="Tamamlandı",$J676="İptal"),"",$I676-TODAY()))</f>
        <v/>
      </c>
      <c r="Q676" s="112">
        <f>IF($D676="","",IF($E676="TANIMSIZ MÜŞTERİ","HATA",IF(OR($J676="Tamamlandı",$J676="İptal"),"KAPALI",IF(AND($C676="Görüşme",$N676=""),"SONRAKİ İŞLEM EKSİK",IF($I676="","TARİH EKSİK",IF($I676&lt;TODAY(),"GECİKMİŞ",IF($I676=TODAY(),"BUGÜN",IF($I676&lt;=TODAY()+7,"7 GÜN İÇİNDE","PLANLI"))))))))</f>
        <v/>
      </c>
      <c r="R676" s="6" t="n"/>
      <c r="S676" s="6" t="n"/>
    </row>
    <row r="677">
      <c r="A677" s="6" t="n"/>
      <c r="B677" s="112">
        <f>IF($D677="","","A"&amp;TEXT(ROW()-6,"00000"))</f>
        <v/>
      </c>
      <c r="C677" s="107" t="n"/>
      <c r="D677" s="107" t="n"/>
      <c r="E677" s="113">
        <f>IF($D677="","",IFERROR(INDEX(MUSTERILER!$C$7:$C$106,MATCH($D677,MUSTERILER!$B$7:$B$106,0)),"TANIMSIZ MÜŞTERİ"))</f>
        <v/>
      </c>
      <c r="F677" s="108" t="n"/>
      <c r="G677" s="107" t="n"/>
      <c r="H677" s="114" t="n"/>
      <c r="I677" s="114" t="n"/>
      <c r="J677" s="107" t="n"/>
      <c r="K677" s="107" t="n"/>
      <c r="L677" s="108" t="n"/>
      <c r="M677" s="108" t="n"/>
      <c r="N677" s="108" t="n"/>
      <c r="O677" s="114" t="n"/>
      <c r="P677" s="120">
        <f>IF(OR($D677="",$I677=""),"",IF(OR($J677="Tamamlandı",$J677="İptal"),"",$I677-TODAY()))</f>
        <v/>
      </c>
      <c r="Q677" s="112">
        <f>IF($D677="","",IF($E677="TANIMSIZ MÜŞTERİ","HATA",IF(OR($J677="Tamamlandı",$J677="İptal"),"KAPALI",IF(AND($C677="Görüşme",$N677=""),"SONRAKİ İŞLEM EKSİK",IF($I677="","TARİH EKSİK",IF($I677&lt;TODAY(),"GECİKMİŞ",IF($I677=TODAY(),"BUGÜN",IF($I677&lt;=TODAY()+7,"7 GÜN İÇİNDE","PLANLI"))))))))</f>
        <v/>
      </c>
      <c r="R677" s="6" t="n"/>
      <c r="S677" s="6" t="n"/>
    </row>
    <row r="678">
      <c r="A678" s="6" t="n"/>
      <c r="B678" s="112">
        <f>IF($D678="","","A"&amp;TEXT(ROW()-6,"00000"))</f>
        <v/>
      </c>
      <c r="C678" s="107" t="n"/>
      <c r="D678" s="107" t="n"/>
      <c r="E678" s="113">
        <f>IF($D678="","",IFERROR(INDEX(MUSTERILER!$C$7:$C$106,MATCH($D678,MUSTERILER!$B$7:$B$106,0)),"TANIMSIZ MÜŞTERİ"))</f>
        <v/>
      </c>
      <c r="F678" s="108" t="n"/>
      <c r="G678" s="107" t="n"/>
      <c r="H678" s="114" t="n"/>
      <c r="I678" s="114" t="n"/>
      <c r="J678" s="107" t="n"/>
      <c r="K678" s="107" t="n"/>
      <c r="L678" s="108" t="n"/>
      <c r="M678" s="108" t="n"/>
      <c r="N678" s="108" t="n"/>
      <c r="O678" s="114" t="n"/>
      <c r="P678" s="120">
        <f>IF(OR($D678="",$I678=""),"",IF(OR($J678="Tamamlandı",$J678="İptal"),"",$I678-TODAY()))</f>
        <v/>
      </c>
      <c r="Q678" s="112">
        <f>IF($D678="","",IF($E678="TANIMSIZ MÜŞTERİ","HATA",IF(OR($J678="Tamamlandı",$J678="İptal"),"KAPALI",IF(AND($C678="Görüşme",$N678=""),"SONRAKİ İŞLEM EKSİK",IF($I678="","TARİH EKSİK",IF($I678&lt;TODAY(),"GECİKMİŞ",IF($I678=TODAY(),"BUGÜN",IF($I678&lt;=TODAY()+7,"7 GÜN İÇİNDE","PLANLI"))))))))</f>
        <v/>
      </c>
      <c r="R678" s="6" t="n"/>
      <c r="S678" s="6" t="n"/>
    </row>
    <row r="679">
      <c r="A679" s="6" t="n"/>
      <c r="B679" s="112">
        <f>IF($D679="","","A"&amp;TEXT(ROW()-6,"00000"))</f>
        <v/>
      </c>
      <c r="C679" s="107" t="n"/>
      <c r="D679" s="107" t="n"/>
      <c r="E679" s="113">
        <f>IF($D679="","",IFERROR(INDEX(MUSTERILER!$C$7:$C$106,MATCH($D679,MUSTERILER!$B$7:$B$106,0)),"TANIMSIZ MÜŞTERİ"))</f>
        <v/>
      </c>
      <c r="F679" s="108" t="n"/>
      <c r="G679" s="107" t="n"/>
      <c r="H679" s="114" t="n"/>
      <c r="I679" s="114" t="n"/>
      <c r="J679" s="107" t="n"/>
      <c r="K679" s="107" t="n"/>
      <c r="L679" s="108" t="n"/>
      <c r="M679" s="108" t="n"/>
      <c r="N679" s="108" t="n"/>
      <c r="O679" s="114" t="n"/>
      <c r="P679" s="120">
        <f>IF(OR($D679="",$I679=""),"",IF(OR($J679="Tamamlandı",$J679="İptal"),"",$I679-TODAY()))</f>
        <v/>
      </c>
      <c r="Q679" s="112">
        <f>IF($D679="","",IF($E679="TANIMSIZ MÜŞTERİ","HATA",IF(OR($J679="Tamamlandı",$J679="İptal"),"KAPALI",IF(AND($C679="Görüşme",$N679=""),"SONRAKİ İŞLEM EKSİK",IF($I679="","TARİH EKSİK",IF($I679&lt;TODAY(),"GECİKMİŞ",IF($I679=TODAY(),"BUGÜN",IF($I679&lt;=TODAY()+7,"7 GÜN İÇİNDE","PLANLI"))))))))</f>
        <v/>
      </c>
      <c r="R679" s="6" t="n"/>
      <c r="S679" s="6" t="n"/>
    </row>
    <row r="680">
      <c r="A680" s="6" t="n"/>
      <c r="B680" s="112">
        <f>IF($D680="","","A"&amp;TEXT(ROW()-6,"00000"))</f>
        <v/>
      </c>
      <c r="C680" s="107" t="n"/>
      <c r="D680" s="107" t="n"/>
      <c r="E680" s="113">
        <f>IF($D680="","",IFERROR(INDEX(MUSTERILER!$C$7:$C$106,MATCH($D680,MUSTERILER!$B$7:$B$106,0)),"TANIMSIZ MÜŞTERİ"))</f>
        <v/>
      </c>
      <c r="F680" s="108" t="n"/>
      <c r="G680" s="107" t="n"/>
      <c r="H680" s="114" t="n"/>
      <c r="I680" s="114" t="n"/>
      <c r="J680" s="107" t="n"/>
      <c r="K680" s="107" t="n"/>
      <c r="L680" s="108" t="n"/>
      <c r="M680" s="108" t="n"/>
      <c r="N680" s="108" t="n"/>
      <c r="O680" s="114" t="n"/>
      <c r="P680" s="120">
        <f>IF(OR($D680="",$I680=""),"",IF(OR($J680="Tamamlandı",$J680="İptal"),"",$I680-TODAY()))</f>
        <v/>
      </c>
      <c r="Q680" s="112">
        <f>IF($D680="","",IF($E680="TANIMSIZ MÜŞTERİ","HATA",IF(OR($J680="Tamamlandı",$J680="İptal"),"KAPALI",IF(AND($C680="Görüşme",$N680=""),"SONRAKİ İŞLEM EKSİK",IF($I680="","TARİH EKSİK",IF($I680&lt;TODAY(),"GECİKMİŞ",IF($I680=TODAY(),"BUGÜN",IF($I680&lt;=TODAY()+7,"7 GÜN İÇİNDE","PLANLI"))))))))</f>
        <v/>
      </c>
      <c r="R680" s="6" t="n"/>
      <c r="S680" s="6" t="n"/>
    </row>
    <row r="681">
      <c r="A681" s="6" t="n"/>
      <c r="B681" s="112">
        <f>IF($D681="","","A"&amp;TEXT(ROW()-6,"00000"))</f>
        <v/>
      </c>
      <c r="C681" s="107" t="n"/>
      <c r="D681" s="107" t="n"/>
      <c r="E681" s="113">
        <f>IF($D681="","",IFERROR(INDEX(MUSTERILER!$C$7:$C$106,MATCH($D681,MUSTERILER!$B$7:$B$106,0)),"TANIMSIZ MÜŞTERİ"))</f>
        <v/>
      </c>
      <c r="F681" s="108" t="n"/>
      <c r="G681" s="107" t="n"/>
      <c r="H681" s="114" t="n"/>
      <c r="I681" s="114" t="n"/>
      <c r="J681" s="107" t="n"/>
      <c r="K681" s="107" t="n"/>
      <c r="L681" s="108" t="n"/>
      <c r="M681" s="108" t="n"/>
      <c r="N681" s="108" t="n"/>
      <c r="O681" s="114" t="n"/>
      <c r="P681" s="120">
        <f>IF(OR($D681="",$I681=""),"",IF(OR($J681="Tamamlandı",$J681="İptal"),"",$I681-TODAY()))</f>
        <v/>
      </c>
      <c r="Q681" s="112">
        <f>IF($D681="","",IF($E681="TANIMSIZ MÜŞTERİ","HATA",IF(OR($J681="Tamamlandı",$J681="İptal"),"KAPALI",IF(AND($C681="Görüşme",$N681=""),"SONRAKİ İŞLEM EKSİK",IF($I681="","TARİH EKSİK",IF($I681&lt;TODAY(),"GECİKMİŞ",IF($I681=TODAY(),"BUGÜN",IF($I681&lt;=TODAY()+7,"7 GÜN İÇİNDE","PLANLI"))))))))</f>
        <v/>
      </c>
      <c r="R681" s="6" t="n"/>
      <c r="S681" s="6" t="n"/>
    </row>
    <row r="682">
      <c r="A682" s="6" t="n"/>
      <c r="B682" s="112">
        <f>IF($D682="","","A"&amp;TEXT(ROW()-6,"00000"))</f>
        <v/>
      </c>
      <c r="C682" s="107" t="n"/>
      <c r="D682" s="107" t="n"/>
      <c r="E682" s="113">
        <f>IF($D682="","",IFERROR(INDEX(MUSTERILER!$C$7:$C$106,MATCH($D682,MUSTERILER!$B$7:$B$106,0)),"TANIMSIZ MÜŞTERİ"))</f>
        <v/>
      </c>
      <c r="F682" s="108" t="n"/>
      <c r="G682" s="107" t="n"/>
      <c r="H682" s="114" t="n"/>
      <c r="I682" s="114" t="n"/>
      <c r="J682" s="107" t="n"/>
      <c r="K682" s="107" t="n"/>
      <c r="L682" s="108" t="n"/>
      <c r="M682" s="108" t="n"/>
      <c r="N682" s="108" t="n"/>
      <c r="O682" s="114" t="n"/>
      <c r="P682" s="120">
        <f>IF(OR($D682="",$I682=""),"",IF(OR($J682="Tamamlandı",$J682="İptal"),"",$I682-TODAY()))</f>
        <v/>
      </c>
      <c r="Q682" s="112">
        <f>IF($D682="","",IF($E682="TANIMSIZ MÜŞTERİ","HATA",IF(OR($J682="Tamamlandı",$J682="İptal"),"KAPALI",IF(AND($C682="Görüşme",$N682=""),"SONRAKİ İŞLEM EKSİK",IF($I682="","TARİH EKSİK",IF($I682&lt;TODAY(),"GECİKMİŞ",IF($I682=TODAY(),"BUGÜN",IF($I682&lt;=TODAY()+7,"7 GÜN İÇİNDE","PLANLI"))))))))</f>
        <v/>
      </c>
      <c r="R682" s="6" t="n"/>
      <c r="S682" s="6" t="n"/>
    </row>
    <row r="683">
      <c r="A683" s="6" t="n"/>
      <c r="B683" s="112">
        <f>IF($D683="","","A"&amp;TEXT(ROW()-6,"00000"))</f>
        <v/>
      </c>
      <c r="C683" s="107" t="n"/>
      <c r="D683" s="107" t="n"/>
      <c r="E683" s="113">
        <f>IF($D683="","",IFERROR(INDEX(MUSTERILER!$C$7:$C$106,MATCH($D683,MUSTERILER!$B$7:$B$106,0)),"TANIMSIZ MÜŞTERİ"))</f>
        <v/>
      </c>
      <c r="F683" s="108" t="n"/>
      <c r="G683" s="107" t="n"/>
      <c r="H683" s="114" t="n"/>
      <c r="I683" s="114" t="n"/>
      <c r="J683" s="107" t="n"/>
      <c r="K683" s="107" t="n"/>
      <c r="L683" s="108" t="n"/>
      <c r="M683" s="108" t="n"/>
      <c r="N683" s="108" t="n"/>
      <c r="O683" s="114" t="n"/>
      <c r="P683" s="120">
        <f>IF(OR($D683="",$I683=""),"",IF(OR($J683="Tamamlandı",$J683="İptal"),"",$I683-TODAY()))</f>
        <v/>
      </c>
      <c r="Q683" s="112">
        <f>IF($D683="","",IF($E683="TANIMSIZ MÜŞTERİ","HATA",IF(OR($J683="Tamamlandı",$J683="İptal"),"KAPALI",IF(AND($C683="Görüşme",$N683=""),"SONRAKİ İŞLEM EKSİK",IF($I683="","TARİH EKSİK",IF($I683&lt;TODAY(),"GECİKMİŞ",IF($I683=TODAY(),"BUGÜN",IF($I683&lt;=TODAY()+7,"7 GÜN İÇİNDE","PLANLI"))))))))</f>
        <v/>
      </c>
      <c r="R683" s="6" t="n"/>
      <c r="S683" s="6" t="n"/>
    </row>
    <row r="684">
      <c r="A684" s="6" t="n"/>
      <c r="B684" s="112">
        <f>IF($D684="","","A"&amp;TEXT(ROW()-6,"00000"))</f>
        <v/>
      </c>
      <c r="C684" s="107" t="n"/>
      <c r="D684" s="107" t="n"/>
      <c r="E684" s="113">
        <f>IF($D684="","",IFERROR(INDEX(MUSTERILER!$C$7:$C$106,MATCH($D684,MUSTERILER!$B$7:$B$106,0)),"TANIMSIZ MÜŞTERİ"))</f>
        <v/>
      </c>
      <c r="F684" s="108" t="n"/>
      <c r="G684" s="107" t="n"/>
      <c r="H684" s="114" t="n"/>
      <c r="I684" s="114" t="n"/>
      <c r="J684" s="107" t="n"/>
      <c r="K684" s="107" t="n"/>
      <c r="L684" s="108" t="n"/>
      <c r="M684" s="108" t="n"/>
      <c r="N684" s="108" t="n"/>
      <c r="O684" s="114" t="n"/>
      <c r="P684" s="120">
        <f>IF(OR($D684="",$I684=""),"",IF(OR($J684="Tamamlandı",$J684="İptal"),"",$I684-TODAY()))</f>
        <v/>
      </c>
      <c r="Q684" s="112">
        <f>IF($D684="","",IF($E684="TANIMSIZ MÜŞTERİ","HATA",IF(OR($J684="Tamamlandı",$J684="İptal"),"KAPALI",IF(AND($C684="Görüşme",$N684=""),"SONRAKİ İŞLEM EKSİK",IF($I684="","TARİH EKSİK",IF($I684&lt;TODAY(),"GECİKMİŞ",IF($I684=TODAY(),"BUGÜN",IF($I684&lt;=TODAY()+7,"7 GÜN İÇİNDE","PLANLI"))))))))</f>
        <v/>
      </c>
      <c r="R684" s="6" t="n"/>
      <c r="S684" s="6" t="n"/>
    </row>
    <row r="685">
      <c r="A685" s="6" t="n"/>
      <c r="B685" s="112">
        <f>IF($D685="","","A"&amp;TEXT(ROW()-6,"00000"))</f>
        <v/>
      </c>
      <c r="C685" s="107" t="n"/>
      <c r="D685" s="107" t="n"/>
      <c r="E685" s="113">
        <f>IF($D685="","",IFERROR(INDEX(MUSTERILER!$C$7:$C$106,MATCH($D685,MUSTERILER!$B$7:$B$106,0)),"TANIMSIZ MÜŞTERİ"))</f>
        <v/>
      </c>
      <c r="F685" s="108" t="n"/>
      <c r="G685" s="107" t="n"/>
      <c r="H685" s="114" t="n"/>
      <c r="I685" s="114" t="n"/>
      <c r="J685" s="107" t="n"/>
      <c r="K685" s="107" t="n"/>
      <c r="L685" s="108" t="n"/>
      <c r="M685" s="108" t="n"/>
      <c r="N685" s="108" t="n"/>
      <c r="O685" s="114" t="n"/>
      <c r="P685" s="120">
        <f>IF(OR($D685="",$I685=""),"",IF(OR($J685="Tamamlandı",$J685="İptal"),"",$I685-TODAY()))</f>
        <v/>
      </c>
      <c r="Q685" s="112">
        <f>IF($D685="","",IF($E685="TANIMSIZ MÜŞTERİ","HATA",IF(OR($J685="Tamamlandı",$J685="İptal"),"KAPALI",IF(AND($C685="Görüşme",$N685=""),"SONRAKİ İŞLEM EKSİK",IF($I685="","TARİH EKSİK",IF($I685&lt;TODAY(),"GECİKMİŞ",IF($I685=TODAY(),"BUGÜN",IF($I685&lt;=TODAY()+7,"7 GÜN İÇİNDE","PLANLI"))))))))</f>
        <v/>
      </c>
      <c r="R685" s="6" t="n"/>
      <c r="S685" s="6" t="n"/>
    </row>
    <row r="686">
      <c r="A686" s="6" t="n"/>
      <c r="B686" s="112">
        <f>IF($D686="","","A"&amp;TEXT(ROW()-6,"00000"))</f>
        <v/>
      </c>
      <c r="C686" s="107" t="n"/>
      <c r="D686" s="107" t="n"/>
      <c r="E686" s="113">
        <f>IF($D686="","",IFERROR(INDEX(MUSTERILER!$C$7:$C$106,MATCH($D686,MUSTERILER!$B$7:$B$106,0)),"TANIMSIZ MÜŞTERİ"))</f>
        <v/>
      </c>
      <c r="F686" s="108" t="n"/>
      <c r="G686" s="107" t="n"/>
      <c r="H686" s="114" t="n"/>
      <c r="I686" s="114" t="n"/>
      <c r="J686" s="107" t="n"/>
      <c r="K686" s="107" t="n"/>
      <c r="L686" s="108" t="n"/>
      <c r="M686" s="108" t="n"/>
      <c r="N686" s="108" t="n"/>
      <c r="O686" s="114" t="n"/>
      <c r="P686" s="120">
        <f>IF(OR($D686="",$I686=""),"",IF(OR($J686="Tamamlandı",$J686="İptal"),"",$I686-TODAY()))</f>
        <v/>
      </c>
      <c r="Q686" s="112">
        <f>IF($D686="","",IF($E686="TANIMSIZ MÜŞTERİ","HATA",IF(OR($J686="Tamamlandı",$J686="İptal"),"KAPALI",IF(AND($C686="Görüşme",$N686=""),"SONRAKİ İŞLEM EKSİK",IF($I686="","TARİH EKSİK",IF($I686&lt;TODAY(),"GECİKMİŞ",IF($I686=TODAY(),"BUGÜN",IF($I686&lt;=TODAY()+7,"7 GÜN İÇİNDE","PLANLI"))))))))</f>
        <v/>
      </c>
      <c r="R686" s="6" t="n"/>
      <c r="S686" s="6" t="n"/>
    </row>
    <row r="687">
      <c r="A687" s="6" t="n"/>
      <c r="B687" s="112">
        <f>IF($D687="","","A"&amp;TEXT(ROW()-6,"00000"))</f>
        <v/>
      </c>
      <c r="C687" s="107" t="n"/>
      <c r="D687" s="107" t="n"/>
      <c r="E687" s="113">
        <f>IF($D687="","",IFERROR(INDEX(MUSTERILER!$C$7:$C$106,MATCH($D687,MUSTERILER!$B$7:$B$106,0)),"TANIMSIZ MÜŞTERİ"))</f>
        <v/>
      </c>
      <c r="F687" s="108" t="n"/>
      <c r="G687" s="107" t="n"/>
      <c r="H687" s="114" t="n"/>
      <c r="I687" s="114" t="n"/>
      <c r="J687" s="107" t="n"/>
      <c r="K687" s="107" t="n"/>
      <c r="L687" s="108" t="n"/>
      <c r="M687" s="108" t="n"/>
      <c r="N687" s="108" t="n"/>
      <c r="O687" s="114" t="n"/>
      <c r="P687" s="120">
        <f>IF(OR($D687="",$I687=""),"",IF(OR($J687="Tamamlandı",$J687="İptal"),"",$I687-TODAY()))</f>
        <v/>
      </c>
      <c r="Q687" s="112">
        <f>IF($D687="","",IF($E687="TANIMSIZ MÜŞTERİ","HATA",IF(OR($J687="Tamamlandı",$J687="İptal"),"KAPALI",IF(AND($C687="Görüşme",$N687=""),"SONRAKİ İŞLEM EKSİK",IF($I687="","TARİH EKSİK",IF($I687&lt;TODAY(),"GECİKMİŞ",IF($I687=TODAY(),"BUGÜN",IF($I687&lt;=TODAY()+7,"7 GÜN İÇİNDE","PLANLI"))))))))</f>
        <v/>
      </c>
      <c r="R687" s="6" t="n"/>
      <c r="S687" s="6" t="n"/>
    </row>
    <row r="688">
      <c r="A688" s="6" t="n"/>
      <c r="B688" s="112">
        <f>IF($D688="","","A"&amp;TEXT(ROW()-6,"00000"))</f>
        <v/>
      </c>
      <c r="C688" s="107" t="n"/>
      <c r="D688" s="107" t="n"/>
      <c r="E688" s="113">
        <f>IF($D688="","",IFERROR(INDEX(MUSTERILER!$C$7:$C$106,MATCH($D688,MUSTERILER!$B$7:$B$106,0)),"TANIMSIZ MÜŞTERİ"))</f>
        <v/>
      </c>
      <c r="F688" s="108" t="n"/>
      <c r="G688" s="107" t="n"/>
      <c r="H688" s="114" t="n"/>
      <c r="I688" s="114" t="n"/>
      <c r="J688" s="107" t="n"/>
      <c r="K688" s="107" t="n"/>
      <c r="L688" s="108" t="n"/>
      <c r="M688" s="108" t="n"/>
      <c r="N688" s="108" t="n"/>
      <c r="O688" s="114" t="n"/>
      <c r="P688" s="120">
        <f>IF(OR($D688="",$I688=""),"",IF(OR($J688="Tamamlandı",$J688="İptal"),"",$I688-TODAY()))</f>
        <v/>
      </c>
      <c r="Q688" s="112">
        <f>IF($D688="","",IF($E688="TANIMSIZ MÜŞTERİ","HATA",IF(OR($J688="Tamamlandı",$J688="İptal"),"KAPALI",IF(AND($C688="Görüşme",$N688=""),"SONRAKİ İŞLEM EKSİK",IF($I688="","TARİH EKSİK",IF($I688&lt;TODAY(),"GECİKMİŞ",IF($I688=TODAY(),"BUGÜN",IF($I688&lt;=TODAY()+7,"7 GÜN İÇİNDE","PLANLI"))))))))</f>
        <v/>
      </c>
      <c r="R688" s="6" t="n"/>
      <c r="S688" s="6" t="n"/>
    </row>
    <row r="689">
      <c r="A689" s="6" t="n"/>
      <c r="B689" s="112">
        <f>IF($D689="","","A"&amp;TEXT(ROW()-6,"00000"))</f>
        <v/>
      </c>
      <c r="C689" s="107" t="n"/>
      <c r="D689" s="107" t="n"/>
      <c r="E689" s="113">
        <f>IF($D689="","",IFERROR(INDEX(MUSTERILER!$C$7:$C$106,MATCH($D689,MUSTERILER!$B$7:$B$106,0)),"TANIMSIZ MÜŞTERİ"))</f>
        <v/>
      </c>
      <c r="F689" s="108" t="n"/>
      <c r="G689" s="107" t="n"/>
      <c r="H689" s="114" t="n"/>
      <c r="I689" s="114" t="n"/>
      <c r="J689" s="107" t="n"/>
      <c r="K689" s="107" t="n"/>
      <c r="L689" s="108" t="n"/>
      <c r="M689" s="108" t="n"/>
      <c r="N689" s="108" t="n"/>
      <c r="O689" s="114" t="n"/>
      <c r="P689" s="120">
        <f>IF(OR($D689="",$I689=""),"",IF(OR($J689="Tamamlandı",$J689="İptal"),"",$I689-TODAY()))</f>
        <v/>
      </c>
      <c r="Q689" s="112">
        <f>IF($D689="","",IF($E689="TANIMSIZ MÜŞTERİ","HATA",IF(OR($J689="Tamamlandı",$J689="İptal"),"KAPALI",IF(AND($C689="Görüşme",$N689=""),"SONRAKİ İŞLEM EKSİK",IF($I689="","TARİH EKSİK",IF($I689&lt;TODAY(),"GECİKMİŞ",IF($I689=TODAY(),"BUGÜN",IF($I689&lt;=TODAY()+7,"7 GÜN İÇİNDE","PLANLI"))))))))</f>
        <v/>
      </c>
      <c r="R689" s="6" t="n"/>
      <c r="S689" s="6" t="n"/>
    </row>
    <row r="690">
      <c r="A690" s="6" t="n"/>
      <c r="B690" s="112">
        <f>IF($D690="","","A"&amp;TEXT(ROW()-6,"00000"))</f>
        <v/>
      </c>
      <c r="C690" s="107" t="n"/>
      <c r="D690" s="107" t="n"/>
      <c r="E690" s="113">
        <f>IF($D690="","",IFERROR(INDEX(MUSTERILER!$C$7:$C$106,MATCH($D690,MUSTERILER!$B$7:$B$106,0)),"TANIMSIZ MÜŞTERİ"))</f>
        <v/>
      </c>
      <c r="F690" s="108" t="n"/>
      <c r="G690" s="107" t="n"/>
      <c r="H690" s="114" t="n"/>
      <c r="I690" s="114" t="n"/>
      <c r="J690" s="107" t="n"/>
      <c r="K690" s="107" t="n"/>
      <c r="L690" s="108" t="n"/>
      <c r="M690" s="108" t="n"/>
      <c r="N690" s="108" t="n"/>
      <c r="O690" s="114" t="n"/>
      <c r="P690" s="120">
        <f>IF(OR($D690="",$I690=""),"",IF(OR($J690="Tamamlandı",$J690="İptal"),"",$I690-TODAY()))</f>
        <v/>
      </c>
      <c r="Q690" s="112">
        <f>IF($D690="","",IF($E690="TANIMSIZ MÜŞTERİ","HATA",IF(OR($J690="Tamamlandı",$J690="İptal"),"KAPALI",IF(AND($C690="Görüşme",$N690=""),"SONRAKİ İŞLEM EKSİK",IF($I690="","TARİH EKSİK",IF($I690&lt;TODAY(),"GECİKMİŞ",IF($I690=TODAY(),"BUGÜN",IF($I690&lt;=TODAY()+7,"7 GÜN İÇİNDE","PLANLI"))))))))</f>
        <v/>
      </c>
      <c r="R690" s="6" t="n"/>
      <c r="S690" s="6" t="n"/>
    </row>
    <row r="691">
      <c r="A691" s="6" t="n"/>
      <c r="B691" s="112">
        <f>IF($D691="","","A"&amp;TEXT(ROW()-6,"00000"))</f>
        <v/>
      </c>
      <c r="C691" s="107" t="n"/>
      <c r="D691" s="107" t="n"/>
      <c r="E691" s="113">
        <f>IF($D691="","",IFERROR(INDEX(MUSTERILER!$C$7:$C$106,MATCH($D691,MUSTERILER!$B$7:$B$106,0)),"TANIMSIZ MÜŞTERİ"))</f>
        <v/>
      </c>
      <c r="F691" s="108" t="n"/>
      <c r="G691" s="107" t="n"/>
      <c r="H691" s="114" t="n"/>
      <c r="I691" s="114" t="n"/>
      <c r="J691" s="107" t="n"/>
      <c r="K691" s="107" t="n"/>
      <c r="L691" s="108" t="n"/>
      <c r="M691" s="108" t="n"/>
      <c r="N691" s="108" t="n"/>
      <c r="O691" s="114" t="n"/>
      <c r="P691" s="120">
        <f>IF(OR($D691="",$I691=""),"",IF(OR($J691="Tamamlandı",$J691="İptal"),"",$I691-TODAY()))</f>
        <v/>
      </c>
      <c r="Q691" s="112">
        <f>IF($D691="","",IF($E691="TANIMSIZ MÜŞTERİ","HATA",IF(OR($J691="Tamamlandı",$J691="İptal"),"KAPALI",IF(AND($C691="Görüşme",$N691=""),"SONRAKİ İŞLEM EKSİK",IF($I691="","TARİH EKSİK",IF($I691&lt;TODAY(),"GECİKMİŞ",IF($I691=TODAY(),"BUGÜN",IF($I691&lt;=TODAY()+7,"7 GÜN İÇİNDE","PLANLI"))))))))</f>
        <v/>
      </c>
      <c r="R691" s="6" t="n"/>
      <c r="S691" s="6" t="n"/>
    </row>
    <row r="692">
      <c r="A692" s="6" t="n"/>
      <c r="B692" s="112">
        <f>IF($D692="","","A"&amp;TEXT(ROW()-6,"00000"))</f>
        <v/>
      </c>
      <c r="C692" s="107" t="n"/>
      <c r="D692" s="107" t="n"/>
      <c r="E692" s="113">
        <f>IF($D692="","",IFERROR(INDEX(MUSTERILER!$C$7:$C$106,MATCH($D692,MUSTERILER!$B$7:$B$106,0)),"TANIMSIZ MÜŞTERİ"))</f>
        <v/>
      </c>
      <c r="F692" s="108" t="n"/>
      <c r="G692" s="107" t="n"/>
      <c r="H692" s="114" t="n"/>
      <c r="I692" s="114" t="n"/>
      <c r="J692" s="107" t="n"/>
      <c r="K692" s="107" t="n"/>
      <c r="L692" s="108" t="n"/>
      <c r="M692" s="108" t="n"/>
      <c r="N692" s="108" t="n"/>
      <c r="O692" s="114" t="n"/>
      <c r="P692" s="120">
        <f>IF(OR($D692="",$I692=""),"",IF(OR($J692="Tamamlandı",$J692="İptal"),"",$I692-TODAY()))</f>
        <v/>
      </c>
      <c r="Q692" s="112">
        <f>IF($D692="","",IF($E692="TANIMSIZ MÜŞTERİ","HATA",IF(OR($J692="Tamamlandı",$J692="İptal"),"KAPALI",IF(AND($C692="Görüşme",$N692=""),"SONRAKİ İŞLEM EKSİK",IF($I692="","TARİH EKSİK",IF($I692&lt;TODAY(),"GECİKMİŞ",IF($I692=TODAY(),"BUGÜN",IF($I692&lt;=TODAY()+7,"7 GÜN İÇİNDE","PLANLI"))))))))</f>
        <v/>
      </c>
      <c r="R692" s="6" t="n"/>
      <c r="S692" s="6" t="n"/>
    </row>
    <row r="693">
      <c r="A693" s="6" t="n"/>
      <c r="B693" s="112">
        <f>IF($D693="","","A"&amp;TEXT(ROW()-6,"00000"))</f>
        <v/>
      </c>
      <c r="C693" s="107" t="n"/>
      <c r="D693" s="107" t="n"/>
      <c r="E693" s="113">
        <f>IF($D693="","",IFERROR(INDEX(MUSTERILER!$C$7:$C$106,MATCH($D693,MUSTERILER!$B$7:$B$106,0)),"TANIMSIZ MÜŞTERİ"))</f>
        <v/>
      </c>
      <c r="F693" s="108" t="n"/>
      <c r="G693" s="107" t="n"/>
      <c r="H693" s="114" t="n"/>
      <c r="I693" s="114" t="n"/>
      <c r="J693" s="107" t="n"/>
      <c r="K693" s="107" t="n"/>
      <c r="L693" s="108" t="n"/>
      <c r="M693" s="108" t="n"/>
      <c r="N693" s="108" t="n"/>
      <c r="O693" s="114" t="n"/>
      <c r="P693" s="120">
        <f>IF(OR($D693="",$I693=""),"",IF(OR($J693="Tamamlandı",$J693="İptal"),"",$I693-TODAY()))</f>
        <v/>
      </c>
      <c r="Q693" s="112">
        <f>IF($D693="","",IF($E693="TANIMSIZ MÜŞTERİ","HATA",IF(OR($J693="Tamamlandı",$J693="İptal"),"KAPALI",IF(AND($C693="Görüşme",$N693=""),"SONRAKİ İŞLEM EKSİK",IF($I693="","TARİH EKSİK",IF($I693&lt;TODAY(),"GECİKMİŞ",IF($I693=TODAY(),"BUGÜN",IF($I693&lt;=TODAY()+7,"7 GÜN İÇİNDE","PLANLI"))))))))</f>
        <v/>
      </c>
      <c r="R693" s="6" t="n"/>
      <c r="S693" s="6" t="n"/>
    </row>
    <row r="694">
      <c r="A694" s="6" t="n"/>
      <c r="B694" s="112">
        <f>IF($D694="","","A"&amp;TEXT(ROW()-6,"00000"))</f>
        <v/>
      </c>
      <c r="C694" s="107" t="n"/>
      <c r="D694" s="107" t="n"/>
      <c r="E694" s="113">
        <f>IF($D694="","",IFERROR(INDEX(MUSTERILER!$C$7:$C$106,MATCH($D694,MUSTERILER!$B$7:$B$106,0)),"TANIMSIZ MÜŞTERİ"))</f>
        <v/>
      </c>
      <c r="F694" s="108" t="n"/>
      <c r="G694" s="107" t="n"/>
      <c r="H694" s="114" t="n"/>
      <c r="I694" s="114" t="n"/>
      <c r="J694" s="107" t="n"/>
      <c r="K694" s="107" t="n"/>
      <c r="L694" s="108" t="n"/>
      <c r="M694" s="108" t="n"/>
      <c r="N694" s="108" t="n"/>
      <c r="O694" s="114" t="n"/>
      <c r="P694" s="120">
        <f>IF(OR($D694="",$I694=""),"",IF(OR($J694="Tamamlandı",$J694="İptal"),"",$I694-TODAY()))</f>
        <v/>
      </c>
      <c r="Q694" s="112">
        <f>IF($D694="","",IF($E694="TANIMSIZ MÜŞTERİ","HATA",IF(OR($J694="Tamamlandı",$J694="İptal"),"KAPALI",IF(AND($C694="Görüşme",$N694=""),"SONRAKİ İŞLEM EKSİK",IF($I694="","TARİH EKSİK",IF($I694&lt;TODAY(),"GECİKMİŞ",IF($I694=TODAY(),"BUGÜN",IF($I694&lt;=TODAY()+7,"7 GÜN İÇİNDE","PLANLI"))))))))</f>
        <v/>
      </c>
      <c r="R694" s="6" t="n"/>
      <c r="S694" s="6" t="n"/>
    </row>
    <row r="695">
      <c r="A695" s="6" t="n"/>
      <c r="B695" s="112">
        <f>IF($D695="","","A"&amp;TEXT(ROW()-6,"00000"))</f>
        <v/>
      </c>
      <c r="C695" s="107" t="n"/>
      <c r="D695" s="107" t="n"/>
      <c r="E695" s="113">
        <f>IF($D695="","",IFERROR(INDEX(MUSTERILER!$C$7:$C$106,MATCH($D695,MUSTERILER!$B$7:$B$106,0)),"TANIMSIZ MÜŞTERİ"))</f>
        <v/>
      </c>
      <c r="F695" s="108" t="n"/>
      <c r="G695" s="107" t="n"/>
      <c r="H695" s="114" t="n"/>
      <c r="I695" s="114" t="n"/>
      <c r="J695" s="107" t="n"/>
      <c r="K695" s="107" t="n"/>
      <c r="L695" s="108" t="n"/>
      <c r="M695" s="108" t="n"/>
      <c r="N695" s="108" t="n"/>
      <c r="O695" s="114" t="n"/>
      <c r="P695" s="120">
        <f>IF(OR($D695="",$I695=""),"",IF(OR($J695="Tamamlandı",$J695="İptal"),"",$I695-TODAY()))</f>
        <v/>
      </c>
      <c r="Q695" s="112">
        <f>IF($D695="","",IF($E695="TANIMSIZ MÜŞTERİ","HATA",IF(OR($J695="Tamamlandı",$J695="İptal"),"KAPALI",IF(AND($C695="Görüşme",$N695=""),"SONRAKİ İŞLEM EKSİK",IF($I695="","TARİH EKSİK",IF($I695&lt;TODAY(),"GECİKMİŞ",IF($I695=TODAY(),"BUGÜN",IF($I695&lt;=TODAY()+7,"7 GÜN İÇİNDE","PLANLI"))))))))</f>
        <v/>
      </c>
      <c r="R695" s="6" t="n"/>
      <c r="S695" s="6" t="n"/>
    </row>
    <row r="696">
      <c r="A696" s="6" t="n"/>
      <c r="B696" s="112">
        <f>IF($D696="","","A"&amp;TEXT(ROW()-6,"00000"))</f>
        <v/>
      </c>
      <c r="C696" s="107" t="n"/>
      <c r="D696" s="107" t="n"/>
      <c r="E696" s="113">
        <f>IF($D696="","",IFERROR(INDEX(MUSTERILER!$C$7:$C$106,MATCH($D696,MUSTERILER!$B$7:$B$106,0)),"TANIMSIZ MÜŞTERİ"))</f>
        <v/>
      </c>
      <c r="F696" s="108" t="n"/>
      <c r="G696" s="107" t="n"/>
      <c r="H696" s="114" t="n"/>
      <c r="I696" s="114" t="n"/>
      <c r="J696" s="107" t="n"/>
      <c r="K696" s="107" t="n"/>
      <c r="L696" s="108" t="n"/>
      <c r="M696" s="108" t="n"/>
      <c r="N696" s="108" t="n"/>
      <c r="O696" s="114" t="n"/>
      <c r="P696" s="120">
        <f>IF(OR($D696="",$I696=""),"",IF(OR($J696="Tamamlandı",$J696="İptal"),"",$I696-TODAY()))</f>
        <v/>
      </c>
      <c r="Q696" s="112">
        <f>IF($D696="","",IF($E696="TANIMSIZ MÜŞTERİ","HATA",IF(OR($J696="Tamamlandı",$J696="İptal"),"KAPALI",IF(AND($C696="Görüşme",$N696=""),"SONRAKİ İŞLEM EKSİK",IF($I696="","TARİH EKSİK",IF($I696&lt;TODAY(),"GECİKMİŞ",IF($I696=TODAY(),"BUGÜN",IF($I696&lt;=TODAY()+7,"7 GÜN İÇİNDE","PLANLI"))))))))</f>
        <v/>
      </c>
      <c r="R696" s="6" t="n"/>
      <c r="S696" s="6" t="n"/>
    </row>
    <row r="697">
      <c r="A697" s="6" t="n"/>
      <c r="B697" s="112">
        <f>IF($D697="","","A"&amp;TEXT(ROW()-6,"00000"))</f>
        <v/>
      </c>
      <c r="C697" s="107" t="n"/>
      <c r="D697" s="107" t="n"/>
      <c r="E697" s="113">
        <f>IF($D697="","",IFERROR(INDEX(MUSTERILER!$C$7:$C$106,MATCH($D697,MUSTERILER!$B$7:$B$106,0)),"TANIMSIZ MÜŞTERİ"))</f>
        <v/>
      </c>
      <c r="F697" s="108" t="n"/>
      <c r="G697" s="107" t="n"/>
      <c r="H697" s="114" t="n"/>
      <c r="I697" s="114" t="n"/>
      <c r="J697" s="107" t="n"/>
      <c r="K697" s="107" t="n"/>
      <c r="L697" s="108" t="n"/>
      <c r="M697" s="108" t="n"/>
      <c r="N697" s="108" t="n"/>
      <c r="O697" s="114" t="n"/>
      <c r="P697" s="120">
        <f>IF(OR($D697="",$I697=""),"",IF(OR($J697="Tamamlandı",$J697="İptal"),"",$I697-TODAY()))</f>
        <v/>
      </c>
      <c r="Q697" s="112">
        <f>IF($D697="","",IF($E697="TANIMSIZ MÜŞTERİ","HATA",IF(OR($J697="Tamamlandı",$J697="İptal"),"KAPALI",IF(AND($C697="Görüşme",$N697=""),"SONRAKİ İŞLEM EKSİK",IF($I697="","TARİH EKSİK",IF($I697&lt;TODAY(),"GECİKMİŞ",IF($I697=TODAY(),"BUGÜN",IF($I697&lt;=TODAY()+7,"7 GÜN İÇİNDE","PLANLI"))))))))</f>
        <v/>
      </c>
      <c r="R697" s="6" t="n"/>
      <c r="S697" s="6" t="n"/>
    </row>
    <row r="698">
      <c r="A698" s="6" t="n"/>
      <c r="B698" s="112">
        <f>IF($D698="","","A"&amp;TEXT(ROW()-6,"00000"))</f>
        <v/>
      </c>
      <c r="C698" s="107" t="n"/>
      <c r="D698" s="107" t="n"/>
      <c r="E698" s="113">
        <f>IF($D698="","",IFERROR(INDEX(MUSTERILER!$C$7:$C$106,MATCH($D698,MUSTERILER!$B$7:$B$106,0)),"TANIMSIZ MÜŞTERİ"))</f>
        <v/>
      </c>
      <c r="F698" s="108" t="n"/>
      <c r="G698" s="107" t="n"/>
      <c r="H698" s="114" t="n"/>
      <c r="I698" s="114" t="n"/>
      <c r="J698" s="107" t="n"/>
      <c r="K698" s="107" t="n"/>
      <c r="L698" s="108" t="n"/>
      <c r="M698" s="108" t="n"/>
      <c r="N698" s="108" t="n"/>
      <c r="O698" s="114" t="n"/>
      <c r="P698" s="120">
        <f>IF(OR($D698="",$I698=""),"",IF(OR($J698="Tamamlandı",$J698="İptal"),"",$I698-TODAY()))</f>
        <v/>
      </c>
      <c r="Q698" s="112">
        <f>IF($D698="","",IF($E698="TANIMSIZ MÜŞTERİ","HATA",IF(OR($J698="Tamamlandı",$J698="İptal"),"KAPALI",IF(AND($C698="Görüşme",$N698=""),"SONRAKİ İŞLEM EKSİK",IF($I698="","TARİH EKSİK",IF($I698&lt;TODAY(),"GECİKMİŞ",IF($I698=TODAY(),"BUGÜN",IF($I698&lt;=TODAY()+7,"7 GÜN İÇİNDE","PLANLI"))))))))</f>
        <v/>
      </c>
      <c r="R698" s="6" t="n"/>
      <c r="S698" s="6" t="n"/>
    </row>
    <row r="699">
      <c r="A699" s="6" t="n"/>
      <c r="B699" s="112">
        <f>IF($D699="","","A"&amp;TEXT(ROW()-6,"00000"))</f>
        <v/>
      </c>
      <c r="C699" s="107" t="n"/>
      <c r="D699" s="107" t="n"/>
      <c r="E699" s="113">
        <f>IF($D699="","",IFERROR(INDEX(MUSTERILER!$C$7:$C$106,MATCH($D699,MUSTERILER!$B$7:$B$106,0)),"TANIMSIZ MÜŞTERİ"))</f>
        <v/>
      </c>
      <c r="F699" s="108" t="n"/>
      <c r="G699" s="107" t="n"/>
      <c r="H699" s="114" t="n"/>
      <c r="I699" s="114" t="n"/>
      <c r="J699" s="107" t="n"/>
      <c r="K699" s="107" t="n"/>
      <c r="L699" s="108" t="n"/>
      <c r="M699" s="108" t="n"/>
      <c r="N699" s="108" t="n"/>
      <c r="O699" s="114" t="n"/>
      <c r="P699" s="120">
        <f>IF(OR($D699="",$I699=""),"",IF(OR($J699="Tamamlandı",$J699="İptal"),"",$I699-TODAY()))</f>
        <v/>
      </c>
      <c r="Q699" s="112">
        <f>IF($D699="","",IF($E699="TANIMSIZ MÜŞTERİ","HATA",IF(OR($J699="Tamamlandı",$J699="İptal"),"KAPALI",IF(AND($C699="Görüşme",$N699=""),"SONRAKİ İŞLEM EKSİK",IF($I699="","TARİH EKSİK",IF($I699&lt;TODAY(),"GECİKMİŞ",IF($I699=TODAY(),"BUGÜN",IF($I699&lt;=TODAY()+7,"7 GÜN İÇİNDE","PLANLI"))))))))</f>
        <v/>
      </c>
      <c r="R699" s="6" t="n"/>
      <c r="S699" s="6" t="n"/>
    </row>
    <row r="700">
      <c r="A700" s="6" t="n"/>
      <c r="B700" s="112">
        <f>IF($D700="","","A"&amp;TEXT(ROW()-6,"00000"))</f>
        <v/>
      </c>
      <c r="C700" s="107" t="n"/>
      <c r="D700" s="107" t="n"/>
      <c r="E700" s="113">
        <f>IF($D700="","",IFERROR(INDEX(MUSTERILER!$C$7:$C$106,MATCH($D700,MUSTERILER!$B$7:$B$106,0)),"TANIMSIZ MÜŞTERİ"))</f>
        <v/>
      </c>
      <c r="F700" s="108" t="n"/>
      <c r="G700" s="107" t="n"/>
      <c r="H700" s="114" t="n"/>
      <c r="I700" s="114" t="n"/>
      <c r="J700" s="107" t="n"/>
      <c r="K700" s="107" t="n"/>
      <c r="L700" s="108" t="n"/>
      <c r="M700" s="108" t="n"/>
      <c r="N700" s="108" t="n"/>
      <c r="O700" s="114" t="n"/>
      <c r="P700" s="120">
        <f>IF(OR($D700="",$I700=""),"",IF(OR($J700="Tamamlandı",$J700="İptal"),"",$I700-TODAY()))</f>
        <v/>
      </c>
      <c r="Q700" s="112">
        <f>IF($D700="","",IF($E700="TANIMSIZ MÜŞTERİ","HATA",IF(OR($J700="Tamamlandı",$J700="İptal"),"KAPALI",IF(AND($C700="Görüşme",$N700=""),"SONRAKİ İŞLEM EKSİK",IF($I700="","TARİH EKSİK",IF($I700&lt;TODAY(),"GECİKMİŞ",IF($I700=TODAY(),"BUGÜN",IF($I700&lt;=TODAY()+7,"7 GÜN İÇİNDE","PLANLI"))))))))</f>
        <v/>
      </c>
      <c r="R700" s="6" t="n"/>
      <c r="S700" s="6" t="n"/>
    </row>
    <row r="701">
      <c r="A701" s="6" t="n"/>
      <c r="B701" s="112">
        <f>IF($D701="","","A"&amp;TEXT(ROW()-6,"00000"))</f>
        <v/>
      </c>
      <c r="C701" s="107" t="n"/>
      <c r="D701" s="107" t="n"/>
      <c r="E701" s="113">
        <f>IF($D701="","",IFERROR(INDEX(MUSTERILER!$C$7:$C$106,MATCH($D701,MUSTERILER!$B$7:$B$106,0)),"TANIMSIZ MÜŞTERİ"))</f>
        <v/>
      </c>
      <c r="F701" s="108" t="n"/>
      <c r="G701" s="107" t="n"/>
      <c r="H701" s="114" t="n"/>
      <c r="I701" s="114" t="n"/>
      <c r="J701" s="107" t="n"/>
      <c r="K701" s="107" t="n"/>
      <c r="L701" s="108" t="n"/>
      <c r="M701" s="108" t="n"/>
      <c r="N701" s="108" t="n"/>
      <c r="O701" s="114" t="n"/>
      <c r="P701" s="120">
        <f>IF(OR($D701="",$I701=""),"",IF(OR($J701="Tamamlandı",$J701="İptal"),"",$I701-TODAY()))</f>
        <v/>
      </c>
      <c r="Q701" s="112">
        <f>IF($D701="","",IF($E701="TANIMSIZ MÜŞTERİ","HATA",IF(OR($J701="Tamamlandı",$J701="İptal"),"KAPALI",IF(AND($C701="Görüşme",$N701=""),"SONRAKİ İŞLEM EKSİK",IF($I701="","TARİH EKSİK",IF($I701&lt;TODAY(),"GECİKMİŞ",IF($I701=TODAY(),"BUGÜN",IF($I701&lt;=TODAY()+7,"7 GÜN İÇİNDE","PLANLI"))))))))</f>
        <v/>
      </c>
      <c r="R701" s="6" t="n"/>
      <c r="S701" s="6" t="n"/>
    </row>
    <row r="702">
      <c r="A702" s="6" t="n"/>
      <c r="B702" s="112">
        <f>IF($D702="","","A"&amp;TEXT(ROW()-6,"00000"))</f>
        <v/>
      </c>
      <c r="C702" s="107" t="n"/>
      <c r="D702" s="107" t="n"/>
      <c r="E702" s="113">
        <f>IF($D702="","",IFERROR(INDEX(MUSTERILER!$C$7:$C$106,MATCH($D702,MUSTERILER!$B$7:$B$106,0)),"TANIMSIZ MÜŞTERİ"))</f>
        <v/>
      </c>
      <c r="F702" s="108" t="n"/>
      <c r="G702" s="107" t="n"/>
      <c r="H702" s="114" t="n"/>
      <c r="I702" s="114" t="n"/>
      <c r="J702" s="107" t="n"/>
      <c r="K702" s="107" t="n"/>
      <c r="L702" s="108" t="n"/>
      <c r="M702" s="108" t="n"/>
      <c r="N702" s="108" t="n"/>
      <c r="O702" s="114" t="n"/>
      <c r="P702" s="120">
        <f>IF(OR($D702="",$I702=""),"",IF(OR($J702="Tamamlandı",$J702="İptal"),"",$I702-TODAY()))</f>
        <v/>
      </c>
      <c r="Q702" s="112">
        <f>IF($D702="","",IF($E702="TANIMSIZ MÜŞTERİ","HATA",IF(OR($J702="Tamamlandı",$J702="İptal"),"KAPALI",IF(AND($C702="Görüşme",$N702=""),"SONRAKİ İŞLEM EKSİK",IF($I702="","TARİH EKSİK",IF($I702&lt;TODAY(),"GECİKMİŞ",IF($I702=TODAY(),"BUGÜN",IF($I702&lt;=TODAY()+7,"7 GÜN İÇİNDE","PLANLI"))))))))</f>
        <v/>
      </c>
      <c r="R702" s="6" t="n"/>
      <c r="S702" s="6" t="n"/>
    </row>
    <row r="703">
      <c r="A703" s="6" t="n"/>
      <c r="B703" s="112">
        <f>IF($D703="","","A"&amp;TEXT(ROW()-6,"00000"))</f>
        <v/>
      </c>
      <c r="C703" s="107" t="n"/>
      <c r="D703" s="107" t="n"/>
      <c r="E703" s="113">
        <f>IF($D703="","",IFERROR(INDEX(MUSTERILER!$C$7:$C$106,MATCH($D703,MUSTERILER!$B$7:$B$106,0)),"TANIMSIZ MÜŞTERİ"))</f>
        <v/>
      </c>
      <c r="F703" s="108" t="n"/>
      <c r="G703" s="107" t="n"/>
      <c r="H703" s="114" t="n"/>
      <c r="I703" s="114" t="n"/>
      <c r="J703" s="107" t="n"/>
      <c r="K703" s="107" t="n"/>
      <c r="L703" s="108" t="n"/>
      <c r="M703" s="108" t="n"/>
      <c r="N703" s="108" t="n"/>
      <c r="O703" s="114" t="n"/>
      <c r="P703" s="120">
        <f>IF(OR($D703="",$I703=""),"",IF(OR($J703="Tamamlandı",$J703="İptal"),"",$I703-TODAY()))</f>
        <v/>
      </c>
      <c r="Q703" s="112">
        <f>IF($D703="","",IF($E703="TANIMSIZ MÜŞTERİ","HATA",IF(OR($J703="Tamamlandı",$J703="İptal"),"KAPALI",IF(AND($C703="Görüşme",$N703=""),"SONRAKİ İŞLEM EKSİK",IF($I703="","TARİH EKSİK",IF($I703&lt;TODAY(),"GECİKMİŞ",IF($I703=TODAY(),"BUGÜN",IF($I703&lt;=TODAY()+7,"7 GÜN İÇİNDE","PLANLI"))))))))</f>
        <v/>
      </c>
      <c r="R703" s="6" t="n"/>
      <c r="S703" s="6" t="n"/>
    </row>
    <row r="704">
      <c r="A704" s="6" t="n"/>
      <c r="B704" s="112">
        <f>IF($D704="","","A"&amp;TEXT(ROW()-6,"00000"))</f>
        <v/>
      </c>
      <c r="C704" s="107" t="n"/>
      <c r="D704" s="107" t="n"/>
      <c r="E704" s="113">
        <f>IF($D704="","",IFERROR(INDEX(MUSTERILER!$C$7:$C$106,MATCH($D704,MUSTERILER!$B$7:$B$106,0)),"TANIMSIZ MÜŞTERİ"))</f>
        <v/>
      </c>
      <c r="F704" s="108" t="n"/>
      <c r="G704" s="107" t="n"/>
      <c r="H704" s="114" t="n"/>
      <c r="I704" s="114" t="n"/>
      <c r="J704" s="107" t="n"/>
      <c r="K704" s="107" t="n"/>
      <c r="L704" s="108" t="n"/>
      <c r="M704" s="108" t="n"/>
      <c r="N704" s="108" t="n"/>
      <c r="O704" s="114" t="n"/>
      <c r="P704" s="120">
        <f>IF(OR($D704="",$I704=""),"",IF(OR($J704="Tamamlandı",$J704="İptal"),"",$I704-TODAY()))</f>
        <v/>
      </c>
      <c r="Q704" s="112">
        <f>IF($D704="","",IF($E704="TANIMSIZ MÜŞTERİ","HATA",IF(OR($J704="Tamamlandı",$J704="İptal"),"KAPALI",IF(AND($C704="Görüşme",$N704=""),"SONRAKİ İŞLEM EKSİK",IF($I704="","TARİH EKSİK",IF($I704&lt;TODAY(),"GECİKMİŞ",IF($I704=TODAY(),"BUGÜN",IF($I704&lt;=TODAY()+7,"7 GÜN İÇİNDE","PLANLI"))))))))</f>
        <v/>
      </c>
      <c r="R704" s="6" t="n"/>
      <c r="S704" s="6" t="n"/>
    </row>
    <row r="705">
      <c r="A705" s="6" t="n"/>
      <c r="B705" s="112">
        <f>IF($D705="","","A"&amp;TEXT(ROW()-6,"00000"))</f>
        <v/>
      </c>
      <c r="C705" s="107" t="n"/>
      <c r="D705" s="107" t="n"/>
      <c r="E705" s="113">
        <f>IF($D705="","",IFERROR(INDEX(MUSTERILER!$C$7:$C$106,MATCH($D705,MUSTERILER!$B$7:$B$106,0)),"TANIMSIZ MÜŞTERİ"))</f>
        <v/>
      </c>
      <c r="F705" s="108" t="n"/>
      <c r="G705" s="107" t="n"/>
      <c r="H705" s="114" t="n"/>
      <c r="I705" s="114" t="n"/>
      <c r="J705" s="107" t="n"/>
      <c r="K705" s="107" t="n"/>
      <c r="L705" s="108" t="n"/>
      <c r="M705" s="108" t="n"/>
      <c r="N705" s="108" t="n"/>
      <c r="O705" s="114" t="n"/>
      <c r="P705" s="120">
        <f>IF(OR($D705="",$I705=""),"",IF(OR($J705="Tamamlandı",$J705="İptal"),"",$I705-TODAY()))</f>
        <v/>
      </c>
      <c r="Q705" s="112">
        <f>IF($D705="","",IF($E705="TANIMSIZ MÜŞTERİ","HATA",IF(OR($J705="Tamamlandı",$J705="İptal"),"KAPALI",IF(AND($C705="Görüşme",$N705=""),"SONRAKİ İŞLEM EKSİK",IF($I705="","TARİH EKSİK",IF($I705&lt;TODAY(),"GECİKMİŞ",IF($I705=TODAY(),"BUGÜN",IF($I705&lt;=TODAY()+7,"7 GÜN İÇİNDE","PLANLI"))))))))</f>
        <v/>
      </c>
      <c r="R705" s="6" t="n"/>
      <c r="S705" s="6" t="n"/>
    </row>
    <row r="706">
      <c r="A706" s="6" t="n"/>
      <c r="B706" s="112">
        <f>IF($D706="","","A"&amp;TEXT(ROW()-6,"00000"))</f>
        <v/>
      </c>
      <c r="C706" s="107" t="n"/>
      <c r="D706" s="107" t="n"/>
      <c r="E706" s="113">
        <f>IF($D706="","",IFERROR(INDEX(MUSTERILER!$C$7:$C$106,MATCH($D706,MUSTERILER!$B$7:$B$106,0)),"TANIMSIZ MÜŞTERİ"))</f>
        <v/>
      </c>
      <c r="F706" s="108" t="n"/>
      <c r="G706" s="107" t="n"/>
      <c r="H706" s="114" t="n"/>
      <c r="I706" s="114" t="n"/>
      <c r="J706" s="107" t="n"/>
      <c r="K706" s="107" t="n"/>
      <c r="L706" s="108" t="n"/>
      <c r="M706" s="108" t="n"/>
      <c r="N706" s="108" t="n"/>
      <c r="O706" s="114" t="n"/>
      <c r="P706" s="120">
        <f>IF(OR($D706="",$I706=""),"",IF(OR($J706="Tamamlandı",$J706="İptal"),"",$I706-TODAY()))</f>
        <v/>
      </c>
      <c r="Q706" s="112">
        <f>IF($D706="","",IF($E706="TANIMSIZ MÜŞTERİ","HATA",IF(OR($J706="Tamamlandı",$J706="İptal"),"KAPALI",IF(AND($C706="Görüşme",$N706=""),"SONRAKİ İŞLEM EKSİK",IF($I706="","TARİH EKSİK",IF($I706&lt;TODAY(),"GECİKMİŞ",IF($I706=TODAY(),"BUGÜN",IF($I706&lt;=TODAY()+7,"7 GÜN İÇİNDE","PLANLI"))))))))</f>
        <v/>
      </c>
      <c r="R706" s="6" t="n"/>
      <c r="S706" s="6" t="n"/>
    </row>
    <row r="707">
      <c r="A707" s="6" t="n"/>
      <c r="B707" s="112">
        <f>IF($D707="","","A"&amp;TEXT(ROW()-6,"00000"))</f>
        <v/>
      </c>
      <c r="C707" s="107" t="n"/>
      <c r="D707" s="107" t="n"/>
      <c r="E707" s="113">
        <f>IF($D707="","",IFERROR(INDEX(MUSTERILER!$C$7:$C$106,MATCH($D707,MUSTERILER!$B$7:$B$106,0)),"TANIMSIZ MÜŞTERİ"))</f>
        <v/>
      </c>
      <c r="F707" s="108" t="n"/>
      <c r="G707" s="107" t="n"/>
      <c r="H707" s="114" t="n"/>
      <c r="I707" s="114" t="n"/>
      <c r="J707" s="107" t="n"/>
      <c r="K707" s="107" t="n"/>
      <c r="L707" s="108" t="n"/>
      <c r="M707" s="108" t="n"/>
      <c r="N707" s="108" t="n"/>
      <c r="O707" s="114" t="n"/>
      <c r="P707" s="120">
        <f>IF(OR($D707="",$I707=""),"",IF(OR($J707="Tamamlandı",$J707="İptal"),"",$I707-TODAY()))</f>
        <v/>
      </c>
      <c r="Q707" s="112">
        <f>IF($D707="","",IF($E707="TANIMSIZ MÜŞTERİ","HATA",IF(OR($J707="Tamamlandı",$J707="İptal"),"KAPALI",IF(AND($C707="Görüşme",$N707=""),"SONRAKİ İŞLEM EKSİK",IF($I707="","TARİH EKSİK",IF($I707&lt;TODAY(),"GECİKMİŞ",IF($I707=TODAY(),"BUGÜN",IF($I707&lt;=TODAY()+7,"7 GÜN İÇİNDE","PLANLI"))))))))</f>
        <v/>
      </c>
      <c r="R707" s="6" t="n"/>
      <c r="S707" s="6" t="n"/>
    </row>
    <row r="708">
      <c r="A708" s="6" t="n"/>
      <c r="B708" s="112">
        <f>IF($D708="","","A"&amp;TEXT(ROW()-6,"00000"))</f>
        <v/>
      </c>
      <c r="C708" s="107" t="n"/>
      <c r="D708" s="107" t="n"/>
      <c r="E708" s="113">
        <f>IF($D708="","",IFERROR(INDEX(MUSTERILER!$C$7:$C$106,MATCH($D708,MUSTERILER!$B$7:$B$106,0)),"TANIMSIZ MÜŞTERİ"))</f>
        <v/>
      </c>
      <c r="F708" s="108" t="n"/>
      <c r="G708" s="107" t="n"/>
      <c r="H708" s="114" t="n"/>
      <c r="I708" s="114" t="n"/>
      <c r="J708" s="107" t="n"/>
      <c r="K708" s="107" t="n"/>
      <c r="L708" s="108" t="n"/>
      <c r="M708" s="108" t="n"/>
      <c r="N708" s="108" t="n"/>
      <c r="O708" s="114" t="n"/>
      <c r="P708" s="120">
        <f>IF(OR($D708="",$I708=""),"",IF(OR($J708="Tamamlandı",$J708="İptal"),"",$I708-TODAY()))</f>
        <v/>
      </c>
      <c r="Q708" s="112">
        <f>IF($D708="","",IF($E708="TANIMSIZ MÜŞTERİ","HATA",IF(OR($J708="Tamamlandı",$J708="İptal"),"KAPALI",IF(AND($C708="Görüşme",$N708=""),"SONRAKİ İŞLEM EKSİK",IF($I708="","TARİH EKSİK",IF($I708&lt;TODAY(),"GECİKMİŞ",IF($I708=TODAY(),"BUGÜN",IF($I708&lt;=TODAY()+7,"7 GÜN İÇİNDE","PLANLI"))))))))</f>
        <v/>
      </c>
      <c r="R708" s="6" t="n"/>
      <c r="S708" s="6" t="n"/>
    </row>
    <row r="709">
      <c r="A709" s="6" t="n"/>
      <c r="B709" s="112">
        <f>IF($D709="","","A"&amp;TEXT(ROW()-6,"00000"))</f>
        <v/>
      </c>
      <c r="C709" s="107" t="n"/>
      <c r="D709" s="107" t="n"/>
      <c r="E709" s="113">
        <f>IF($D709="","",IFERROR(INDEX(MUSTERILER!$C$7:$C$106,MATCH($D709,MUSTERILER!$B$7:$B$106,0)),"TANIMSIZ MÜŞTERİ"))</f>
        <v/>
      </c>
      <c r="F709" s="108" t="n"/>
      <c r="G709" s="107" t="n"/>
      <c r="H709" s="114" t="n"/>
      <c r="I709" s="114" t="n"/>
      <c r="J709" s="107" t="n"/>
      <c r="K709" s="107" t="n"/>
      <c r="L709" s="108" t="n"/>
      <c r="M709" s="108" t="n"/>
      <c r="N709" s="108" t="n"/>
      <c r="O709" s="114" t="n"/>
      <c r="P709" s="120">
        <f>IF(OR($D709="",$I709=""),"",IF(OR($J709="Tamamlandı",$J709="İptal"),"",$I709-TODAY()))</f>
        <v/>
      </c>
      <c r="Q709" s="112">
        <f>IF($D709="","",IF($E709="TANIMSIZ MÜŞTERİ","HATA",IF(OR($J709="Tamamlandı",$J709="İptal"),"KAPALI",IF(AND($C709="Görüşme",$N709=""),"SONRAKİ İŞLEM EKSİK",IF($I709="","TARİH EKSİK",IF($I709&lt;TODAY(),"GECİKMİŞ",IF($I709=TODAY(),"BUGÜN",IF($I709&lt;=TODAY()+7,"7 GÜN İÇİNDE","PLANLI"))))))))</f>
        <v/>
      </c>
      <c r="R709" s="6" t="n"/>
      <c r="S709" s="6" t="n"/>
    </row>
    <row r="710">
      <c r="A710" s="6" t="n"/>
      <c r="B710" s="112">
        <f>IF($D710="","","A"&amp;TEXT(ROW()-6,"00000"))</f>
        <v/>
      </c>
      <c r="C710" s="107" t="n"/>
      <c r="D710" s="107" t="n"/>
      <c r="E710" s="113">
        <f>IF($D710="","",IFERROR(INDEX(MUSTERILER!$C$7:$C$106,MATCH($D710,MUSTERILER!$B$7:$B$106,0)),"TANIMSIZ MÜŞTERİ"))</f>
        <v/>
      </c>
      <c r="F710" s="108" t="n"/>
      <c r="G710" s="107" t="n"/>
      <c r="H710" s="114" t="n"/>
      <c r="I710" s="114" t="n"/>
      <c r="J710" s="107" t="n"/>
      <c r="K710" s="107" t="n"/>
      <c r="L710" s="108" t="n"/>
      <c r="M710" s="108" t="n"/>
      <c r="N710" s="108" t="n"/>
      <c r="O710" s="114" t="n"/>
      <c r="P710" s="120">
        <f>IF(OR($D710="",$I710=""),"",IF(OR($J710="Tamamlandı",$J710="İptal"),"",$I710-TODAY()))</f>
        <v/>
      </c>
      <c r="Q710" s="112">
        <f>IF($D710="","",IF($E710="TANIMSIZ MÜŞTERİ","HATA",IF(OR($J710="Tamamlandı",$J710="İptal"),"KAPALI",IF(AND($C710="Görüşme",$N710=""),"SONRAKİ İŞLEM EKSİK",IF($I710="","TARİH EKSİK",IF($I710&lt;TODAY(),"GECİKMİŞ",IF($I710=TODAY(),"BUGÜN",IF($I710&lt;=TODAY()+7,"7 GÜN İÇİNDE","PLANLI"))))))))</f>
        <v/>
      </c>
      <c r="R710" s="6" t="n"/>
      <c r="S710" s="6" t="n"/>
    </row>
    <row r="711">
      <c r="A711" s="6" t="n"/>
      <c r="B711" s="112">
        <f>IF($D711="","","A"&amp;TEXT(ROW()-6,"00000"))</f>
        <v/>
      </c>
      <c r="C711" s="107" t="n"/>
      <c r="D711" s="107" t="n"/>
      <c r="E711" s="113">
        <f>IF($D711="","",IFERROR(INDEX(MUSTERILER!$C$7:$C$106,MATCH($D711,MUSTERILER!$B$7:$B$106,0)),"TANIMSIZ MÜŞTERİ"))</f>
        <v/>
      </c>
      <c r="F711" s="108" t="n"/>
      <c r="G711" s="107" t="n"/>
      <c r="H711" s="114" t="n"/>
      <c r="I711" s="114" t="n"/>
      <c r="J711" s="107" t="n"/>
      <c r="K711" s="107" t="n"/>
      <c r="L711" s="108" t="n"/>
      <c r="M711" s="108" t="n"/>
      <c r="N711" s="108" t="n"/>
      <c r="O711" s="114" t="n"/>
      <c r="P711" s="120">
        <f>IF(OR($D711="",$I711=""),"",IF(OR($J711="Tamamlandı",$J711="İptal"),"",$I711-TODAY()))</f>
        <v/>
      </c>
      <c r="Q711" s="112">
        <f>IF($D711="","",IF($E711="TANIMSIZ MÜŞTERİ","HATA",IF(OR($J711="Tamamlandı",$J711="İptal"),"KAPALI",IF(AND($C711="Görüşme",$N711=""),"SONRAKİ İŞLEM EKSİK",IF($I711="","TARİH EKSİK",IF($I711&lt;TODAY(),"GECİKMİŞ",IF($I711=TODAY(),"BUGÜN",IF($I711&lt;=TODAY()+7,"7 GÜN İÇİNDE","PLANLI"))))))))</f>
        <v/>
      </c>
      <c r="R711" s="6" t="n"/>
      <c r="S711" s="6" t="n"/>
    </row>
    <row r="712">
      <c r="A712" s="6" t="n"/>
      <c r="B712" s="112">
        <f>IF($D712="","","A"&amp;TEXT(ROW()-6,"00000"))</f>
        <v/>
      </c>
      <c r="C712" s="107" t="n"/>
      <c r="D712" s="107" t="n"/>
      <c r="E712" s="113">
        <f>IF($D712="","",IFERROR(INDEX(MUSTERILER!$C$7:$C$106,MATCH($D712,MUSTERILER!$B$7:$B$106,0)),"TANIMSIZ MÜŞTERİ"))</f>
        <v/>
      </c>
      <c r="F712" s="108" t="n"/>
      <c r="G712" s="107" t="n"/>
      <c r="H712" s="114" t="n"/>
      <c r="I712" s="114" t="n"/>
      <c r="J712" s="107" t="n"/>
      <c r="K712" s="107" t="n"/>
      <c r="L712" s="108" t="n"/>
      <c r="M712" s="108" t="n"/>
      <c r="N712" s="108" t="n"/>
      <c r="O712" s="114" t="n"/>
      <c r="P712" s="120">
        <f>IF(OR($D712="",$I712=""),"",IF(OR($J712="Tamamlandı",$J712="İptal"),"",$I712-TODAY()))</f>
        <v/>
      </c>
      <c r="Q712" s="112">
        <f>IF($D712="","",IF($E712="TANIMSIZ MÜŞTERİ","HATA",IF(OR($J712="Tamamlandı",$J712="İptal"),"KAPALI",IF(AND($C712="Görüşme",$N712=""),"SONRAKİ İŞLEM EKSİK",IF($I712="","TARİH EKSİK",IF($I712&lt;TODAY(),"GECİKMİŞ",IF($I712=TODAY(),"BUGÜN",IF($I712&lt;=TODAY()+7,"7 GÜN İÇİNDE","PLANLI"))))))))</f>
        <v/>
      </c>
      <c r="R712" s="6" t="n"/>
      <c r="S712" s="6" t="n"/>
    </row>
    <row r="713">
      <c r="A713" s="6" t="n"/>
      <c r="B713" s="112">
        <f>IF($D713="","","A"&amp;TEXT(ROW()-6,"00000"))</f>
        <v/>
      </c>
      <c r="C713" s="107" t="n"/>
      <c r="D713" s="107" t="n"/>
      <c r="E713" s="113">
        <f>IF($D713="","",IFERROR(INDEX(MUSTERILER!$C$7:$C$106,MATCH($D713,MUSTERILER!$B$7:$B$106,0)),"TANIMSIZ MÜŞTERİ"))</f>
        <v/>
      </c>
      <c r="F713" s="108" t="n"/>
      <c r="G713" s="107" t="n"/>
      <c r="H713" s="114" t="n"/>
      <c r="I713" s="114" t="n"/>
      <c r="J713" s="107" t="n"/>
      <c r="K713" s="107" t="n"/>
      <c r="L713" s="108" t="n"/>
      <c r="M713" s="108" t="n"/>
      <c r="N713" s="108" t="n"/>
      <c r="O713" s="114" t="n"/>
      <c r="P713" s="120">
        <f>IF(OR($D713="",$I713=""),"",IF(OR($J713="Tamamlandı",$J713="İptal"),"",$I713-TODAY()))</f>
        <v/>
      </c>
      <c r="Q713" s="112">
        <f>IF($D713="","",IF($E713="TANIMSIZ MÜŞTERİ","HATA",IF(OR($J713="Tamamlandı",$J713="İptal"),"KAPALI",IF(AND($C713="Görüşme",$N713=""),"SONRAKİ İŞLEM EKSİK",IF($I713="","TARİH EKSİK",IF($I713&lt;TODAY(),"GECİKMİŞ",IF($I713=TODAY(),"BUGÜN",IF($I713&lt;=TODAY()+7,"7 GÜN İÇİNDE","PLANLI"))))))))</f>
        <v/>
      </c>
      <c r="R713" s="6" t="n"/>
      <c r="S713" s="6" t="n"/>
    </row>
    <row r="714">
      <c r="A714" s="6" t="n"/>
      <c r="B714" s="112">
        <f>IF($D714="","","A"&amp;TEXT(ROW()-6,"00000"))</f>
        <v/>
      </c>
      <c r="C714" s="107" t="n"/>
      <c r="D714" s="107" t="n"/>
      <c r="E714" s="113">
        <f>IF($D714="","",IFERROR(INDEX(MUSTERILER!$C$7:$C$106,MATCH($D714,MUSTERILER!$B$7:$B$106,0)),"TANIMSIZ MÜŞTERİ"))</f>
        <v/>
      </c>
      <c r="F714" s="108" t="n"/>
      <c r="G714" s="107" t="n"/>
      <c r="H714" s="114" t="n"/>
      <c r="I714" s="114" t="n"/>
      <c r="J714" s="107" t="n"/>
      <c r="K714" s="107" t="n"/>
      <c r="L714" s="108" t="n"/>
      <c r="M714" s="108" t="n"/>
      <c r="N714" s="108" t="n"/>
      <c r="O714" s="114" t="n"/>
      <c r="P714" s="120">
        <f>IF(OR($D714="",$I714=""),"",IF(OR($J714="Tamamlandı",$J714="İptal"),"",$I714-TODAY()))</f>
        <v/>
      </c>
      <c r="Q714" s="112">
        <f>IF($D714="","",IF($E714="TANIMSIZ MÜŞTERİ","HATA",IF(OR($J714="Tamamlandı",$J714="İptal"),"KAPALI",IF(AND($C714="Görüşme",$N714=""),"SONRAKİ İŞLEM EKSİK",IF($I714="","TARİH EKSİK",IF($I714&lt;TODAY(),"GECİKMİŞ",IF($I714=TODAY(),"BUGÜN",IF($I714&lt;=TODAY()+7,"7 GÜN İÇİNDE","PLANLI"))))))))</f>
        <v/>
      </c>
      <c r="R714" s="6" t="n"/>
      <c r="S714" s="6" t="n"/>
    </row>
    <row r="715">
      <c r="A715" s="6" t="n"/>
      <c r="B715" s="112">
        <f>IF($D715="","","A"&amp;TEXT(ROW()-6,"00000"))</f>
        <v/>
      </c>
      <c r="C715" s="107" t="n"/>
      <c r="D715" s="107" t="n"/>
      <c r="E715" s="113">
        <f>IF($D715="","",IFERROR(INDEX(MUSTERILER!$C$7:$C$106,MATCH($D715,MUSTERILER!$B$7:$B$106,0)),"TANIMSIZ MÜŞTERİ"))</f>
        <v/>
      </c>
      <c r="F715" s="108" t="n"/>
      <c r="G715" s="107" t="n"/>
      <c r="H715" s="114" t="n"/>
      <c r="I715" s="114" t="n"/>
      <c r="J715" s="107" t="n"/>
      <c r="K715" s="107" t="n"/>
      <c r="L715" s="108" t="n"/>
      <c r="M715" s="108" t="n"/>
      <c r="N715" s="108" t="n"/>
      <c r="O715" s="114" t="n"/>
      <c r="P715" s="120">
        <f>IF(OR($D715="",$I715=""),"",IF(OR($J715="Tamamlandı",$J715="İptal"),"",$I715-TODAY()))</f>
        <v/>
      </c>
      <c r="Q715" s="112">
        <f>IF($D715="","",IF($E715="TANIMSIZ MÜŞTERİ","HATA",IF(OR($J715="Tamamlandı",$J715="İptal"),"KAPALI",IF(AND($C715="Görüşme",$N715=""),"SONRAKİ İŞLEM EKSİK",IF($I715="","TARİH EKSİK",IF($I715&lt;TODAY(),"GECİKMİŞ",IF($I715=TODAY(),"BUGÜN",IF($I715&lt;=TODAY()+7,"7 GÜN İÇİNDE","PLANLI"))))))))</f>
        <v/>
      </c>
      <c r="R715" s="6" t="n"/>
      <c r="S715" s="6" t="n"/>
    </row>
    <row r="716">
      <c r="A716" s="6" t="n"/>
      <c r="B716" s="112">
        <f>IF($D716="","","A"&amp;TEXT(ROW()-6,"00000"))</f>
        <v/>
      </c>
      <c r="C716" s="107" t="n"/>
      <c r="D716" s="107" t="n"/>
      <c r="E716" s="113">
        <f>IF($D716="","",IFERROR(INDEX(MUSTERILER!$C$7:$C$106,MATCH($D716,MUSTERILER!$B$7:$B$106,0)),"TANIMSIZ MÜŞTERİ"))</f>
        <v/>
      </c>
      <c r="F716" s="108" t="n"/>
      <c r="G716" s="107" t="n"/>
      <c r="H716" s="114" t="n"/>
      <c r="I716" s="114" t="n"/>
      <c r="J716" s="107" t="n"/>
      <c r="K716" s="107" t="n"/>
      <c r="L716" s="108" t="n"/>
      <c r="M716" s="108" t="n"/>
      <c r="N716" s="108" t="n"/>
      <c r="O716" s="114" t="n"/>
      <c r="P716" s="120">
        <f>IF(OR($D716="",$I716=""),"",IF(OR($J716="Tamamlandı",$J716="İptal"),"",$I716-TODAY()))</f>
        <v/>
      </c>
      <c r="Q716" s="112">
        <f>IF($D716="","",IF($E716="TANIMSIZ MÜŞTERİ","HATA",IF(OR($J716="Tamamlandı",$J716="İptal"),"KAPALI",IF(AND($C716="Görüşme",$N716=""),"SONRAKİ İŞLEM EKSİK",IF($I716="","TARİH EKSİK",IF($I716&lt;TODAY(),"GECİKMİŞ",IF($I716=TODAY(),"BUGÜN",IF($I716&lt;=TODAY()+7,"7 GÜN İÇİNDE","PLANLI"))))))))</f>
        <v/>
      </c>
      <c r="R716" s="6" t="n"/>
      <c r="S716" s="6" t="n"/>
    </row>
    <row r="717">
      <c r="A717" s="6" t="n"/>
      <c r="B717" s="112">
        <f>IF($D717="","","A"&amp;TEXT(ROW()-6,"00000"))</f>
        <v/>
      </c>
      <c r="C717" s="107" t="n"/>
      <c r="D717" s="107" t="n"/>
      <c r="E717" s="113">
        <f>IF($D717="","",IFERROR(INDEX(MUSTERILER!$C$7:$C$106,MATCH($D717,MUSTERILER!$B$7:$B$106,0)),"TANIMSIZ MÜŞTERİ"))</f>
        <v/>
      </c>
      <c r="F717" s="108" t="n"/>
      <c r="G717" s="107" t="n"/>
      <c r="H717" s="114" t="n"/>
      <c r="I717" s="114" t="n"/>
      <c r="J717" s="107" t="n"/>
      <c r="K717" s="107" t="n"/>
      <c r="L717" s="108" t="n"/>
      <c r="M717" s="108" t="n"/>
      <c r="N717" s="108" t="n"/>
      <c r="O717" s="114" t="n"/>
      <c r="P717" s="120">
        <f>IF(OR($D717="",$I717=""),"",IF(OR($J717="Tamamlandı",$J717="İptal"),"",$I717-TODAY()))</f>
        <v/>
      </c>
      <c r="Q717" s="112">
        <f>IF($D717="","",IF($E717="TANIMSIZ MÜŞTERİ","HATA",IF(OR($J717="Tamamlandı",$J717="İptal"),"KAPALI",IF(AND($C717="Görüşme",$N717=""),"SONRAKİ İŞLEM EKSİK",IF($I717="","TARİH EKSİK",IF($I717&lt;TODAY(),"GECİKMİŞ",IF($I717=TODAY(),"BUGÜN",IF($I717&lt;=TODAY()+7,"7 GÜN İÇİNDE","PLANLI"))))))))</f>
        <v/>
      </c>
      <c r="R717" s="6" t="n"/>
      <c r="S717" s="6" t="n"/>
    </row>
    <row r="718">
      <c r="A718" s="6" t="n"/>
      <c r="B718" s="112">
        <f>IF($D718="","","A"&amp;TEXT(ROW()-6,"00000"))</f>
        <v/>
      </c>
      <c r="C718" s="107" t="n"/>
      <c r="D718" s="107" t="n"/>
      <c r="E718" s="113">
        <f>IF($D718="","",IFERROR(INDEX(MUSTERILER!$C$7:$C$106,MATCH($D718,MUSTERILER!$B$7:$B$106,0)),"TANIMSIZ MÜŞTERİ"))</f>
        <v/>
      </c>
      <c r="F718" s="108" t="n"/>
      <c r="G718" s="107" t="n"/>
      <c r="H718" s="114" t="n"/>
      <c r="I718" s="114" t="n"/>
      <c r="J718" s="107" t="n"/>
      <c r="K718" s="107" t="n"/>
      <c r="L718" s="108" t="n"/>
      <c r="M718" s="108" t="n"/>
      <c r="N718" s="108" t="n"/>
      <c r="O718" s="114" t="n"/>
      <c r="P718" s="120">
        <f>IF(OR($D718="",$I718=""),"",IF(OR($J718="Tamamlandı",$J718="İptal"),"",$I718-TODAY()))</f>
        <v/>
      </c>
      <c r="Q718" s="112">
        <f>IF($D718="","",IF($E718="TANIMSIZ MÜŞTERİ","HATA",IF(OR($J718="Tamamlandı",$J718="İptal"),"KAPALI",IF(AND($C718="Görüşme",$N718=""),"SONRAKİ İŞLEM EKSİK",IF($I718="","TARİH EKSİK",IF($I718&lt;TODAY(),"GECİKMİŞ",IF($I718=TODAY(),"BUGÜN",IF($I718&lt;=TODAY()+7,"7 GÜN İÇİNDE","PLANLI"))))))))</f>
        <v/>
      </c>
      <c r="R718" s="6" t="n"/>
      <c r="S718" s="6" t="n"/>
    </row>
    <row r="719">
      <c r="A719" s="6" t="n"/>
      <c r="B719" s="112">
        <f>IF($D719="","","A"&amp;TEXT(ROW()-6,"00000"))</f>
        <v/>
      </c>
      <c r="C719" s="107" t="n"/>
      <c r="D719" s="107" t="n"/>
      <c r="E719" s="113">
        <f>IF($D719="","",IFERROR(INDEX(MUSTERILER!$C$7:$C$106,MATCH($D719,MUSTERILER!$B$7:$B$106,0)),"TANIMSIZ MÜŞTERİ"))</f>
        <v/>
      </c>
      <c r="F719" s="108" t="n"/>
      <c r="G719" s="107" t="n"/>
      <c r="H719" s="114" t="n"/>
      <c r="I719" s="114" t="n"/>
      <c r="J719" s="107" t="n"/>
      <c r="K719" s="107" t="n"/>
      <c r="L719" s="108" t="n"/>
      <c r="M719" s="108" t="n"/>
      <c r="N719" s="108" t="n"/>
      <c r="O719" s="114" t="n"/>
      <c r="P719" s="120">
        <f>IF(OR($D719="",$I719=""),"",IF(OR($J719="Tamamlandı",$J719="İptal"),"",$I719-TODAY()))</f>
        <v/>
      </c>
      <c r="Q719" s="112">
        <f>IF($D719="","",IF($E719="TANIMSIZ MÜŞTERİ","HATA",IF(OR($J719="Tamamlandı",$J719="İptal"),"KAPALI",IF(AND($C719="Görüşme",$N719=""),"SONRAKİ İŞLEM EKSİK",IF($I719="","TARİH EKSİK",IF($I719&lt;TODAY(),"GECİKMİŞ",IF($I719=TODAY(),"BUGÜN",IF($I719&lt;=TODAY()+7,"7 GÜN İÇİNDE","PLANLI"))))))))</f>
        <v/>
      </c>
      <c r="R719" s="6" t="n"/>
      <c r="S719" s="6" t="n"/>
    </row>
    <row r="720">
      <c r="A720" s="6" t="n"/>
      <c r="B720" s="112">
        <f>IF($D720="","","A"&amp;TEXT(ROW()-6,"00000"))</f>
        <v/>
      </c>
      <c r="C720" s="107" t="n"/>
      <c r="D720" s="107" t="n"/>
      <c r="E720" s="113">
        <f>IF($D720="","",IFERROR(INDEX(MUSTERILER!$C$7:$C$106,MATCH($D720,MUSTERILER!$B$7:$B$106,0)),"TANIMSIZ MÜŞTERİ"))</f>
        <v/>
      </c>
      <c r="F720" s="108" t="n"/>
      <c r="G720" s="107" t="n"/>
      <c r="H720" s="114" t="n"/>
      <c r="I720" s="114" t="n"/>
      <c r="J720" s="107" t="n"/>
      <c r="K720" s="107" t="n"/>
      <c r="L720" s="108" t="n"/>
      <c r="M720" s="108" t="n"/>
      <c r="N720" s="108" t="n"/>
      <c r="O720" s="114" t="n"/>
      <c r="P720" s="120">
        <f>IF(OR($D720="",$I720=""),"",IF(OR($J720="Tamamlandı",$J720="İptal"),"",$I720-TODAY()))</f>
        <v/>
      </c>
      <c r="Q720" s="112">
        <f>IF($D720="","",IF($E720="TANIMSIZ MÜŞTERİ","HATA",IF(OR($J720="Tamamlandı",$J720="İptal"),"KAPALI",IF(AND($C720="Görüşme",$N720=""),"SONRAKİ İŞLEM EKSİK",IF($I720="","TARİH EKSİK",IF($I720&lt;TODAY(),"GECİKMİŞ",IF($I720=TODAY(),"BUGÜN",IF($I720&lt;=TODAY()+7,"7 GÜN İÇİNDE","PLANLI"))))))))</f>
        <v/>
      </c>
      <c r="R720" s="6" t="n"/>
      <c r="S720" s="6" t="n"/>
    </row>
    <row r="721">
      <c r="A721" s="6" t="n"/>
      <c r="B721" s="112">
        <f>IF($D721="","","A"&amp;TEXT(ROW()-6,"00000"))</f>
        <v/>
      </c>
      <c r="C721" s="107" t="n"/>
      <c r="D721" s="107" t="n"/>
      <c r="E721" s="113">
        <f>IF($D721="","",IFERROR(INDEX(MUSTERILER!$C$7:$C$106,MATCH($D721,MUSTERILER!$B$7:$B$106,0)),"TANIMSIZ MÜŞTERİ"))</f>
        <v/>
      </c>
      <c r="F721" s="108" t="n"/>
      <c r="G721" s="107" t="n"/>
      <c r="H721" s="114" t="n"/>
      <c r="I721" s="114" t="n"/>
      <c r="J721" s="107" t="n"/>
      <c r="K721" s="107" t="n"/>
      <c r="L721" s="108" t="n"/>
      <c r="M721" s="108" t="n"/>
      <c r="N721" s="108" t="n"/>
      <c r="O721" s="114" t="n"/>
      <c r="P721" s="120">
        <f>IF(OR($D721="",$I721=""),"",IF(OR($J721="Tamamlandı",$J721="İptal"),"",$I721-TODAY()))</f>
        <v/>
      </c>
      <c r="Q721" s="112">
        <f>IF($D721="","",IF($E721="TANIMSIZ MÜŞTERİ","HATA",IF(OR($J721="Tamamlandı",$J721="İptal"),"KAPALI",IF(AND($C721="Görüşme",$N721=""),"SONRAKİ İŞLEM EKSİK",IF($I721="","TARİH EKSİK",IF($I721&lt;TODAY(),"GECİKMİŞ",IF($I721=TODAY(),"BUGÜN",IF($I721&lt;=TODAY()+7,"7 GÜN İÇİNDE","PLANLI"))))))))</f>
        <v/>
      </c>
      <c r="R721" s="6" t="n"/>
      <c r="S721" s="6" t="n"/>
    </row>
    <row r="722">
      <c r="A722" s="6" t="n"/>
      <c r="B722" s="112">
        <f>IF($D722="","","A"&amp;TEXT(ROW()-6,"00000"))</f>
        <v/>
      </c>
      <c r="C722" s="107" t="n"/>
      <c r="D722" s="107" t="n"/>
      <c r="E722" s="113">
        <f>IF($D722="","",IFERROR(INDEX(MUSTERILER!$C$7:$C$106,MATCH($D722,MUSTERILER!$B$7:$B$106,0)),"TANIMSIZ MÜŞTERİ"))</f>
        <v/>
      </c>
      <c r="F722" s="108" t="n"/>
      <c r="G722" s="107" t="n"/>
      <c r="H722" s="114" t="n"/>
      <c r="I722" s="114" t="n"/>
      <c r="J722" s="107" t="n"/>
      <c r="K722" s="107" t="n"/>
      <c r="L722" s="108" t="n"/>
      <c r="M722" s="108" t="n"/>
      <c r="N722" s="108" t="n"/>
      <c r="O722" s="114" t="n"/>
      <c r="P722" s="120">
        <f>IF(OR($D722="",$I722=""),"",IF(OR($J722="Tamamlandı",$J722="İptal"),"",$I722-TODAY()))</f>
        <v/>
      </c>
      <c r="Q722" s="112">
        <f>IF($D722="","",IF($E722="TANIMSIZ MÜŞTERİ","HATA",IF(OR($J722="Tamamlandı",$J722="İptal"),"KAPALI",IF(AND($C722="Görüşme",$N722=""),"SONRAKİ İŞLEM EKSİK",IF($I722="","TARİH EKSİK",IF($I722&lt;TODAY(),"GECİKMİŞ",IF($I722=TODAY(),"BUGÜN",IF($I722&lt;=TODAY()+7,"7 GÜN İÇİNDE","PLANLI"))))))))</f>
        <v/>
      </c>
      <c r="R722" s="6" t="n"/>
      <c r="S722" s="6" t="n"/>
    </row>
    <row r="723">
      <c r="A723" s="6" t="n"/>
      <c r="B723" s="112">
        <f>IF($D723="","","A"&amp;TEXT(ROW()-6,"00000"))</f>
        <v/>
      </c>
      <c r="C723" s="107" t="n"/>
      <c r="D723" s="107" t="n"/>
      <c r="E723" s="113">
        <f>IF($D723="","",IFERROR(INDEX(MUSTERILER!$C$7:$C$106,MATCH($D723,MUSTERILER!$B$7:$B$106,0)),"TANIMSIZ MÜŞTERİ"))</f>
        <v/>
      </c>
      <c r="F723" s="108" t="n"/>
      <c r="G723" s="107" t="n"/>
      <c r="H723" s="114" t="n"/>
      <c r="I723" s="114" t="n"/>
      <c r="J723" s="107" t="n"/>
      <c r="K723" s="107" t="n"/>
      <c r="L723" s="108" t="n"/>
      <c r="M723" s="108" t="n"/>
      <c r="N723" s="108" t="n"/>
      <c r="O723" s="114" t="n"/>
      <c r="P723" s="120">
        <f>IF(OR($D723="",$I723=""),"",IF(OR($J723="Tamamlandı",$J723="İptal"),"",$I723-TODAY()))</f>
        <v/>
      </c>
      <c r="Q723" s="112">
        <f>IF($D723="","",IF($E723="TANIMSIZ MÜŞTERİ","HATA",IF(OR($J723="Tamamlandı",$J723="İptal"),"KAPALI",IF(AND($C723="Görüşme",$N723=""),"SONRAKİ İŞLEM EKSİK",IF($I723="","TARİH EKSİK",IF($I723&lt;TODAY(),"GECİKMİŞ",IF($I723=TODAY(),"BUGÜN",IF($I723&lt;=TODAY()+7,"7 GÜN İÇİNDE","PLANLI"))))))))</f>
        <v/>
      </c>
      <c r="R723" s="6" t="n"/>
      <c r="S723" s="6" t="n"/>
    </row>
    <row r="724">
      <c r="A724" s="6" t="n"/>
      <c r="B724" s="112">
        <f>IF($D724="","","A"&amp;TEXT(ROW()-6,"00000"))</f>
        <v/>
      </c>
      <c r="C724" s="107" t="n"/>
      <c r="D724" s="107" t="n"/>
      <c r="E724" s="113">
        <f>IF($D724="","",IFERROR(INDEX(MUSTERILER!$C$7:$C$106,MATCH($D724,MUSTERILER!$B$7:$B$106,0)),"TANIMSIZ MÜŞTERİ"))</f>
        <v/>
      </c>
      <c r="F724" s="108" t="n"/>
      <c r="G724" s="107" t="n"/>
      <c r="H724" s="114" t="n"/>
      <c r="I724" s="114" t="n"/>
      <c r="J724" s="107" t="n"/>
      <c r="K724" s="107" t="n"/>
      <c r="L724" s="108" t="n"/>
      <c r="M724" s="108" t="n"/>
      <c r="N724" s="108" t="n"/>
      <c r="O724" s="114" t="n"/>
      <c r="P724" s="120">
        <f>IF(OR($D724="",$I724=""),"",IF(OR($J724="Tamamlandı",$J724="İptal"),"",$I724-TODAY()))</f>
        <v/>
      </c>
      <c r="Q724" s="112">
        <f>IF($D724="","",IF($E724="TANIMSIZ MÜŞTERİ","HATA",IF(OR($J724="Tamamlandı",$J724="İptal"),"KAPALI",IF(AND($C724="Görüşme",$N724=""),"SONRAKİ İŞLEM EKSİK",IF($I724="","TARİH EKSİK",IF($I724&lt;TODAY(),"GECİKMİŞ",IF($I724=TODAY(),"BUGÜN",IF($I724&lt;=TODAY()+7,"7 GÜN İÇİNDE","PLANLI"))))))))</f>
        <v/>
      </c>
      <c r="R724" s="6" t="n"/>
      <c r="S724" s="6" t="n"/>
    </row>
    <row r="725">
      <c r="A725" s="6" t="n"/>
      <c r="B725" s="112">
        <f>IF($D725="","","A"&amp;TEXT(ROW()-6,"00000"))</f>
        <v/>
      </c>
      <c r="C725" s="107" t="n"/>
      <c r="D725" s="107" t="n"/>
      <c r="E725" s="113">
        <f>IF($D725="","",IFERROR(INDEX(MUSTERILER!$C$7:$C$106,MATCH($D725,MUSTERILER!$B$7:$B$106,0)),"TANIMSIZ MÜŞTERİ"))</f>
        <v/>
      </c>
      <c r="F725" s="108" t="n"/>
      <c r="G725" s="107" t="n"/>
      <c r="H725" s="114" t="n"/>
      <c r="I725" s="114" t="n"/>
      <c r="J725" s="107" t="n"/>
      <c r="K725" s="107" t="n"/>
      <c r="L725" s="108" t="n"/>
      <c r="M725" s="108" t="n"/>
      <c r="N725" s="108" t="n"/>
      <c r="O725" s="114" t="n"/>
      <c r="P725" s="120">
        <f>IF(OR($D725="",$I725=""),"",IF(OR($J725="Tamamlandı",$J725="İptal"),"",$I725-TODAY()))</f>
        <v/>
      </c>
      <c r="Q725" s="112">
        <f>IF($D725="","",IF($E725="TANIMSIZ MÜŞTERİ","HATA",IF(OR($J725="Tamamlandı",$J725="İptal"),"KAPALI",IF(AND($C725="Görüşme",$N725=""),"SONRAKİ İŞLEM EKSİK",IF($I725="","TARİH EKSİK",IF($I725&lt;TODAY(),"GECİKMİŞ",IF($I725=TODAY(),"BUGÜN",IF($I725&lt;=TODAY()+7,"7 GÜN İÇİNDE","PLANLI"))))))))</f>
        <v/>
      </c>
      <c r="R725" s="6" t="n"/>
      <c r="S725" s="6" t="n"/>
    </row>
    <row r="726">
      <c r="A726" s="6" t="n"/>
      <c r="B726" s="112">
        <f>IF($D726="","","A"&amp;TEXT(ROW()-6,"00000"))</f>
        <v/>
      </c>
      <c r="C726" s="107" t="n"/>
      <c r="D726" s="107" t="n"/>
      <c r="E726" s="113">
        <f>IF($D726="","",IFERROR(INDEX(MUSTERILER!$C$7:$C$106,MATCH($D726,MUSTERILER!$B$7:$B$106,0)),"TANIMSIZ MÜŞTERİ"))</f>
        <v/>
      </c>
      <c r="F726" s="108" t="n"/>
      <c r="G726" s="107" t="n"/>
      <c r="H726" s="114" t="n"/>
      <c r="I726" s="114" t="n"/>
      <c r="J726" s="107" t="n"/>
      <c r="K726" s="107" t="n"/>
      <c r="L726" s="108" t="n"/>
      <c r="M726" s="108" t="n"/>
      <c r="N726" s="108" t="n"/>
      <c r="O726" s="114" t="n"/>
      <c r="P726" s="120">
        <f>IF(OR($D726="",$I726=""),"",IF(OR($J726="Tamamlandı",$J726="İptal"),"",$I726-TODAY()))</f>
        <v/>
      </c>
      <c r="Q726" s="112">
        <f>IF($D726="","",IF($E726="TANIMSIZ MÜŞTERİ","HATA",IF(OR($J726="Tamamlandı",$J726="İptal"),"KAPALI",IF(AND($C726="Görüşme",$N726=""),"SONRAKİ İŞLEM EKSİK",IF($I726="","TARİH EKSİK",IF($I726&lt;TODAY(),"GECİKMİŞ",IF($I726=TODAY(),"BUGÜN",IF($I726&lt;=TODAY()+7,"7 GÜN İÇİNDE","PLANLI"))))))))</f>
        <v/>
      </c>
      <c r="R726" s="6" t="n"/>
      <c r="S726" s="6" t="n"/>
    </row>
    <row r="727">
      <c r="A727" s="6" t="n"/>
      <c r="B727" s="112">
        <f>IF($D727="","","A"&amp;TEXT(ROW()-6,"00000"))</f>
        <v/>
      </c>
      <c r="C727" s="107" t="n"/>
      <c r="D727" s="107" t="n"/>
      <c r="E727" s="113">
        <f>IF($D727="","",IFERROR(INDEX(MUSTERILER!$C$7:$C$106,MATCH($D727,MUSTERILER!$B$7:$B$106,0)),"TANIMSIZ MÜŞTERİ"))</f>
        <v/>
      </c>
      <c r="F727" s="108" t="n"/>
      <c r="G727" s="107" t="n"/>
      <c r="H727" s="114" t="n"/>
      <c r="I727" s="114" t="n"/>
      <c r="J727" s="107" t="n"/>
      <c r="K727" s="107" t="n"/>
      <c r="L727" s="108" t="n"/>
      <c r="M727" s="108" t="n"/>
      <c r="N727" s="108" t="n"/>
      <c r="O727" s="114" t="n"/>
      <c r="P727" s="120">
        <f>IF(OR($D727="",$I727=""),"",IF(OR($J727="Tamamlandı",$J727="İptal"),"",$I727-TODAY()))</f>
        <v/>
      </c>
      <c r="Q727" s="112">
        <f>IF($D727="","",IF($E727="TANIMSIZ MÜŞTERİ","HATA",IF(OR($J727="Tamamlandı",$J727="İptal"),"KAPALI",IF(AND($C727="Görüşme",$N727=""),"SONRAKİ İŞLEM EKSİK",IF($I727="","TARİH EKSİK",IF($I727&lt;TODAY(),"GECİKMİŞ",IF($I727=TODAY(),"BUGÜN",IF($I727&lt;=TODAY()+7,"7 GÜN İÇİNDE","PLANLI"))))))))</f>
        <v/>
      </c>
      <c r="R727" s="6" t="n"/>
      <c r="S727" s="6" t="n"/>
    </row>
    <row r="728">
      <c r="A728" s="6" t="n"/>
      <c r="B728" s="112">
        <f>IF($D728="","","A"&amp;TEXT(ROW()-6,"00000"))</f>
        <v/>
      </c>
      <c r="C728" s="107" t="n"/>
      <c r="D728" s="107" t="n"/>
      <c r="E728" s="113">
        <f>IF($D728="","",IFERROR(INDEX(MUSTERILER!$C$7:$C$106,MATCH($D728,MUSTERILER!$B$7:$B$106,0)),"TANIMSIZ MÜŞTERİ"))</f>
        <v/>
      </c>
      <c r="F728" s="108" t="n"/>
      <c r="G728" s="107" t="n"/>
      <c r="H728" s="114" t="n"/>
      <c r="I728" s="114" t="n"/>
      <c r="J728" s="107" t="n"/>
      <c r="K728" s="107" t="n"/>
      <c r="L728" s="108" t="n"/>
      <c r="M728" s="108" t="n"/>
      <c r="N728" s="108" t="n"/>
      <c r="O728" s="114" t="n"/>
      <c r="P728" s="120">
        <f>IF(OR($D728="",$I728=""),"",IF(OR($J728="Tamamlandı",$J728="İptal"),"",$I728-TODAY()))</f>
        <v/>
      </c>
      <c r="Q728" s="112">
        <f>IF($D728="","",IF($E728="TANIMSIZ MÜŞTERİ","HATA",IF(OR($J728="Tamamlandı",$J728="İptal"),"KAPALI",IF(AND($C728="Görüşme",$N728=""),"SONRAKİ İŞLEM EKSİK",IF($I728="","TARİH EKSİK",IF($I728&lt;TODAY(),"GECİKMİŞ",IF($I728=TODAY(),"BUGÜN",IF($I728&lt;=TODAY()+7,"7 GÜN İÇİNDE","PLANLI"))))))))</f>
        <v/>
      </c>
      <c r="R728" s="6" t="n"/>
      <c r="S728" s="6" t="n"/>
    </row>
    <row r="729">
      <c r="A729" s="6" t="n"/>
      <c r="B729" s="112">
        <f>IF($D729="","","A"&amp;TEXT(ROW()-6,"00000"))</f>
        <v/>
      </c>
      <c r="C729" s="107" t="n"/>
      <c r="D729" s="107" t="n"/>
      <c r="E729" s="113">
        <f>IF($D729="","",IFERROR(INDEX(MUSTERILER!$C$7:$C$106,MATCH($D729,MUSTERILER!$B$7:$B$106,0)),"TANIMSIZ MÜŞTERİ"))</f>
        <v/>
      </c>
      <c r="F729" s="108" t="n"/>
      <c r="G729" s="107" t="n"/>
      <c r="H729" s="114" t="n"/>
      <c r="I729" s="114" t="n"/>
      <c r="J729" s="107" t="n"/>
      <c r="K729" s="107" t="n"/>
      <c r="L729" s="108" t="n"/>
      <c r="M729" s="108" t="n"/>
      <c r="N729" s="108" t="n"/>
      <c r="O729" s="114" t="n"/>
      <c r="P729" s="120">
        <f>IF(OR($D729="",$I729=""),"",IF(OR($J729="Tamamlandı",$J729="İptal"),"",$I729-TODAY()))</f>
        <v/>
      </c>
      <c r="Q729" s="112">
        <f>IF($D729="","",IF($E729="TANIMSIZ MÜŞTERİ","HATA",IF(OR($J729="Tamamlandı",$J729="İptal"),"KAPALI",IF(AND($C729="Görüşme",$N729=""),"SONRAKİ İŞLEM EKSİK",IF($I729="","TARİH EKSİK",IF($I729&lt;TODAY(),"GECİKMİŞ",IF($I729=TODAY(),"BUGÜN",IF($I729&lt;=TODAY()+7,"7 GÜN İÇİNDE","PLANLI"))))))))</f>
        <v/>
      </c>
      <c r="R729" s="6" t="n"/>
      <c r="S729" s="6" t="n"/>
    </row>
    <row r="730">
      <c r="A730" s="6" t="n"/>
      <c r="B730" s="112">
        <f>IF($D730="","","A"&amp;TEXT(ROW()-6,"00000"))</f>
        <v/>
      </c>
      <c r="C730" s="107" t="n"/>
      <c r="D730" s="107" t="n"/>
      <c r="E730" s="113">
        <f>IF($D730="","",IFERROR(INDEX(MUSTERILER!$C$7:$C$106,MATCH($D730,MUSTERILER!$B$7:$B$106,0)),"TANIMSIZ MÜŞTERİ"))</f>
        <v/>
      </c>
      <c r="F730" s="108" t="n"/>
      <c r="G730" s="107" t="n"/>
      <c r="H730" s="114" t="n"/>
      <c r="I730" s="114" t="n"/>
      <c r="J730" s="107" t="n"/>
      <c r="K730" s="107" t="n"/>
      <c r="L730" s="108" t="n"/>
      <c r="M730" s="108" t="n"/>
      <c r="N730" s="108" t="n"/>
      <c r="O730" s="114" t="n"/>
      <c r="P730" s="120">
        <f>IF(OR($D730="",$I730=""),"",IF(OR($J730="Tamamlandı",$J730="İptal"),"",$I730-TODAY()))</f>
        <v/>
      </c>
      <c r="Q730" s="112">
        <f>IF($D730="","",IF($E730="TANIMSIZ MÜŞTERİ","HATA",IF(OR($J730="Tamamlandı",$J730="İptal"),"KAPALI",IF(AND($C730="Görüşme",$N730=""),"SONRAKİ İŞLEM EKSİK",IF($I730="","TARİH EKSİK",IF($I730&lt;TODAY(),"GECİKMİŞ",IF($I730=TODAY(),"BUGÜN",IF($I730&lt;=TODAY()+7,"7 GÜN İÇİNDE","PLANLI"))))))))</f>
        <v/>
      </c>
      <c r="R730" s="6" t="n"/>
      <c r="S730" s="6" t="n"/>
    </row>
    <row r="731">
      <c r="A731" s="6" t="n"/>
      <c r="B731" s="112">
        <f>IF($D731="","","A"&amp;TEXT(ROW()-6,"00000"))</f>
        <v/>
      </c>
      <c r="C731" s="107" t="n"/>
      <c r="D731" s="107" t="n"/>
      <c r="E731" s="113">
        <f>IF($D731="","",IFERROR(INDEX(MUSTERILER!$C$7:$C$106,MATCH($D731,MUSTERILER!$B$7:$B$106,0)),"TANIMSIZ MÜŞTERİ"))</f>
        <v/>
      </c>
      <c r="F731" s="108" t="n"/>
      <c r="G731" s="107" t="n"/>
      <c r="H731" s="114" t="n"/>
      <c r="I731" s="114" t="n"/>
      <c r="J731" s="107" t="n"/>
      <c r="K731" s="107" t="n"/>
      <c r="L731" s="108" t="n"/>
      <c r="M731" s="108" t="n"/>
      <c r="N731" s="108" t="n"/>
      <c r="O731" s="114" t="n"/>
      <c r="P731" s="120">
        <f>IF(OR($D731="",$I731=""),"",IF(OR($J731="Tamamlandı",$J731="İptal"),"",$I731-TODAY()))</f>
        <v/>
      </c>
      <c r="Q731" s="112">
        <f>IF($D731="","",IF($E731="TANIMSIZ MÜŞTERİ","HATA",IF(OR($J731="Tamamlandı",$J731="İptal"),"KAPALI",IF(AND($C731="Görüşme",$N731=""),"SONRAKİ İŞLEM EKSİK",IF($I731="","TARİH EKSİK",IF($I731&lt;TODAY(),"GECİKMİŞ",IF($I731=TODAY(),"BUGÜN",IF($I731&lt;=TODAY()+7,"7 GÜN İÇİNDE","PLANLI"))))))))</f>
        <v/>
      </c>
      <c r="R731" s="6" t="n"/>
      <c r="S731" s="6" t="n"/>
    </row>
    <row r="732">
      <c r="A732" s="6" t="n"/>
      <c r="B732" s="112">
        <f>IF($D732="","","A"&amp;TEXT(ROW()-6,"00000"))</f>
        <v/>
      </c>
      <c r="C732" s="107" t="n"/>
      <c r="D732" s="107" t="n"/>
      <c r="E732" s="113">
        <f>IF($D732="","",IFERROR(INDEX(MUSTERILER!$C$7:$C$106,MATCH($D732,MUSTERILER!$B$7:$B$106,0)),"TANIMSIZ MÜŞTERİ"))</f>
        <v/>
      </c>
      <c r="F732" s="108" t="n"/>
      <c r="G732" s="107" t="n"/>
      <c r="H732" s="114" t="n"/>
      <c r="I732" s="114" t="n"/>
      <c r="J732" s="107" t="n"/>
      <c r="K732" s="107" t="n"/>
      <c r="L732" s="108" t="n"/>
      <c r="M732" s="108" t="n"/>
      <c r="N732" s="108" t="n"/>
      <c r="O732" s="114" t="n"/>
      <c r="P732" s="120">
        <f>IF(OR($D732="",$I732=""),"",IF(OR($J732="Tamamlandı",$J732="İptal"),"",$I732-TODAY()))</f>
        <v/>
      </c>
      <c r="Q732" s="112">
        <f>IF($D732="","",IF($E732="TANIMSIZ MÜŞTERİ","HATA",IF(OR($J732="Tamamlandı",$J732="İptal"),"KAPALI",IF(AND($C732="Görüşme",$N732=""),"SONRAKİ İŞLEM EKSİK",IF($I732="","TARİH EKSİK",IF($I732&lt;TODAY(),"GECİKMİŞ",IF($I732=TODAY(),"BUGÜN",IF($I732&lt;=TODAY()+7,"7 GÜN İÇİNDE","PLANLI"))))))))</f>
        <v/>
      </c>
      <c r="R732" s="6" t="n"/>
      <c r="S732" s="6" t="n"/>
    </row>
    <row r="733">
      <c r="A733" s="6" t="n"/>
      <c r="B733" s="112">
        <f>IF($D733="","","A"&amp;TEXT(ROW()-6,"00000"))</f>
        <v/>
      </c>
      <c r="C733" s="107" t="n"/>
      <c r="D733" s="107" t="n"/>
      <c r="E733" s="113">
        <f>IF($D733="","",IFERROR(INDEX(MUSTERILER!$C$7:$C$106,MATCH($D733,MUSTERILER!$B$7:$B$106,0)),"TANIMSIZ MÜŞTERİ"))</f>
        <v/>
      </c>
      <c r="F733" s="108" t="n"/>
      <c r="G733" s="107" t="n"/>
      <c r="H733" s="114" t="n"/>
      <c r="I733" s="114" t="n"/>
      <c r="J733" s="107" t="n"/>
      <c r="K733" s="107" t="n"/>
      <c r="L733" s="108" t="n"/>
      <c r="M733" s="108" t="n"/>
      <c r="N733" s="108" t="n"/>
      <c r="O733" s="114" t="n"/>
      <c r="P733" s="120">
        <f>IF(OR($D733="",$I733=""),"",IF(OR($J733="Tamamlandı",$J733="İptal"),"",$I733-TODAY()))</f>
        <v/>
      </c>
      <c r="Q733" s="112">
        <f>IF($D733="","",IF($E733="TANIMSIZ MÜŞTERİ","HATA",IF(OR($J733="Tamamlandı",$J733="İptal"),"KAPALI",IF(AND($C733="Görüşme",$N733=""),"SONRAKİ İŞLEM EKSİK",IF($I733="","TARİH EKSİK",IF($I733&lt;TODAY(),"GECİKMİŞ",IF($I733=TODAY(),"BUGÜN",IF($I733&lt;=TODAY()+7,"7 GÜN İÇİNDE","PLANLI"))))))))</f>
        <v/>
      </c>
      <c r="R733" s="6" t="n"/>
      <c r="S733" s="6" t="n"/>
    </row>
    <row r="734">
      <c r="A734" s="6" t="n"/>
      <c r="B734" s="112">
        <f>IF($D734="","","A"&amp;TEXT(ROW()-6,"00000"))</f>
        <v/>
      </c>
      <c r="C734" s="107" t="n"/>
      <c r="D734" s="107" t="n"/>
      <c r="E734" s="113">
        <f>IF($D734="","",IFERROR(INDEX(MUSTERILER!$C$7:$C$106,MATCH($D734,MUSTERILER!$B$7:$B$106,0)),"TANIMSIZ MÜŞTERİ"))</f>
        <v/>
      </c>
      <c r="F734" s="108" t="n"/>
      <c r="G734" s="107" t="n"/>
      <c r="H734" s="114" t="n"/>
      <c r="I734" s="114" t="n"/>
      <c r="J734" s="107" t="n"/>
      <c r="K734" s="107" t="n"/>
      <c r="L734" s="108" t="n"/>
      <c r="M734" s="108" t="n"/>
      <c r="N734" s="108" t="n"/>
      <c r="O734" s="114" t="n"/>
      <c r="P734" s="120">
        <f>IF(OR($D734="",$I734=""),"",IF(OR($J734="Tamamlandı",$J734="İptal"),"",$I734-TODAY()))</f>
        <v/>
      </c>
      <c r="Q734" s="112">
        <f>IF($D734="","",IF($E734="TANIMSIZ MÜŞTERİ","HATA",IF(OR($J734="Tamamlandı",$J734="İptal"),"KAPALI",IF(AND($C734="Görüşme",$N734=""),"SONRAKİ İŞLEM EKSİK",IF($I734="","TARİH EKSİK",IF($I734&lt;TODAY(),"GECİKMİŞ",IF($I734=TODAY(),"BUGÜN",IF($I734&lt;=TODAY()+7,"7 GÜN İÇİNDE","PLANLI"))))))))</f>
        <v/>
      </c>
      <c r="R734" s="6" t="n"/>
      <c r="S734" s="6" t="n"/>
    </row>
    <row r="735">
      <c r="A735" s="6" t="n"/>
      <c r="B735" s="112">
        <f>IF($D735="","","A"&amp;TEXT(ROW()-6,"00000"))</f>
        <v/>
      </c>
      <c r="C735" s="107" t="n"/>
      <c r="D735" s="107" t="n"/>
      <c r="E735" s="113">
        <f>IF($D735="","",IFERROR(INDEX(MUSTERILER!$C$7:$C$106,MATCH($D735,MUSTERILER!$B$7:$B$106,0)),"TANIMSIZ MÜŞTERİ"))</f>
        <v/>
      </c>
      <c r="F735" s="108" t="n"/>
      <c r="G735" s="107" t="n"/>
      <c r="H735" s="114" t="n"/>
      <c r="I735" s="114" t="n"/>
      <c r="J735" s="107" t="n"/>
      <c r="K735" s="107" t="n"/>
      <c r="L735" s="108" t="n"/>
      <c r="M735" s="108" t="n"/>
      <c r="N735" s="108" t="n"/>
      <c r="O735" s="114" t="n"/>
      <c r="P735" s="120">
        <f>IF(OR($D735="",$I735=""),"",IF(OR($J735="Tamamlandı",$J735="İptal"),"",$I735-TODAY()))</f>
        <v/>
      </c>
      <c r="Q735" s="112">
        <f>IF($D735="","",IF($E735="TANIMSIZ MÜŞTERİ","HATA",IF(OR($J735="Tamamlandı",$J735="İptal"),"KAPALI",IF(AND($C735="Görüşme",$N735=""),"SONRAKİ İŞLEM EKSİK",IF($I735="","TARİH EKSİK",IF($I735&lt;TODAY(),"GECİKMİŞ",IF($I735=TODAY(),"BUGÜN",IF($I735&lt;=TODAY()+7,"7 GÜN İÇİNDE","PLANLI"))))))))</f>
        <v/>
      </c>
      <c r="R735" s="6" t="n"/>
      <c r="S735" s="6" t="n"/>
    </row>
    <row r="736">
      <c r="A736" s="6" t="n"/>
      <c r="B736" s="112">
        <f>IF($D736="","","A"&amp;TEXT(ROW()-6,"00000"))</f>
        <v/>
      </c>
      <c r="C736" s="107" t="n"/>
      <c r="D736" s="107" t="n"/>
      <c r="E736" s="113">
        <f>IF($D736="","",IFERROR(INDEX(MUSTERILER!$C$7:$C$106,MATCH($D736,MUSTERILER!$B$7:$B$106,0)),"TANIMSIZ MÜŞTERİ"))</f>
        <v/>
      </c>
      <c r="F736" s="108" t="n"/>
      <c r="G736" s="107" t="n"/>
      <c r="H736" s="114" t="n"/>
      <c r="I736" s="114" t="n"/>
      <c r="J736" s="107" t="n"/>
      <c r="K736" s="107" t="n"/>
      <c r="L736" s="108" t="n"/>
      <c r="M736" s="108" t="n"/>
      <c r="N736" s="108" t="n"/>
      <c r="O736" s="114" t="n"/>
      <c r="P736" s="120">
        <f>IF(OR($D736="",$I736=""),"",IF(OR($J736="Tamamlandı",$J736="İptal"),"",$I736-TODAY()))</f>
        <v/>
      </c>
      <c r="Q736" s="112">
        <f>IF($D736="","",IF($E736="TANIMSIZ MÜŞTERİ","HATA",IF(OR($J736="Tamamlandı",$J736="İptal"),"KAPALI",IF(AND($C736="Görüşme",$N736=""),"SONRAKİ İŞLEM EKSİK",IF($I736="","TARİH EKSİK",IF($I736&lt;TODAY(),"GECİKMİŞ",IF($I736=TODAY(),"BUGÜN",IF($I736&lt;=TODAY()+7,"7 GÜN İÇİNDE","PLANLI"))))))))</f>
        <v/>
      </c>
      <c r="R736" s="6" t="n"/>
      <c r="S736" s="6" t="n"/>
    </row>
    <row r="737">
      <c r="A737" s="6" t="n"/>
      <c r="B737" s="112">
        <f>IF($D737="","","A"&amp;TEXT(ROW()-6,"00000"))</f>
        <v/>
      </c>
      <c r="C737" s="107" t="n"/>
      <c r="D737" s="107" t="n"/>
      <c r="E737" s="113">
        <f>IF($D737="","",IFERROR(INDEX(MUSTERILER!$C$7:$C$106,MATCH($D737,MUSTERILER!$B$7:$B$106,0)),"TANIMSIZ MÜŞTERİ"))</f>
        <v/>
      </c>
      <c r="F737" s="108" t="n"/>
      <c r="G737" s="107" t="n"/>
      <c r="H737" s="114" t="n"/>
      <c r="I737" s="114" t="n"/>
      <c r="J737" s="107" t="n"/>
      <c r="K737" s="107" t="n"/>
      <c r="L737" s="108" t="n"/>
      <c r="M737" s="108" t="n"/>
      <c r="N737" s="108" t="n"/>
      <c r="O737" s="114" t="n"/>
      <c r="P737" s="120">
        <f>IF(OR($D737="",$I737=""),"",IF(OR($J737="Tamamlandı",$J737="İptal"),"",$I737-TODAY()))</f>
        <v/>
      </c>
      <c r="Q737" s="112">
        <f>IF($D737="","",IF($E737="TANIMSIZ MÜŞTERİ","HATA",IF(OR($J737="Tamamlandı",$J737="İptal"),"KAPALI",IF(AND($C737="Görüşme",$N737=""),"SONRAKİ İŞLEM EKSİK",IF($I737="","TARİH EKSİK",IF($I737&lt;TODAY(),"GECİKMİŞ",IF($I737=TODAY(),"BUGÜN",IF($I737&lt;=TODAY()+7,"7 GÜN İÇİNDE","PLANLI"))))))))</f>
        <v/>
      </c>
      <c r="R737" s="6" t="n"/>
      <c r="S737" s="6" t="n"/>
    </row>
    <row r="738">
      <c r="A738" s="6" t="n"/>
      <c r="B738" s="112">
        <f>IF($D738="","","A"&amp;TEXT(ROW()-6,"00000"))</f>
        <v/>
      </c>
      <c r="C738" s="107" t="n"/>
      <c r="D738" s="107" t="n"/>
      <c r="E738" s="113">
        <f>IF($D738="","",IFERROR(INDEX(MUSTERILER!$C$7:$C$106,MATCH($D738,MUSTERILER!$B$7:$B$106,0)),"TANIMSIZ MÜŞTERİ"))</f>
        <v/>
      </c>
      <c r="F738" s="108" t="n"/>
      <c r="G738" s="107" t="n"/>
      <c r="H738" s="114" t="n"/>
      <c r="I738" s="114" t="n"/>
      <c r="J738" s="107" t="n"/>
      <c r="K738" s="107" t="n"/>
      <c r="L738" s="108" t="n"/>
      <c r="M738" s="108" t="n"/>
      <c r="N738" s="108" t="n"/>
      <c r="O738" s="114" t="n"/>
      <c r="P738" s="120">
        <f>IF(OR($D738="",$I738=""),"",IF(OR($J738="Tamamlandı",$J738="İptal"),"",$I738-TODAY()))</f>
        <v/>
      </c>
      <c r="Q738" s="112">
        <f>IF($D738="","",IF($E738="TANIMSIZ MÜŞTERİ","HATA",IF(OR($J738="Tamamlandı",$J738="İptal"),"KAPALI",IF(AND($C738="Görüşme",$N738=""),"SONRAKİ İŞLEM EKSİK",IF($I738="","TARİH EKSİK",IF($I738&lt;TODAY(),"GECİKMİŞ",IF($I738=TODAY(),"BUGÜN",IF($I738&lt;=TODAY()+7,"7 GÜN İÇİNDE","PLANLI"))))))))</f>
        <v/>
      </c>
      <c r="R738" s="6" t="n"/>
      <c r="S738" s="6" t="n"/>
    </row>
    <row r="739">
      <c r="A739" s="6" t="n"/>
      <c r="B739" s="112">
        <f>IF($D739="","","A"&amp;TEXT(ROW()-6,"00000"))</f>
        <v/>
      </c>
      <c r="C739" s="107" t="n"/>
      <c r="D739" s="107" t="n"/>
      <c r="E739" s="113">
        <f>IF($D739="","",IFERROR(INDEX(MUSTERILER!$C$7:$C$106,MATCH($D739,MUSTERILER!$B$7:$B$106,0)),"TANIMSIZ MÜŞTERİ"))</f>
        <v/>
      </c>
      <c r="F739" s="108" t="n"/>
      <c r="G739" s="107" t="n"/>
      <c r="H739" s="114" t="n"/>
      <c r="I739" s="114" t="n"/>
      <c r="J739" s="107" t="n"/>
      <c r="K739" s="107" t="n"/>
      <c r="L739" s="108" t="n"/>
      <c r="M739" s="108" t="n"/>
      <c r="N739" s="108" t="n"/>
      <c r="O739" s="114" t="n"/>
      <c r="P739" s="120">
        <f>IF(OR($D739="",$I739=""),"",IF(OR($J739="Tamamlandı",$J739="İptal"),"",$I739-TODAY()))</f>
        <v/>
      </c>
      <c r="Q739" s="112">
        <f>IF($D739="","",IF($E739="TANIMSIZ MÜŞTERİ","HATA",IF(OR($J739="Tamamlandı",$J739="İptal"),"KAPALI",IF(AND($C739="Görüşme",$N739=""),"SONRAKİ İŞLEM EKSİK",IF($I739="","TARİH EKSİK",IF($I739&lt;TODAY(),"GECİKMİŞ",IF($I739=TODAY(),"BUGÜN",IF($I739&lt;=TODAY()+7,"7 GÜN İÇİNDE","PLANLI"))))))))</f>
        <v/>
      </c>
      <c r="R739" s="6" t="n"/>
      <c r="S739" s="6" t="n"/>
    </row>
    <row r="740">
      <c r="A740" s="6" t="n"/>
      <c r="B740" s="112">
        <f>IF($D740="","","A"&amp;TEXT(ROW()-6,"00000"))</f>
        <v/>
      </c>
      <c r="C740" s="107" t="n"/>
      <c r="D740" s="107" t="n"/>
      <c r="E740" s="113">
        <f>IF($D740="","",IFERROR(INDEX(MUSTERILER!$C$7:$C$106,MATCH($D740,MUSTERILER!$B$7:$B$106,0)),"TANIMSIZ MÜŞTERİ"))</f>
        <v/>
      </c>
      <c r="F740" s="108" t="n"/>
      <c r="G740" s="107" t="n"/>
      <c r="H740" s="114" t="n"/>
      <c r="I740" s="114" t="n"/>
      <c r="J740" s="107" t="n"/>
      <c r="K740" s="107" t="n"/>
      <c r="L740" s="108" t="n"/>
      <c r="M740" s="108" t="n"/>
      <c r="N740" s="108" t="n"/>
      <c r="O740" s="114" t="n"/>
      <c r="P740" s="120">
        <f>IF(OR($D740="",$I740=""),"",IF(OR($J740="Tamamlandı",$J740="İptal"),"",$I740-TODAY()))</f>
        <v/>
      </c>
      <c r="Q740" s="112">
        <f>IF($D740="","",IF($E740="TANIMSIZ MÜŞTERİ","HATA",IF(OR($J740="Tamamlandı",$J740="İptal"),"KAPALI",IF(AND($C740="Görüşme",$N740=""),"SONRAKİ İŞLEM EKSİK",IF($I740="","TARİH EKSİK",IF($I740&lt;TODAY(),"GECİKMİŞ",IF($I740=TODAY(),"BUGÜN",IF($I740&lt;=TODAY()+7,"7 GÜN İÇİNDE","PLANLI"))))))))</f>
        <v/>
      </c>
      <c r="R740" s="6" t="n"/>
      <c r="S740" s="6" t="n"/>
    </row>
    <row r="741">
      <c r="A741" s="6" t="n"/>
      <c r="B741" s="112">
        <f>IF($D741="","","A"&amp;TEXT(ROW()-6,"00000"))</f>
        <v/>
      </c>
      <c r="C741" s="107" t="n"/>
      <c r="D741" s="107" t="n"/>
      <c r="E741" s="113">
        <f>IF($D741="","",IFERROR(INDEX(MUSTERILER!$C$7:$C$106,MATCH($D741,MUSTERILER!$B$7:$B$106,0)),"TANIMSIZ MÜŞTERİ"))</f>
        <v/>
      </c>
      <c r="F741" s="108" t="n"/>
      <c r="G741" s="107" t="n"/>
      <c r="H741" s="114" t="n"/>
      <c r="I741" s="114" t="n"/>
      <c r="J741" s="107" t="n"/>
      <c r="K741" s="107" t="n"/>
      <c r="L741" s="108" t="n"/>
      <c r="M741" s="108" t="n"/>
      <c r="N741" s="108" t="n"/>
      <c r="O741" s="114" t="n"/>
      <c r="P741" s="120">
        <f>IF(OR($D741="",$I741=""),"",IF(OR($J741="Tamamlandı",$J741="İptal"),"",$I741-TODAY()))</f>
        <v/>
      </c>
      <c r="Q741" s="112">
        <f>IF($D741="","",IF($E741="TANIMSIZ MÜŞTERİ","HATA",IF(OR($J741="Tamamlandı",$J741="İptal"),"KAPALI",IF(AND($C741="Görüşme",$N741=""),"SONRAKİ İŞLEM EKSİK",IF($I741="","TARİH EKSİK",IF($I741&lt;TODAY(),"GECİKMİŞ",IF($I741=TODAY(),"BUGÜN",IF($I741&lt;=TODAY()+7,"7 GÜN İÇİNDE","PLANLI"))))))))</f>
        <v/>
      </c>
      <c r="R741" s="6" t="n"/>
      <c r="S741" s="6" t="n"/>
    </row>
    <row r="742">
      <c r="A742" s="6" t="n"/>
      <c r="B742" s="112">
        <f>IF($D742="","","A"&amp;TEXT(ROW()-6,"00000"))</f>
        <v/>
      </c>
      <c r="C742" s="107" t="n"/>
      <c r="D742" s="107" t="n"/>
      <c r="E742" s="113">
        <f>IF($D742="","",IFERROR(INDEX(MUSTERILER!$C$7:$C$106,MATCH($D742,MUSTERILER!$B$7:$B$106,0)),"TANIMSIZ MÜŞTERİ"))</f>
        <v/>
      </c>
      <c r="F742" s="108" t="n"/>
      <c r="G742" s="107" t="n"/>
      <c r="H742" s="114" t="n"/>
      <c r="I742" s="114" t="n"/>
      <c r="J742" s="107" t="n"/>
      <c r="K742" s="107" t="n"/>
      <c r="L742" s="108" t="n"/>
      <c r="M742" s="108" t="n"/>
      <c r="N742" s="108" t="n"/>
      <c r="O742" s="114" t="n"/>
      <c r="P742" s="120">
        <f>IF(OR($D742="",$I742=""),"",IF(OR($J742="Tamamlandı",$J742="İptal"),"",$I742-TODAY()))</f>
        <v/>
      </c>
      <c r="Q742" s="112">
        <f>IF($D742="","",IF($E742="TANIMSIZ MÜŞTERİ","HATA",IF(OR($J742="Tamamlandı",$J742="İptal"),"KAPALI",IF(AND($C742="Görüşme",$N742=""),"SONRAKİ İŞLEM EKSİK",IF($I742="","TARİH EKSİK",IF($I742&lt;TODAY(),"GECİKMİŞ",IF($I742=TODAY(),"BUGÜN",IF($I742&lt;=TODAY()+7,"7 GÜN İÇİNDE","PLANLI"))))))))</f>
        <v/>
      </c>
      <c r="R742" s="6" t="n"/>
      <c r="S742" s="6" t="n"/>
    </row>
    <row r="743">
      <c r="A743" s="6" t="n"/>
      <c r="B743" s="112">
        <f>IF($D743="","","A"&amp;TEXT(ROW()-6,"00000"))</f>
        <v/>
      </c>
      <c r="C743" s="107" t="n"/>
      <c r="D743" s="107" t="n"/>
      <c r="E743" s="113">
        <f>IF($D743="","",IFERROR(INDEX(MUSTERILER!$C$7:$C$106,MATCH($D743,MUSTERILER!$B$7:$B$106,0)),"TANIMSIZ MÜŞTERİ"))</f>
        <v/>
      </c>
      <c r="F743" s="108" t="n"/>
      <c r="G743" s="107" t="n"/>
      <c r="H743" s="114" t="n"/>
      <c r="I743" s="114" t="n"/>
      <c r="J743" s="107" t="n"/>
      <c r="K743" s="107" t="n"/>
      <c r="L743" s="108" t="n"/>
      <c r="M743" s="108" t="n"/>
      <c r="N743" s="108" t="n"/>
      <c r="O743" s="114" t="n"/>
      <c r="P743" s="120">
        <f>IF(OR($D743="",$I743=""),"",IF(OR($J743="Tamamlandı",$J743="İptal"),"",$I743-TODAY()))</f>
        <v/>
      </c>
      <c r="Q743" s="112">
        <f>IF($D743="","",IF($E743="TANIMSIZ MÜŞTERİ","HATA",IF(OR($J743="Tamamlandı",$J743="İptal"),"KAPALI",IF(AND($C743="Görüşme",$N743=""),"SONRAKİ İŞLEM EKSİK",IF($I743="","TARİH EKSİK",IF($I743&lt;TODAY(),"GECİKMİŞ",IF($I743=TODAY(),"BUGÜN",IF($I743&lt;=TODAY()+7,"7 GÜN İÇİNDE","PLANLI"))))))))</f>
        <v/>
      </c>
      <c r="R743" s="6" t="n"/>
      <c r="S743" s="6" t="n"/>
    </row>
    <row r="744">
      <c r="A744" s="6" t="n"/>
      <c r="B744" s="112">
        <f>IF($D744="","","A"&amp;TEXT(ROW()-6,"00000"))</f>
        <v/>
      </c>
      <c r="C744" s="107" t="n"/>
      <c r="D744" s="107" t="n"/>
      <c r="E744" s="113">
        <f>IF($D744="","",IFERROR(INDEX(MUSTERILER!$C$7:$C$106,MATCH($D744,MUSTERILER!$B$7:$B$106,0)),"TANIMSIZ MÜŞTERİ"))</f>
        <v/>
      </c>
      <c r="F744" s="108" t="n"/>
      <c r="G744" s="107" t="n"/>
      <c r="H744" s="114" t="n"/>
      <c r="I744" s="114" t="n"/>
      <c r="J744" s="107" t="n"/>
      <c r="K744" s="107" t="n"/>
      <c r="L744" s="108" t="n"/>
      <c r="M744" s="108" t="n"/>
      <c r="N744" s="108" t="n"/>
      <c r="O744" s="114" t="n"/>
      <c r="P744" s="120">
        <f>IF(OR($D744="",$I744=""),"",IF(OR($J744="Tamamlandı",$J744="İptal"),"",$I744-TODAY()))</f>
        <v/>
      </c>
      <c r="Q744" s="112">
        <f>IF($D744="","",IF($E744="TANIMSIZ MÜŞTERİ","HATA",IF(OR($J744="Tamamlandı",$J744="İptal"),"KAPALI",IF(AND($C744="Görüşme",$N744=""),"SONRAKİ İŞLEM EKSİK",IF($I744="","TARİH EKSİK",IF($I744&lt;TODAY(),"GECİKMİŞ",IF($I744=TODAY(),"BUGÜN",IF($I744&lt;=TODAY()+7,"7 GÜN İÇİNDE","PLANLI"))))))))</f>
        <v/>
      </c>
      <c r="R744" s="6" t="n"/>
      <c r="S744" s="6" t="n"/>
    </row>
    <row r="745">
      <c r="A745" s="6" t="n"/>
      <c r="B745" s="112">
        <f>IF($D745="","","A"&amp;TEXT(ROW()-6,"00000"))</f>
        <v/>
      </c>
      <c r="C745" s="107" t="n"/>
      <c r="D745" s="107" t="n"/>
      <c r="E745" s="113">
        <f>IF($D745="","",IFERROR(INDEX(MUSTERILER!$C$7:$C$106,MATCH($D745,MUSTERILER!$B$7:$B$106,0)),"TANIMSIZ MÜŞTERİ"))</f>
        <v/>
      </c>
      <c r="F745" s="108" t="n"/>
      <c r="G745" s="107" t="n"/>
      <c r="H745" s="114" t="n"/>
      <c r="I745" s="114" t="n"/>
      <c r="J745" s="107" t="n"/>
      <c r="K745" s="107" t="n"/>
      <c r="L745" s="108" t="n"/>
      <c r="M745" s="108" t="n"/>
      <c r="N745" s="108" t="n"/>
      <c r="O745" s="114" t="n"/>
      <c r="P745" s="120">
        <f>IF(OR($D745="",$I745=""),"",IF(OR($J745="Tamamlandı",$J745="İptal"),"",$I745-TODAY()))</f>
        <v/>
      </c>
      <c r="Q745" s="112">
        <f>IF($D745="","",IF($E745="TANIMSIZ MÜŞTERİ","HATA",IF(OR($J745="Tamamlandı",$J745="İptal"),"KAPALI",IF(AND($C745="Görüşme",$N745=""),"SONRAKİ İŞLEM EKSİK",IF($I745="","TARİH EKSİK",IF($I745&lt;TODAY(),"GECİKMİŞ",IF($I745=TODAY(),"BUGÜN",IF($I745&lt;=TODAY()+7,"7 GÜN İÇİNDE","PLANLI"))))))))</f>
        <v/>
      </c>
      <c r="R745" s="6" t="n"/>
      <c r="S745" s="6" t="n"/>
    </row>
    <row r="746">
      <c r="A746" s="6" t="n"/>
      <c r="B746" s="112">
        <f>IF($D746="","","A"&amp;TEXT(ROW()-6,"00000"))</f>
        <v/>
      </c>
      <c r="C746" s="107" t="n"/>
      <c r="D746" s="107" t="n"/>
      <c r="E746" s="113">
        <f>IF($D746="","",IFERROR(INDEX(MUSTERILER!$C$7:$C$106,MATCH($D746,MUSTERILER!$B$7:$B$106,0)),"TANIMSIZ MÜŞTERİ"))</f>
        <v/>
      </c>
      <c r="F746" s="108" t="n"/>
      <c r="G746" s="107" t="n"/>
      <c r="H746" s="114" t="n"/>
      <c r="I746" s="114" t="n"/>
      <c r="J746" s="107" t="n"/>
      <c r="K746" s="107" t="n"/>
      <c r="L746" s="108" t="n"/>
      <c r="M746" s="108" t="n"/>
      <c r="N746" s="108" t="n"/>
      <c r="O746" s="114" t="n"/>
      <c r="P746" s="120">
        <f>IF(OR($D746="",$I746=""),"",IF(OR($J746="Tamamlandı",$J746="İptal"),"",$I746-TODAY()))</f>
        <v/>
      </c>
      <c r="Q746" s="112">
        <f>IF($D746="","",IF($E746="TANIMSIZ MÜŞTERİ","HATA",IF(OR($J746="Tamamlandı",$J746="İptal"),"KAPALI",IF(AND($C746="Görüşme",$N746=""),"SONRAKİ İŞLEM EKSİK",IF($I746="","TARİH EKSİK",IF($I746&lt;TODAY(),"GECİKMİŞ",IF($I746=TODAY(),"BUGÜN",IF($I746&lt;=TODAY()+7,"7 GÜN İÇİNDE","PLANLI"))))))))</f>
        <v/>
      </c>
      <c r="R746" s="6" t="n"/>
      <c r="S746" s="6" t="n"/>
    </row>
    <row r="747">
      <c r="A747" s="6" t="n"/>
      <c r="B747" s="112">
        <f>IF($D747="","","A"&amp;TEXT(ROW()-6,"00000"))</f>
        <v/>
      </c>
      <c r="C747" s="107" t="n"/>
      <c r="D747" s="107" t="n"/>
      <c r="E747" s="113">
        <f>IF($D747="","",IFERROR(INDEX(MUSTERILER!$C$7:$C$106,MATCH($D747,MUSTERILER!$B$7:$B$106,0)),"TANIMSIZ MÜŞTERİ"))</f>
        <v/>
      </c>
      <c r="F747" s="108" t="n"/>
      <c r="G747" s="107" t="n"/>
      <c r="H747" s="114" t="n"/>
      <c r="I747" s="114" t="n"/>
      <c r="J747" s="107" t="n"/>
      <c r="K747" s="107" t="n"/>
      <c r="L747" s="108" t="n"/>
      <c r="M747" s="108" t="n"/>
      <c r="N747" s="108" t="n"/>
      <c r="O747" s="114" t="n"/>
      <c r="P747" s="120">
        <f>IF(OR($D747="",$I747=""),"",IF(OR($J747="Tamamlandı",$J747="İptal"),"",$I747-TODAY()))</f>
        <v/>
      </c>
      <c r="Q747" s="112">
        <f>IF($D747="","",IF($E747="TANIMSIZ MÜŞTERİ","HATA",IF(OR($J747="Tamamlandı",$J747="İptal"),"KAPALI",IF(AND($C747="Görüşme",$N747=""),"SONRAKİ İŞLEM EKSİK",IF($I747="","TARİH EKSİK",IF($I747&lt;TODAY(),"GECİKMİŞ",IF($I747=TODAY(),"BUGÜN",IF($I747&lt;=TODAY()+7,"7 GÜN İÇİNDE","PLANLI"))))))))</f>
        <v/>
      </c>
      <c r="R747" s="6" t="n"/>
      <c r="S747" s="6" t="n"/>
    </row>
    <row r="748">
      <c r="A748" s="6" t="n"/>
      <c r="B748" s="112">
        <f>IF($D748="","","A"&amp;TEXT(ROW()-6,"00000"))</f>
        <v/>
      </c>
      <c r="C748" s="107" t="n"/>
      <c r="D748" s="107" t="n"/>
      <c r="E748" s="113">
        <f>IF($D748="","",IFERROR(INDEX(MUSTERILER!$C$7:$C$106,MATCH($D748,MUSTERILER!$B$7:$B$106,0)),"TANIMSIZ MÜŞTERİ"))</f>
        <v/>
      </c>
      <c r="F748" s="108" t="n"/>
      <c r="G748" s="107" t="n"/>
      <c r="H748" s="114" t="n"/>
      <c r="I748" s="114" t="n"/>
      <c r="J748" s="107" t="n"/>
      <c r="K748" s="107" t="n"/>
      <c r="L748" s="108" t="n"/>
      <c r="M748" s="108" t="n"/>
      <c r="N748" s="108" t="n"/>
      <c r="O748" s="114" t="n"/>
      <c r="P748" s="120">
        <f>IF(OR($D748="",$I748=""),"",IF(OR($J748="Tamamlandı",$J748="İptal"),"",$I748-TODAY()))</f>
        <v/>
      </c>
      <c r="Q748" s="112">
        <f>IF($D748="","",IF($E748="TANIMSIZ MÜŞTERİ","HATA",IF(OR($J748="Tamamlandı",$J748="İptal"),"KAPALI",IF(AND($C748="Görüşme",$N748=""),"SONRAKİ İŞLEM EKSİK",IF($I748="","TARİH EKSİK",IF($I748&lt;TODAY(),"GECİKMİŞ",IF($I748=TODAY(),"BUGÜN",IF($I748&lt;=TODAY()+7,"7 GÜN İÇİNDE","PLANLI"))))))))</f>
        <v/>
      </c>
      <c r="R748" s="6" t="n"/>
      <c r="S748" s="6" t="n"/>
    </row>
    <row r="749">
      <c r="A749" s="6" t="n"/>
      <c r="B749" s="112">
        <f>IF($D749="","","A"&amp;TEXT(ROW()-6,"00000"))</f>
        <v/>
      </c>
      <c r="C749" s="107" t="n"/>
      <c r="D749" s="107" t="n"/>
      <c r="E749" s="113">
        <f>IF($D749="","",IFERROR(INDEX(MUSTERILER!$C$7:$C$106,MATCH($D749,MUSTERILER!$B$7:$B$106,0)),"TANIMSIZ MÜŞTERİ"))</f>
        <v/>
      </c>
      <c r="F749" s="108" t="n"/>
      <c r="G749" s="107" t="n"/>
      <c r="H749" s="114" t="n"/>
      <c r="I749" s="114" t="n"/>
      <c r="J749" s="107" t="n"/>
      <c r="K749" s="107" t="n"/>
      <c r="L749" s="108" t="n"/>
      <c r="M749" s="108" t="n"/>
      <c r="N749" s="108" t="n"/>
      <c r="O749" s="114" t="n"/>
      <c r="P749" s="120">
        <f>IF(OR($D749="",$I749=""),"",IF(OR($J749="Tamamlandı",$J749="İptal"),"",$I749-TODAY()))</f>
        <v/>
      </c>
      <c r="Q749" s="112">
        <f>IF($D749="","",IF($E749="TANIMSIZ MÜŞTERİ","HATA",IF(OR($J749="Tamamlandı",$J749="İptal"),"KAPALI",IF(AND($C749="Görüşme",$N749=""),"SONRAKİ İŞLEM EKSİK",IF($I749="","TARİH EKSİK",IF($I749&lt;TODAY(),"GECİKMİŞ",IF($I749=TODAY(),"BUGÜN",IF($I749&lt;=TODAY()+7,"7 GÜN İÇİNDE","PLANLI"))))))))</f>
        <v/>
      </c>
      <c r="R749" s="6" t="n"/>
      <c r="S749" s="6" t="n"/>
    </row>
    <row r="750">
      <c r="A750" s="6" t="n"/>
      <c r="B750" s="112">
        <f>IF($D750="","","A"&amp;TEXT(ROW()-6,"00000"))</f>
        <v/>
      </c>
      <c r="C750" s="107" t="n"/>
      <c r="D750" s="107" t="n"/>
      <c r="E750" s="113">
        <f>IF($D750="","",IFERROR(INDEX(MUSTERILER!$C$7:$C$106,MATCH($D750,MUSTERILER!$B$7:$B$106,0)),"TANIMSIZ MÜŞTERİ"))</f>
        <v/>
      </c>
      <c r="F750" s="108" t="n"/>
      <c r="G750" s="107" t="n"/>
      <c r="H750" s="114" t="n"/>
      <c r="I750" s="114" t="n"/>
      <c r="J750" s="107" t="n"/>
      <c r="K750" s="107" t="n"/>
      <c r="L750" s="108" t="n"/>
      <c r="M750" s="108" t="n"/>
      <c r="N750" s="108" t="n"/>
      <c r="O750" s="114" t="n"/>
      <c r="P750" s="120">
        <f>IF(OR($D750="",$I750=""),"",IF(OR($J750="Tamamlandı",$J750="İptal"),"",$I750-TODAY()))</f>
        <v/>
      </c>
      <c r="Q750" s="112">
        <f>IF($D750="","",IF($E750="TANIMSIZ MÜŞTERİ","HATA",IF(OR($J750="Tamamlandı",$J750="İptal"),"KAPALI",IF(AND($C750="Görüşme",$N750=""),"SONRAKİ İŞLEM EKSİK",IF($I750="","TARİH EKSİK",IF($I750&lt;TODAY(),"GECİKMİŞ",IF($I750=TODAY(),"BUGÜN",IF($I750&lt;=TODAY()+7,"7 GÜN İÇİNDE","PLANLI"))))))))</f>
        <v/>
      </c>
      <c r="R750" s="6" t="n"/>
      <c r="S750" s="6" t="n"/>
    </row>
    <row r="751">
      <c r="A751" s="6" t="n"/>
      <c r="B751" s="112">
        <f>IF($D751="","","A"&amp;TEXT(ROW()-6,"00000"))</f>
        <v/>
      </c>
      <c r="C751" s="107" t="n"/>
      <c r="D751" s="107" t="n"/>
      <c r="E751" s="113">
        <f>IF($D751="","",IFERROR(INDEX(MUSTERILER!$C$7:$C$106,MATCH($D751,MUSTERILER!$B$7:$B$106,0)),"TANIMSIZ MÜŞTERİ"))</f>
        <v/>
      </c>
      <c r="F751" s="108" t="n"/>
      <c r="G751" s="107" t="n"/>
      <c r="H751" s="114" t="n"/>
      <c r="I751" s="114" t="n"/>
      <c r="J751" s="107" t="n"/>
      <c r="K751" s="107" t="n"/>
      <c r="L751" s="108" t="n"/>
      <c r="M751" s="108" t="n"/>
      <c r="N751" s="108" t="n"/>
      <c r="O751" s="114" t="n"/>
      <c r="P751" s="120">
        <f>IF(OR($D751="",$I751=""),"",IF(OR($J751="Tamamlandı",$J751="İptal"),"",$I751-TODAY()))</f>
        <v/>
      </c>
      <c r="Q751" s="112">
        <f>IF($D751="","",IF($E751="TANIMSIZ MÜŞTERİ","HATA",IF(OR($J751="Tamamlandı",$J751="İptal"),"KAPALI",IF(AND($C751="Görüşme",$N751=""),"SONRAKİ İŞLEM EKSİK",IF($I751="","TARİH EKSİK",IF($I751&lt;TODAY(),"GECİKMİŞ",IF($I751=TODAY(),"BUGÜN",IF($I751&lt;=TODAY()+7,"7 GÜN İÇİNDE","PLANLI"))))))))</f>
        <v/>
      </c>
      <c r="R751" s="6" t="n"/>
      <c r="S751" s="6" t="n"/>
    </row>
    <row r="752">
      <c r="A752" s="6" t="n"/>
      <c r="B752" s="112">
        <f>IF($D752="","","A"&amp;TEXT(ROW()-6,"00000"))</f>
        <v/>
      </c>
      <c r="C752" s="107" t="n"/>
      <c r="D752" s="107" t="n"/>
      <c r="E752" s="113">
        <f>IF($D752="","",IFERROR(INDEX(MUSTERILER!$C$7:$C$106,MATCH($D752,MUSTERILER!$B$7:$B$106,0)),"TANIMSIZ MÜŞTERİ"))</f>
        <v/>
      </c>
      <c r="F752" s="108" t="n"/>
      <c r="G752" s="107" t="n"/>
      <c r="H752" s="114" t="n"/>
      <c r="I752" s="114" t="n"/>
      <c r="J752" s="107" t="n"/>
      <c r="K752" s="107" t="n"/>
      <c r="L752" s="108" t="n"/>
      <c r="M752" s="108" t="n"/>
      <c r="N752" s="108" t="n"/>
      <c r="O752" s="114" t="n"/>
      <c r="P752" s="120">
        <f>IF(OR($D752="",$I752=""),"",IF(OR($J752="Tamamlandı",$J752="İptal"),"",$I752-TODAY()))</f>
        <v/>
      </c>
      <c r="Q752" s="112">
        <f>IF($D752="","",IF($E752="TANIMSIZ MÜŞTERİ","HATA",IF(OR($J752="Tamamlandı",$J752="İptal"),"KAPALI",IF(AND($C752="Görüşme",$N752=""),"SONRAKİ İŞLEM EKSİK",IF($I752="","TARİH EKSİK",IF($I752&lt;TODAY(),"GECİKMİŞ",IF($I752=TODAY(),"BUGÜN",IF($I752&lt;=TODAY()+7,"7 GÜN İÇİNDE","PLANLI"))))))))</f>
        <v/>
      </c>
      <c r="R752" s="6" t="n"/>
      <c r="S752" s="6" t="n"/>
    </row>
    <row r="753">
      <c r="A753" s="6" t="n"/>
      <c r="B753" s="112">
        <f>IF($D753="","","A"&amp;TEXT(ROW()-6,"00000"))</f>
        <v/>
      </c>
      <c r="C753" s="107" t="n"/>
      <c r="D753" s="107" t="n"/>
      <c r="E753" s="113">
        <f>IF($D753="","",IFERROR(INDEX(MUSTERILER!$C$7:$C$106,MATCH($D753,MUSTERILER!$B$7:$B$106,0)),"TANIMSIZ MÜŞTERİ"))</f>
        <v/>
      </c>
      <c r="F753" s="108" t="n"/>
      <c r="G753" s="107" t="n"/>
      <c r="H753" s="114" t="n"/>
      <c r="I753" s="114" t="n"/>
      <c r="J753" s="107" t="n"/>
      <c r="K753" s="107" t="n"/>
      <c r="L753" s="108" t="n"/>
      <c r="M753" s="108" t="n"/>
      <c r="N753" s="108" t="n"/>
      <c r="O753" s="114" t="n"/>
      <c r="P753" s="120">
        <f>IF(OR($D753="",$I753=""),"",IF(OR($J753="Tamamlandı",$J753="İptal"),"",$I753-TODAY()))</f>
        <v/>
      </c>
      <c r="Q753" s="112">
        <f>IF($D753="","",IF($E753="TANIMSIZ MÜŞTERİ","HATA",IF(OR($J753="Tamamlandı",$J753="İptal"),"KAPALI",IF(AND($C753="Görüşme",$N753=""),"SONRAKİ İŞLEM EKSİK",IF($I753="","TARİH EKSİK",IF($I753&lt;TODAY(),"GECİKMİŞ",IF($I753=TODAY(),"BUGÜN",IF($I753&lt;=TODAY()+7,"7 GÜN İÇİNDE","PLANLI"))))))))</f>
        <v/>
      </c>
      <c r="R753" s="6" t="n"/>
      <c r="S753" s="6" t="n"/>
    </row>
    <row r="754">
      <c r="A754" s="6" t="n"/>
      <c r="B754" s="112">
        <f>IF($D754="","","A"&amp;TEXT(ROW()-6,"00000"))</f>
        <v/>
      </c>
      <c r="C754" s="107" t="n"/>
      <c r="D754" s="107" t="n"/>
      <c r="E754" s="113">
        <f>IF($D754="","",IFERROR(INDEX(MUSTERILER!$C$7:$C$106,MATCH($D754,MUSTERILER!$B$7:$B$106,0)),"TANIMSIZ MÜŞTERİ"))</f>
        <v/>
      </c>
      <c r="F754" s="108" t="n"/>
      <c r="G754" s="107" t="n"/>
      <c r="H754" s="114" t="n"/>
      <c r="I754" s="114" t="n"/>
      <c r="J754" s="107" t="n"/>
      <c r="K754" s="107" t="n"/>
      <c r="L754" s="108" t="n"/>
      <c r="M754" s="108" t="n"/>
      <c r="N754" s="108" t="n"/>
      <c r="O754" s="114" t="n"/>
      <c r="P754" s="120">
        <f>IF(OR($D754="",$I754=""),"",IF(OR($J754="Tamamlandı",$J754="İptal"),"",$I754-TODAY()))</f>
        <v/>
      </c>
      <c r="Q754" s="112">
        <f>IF($D754="","",IF($E754="TANIMSIZ MÜŞTERİ","HATA",IF(OR($J754="Tamamlandı",$J754="İptal"),"KAPALI",IF(AND($C754="Görüşme",$N754=""),"SONRAKİ İŞLEM EKSİK",IF($I754="","TARİH EKSİK",IF($I754&lt;TODAY(),"GECİKMİŞ",IF($I754=TODAY(),"BUGÜN",IF($I754&lt;=TODAY()+7,"7 GÜN İÇİNDE","PLANLI"))))))))</f>
        <v/>
      </c>
      <c r="R754" s="6" t="n"/>
      <c r="S754" s="6" t="n"/>
    </row>
    <row r="755">
      <c r="A755" s="6" t="n"/>
      <c r="B755" s="112">
        <f>IF($D755="","","A"&amp;TEXT(ROW()-6,"00000"))</f>
        <v/>
      </c>
      <c r="C755" s="107" t="n"/>
      <c r="D755" s="107" t="n"/>
      <c r="E755" s="113">
        <f>IF($D755="","",IFERROR(INDEX(MUSTERILER!$C$7:$C$106,MATCH($D755,MUSTERILER!$B$7:$B$106,0)),"TANIMSIZ MÜŞTERİ"))</f>
        <v/>
      </c>
      <c r="F755" s="108" t="n"/>
      <c r="G755" s="107" t="n"/>
      <c r="H755" s="114" t="n"/>
      <c r="I755" s="114" t="n"/>
      <c r="J755" s="107" t="n"/>
      <c r="K755" s="107" t="n"/>
      <c r="L755" s="108" t="n"/>
      <c r="M755" s="108" t="n"/>
      <c r="N755" s="108" t="n"/>
      <c r="O755" s="114" t="n"/>
      <c r="P755" s="120">
        <f>IF(OR($D755="",$I755=""),"",IF(OR($J755="Tamamlandı",$J755="İptal"),"",$I755-TODAY()))</f>
        <v/>
      </c>
      <c r="Q755" s="112">
        <f>IF($D755="","",IF($E755="TANIMSIZ MÜŞTERİ","HATA",IF(OR($J755="Tamamlandı",$J755="İptal"),"KAPALI",IF(AND($C755="Görüşme",$N755=""),"SONRAKİ İŞLEM EKSİK",IF($I755="","TARİH EKSİK",IF($I755&lt;TODAY(),"GECİKMİŞ",IF($I755=TODAY(),"BUGÜN",IF($I755&lt;=TODAY()+7,"7 GÜN İÇİNDE","PLANLI"))))))))</f>
        <v/>
      </c>
      <c r="R755" s="6" t="n"/>
      <c r="S755" s="6" t="n"/>
    </row>
    <row r="756">
      <c r="A756" s="6" t="n"/>
      <c r="B756" s="112">
        <f>IF($D756="","","A"&amp;TEXT(ROW()-6,"00000"))</f>
        <v/>
      </c>
      <c r="C756" s="107" t="n"/>
      <c r="D756" s="107" t="n"/>
      <c r="E756" s="113">
        <f>IF($D756="","",IFERROR(INDEX(MUSTERILER!$C$7:$C$106,MATCH($D756,MUSTERILER!$B$7:$B$106,0)),"TANIMSIZ MÜŞTERİ"))</f>
        <v/>
      </c>
      <c r="F756" s="108" t="n"/>
      <c r="G756" s="107" t="n"/>
      <c r="H756" s="114" t="n"/>
      <c r="I756" s="114" t="n"/>
      <c r="J756" s="107" t="n"/>
      <c r="K756" s="107" t="n"/>
      <c r="L756" s="108" t="n"/>
      <c r="M756" s="108" t="n"/>
      <c r="N756" s="108" t="n"/>
      <c r="O756" s="114" t="n"/>
      <c r="P756" s="120">
        <f>IF(OR($D756="",$I756=""),"",IF(OR($J756="Tamamlandı",$J756="İptal"),"",$I756-TODAY()))</f>
        <v/>
      </c>
      <c r="Q756" s="112">
        <f>IF($D756="","",IF($E756="TANIMSIZ MÜŞTERİ","HATA",IF(OR($J756="Tamamlandı",$J756="İptal"),"KAPALI",IF(AND($C756="Görüşme",$N756=""),"SONRAKİ İŞLEM EKSİK",IF($I756="","TARİH EKSİK",IF($I756&lt;TODAY(),"GECİKMİŞ",IF($I756=TODAY(),"BUGÜN",IF($I756&lt;=TODAY()+7,"7 GÜN İÇİNDE","PLANLI"))))))))</f>
        <v/>
      </c>
      <c r="R756" s="6" t="n"/>
      <c r="S756" s="6" t="n"/>
    </row>
    <row r="757">
      <c r="A757" s="6" t="n"/>
      <c r="B757" s="112">
        <f>IF($D757="","","A"&amp;TEXT(ROW()-6,"00000"))</f>
        <v/>
      </c>
      <c r="C757" s="107" t="n"/>
      <c r="D757" s="107" t="n"/>
      <c r="E757" s="113">
        <f>IF($D757="","",IFERROR(INDEX(MUSTERILER!$C$7:$C$106,MATCH($D757,MUSTERILER!$B$7:$B$106,0)),"TANIMSIZ MÜŞTERİ"))</f>
        <v/>
      </c>
      <c r="F757" s="108" t="n"/>
      <c r="G757" s="107" t="n"/>
      <c r="H757" s="114" t="n"/>
      <c r="I757" s="114" t="n"/>
      <c r="J757" s="107" t="n"/>
      <c r="K757" s="107" t="n"/>
      <c r="L757" s="108" t="n"/>
      <c r="M757" s="108" t="n"/>
      <c r="N757" s="108" t="n"/>
      <c r="O757" s="114" t="n"/>
      <c r="P757" s="120">
        <f>IF(OR($D757="",$I757=""),"",IF(OR($J757="Tamamlandı",$J757="İptal"),"",$I757-TODAY()))</f>
        <v/>
      </c>
      <c r="Q757" s="112">
        <f>IF($D757="","",IF($E757="TANIMSIZ MÜŞTERİ","HATA",IF(OR($J757="Tamamlandı",$J757="İptal"),"KAPALI",IF(AND($C757="Görüşme",$N757=""),"SONRAKİ İŞLEM EKSİK",IF($I757="","TARİH EKSİK",IF($I757&lt;TODAY(),"GECİKMİŞ",IF($I757=TODAY(),"BUGÜN",IF($I757&lt;=TODAY()+7,"7 GÜN İÇİNDE","PLANLI"))))))))</f>
        <v/>
      </c>
      <c r="R757" s="6" t="n"/>
      <c r="S757" s="6" t="n"/>
    </row>
    <row r="758">
      <c r="A758" s="6" t="n"/>
      <c r="B758" s="112">
        <f>IF($D758="","","A"&amp;TEXT(ROW()-6,"00000"))</f>
        <v/>
      </c>
      <c r="C758" s="107" t="n"/>
      <c r="D758" s="107" t="n"/>
      <c r="E758" s="113">
        <f>IF($D758="","",IFERROR(INDEX(MUSTERILER!$C$7:$C$106,MATCH($D758,MUSTERILER!$B$7:$B$106,0)),"TANIMSIZ MÜŞTERİ"))</f>
        <v/>
      </c>
      <c r="F758" s="108" t="n"/>
      <c r="G758" s="107" t="n"/>
      <c r="H758" s="114" t="n"/>
      <c r="I758" s="114" t="n"/>
      <c r="J758" s="107" t="n"/>
      <c r="K758" s="107" t="n"/>
      <c r="L758" s="108" t="n"/>
      <c r="M758" s="108" t="n"/>
      <c r="N758" s="108" t="n"/>
      <c r="O758" s="114" t="n"/>
      <c r="P758" s="120">
        <f>IF(OR($D758="",$I758=""),"",IF(OR($J758="Tamamlandı",$J758="İptal"),"",$I758-TODAY()))</f>
        <v/>
      </c>
      <c r="Q758" s="112">
        <f>IF($D758="","",IF($E758="TANIMSIZ MÜŞTERİ","HATA",IF(OR($J758="Tamamlandı",$J758="İptal"),"KAPALI",IF(AND($C758="Görüşme",$N758=""),"SONRAKİ İŞLEM EKSİK",IF($I758="","TARİH EKSİK",IF($I758&lt;TODAY(),"GECİKMİŞ",IF($I758=TODAY(),"BUGÜN",IF($I758&lt;=TODAY()+7,"7 GÜN İÇİNDE","PLANLI"))))))))</f>
        <v/>
      </c>
      <c r="R758" s="6" t="n"/>
      <c r="S758" s="6" t="n"/>
    </row>
    <row r="759">
      <c r="A759" s="6" t="n"/>
      <c r="B759" s="112">
        <f>IF($D759="","","A"&amp;TEXT(ROW()-6,"00000"))</f>
        <v/>
      </c>
      <c r="C759" s="107" t="n"/>
      <c r="D759" s="107" t="n"/>
      <c r="E759" s="113">
        <f>IF($D759="","",IFERROR(INDEX(MUSTERILER!$C$7:$C$106,MATCH($D759,MUSTERILER!$B$7:$B$106,0)),"TANIMSIZ MÜŞTERİ"))</f>
        <v/>
      </c>
      <c r="F759" s="108" t="n"/>
      <c r="G759" s="107" t="n"/>
      <c r="H759" s="114" t="n"/>
      <c r="I759" s="114" t="n"/>
      <c r="J759" s="107" t="n"/>
      <c r="K759" s="107" t="n"/>
      <c r="L759" s="108" t="n"/>
      <c r="M759" s="108" t="n"/>
      <c r="N759" s="108" t="n"/>
      <c r="O759" s="114" t="n"/>
      <c r="P759" s="120">
        <f>IF(OR($D759="",$I759=""),"",IF(OR($J759="Tamamlandı",$J759="İptal"),"",$I759-TODAY()))</f>
        <v/>
      </c>
      <c r="Q759" s="112">
        <f>IF($D759="","",IF($E759="TANIMSIZ MÜŞTERİ","HATA",IF(OR($J759="Tamamlandı",$J759="İptal"),"KAPALI",IF(AND($C759="Görüşme",$N759=""),"SONRAKİ İŞLEM EKSİK",IF($I759="","TARİH EKSİK",IF($I759&lt;TODAY(),"GECİKMİŞ",IF($I759=TODAY(),"BUGÜN",IF($I759&lt;=TODAY()+7,"7 GÜN İÇİNDE","PLANLI"))))))))</f>
        <v/>
      </c>
      <c r="R759" s="6" t="n"/>
      <c r="S759" s="6" t="n"/>
    </row>
    <row r="760">
      <c r="A760" s="6" t="n"/>
      <c r="B760" s="112">
        <f>IF($D760="","","A"&amp;TEXT(ROW()-6,"00000"))</f>
        <v/>
      </c>
      <c r="C760" s="107" t="n"/>
      <c r="D760" s="107" t="n"/>
      <c r="E760" s="113">
        <f>IF($D760="","",IFERROR(INDEX(MUSTERILER!$C$7:$C$106,MATCH($D760,MUSTERILER!$B$7:$B$106,0)),"TANIMSIZ MÜŞTERİ"))</f>
        <v/>
      </c>
      <c r="F760" s="108" t="n"/>
      <c r="G760" s="107" t="n"/>
      <c r="H760" s="114" t="n"/>
      <c r="I760" s="114" t="n"/>
      <c r="J760" s="107" t="n"/>
      <c r="K760" s="107" t="n"/>
      <c r="L760" s="108" t="n"/>
      <c r="M760" s="108" t="n"/>
      <c r="N760" s="108" t="n"/>
      <c r="O760" s="114" t="n"/>
      <c r="P760" s="120">
        <f>IF(OR($D760="",$I760=""),"",IF(OR($J760="Tamamlandı",$J760="İptal"),"",$I760-TODAY()))</f>
        <v/>
      </c>
      <c r="Q760" s="112">
        <f>IF($D760="","",IF($E760="TANIMSIZ MÜŞTERİ","HATA",IF(OR($J760="Tamamlandı",$J760="İptal"),"KAPALI",IF(AND($C760="Görüşme",$N760=""),"SONRAKİ İŞLEM EKSİK",IF($I760="","TARİH EKSİK",IF($I760&lt;TODAY(),"GECİKMİŞ",IF($I760=TODAY(),"BUGÜN",IF($I760&lt;=TODAY()+7,"7 GÜN İÇİNDE","PLANLI"))))))))</f>
        <v/>
      </c>
      <c r="R760" s="6" t="n"/>
      <c r="S760" s="6" t="n"/>
    </row>
    <row r="761">
      <c r="A761" s="6" t="n"/>
      <c r="B761" s="112">
        <f>IF($D761="","","A"&amp;TEXT(ROW()-6,"00000"))</f>
        <v/>
      </c>
      <c r="C761" s="107" t="n"/>
      <c r="D761" s="107" t="n"/>
      <c r="E761" s="113">
        <f>IF($D761="","",IFERROR(INDEX(MUSTERILER!$C$7:$C$106,MATCH($D761,MUSTERILER!$B$7:$B$106,0)),"TANIMSIZ MÜŞTERİ"))</f>
        <v/>
      </c>
      <c r="F761" s="108" t="n"/>
      <c r="G761" s="107" t="n"/>
      <c r="H761" s="114" t="n"/>
      <c r="I761" s="114" t="n"/>
      <c r="J761" s="107" t="n"/>
      <c r="K761" s="107" t="n"/>
      <c r="L761" s="108" t="n"/>
      <c r="M761" s="108" t="n"/>
      <c r="N761" s="108" t="n"/>
      <c r="O761" s="114" t="n"/>
      <c r="P761" s="120">
        <f>IF(OR($D761="",$I761=""),"",IF(OR($J761="Tamamlandı",$J761="İptal"),"",$I761-TODAY()))</f>
        <v/>
      </c>
      <c r="Q761" s="112">
        <f>IF($D761="","",IF($E761="TANIMSIZ MÜŞTERİ","HATA",IF(OR($J761="Tamamlandı",$J761="İptal"),"KAPALI",IF(AND($C761="Görüşme",$N761=""),"SONRAKİ İŞLEM EKSİK",IF($I761="","TARİH EKSİK",IF($I761&lt;TODAY(),"GECİKMİŞ",IF($I761=TODAY(),"BUGÜN",IF($I761&lt;=TODAY()+7,"7 GÜN İÇİNDE","PLANLI"))))))))</f>
        <v/>
      </c>
      <c r="R761" s="6" t="n"/>
      <c r="S761" s="6" t="n"/>
    </row>
    <row r="762">
      <c r="A762" s="6" t="n"/>
      <c r="B762" s="112">
        <f>IF($D762="","","A"&amp;TEXT(ROW()-6,"00000"))</f>
        <v/>
      </c>
      <c r="C762" s="107" t="n"/>
      <c r="D762" s="107" t="n"/>
      <c r="E762" s="113">
        <f>IF($D762="","",IFERROR(INDEX(MUSTERILER!$C$7:$C$106,MATCH($D762,MUSTERILER!$B$7:$B$106,0)),"TANIMSIZ MÜŞTERİ"))</f>
        <v/>
      </c>
      <c r="F762" s="108" t="n"/>
      <c r="G762" s="107" t="n"/>
      <c r="H762" s="114" t="n"/>
      <c r="I762" s="114" t="n"/>
      <c r="J762" s="107" t="n"/>
      <c r="K762" s="107" t="n"/>
      <c r="L762" s="108" t="n"/>
      <c r="M762" s="108" t="n"/>
      <c r="N762" s="108" t="n"/>
      <c r="O762" s="114" t="n"/>
      <c r="P762" s="120">
        <f>IF(OR($D762="",$I762=""),"",IF(OR($J762="Tamamlandı",$J762="İptal"),"",$I762-TODAY()))</f>
        <v/>
      </c>
      <c r="Q762" s="112">
        <f>IF($D762="","",IF($E762="TANIMSIZ MÜŞTERİ","HATA",IF(OR($J762="Tamamlandı",$J762="İptal"),"KAPALI",IF(AND($C762="Görüşme",$N762=""),"SONRAKİ İŞLEM EKSİK",IF($I762="","TARİH EKSİK",IF($I762&lt;TODAY(),"GECİKMİŞ",IF($I762=TODAY(),"BUGÜN",IF($I762&lt;=TODAY()+7,"7 GÜN İÇİNDE","PLANLI"))))))))</f>
        <v/>
      </c>
      <c r="R762" s="6" t="n"/>
      <c r="S762" s="6" t="n"/>
    </row>
    <row r="763">
      <c r="A763" s="6" t="n"/>
      <c r="B763" s="112">
        <f>IF($D763="","","A"&amp;TEXT(ROW()-6,"00000"))</f>
        <v/>
      </c>
      <c r="C763" s="107" t="n"/>
      <c r="D763" s="107" t="n"/>
      <c r="E763" s="113">
        <f>IF($D763="","",IFERROR(INDEX(MUSTERILER!$C$7:$C$106,MATCH($D763,MUSTERILER!$B$7:$B$106,0)),"TANIMSIZ MÜŞTERİ"))</f>
        <v/>
      </c>
      <c r="F763" s="108" t="n"/>
      <c r="G763" s="107" t="n"/>
      <c r="H763" s="114" t="n"/>
      <c r="I763" s="114" t="n"/>
      <c r="J763" s="107" t="n"/>
      <c r="K763" s="107" t="n"/>
      <c r="L763" s="108" t="n"/>
      <c r="M763" s="108" t="n"/>
      <c r="N763" s="108" t="n"/>
      <c r="O763" s="114" t="n"/>
      <c r="P763" s="120">
        <f>IF(OR($D763="",$I763=""),"",IF(OR($J763="Tamamlandı",$J763="İptal"),"",$I763-TODAY()))</f>
        <v/>
      </c>
      <c r="Q763" s="112">
        <f>IF($D763="","",IF($E763="TANIMSIZ MÜŞTERİ","HATA",IF(OR($J763="Tamamlandı",$J763="İptal"),"KAPALI",IF(AND($C763="Görüşme",$N763=""),"SONRAKİ İŞLEM EKSİK",IF($I763="","TARİH EKSİK",IF($I763&lt;TODAY(),"GECİKMİŞ",IF($I763=TODAY(),"BUGÜN",IF($I763&lt;=TODAY()+7,"7 GÜN İÇİNDE","PLANLI"))))))))</f>
        <v/>
      </c>
      <c r="R763" s="6" t="n"/>
      <c r="S763" s="6" t="n"/>
    </row>
    <row r="764">
      <c r="A764" s="6" t="n"/>
      <c r="B764" s="112">
        <f>IF($D764="","","A"&amp;TEXT(ROW()-6,"00000"))</f>
        <v/>
      </c>
      <c r="C764" s="107" t="n"/>
      <c r="D764" s="107" t="n"/>
      <c r="E764" s="113">
        <f>IF($D764="","",IFERROR(INDEX(MUSTERILER!$C$7:$C$106,MATCH($D764,MUSTERILER!$B$7:$B$106,0)),"TANIMSIZ MÜŞTERİ"))</f>
        <v/>
      </c>
      <c r="F764" s="108" t="n"/>
      <c r="G764" s="107" t="n"/>
      <c r="H764" s="114" t="n"/>
      <c r="I764" s="114" t="n"/>
      <c r="J764" s="107" t="n"/>
      <c r="K764" s="107" t="n"/>
      <c r="L764" s="108" t="n"/>
      <c r="M764" s="108" t="n"/>
      <c r="N764" s="108" t="n"/>
      <c r="O764" s="114" t="n"/>
      <c r="P764" s="120">
        <f>IF(OR($D764="",$I764=""),"",IF(OR($J764="Tamamlandı",$J764="İptal"),"",$I764-TODAY()))</f>
        <v/>
      </c>
      <c r="Q764" s="112">
        <f>IF($D764="","",IF($E764="TANIMSIZ MÜŞTERİ","HATA",IF(OR($J764="Tamamlandı",$J764="İptal"),"KAPALI",IF(AND($C764="Görüşme",$N764=""),"SONRAKİ İŞLEM EKSİK",IF($I764="","TARİH EKSİK",IF($I764&lt;TODAY(),"GECİKMİŞ",IF($I764=TODAY(),"BUGÜN",IF($I764&lt;=TODAY()+7,"7 GÜN İÇİNDE","PLANLI"))))))))</f>
        <v/>
      </c>
      <c r="R764" s="6" t="n"/>
      <c r="S764" s="6" t="n"/>
    </row>
    <row r="765">
      <c r="A765" s="6" t="n"/>
      <c r="B765" s="112">
        <f>IF($D765="","","A"&amp;TEXT(ROW()-6,"00000"))</f>
        <v/>
      </c>
      <c r="C765" s="107" t="n"/>
      <c r="D765" s="107" t="n"/>
      <c r="E765" s="113">
        <f>IF($D765="","",IFERROR(INDEX(MUSTERILER!$C$7:$C$106,MATCH($D765,MUSTERILER!$B$7:$B$106,0)),"TANIMSIZ MÜŞTERİ"))</f>
        <v/>
      </c>
      <c r="F765" s="108" t="n"/>
      <c r="G765" s="107" t="n"/>
      <c r="H765" s="114" t="n"/>
      <c r="I765" s="114" t="n"/>
      <c r="J765" s="107" t="n"/>
      <c r="K765" s="107" t="n"/>
      <c r="L765" s="108" t="n"/>
      <c r="M765" s="108" t="n"/>
      <c r="N765" s="108" t="n"/>
      <c r="O765" s="114" t="n"/>
      <c r="P765" s="120">
        <f>IF(OR($D765="",$I765=""),"",IF(OR($J765="Tamamlandı",$J765="İptal"),"",$I765-TODAY()))</f>
        <v/>
      </c>
      <c r="Q765" s="112">
        <f>IF($D765="","",IF($E765="TANIMSIZ MÜŞTERİ","HATA",IF(OR($J765="Tamamlandı",$J765="İptal"),"KAPALI",IF(AND($C765="Görüşme",$N765=""),"SONRAKİ İŞLEM EKSİK",IF($I765="","TARİH EKSİK",IF($I765&lt;TODAY(),"GECİKMİŞ",IF($I765=TODAY(),"BUGÜN",IF($I765&lt;=TODAY()+7,"7 GÜN İÇİNDE","PLANLI"))))))))</f>
        <v/>
      </c>
      <c r="R765" s="6" t="n"/>
      <c r="S765" s="6" t="n"/>
    </row>
    <row r="766">
      <c r="A766" s="6" t="n"/>
      <c r="B766" s="112">
        <f>IF($D766="","","A"&amp;TEXT(ROW()-6,"00000"))</f>
        <v/>
      </c>
      <c r="C766" s="107" t="n"/>
      <c r="D766" s="107" t="n"/>
      <c r="E766" s="113">
        <f>IF($D766="","",IFERROR(INDEX(MUSTERILER!$C$7:$C$106,MATCH($D766,MUSTERILER!$B$7:$B$106,0)),"TANIMSIZ MÜŞTERİ"))</f>
        <v/>
      </c>
      <c r="F766" s="108" t="n"/>
      <c r="G766" s="107" t="n"/>
      <c r="H766" s="114" t="n"/>
      <c r="I766" s="114" t="n"/>
      <c r="J766" s="107" t="n"/>
      <c r="K766" s="107" t="n"/>
      <c r="L766" s="108" t="n"/>
      <c r="M766" s="108" t="n"/>
      <c r="N766" s="108" t="n"/>
      <c r="O766" s="114" t="n"/>
      <c r="P766" s="120">
        <f>IF(OR($D766="",$I766=""),"",IF(OR($J766="Tamamlandı",$J766="İptal"),"",$I766-TODAY()))</f>
        <v/>
      </c>
      <c r="Q766" s="112">
        <f>IF($D766="","",IF($E766="TANIMSIZ MÜŞTERİ","HATA",IF(OR($J766="Tamamlandı",$J766="İptal"),"KAPALI",IF(AND($C766="Görüşme",$N766=""),"SONRAKİ İŞLEM EKSİK",IF($I766="","TARİH EKSİK",IF($I766&lt;TODAY(),"GECİKMİŞ",IF($I766=TODAY(),"BUGÜN",IF($I766&lt;=TODAY()+7,"7 GÜN İÇİNDE","PLANLI"))))))))</f>
        <v/>
      </c>
      <c r="R766" s="6" t="n"/>
      <c r="S766" s="6" t="n"/>
    </row>
    <row r="767">
      <c r="A767" s="6" t="n"/>
      <c r="B767" s="112">
        <f>IF($D767="","","A"&amp;TEXT(ROW()-6,"00000"))</f>
        <v/>
      </c>
      <c r="C767" s="107" t="n"/>
      <c r="D767" s="107" t="n"/>
      <c r="E767" s="113">
        <f>IF($D767="","",IFERROR(INDEX(MUSTERILER!$C$7:$C$106,MATCH($D767,MUSTERILER!$B$7:$B$106,0)),"TANIMSIZ MÜŞTERİ"))</f>
        <v/>
      </c>
      <c r="F767" s="108" t="n"/>
      <c r="G767" s="107" t="n"/>
      <c r="H767" s="114" t="n"/>
      <c r="I767" s="114" t="n"/>
      <c r="J767" s="107" t="n"/>
      <c r="K767" s="107" t="n"/>
      <c r="L767" s="108" t="n"/>
      <c r="M767" s="108" t="n"/>
      <c r="N767" s="108" t="n"/>
      <c r="O767" s="114" t="n"/>
      <c r="P767" s="120">
        <f>IF(OR($D767="",$I767=""),"",IF(OR($J767="Tamamlandı",$J767="İptal"),"",$I767-TODAY()))</f>
        <v/>
      </c>
      <c r="Q767" s="112">
        <f>IF($D767="","",IF($E767="TANIMSIZ MÜŞTERİ","HATA",IF(OR($J767="Tamamlandı",$J767="İptal"),"KAPALI",IF(AND($C767="Görüşme",$N767=""),"SONRAKİ İŞLEM EKSİK",IF($I767="","TARİH EKSİK",IF($I767&lt;TODAY(),"GECİKMİŞ",IF($I767=TODAY(),"BUGÜN",IF($I767&lt;=TODAY()+7,"7 GÜN İÇİNDE","PLANLI"))))))))</f>
        <v/>
      </c>
      <c r="R767" s="6" t="n"/>
      <c r="S767" s="6" t="n"/>
    </row>
    <row r="768">
      <c r="A768" s="6" t="n"/>
      <c r="B768" s="112">
        <f>IF($D768="","","A"&amp;TEXT(ROW()-6,"00000"))</f>
        <v/>
      </c>
      <c r="C768" s="107" t="n"/>
      <c r="D768" s="107" t="n"/>
      <c r="E768" s="113">
        <f>IF($D768="","",IFERROR(INDEX(MUSTERILER!$C$7:$C$106,MATCH($D768,MUSTERILER!$B$7:$B$106,0)),"TANIMSIZ MÜŞTERİ"))</f>
        <v/>
      </c>
      <c r="F768" s="108" t="n"/>
      <c r="G768" s="107" t="n"/>
      <c r="H768" s="114" t="n"/>
      <c r="I768" s="114" t="n"/>
      <c r="J768" s="107" t="n"/>
      <c r="K768" s="107" t="n"/>
      <c r="L768" s="108" t="n"/>
      <c r="M768" s="108" t="n"/>
      <c r="N768" s="108" t="n"/>
      <c r="O768" s="114" t="n"/>
      <c r="P768" s="120">
        <f>IF(OR($D768="",$I768=""),"",IF(OR($J768="Tamamlandı",$J768="İptal"),"",$I768-TODAY()))</f>
        <v/>
      </c>
      <c r="Q768" s="112">
        <f>IF($D768="","",IF($E768="TANIMSIZ MÜŞTERİ","HATA",IF(OR($J768="Tamamlandı",$J768="İptal"),"KAPALI",IF(AND($C768="Görüşme",$N768=""),"SONRAKİ İŞLEM EKSİK",IF($I768="","TARİH EKSİK",IF($I768&lt;TODAY(),"GECİKMİŞ",IF($I768=TODAY(),"BUGÜN",IF($I768&lt;=TODAY()+7,"7 GÜN İÇİNDE","PLANLI"))))))))</f>
        <v/>
      </c>
      <c r="R768" s="6" t="n"/>
      <c r="S768" s="6" t="n"/>
    </row>
    <row r="769">
      <c r="A769" s="6" t="n"/>
      <c r="B769" s="112">
        <f>IF($D769="","","A"&amp;TEXT(ROW()-6,"00000"))</f>
        <v/>
      </c>
      <c r="C769" s="107" t="n"/>
      <c r="D769" s="107" t="n"/>
      <c r="E769" s="113">
        <f>IF($D769="","",IFERROR(INDEX(MUSTERILER!$C$7:$C$106,MATCH($D769,MUSTERILER!$B$7:$B$106,0)),"TANIMSIZ MÜŞTERİ"))</f>
        <v/>
      </c>
      <c r="F769" s="108" t="n"/>
      <c r="G769" s="107" t="n"/>
      <c r="H769" s="114" t="n"/>
      <c r="I769" s="114" t="n"/>
      <c r="J769" s="107" t="n"/>
      <c r="K769" s="107" t="n"/>
      <c r="L769" s="108" t="n"/>
      <c r="M769" s="108" t="n"/>
      <c r="N769" s="108" t="n"/>
      <c r="O769" s="114" t="n"/>
      <c r="P769" s="120">
        <f>IF(OR($D769="",$I769=""),"",IF(OR($J769="Tamamlandı",$J769="İptal"),"",$I769-TODAY()))</f>
        <v/>
      </c>
      <c r="Q769" s="112">
        <f>IF($D769="","",IF($E769="TANIMSIZ MÜŞTERİ","HATA",IF(OR($J769="Tamamlandı",$J769="İptal"),"KAPALI",IF(AND($C769="Görüşme",$N769=""),"SONRAKİ İŞLEM EKSİK",IF($I769="","TARİH EKSİK",IF($I769&lt;TODAY(),"GECİKMİŞ",IF($I769=TODAY(),"BUGÜN",IF($I769&lt;=TODAY()+7,"7 GÜN İÇİNDE","PLANLI"))))))))</f>
        <v/>
      </c>
      <c r="R769" s="6" t="n"/>
      <c r="S769" s="6" t="n"/>
    </row>
    <row r="770">
      <c r="A770" s="6" t="n"/>
      <c r="B770" s="112">
        <f>IF($D770="","","A"&amp;TEXT(ROW()-6,"00000"))</f>
        <v/>
      </c>
      <c r="C770" s="107" t="n"/>
      <c r="D770" s="107" t="n"/>
      <c r="E770" s="113">
        <f>IF($D770="","",IFERROR(INDEX(MUSTERILER!$C$7:$C$106,MATCH($D770,MUSTERILER!$B$7:$B$106,0)),"TANIMSIZ MÜŞTERİ"))</f>
        <v/>
      </c>
      <c r="F770" s="108" t="n"/>
      <c r="G770" s="107" t="n"/>
      <c r="H770" s="114" t="n"/>
      <c r="I770" s="114" t="n"/>
      <c r="J770" s="107" t="n"/>
      <c r="K770" s="107" t="n"/>
      <c r="L770" s="108" t="n"/>
      <c r="M770" s="108" t="n"/>
      <c r="N770" s="108" t="n"/>
      <c r="O770" s="114" t="n"/>
      <c r="P770" s="120">
        <f>IF(OR($D770="",$I770=""),"",IF(OR($J770="Tamamlandı",$J770="İptal"),"",$I770-TODAY()))</f>
        <v/>
      </c>
      <c r="Q770" s="112">
        <f>IF($D770="","",IF($E770="TANIMSIZ MÜŞTERİ","HATA",IF(OR($J770="Tamamlandı",$J770="İptal"),"KAPALI",IF(AND($C770="Görüşme",$N770=""),"SONRAKİ İŞLEM EKSİK",IF($I770="","TARİH EKSİK",IF($I770&lt;TODAY(),"GECİKMİŞ",IF($I770=TODAY(),"BUGÜN",IF($I770&lt;=TODAY()+7,"7 GÜN İÇİNDE","PLANLI"))))))))</f>
        <v/>
      </c>
      <c r="R770" s="6" t="n"/>
      <c r="S770" s="6" t="n"/>
    </row>
    <row r="771">
      <c r="A771" s="6" t="n"/>
      <c r="B771" s="112">
        <f>IF($D771="","","A"&amp;TEXT(ROW()-6,"00000"))</f>
        <v/>
      </c>
      <c r="C771" s="107" t="n"/>
      <c r="D771" s="107" t="n"/>
      <c r="E771" s="113">
        <f>IF($D771="","",IFERROR(INDEX(MUSTERILER!$C$7:$C$106,MATCH($D771,MUSTERILER!$B$7:$B$106,0)),"TANIMSIZ MÜŞTERİ"))</f>
        <v/>
      </c>
      <c r="F771" s="108" t="n"/>
      <c r="G771" s="107" t="n"/>
      <c r="H771" s="114" t="n"/>
      <c r="I771" s="114" t="n"/>
      <c r="J771" s="107" t="n"/>
      <c r="K771" s="107" t="n"/>
      <c r="L771" s="108" t="n"/>
      <c r="M771" s="108" t="n"/>
      <c r="N771" s="108" t="n"/>
      <c r="O771" s="114" t="n"/>
      <c r="P771" s="120">
        <f>IF(OR($D771="",$I771=""),"",IF(OR($J771="Tamamlandı",$J771="İptal"),"",$I771-TODAY()))</f>
        <v/>
      </c>
      <c r="Q771" s="112">
        <f>IF($D771="","",IF($E771="TANIMSIZ MÜŞTERİ","HATA",IF(OR($J771="Tamamlandı",$J771="İptal"),"KAPALI",IF(AND($C771="Görüşme",$N771=""),"SONRAKİ İŞLEM EKSİK",IF($I771="","TARİH EKSİK",IF($I771&lt;TODAY(),"GECİKMİŞ",IF($I771=TODAY(),"BUGÜN",IF($I771&lt;=TODAY()+7,"7 GÜN İÇİNDE","PLANLI"))))))))</f>
        <v/>
      </c>
      <c r="R771" s="6" t="n"/>
      <c r="S771" s="6" t="n"/>
    </row>
    <row r="772">
      <c r="A772" s="6" t="n"/>
      <c r="B772" s="112">
        <f>IF($D772="","","A"&amp;TEXT(ROW()-6,"00000"))</f>
        <v/>
      </c>
      <c r="C772" s="107" t="n"/>
      <c r="D772" s="107" t="n"/>
      <c r="E772" s="113">
        <f>IF($D772="","",IFERROR(INDEX(MUSTERILER!$C$7:$C$106,MATCH($D772,MUSTERILER!$B$7:$B$106,0)),"TANIMSIZ MÜŞTERİ"))</f>
        <v/>
      </c>
      <c r="F772" s="108" t="n"/>
      <c r="G772" s="107" t="n"/>
      <c r="H772" s="114" t="n"/>
      <c r="I772" s="114" t="n"/>
      <c r="J772" s="107" t="n"/>
      <c r="K772" s="107" t="n"/>
      <c r="L772" s="108" t="n"/>
      <c r="M772" s="108" t="n"/>
      <c r="N772" s="108" t="n"/>
      <c r="O772" s="114" t="n"/>
      <c r="P772" s="120">
        <f>IF(OR($D772="",$I772=""),"",IF(OR($J772="Tamamlandı",$J772="İptal"),"",$I772-TODAY()))</f>
        <v/>
      </c>
      <c r="Q772" s="112">
        <f>IF($D772="","",IF($E772="TANIMSIZ MÜŞTERİ","HATA",IF(OR($J772="Tamamlandı",$J772="İptal"),"KAPALI",IF(AND($C772="Görüşme",$N772=""),"SONRAKİ İŞLEM EKSİK",IF($I772="","TARİH EKSİK",IF($I772&lt;TODAY(),"GECİKMİŞ",IF($I772=TODAY(),"BUGÜN",IF($I772&lt;=TODAY()+7,"7 GÜN İÇİNDE","PLANLI"))))))))</f>
        <v/>
      </c>
      <c r="R772" s="6" t="n"/>
      <c r="S772" s="6" t="n"/>
    </row>
    <row r="773">
      <c r="A773" s="6" t="n"/>
      <c r="B773" s="112">
        <f>IF($D773="","","A"&amp;TEXT(ROW()-6,"00000"))</f>
        <v/>
      </c>
      <c r="C773" s="107" t="n"/>
      <c r="D773" s="107" t="n"/>
      <c r="E773" s="113">
        <f>IF($D773="","",IFERROR(INDEX(MUSTERILER!$C$7:$C$106,MATCH($D773,MUSTERILER!$B$7:$B$106,0)),"TANIMSIZ MÜŞTERİ"))</f>
        <v/>
      </c>
      <c r="F773" s="108" t="n"/>
      <c r="G773" s="107" t="n"/>
      <c r="H773" s="114" t="n"/>
      <c r="I773" s="114" t="n"/>
      <c r="J773" s="107" t="n"/>
      <c r="K773" s="107" t="n"/>
      <c r="L773" s="108" t="n"/>
      <c r="M773" s="108" t="n"/>
      <c r="N773" s="108" t="n"/>
      <c r="O773" s="114" t="n"/>
      <c r="P773" s="120">
        <f>IF(OR($D773="",$I773=""),"",IF(OR($J773="Tamamlandı",$J773="İptal"),"",$I773-TODAY()))</f>
        <v/>
      </c>
      <c r="Q773" s="112">
        <f>IF($D773="","",IF($E773="TANIMSIZ MÜŞTERİ","HATA",IF(OR($J773="Tamamlandı",$J773="İptal"),"KAPALI",IF(AND($C773="Görüşme",$N773=""),"SONRAKİ İŞLEM EKSİK",IF($I773="","TARİH EKSİK",IF($I773&lt;TODAY(),"GECİKMİŞ",IF($I773=TODAY(),"BUGÜN",IF($I773&lt;=TODAY()+7,"7 GÜN İÇİNDE","PLANLI"))))))))</f>
        <v/>
      </c>
      <c r="R773" s="6" t="n"/>
      <c r="S773" s="6" t="n"/>
    </row>
    <row r="774">
      <c r="A774" s="6" t="n"/>
      <c r="B774" s="112">
        <f>IF($D774="","","A"&amp;TEXT(ROW()-6,"00000"))</f>
        <v/>
      </c>
      <c r="C774" s="107" t="n"/>
      <c r="D774" s="107" t="n"/>
      <c r="E774" s="113">
        <f>IF($D774="","",IFERROR(INDEX(MUSTERILER!$C$7:$C$106,MATCH($D774,MUSTERILER!$B$7:$B$106,0)),"TANIMSIZ MÜŞTERİ"))</f>
        <v/>
      </c>
      <c r="F774" s="108" t="n"/>
      <c r="G774" s="107" t="n"/>
      <c r="H774" s="114" t="n"/>
      <c r="I774" s="114" t="n"/>
      <c r="J774" s="107" t="n"/>
      <c r="K774" s="107" t="n"/>
      <c r="L774" s="108" t="n"/>
      <c r="M774" s="108" t="n"/>
      <c r="N774" s="108" t="n"/>
      <c r="O774" s="114" t="n"/>
      <c r="P774" s="120">
        <f>IF(OR($D774="",$I774=""),"",IF(OR($J774="Tamamlandı",$J774="İptal"),"",$I774-TODAY()))</f>
        <v/>
      </c>
      <c r="Q774" s="112">
        <f>IF($D774="","",IF($E774="TANIMSIZ MÜŞTERİ","HATA",IF(OR($J774="Tamamlandı",$J774="İptal"),"KAPALI",IF(AND($C774="Görüşme",$N774=""),"SONRAKİ İŞLEM EKSİK",IF($I774="","TARİH EKSİK",IF($I774&lt;TODAY(),"GECİKMİŞ",IF($I774=TODAY(),"BUGÜN",IF($I774&lt;=TODAY()+7,"7 GÜN İÇİNDE","PLANLI"))))))))</f>
        <v/>
      </c>
      <c r="R774" s="6" t="n"/>
      <c r="S774" s="6" t="n"/>
    </row>
    <row r="775">
      <c r="A775" s="6" t="n"/>
      <c r="B775" s="112">
        <f>IF($D775="","","A"&amp;TEXT(ROW()-6,"00000"))</f>
        <v/>
      </c>
      <c r="C775" s="107" t="n"/>
      <c r="D775" s="107" t="n"/>
      <c r="E775" s="113">
        <f>IF($D775="","",IFERROR(INDEX(MUSTERILER!$C$7:$C$106,MATCH($D775,MUSTERILER!$B$7:$B$106,0)),"TANIMSIZ MÜŞTERİ"))</f>
        <v/>
      </c>
      <c r="F775" s="108" t="n"/>
      <c r="G775" s="107" t="n"/>
      <c r="H775" s="114" t="n"/>
      <c r="I775" s="114" t="n"/>
      <c r="J775" s="107" t="n"/>
      <c r="K775" s="107" t="n"/>
      <c r="L775" s="108" t="n"/>
      <c r="M775" s="108" t="n"/>
      <c r="N775" s="108" t="n"/>
      <c r="O775" s="114" t="n"/>
      <c r="P775" s="120">
        <f>IF(OR($D775="",$I775=""),"",IF(OR($J775="Tamamlandı",$J775="İptal"),"",$I775-TODAY()))</f>
        <v/>
      </c>
      <c r="Q775" s="112">
        <f>IF($D775="","",IF($E775="TANIMSIZ MÜŞTERİ","HATA",IF(OR($J775="Tamamlandı",$J775="İptal"),"KAPALI",IF(AND($C775="Görüşme",$N775=""),"SONRAKİ İŞLEM EKSİK",IF($I775="","TARİH EKSİK",IF($I775&lt;TODAY(),"GECİKMİŞ",IF($I775=TODAY(),"BUGÜN",IF($I775&lt;=TODAY()+7,"7 GÜN İÇİNDE","PLANLI"))))))))</f>
        <v/>
      </c>
      <c r="R775" s="6" t="n"/>
      <c r="S775" s="6" t="n"/>
    </row>
    <row r="776">
      <c r="A776" s="6" t="n"/>
      <c r="B776" s="112">
        <f>IF($D776="","","A"&amp;TEXT(ROW()-6,"00000"))</f>
        <v/>
      </c>
      <c r="C776" s="107" t="n"/>
      <c r="D776" s="107" t="n"/>
      <c r="E776" s="113">
        <f>IF($D776="","",IFERROR(INDEX(MUSTERILER!$C$7:$C$106,MATCH($D776,MUSTERILER!$B$7:$B$106,0)),"TANIMSIZ MÜŞTERİ"))</f>
        <v/>
      </c>
      <c r="F776" s="108" t="n"/>
      <c r="G776" s="107" t="n"/>
      <c r="H776" s="114" t="n"/>
      <c r="I776" s="114" t="n"/>
      <c r="J776" s="107" t="n"/>
      <c r="K776" s="107" t="n"/>
      <c r="L776" s="108" t="n"/>
      <c r="M776" s="108" t="n"/>
      <c r="N776" s="108" t="n"/>
      <c r="O776" s="114" t="n"/>
      <c r="P776" s="120">
        <f>IF(OR($D776="",$I776=""),"",IF(OR($J776="Tamamlandı",$J776="İptal"),"",$I776-TODAY()))</f>
        <v/>
      </c>
      <c r="Q776" s="112">
        <f>IF($D776="","",IF($E776="TANIMSIZ MÜŞTERİ","HATA",IF(OR($J776="Tamamlandı",$J776="İptal"),"KAPALI",IF(AND($C776="Görüşme",$N776=""),"SONRAKİ İŞLEM EKSİK",IF($I776="","TARİH EKSİK",IF($I776&lt;TODAY(),"GECİKMİŞ",IF($I776=TODAY(),"BUGÜN",IF($I776&lt;=TODAY()+7,"7 GÜN İÇİNDE","PLANLI"))))))))</f>
        <v/>
      </c>
      <c r="R776" s="6" t="n"/>
      <c r="S776" s="6" t="n"/>
    </row>
    <row r="777">
      <c r="A777" s="6" t="n"/>
      <c r="B777" s="112">
        <f>IF($D777="","","A"&amp;TEXT(ROW()-6,"00000"))</f>
        <v/>
      </c>
      <c r="C777" s="107" t="n"/>
      <c r="D777" s="107" t="n"/>
      <c r="E777" s="113">
        <f>IF($D777="","",IFERROR(INDEX(MUSTERILER!$C$7:$C$106,MATCH($D777,MUSTERILER!$B$7:$B$106,0)),"TANIMSIZ MÜŞTERİ"))</f>
        <v/>
      </c>
      <c r="F777" s="108" t="n"/>
      <c r="G777" s="107" t="n"/>
      <c r="H777" s="114" t="n"/>
      <c r="I777" s="114" t="n"/>
      <c r="J777" s="107" t="n"/>
      <c r="K777" s="107" t="n"/>
      <c r="L777" s="108" t="n"/>
      <c r="M777" s="108" t="n"/>
      <c r="N777" s="108" t="n"/>
      <c r="O777" s="114" t="n"/>
      <c r="P777" s="120">
        <f>IF(OR($D777="",$I777=""),"",IF(OR($J777="Tamamlandı",$J777="İptal"),"",$I777-TODAY()))</f>
        <v/>
      </c>
      <c r="Q777" s="112">
        <f>IF($D777="","",IF($E777="TANIMSIZ MÜŞTERİ","HATA",IF(OR($J777="Tamamlandı",$J777="İptal"),"KAPALI",IF(AND($C777="Görüşme",$N777=""),"SONRAKİ İŞLEM EKSİK",IF($I777="","TARİH EKSİK",IF($I777&lt;TODAY(),"GECİKMİŞ",IF($I777=TODAY(),"BUGÜN",IF($I777&lt;=TODAY()+7,"7 GÜN İÇİNDE","PLANLI"))))))))</f>
        <v/>
      </c>
      <c r="R777" s="6" t="n"/>
      <c r="S777" s="6" t="n"/>
    </row>
    <row r="778">
      <c r="A778" s="6" t="n"/>
      <c r="B778" s="112">
        <f>IF($D778="","","A"&amp;TEXT(ROW()-6,"00000"))</f>
        <v/>
      </c>
      <c r="C778" s="107" t="n"/>
      <c r="D778" s="107" t="n"/>
      <c r="E778" s="113">
        <f>IF($D778="","",IFERROR(INDEX(MUSTERILER!$C$7:$C$106,MATCH($D778,MUSTERILER!$B$7:$B$106,0)),"TANIMSIZ MÜŞTERİ"))</f>
        <v/>
      </c>
      <c r="F778" s="108" t="n"/>
      <c r="G778" s="107" t="n"/>
      <c r="H778" s="114" t="n"/>
      <c r="I778" s="114" t="n"/>
      <c r="J778" s="107" t="n"/>
      <c r="K778" s="107" t="n"/>
      <c r="L778" s="108" t="n"/>
      <c r="M778" s="108" t="n"/>
      <c r="N778" s="108" t="n"/>
      <c r="O778" s="114" t="n"/>
      <c r="P778" s="120">
        <f>IF(OR($D778="",$I778=""),"",IF(OR($J778="Tamamlandı",$J778="İptal"),"",$I778-TODAY()))</f>
        <v/>
      </c>
      <c r="Q778" s="112">
        <f>IF($D778="","",IF($E778="TANIMSIZ MÜŞTERİ","HATA",IF(OR($J778="Tamamlandı",$J778="İptal"),"KAPALI",IF(AND($C778="Görüşme",$N778=""),"SONRAKİ İŞLEM EKSİK",IF($I778="","TARİH EKSİK",IF($I778&lt;TODAY(),"GECİKMİŞ",IF($I778=TODAY(),"BUGÜN",IF($I778&lt;=TODAY()+7,"7 GÜN İÇİNDE","PLANLI"))))))))</f>
        <v/>
      </c>
      <c r="R778" s="6" t="n"/>
      <c r="S778" s="6" t="n"/>
    </row>
    <row r="779">
      <c r="A779" s="6" t="n"/>
      <c r="B779" s="112">
        <f>IF($D779="","","A"&amp;TEXT(ROW()-6,"00000"))</f>
        <v/>
      </c>
      <c r="C779" s="107" t="n"/>
      <c r="D779" s="107" t="n"/>
      <c r="E779" s="113">
        <f>IF($D779="","",IFERROR(INDEX(MUSTERILER!$C$7:$C$106,MATCH($D779,MUSTERILER!$B$7:$B$106,0)),"TANIMSIZ MÜŞTERİ"))</f>
        <v/>
      </c>
      <c r="F779" s="108" t="n"/>
      <c r="G779" s="107" t="n"/>
      <c r="H779" s="114" t="n"/>
      <c r="I779" s="114" t="n"/>
      <c r="J779" s="107" t="n"/>
      <c r="K779" s="107" t="n"/>
      <c r="L779" s="108" t="n"/>
      <c r="M779" s="108" t="n"/>
      <c r="N779" s="108" t="n"/>
      <c r="O779" s="114" t="n"/>
      <c r="P779" s="120">
        <f>IF(OR($D779="",$I779=""),"",IF(OR($J779="Tamamlandı",$J779="İptal"),"",$I779-TODAY()))</f>
        <v/>
      </c>
      <c r="Q779" s="112">
        <f>IF($D779="","",IF($E779="TANIMSIZ MÜŞTERİ","HATA",IF(OR($J779="Tamamlandı",$J779="İptal"),"KAPALI",IF(AND($C779="Görüşme",$N779=""),"SONRAKİ İŞLEM EKSİK",IF($I779="","TARİH EKSİK",IF($I779&lt;TODAY(),"GECİKMİŞ",IF($I779=TODAY(),"BUGÜN",IF($I779&lt;=TODAY()+7,"7 GÜN İÇİNDE","PLANLI"))))))))</f>
        <v/>
      </c>
      <c r="R779" s="6" t="n"/>
      <c r="S779" s="6" t="n"/>
    </row>
    <row r="780">
      <c r="A780" s="6" t="n"/>
      <c r="B780" s="112">
        <f>IF($D780="","","A"&amp;TEXT(ROW()-6,"00000"))</f>
        <v/>
      </c>
      <c r="C780" s="107" t="n"/>
      <c r="D780" s="107" t="n"/>
      <c r="E780" s="113">
        <f>IF($D780="","",IFERROR(INDEX(MUSTERILER!$C$7:$C$106,MATCH($D780,MUSTERILER!$B$7:$B$106,0)),"TANIMSIZ MÜŞTERİ"))</f>
        <v/>
      </c>
      <c r="F780" s="108" t="n"/>
      <c r="G780" s="107" t="n"/>
      <c r="H780" s="114" t="n"/>
      <c r="I780" s="114" t="n"/>
      <c r="J780" s="107" t="n"/>
      <c r="K780" s="107" t="n"/>
      <c r="L780" s="108" t="n"/>
      <c r="M780" s="108" t="n"/>
      <c r="N780" s="108" t="n"/>
      <c r="O780" s="114" t="n"/>
      <c r="P780" s="120">
        <f>IF(OR($D780="",$I780=""),"",IF(OR($J780="Tamamlandı",$J780="İptal"),"",$I780-TODAY()))</f>
        <v/>
      </c>
      <c r="Q780" s="112">
        <f>IF($D780="","",IF($E780="TANIMSIZ MÜŞTERİ","HATA",IF(OR($J780="Tamamlandı",$J780="İptal"),"KAPALI",IF(AND($C780="Görüşme",$N780=""),"SONRAKİ İŞLEM EKSİK",IF($I780="","TARİH EKSİK",IF($I780&lt;TODAY(),"GECİKMİŞ",IF($I780=TODAY(),"BUGÜN",IF($I780&lt;=TODAY()+7,"7 GÜN İÇİNDE","PLANLI"))))))))</f>
        <v/>
      </c>
      <c r="R780" s="6" t="n"/>
      <c r="S780" s="6" t="n"/>
    </row>
    <row r="781">
      <c r="A781" s="6" t="n"/>
      <c r="B781" s="112">
        <f>IF($D781="","","A"&amp;TEXT(ROW()-6,"00000"))</f>
        <v/>
      </c>
      <c r="C781" s="107" t="n"/>
      <c r="D781" s="107" t="n"/>
      <c r="E781" s="113">
        <f>IF($D781="","",IFERROR(INDEX(MUSTERILER!$C$7:$C$106,MATCH($D781,MUSTERILER!$B$7:$B$106,0)),"TANIMSIZ MÜŞTERİ"))</f>
        <v/>
      </c>
      <c r="F781" s="108" t="n"/>
      <c r="G781" s="107" t="n"/>
      <c r="H781" s="114" t="n"/>
      <c r="I781" s="114" t="n"/>
      <c r="J781" s="107" t="n"/>
      <c r="K781" s="107" t="n"/>
      <c r="L781" s="108" t="n"/>
      <c r="M781" s="108" t="n"/>
      <c r="N781" s="108" t="n"/>
      <c r="O781" s="114" t="n"/>
      <c r="P781" s="120">
        <f>IF(OR($D781="",$I781=""),"",IF(OR($J781="Tamamlandı",$J781="İptal"),"",$I781-TODAY()))</f>
        <v/>
      </c>
      <c r="Q781" s="112">
        <f>IF($D781="","",IF($E781="TANIMSIZ MÜŞTERİ","HATA",IF(OR($J781="Tamamlandı",$J781="İptal"),"KAPALI",IF(AND($C781="Görüşme",$N781=""),"SONRAKİ İŞLEM EKSİK",IF($I781="","TARİH EKSİK",IF($I781&lt;TODAY(),"GECİKMİŞ",IF($I781=TODAY(),"BUGÜN",IF($I781&lt;=TODAY()+7,"7 GÜN İÇİNDE","PLANLI"))))))))</f>
        <v/>
      </c>
      <c r="R781" s="6" t="n"/>
      <c r="S781" s="6" t="n"/>
    </row>
    <row r="782">
      <c r="A782" s="6" t="n"/>
      <c r="B782" s="112">
        <f>IF($D782="","","A"&amp;TEXT(ROW()-6,"00000"))</f>
        <v/>
      </c>
      <c r="C782" s="107" t="n"/>
      <c r="D782" s="107" t="n"/>
      <c r="E782" s="113">
        <f>IF($D782="","",IFERROR(INDEX(MUSTERILER!$C$7:$C$106,MATCH($D782,MUSTERILER!$B$7:$B$106,0)),"TANIMSIZ MÜŞTERİ"))</f>
        <v/>
      </c>
      <c r="F782" s="108" t="n"/>
      <c r="G782" s="107" t="n"/>
      <c r="H782" s="114" t="n"/>
      <c r="I782" s="114" t="n"/>
      <c r="J782" s="107" t="n"/>
      <c r="K782" s="107" t="n"/>
      <c r="L782" s="108" t="n"/>
      <c r="M782" s="108" t="n"/>
      <c r="N782" s="108" t="n"/>
      <c r="O782" s="114" t="n"/>
      <c r="P782" s="120">
        <f>IF(OR($D782="",$I782=""),"",IF(OR($J782="Tamamlandı",$J782="İptal"),"",$I782-TODAY()))</f>
        <v/>
      </c>
      <c r="Q782" s="112">
        <f>IF($D782="","",IF($E782="TANIMSIZ MÜŞTERİ","HATA",IF(OR($J782="Tamamlandı",$J782="İptal"),"KAPALI",IF(AND($C782="Görüşme",$N782=""),"SONRAKİ İŞLEM EKSİK",IF($I782="","TARİH EKSİK",IF($I782&lt;TODAY(),"GECİKMİŞ",IF($I782=TODAY(),"BUGÜN",IF($I782&lt;=TODAY()+7,"7 GÜN İÇİNDE","PLANLI"))))))))</f>
        <v/>
      </c>
      <c r="R782" s="6" t="n"/>
      <c r="S782" s="6" t="n"/>
    </row>
    <row r="783">
      <c r="A783" s="6" t="n"/>
      <c r="B783" s="112">
        <f>IF($D783="","","A"&amp;TEXT(ROW()-6,"00000"))</f>
        <v/>
      </c>
      <c r="C783" s="107" t="n"/>
      <c r="D783" s="107" t="n"/>
      <c r="E783" s="113">
        <f>IF($D783="","",IFERROR(INDEX(MUSTERILER!$C$7:$C$106,MATCH($D783,MUSTERILER!$B$7:$B$106,0)),"TANIMSIZ MÜŞTERİ"))</f>
        <v/>
      </c>
      <c r="F783" s="108" t="n"/>
      <c r="G783" s="107" t="n"/>
      <c r="H783" s="114" t="n"/>
      <c r="I783" s="114" t="n"/>
      <c r="J783" s="107" t="n"/>
      <c r="K783" s="107" t="n"/>
      <c r="L783" s="108" t="n"/>
      <c r="M783" s="108" t="n"/>
      <c r="N783" s="108" t="n"/>
      <c r="O783" s="114" t="n"/>
      <c r="P783" s="120">
        <f>IF(OR($D783="",$I783=""),"",IF(OR($J783="Tamamlandı",$J783="İptal"),"",$I783-TODAY()))</f>
        <v/>
      </c>
      <c r="Q783" s="112">
        <f>IF($D783="","",IF($E783="TANIMSIZ MÜŞTERİ","HATA",IF(OR($J783="Tamamlandı",$J783="İptal"),"KAPALI",IF(AND($C783="Görüşme",$N783=""),"SONRAKİ İŞLEM EKSİK",IF($I783="","TARİH EKSİK",IF($I783&lt;TODAY(),"GECİKMİŞ",IF($I783=TODAY(),"BUGÜN",IF($I783&lt;=TODAY()+7,"7 GÜN İÇİNDE","PLANLI"))))))))</f>
        <v/>
      </c>
      <c r="R783" s="6" t="n"/>
      <c r="S783" s="6" t="n"/>
    </row>
    <row r="784">
      <c r="A784" s="6" t="n"/>
      <c r="B784" s="112">
        <f>IF($D784="","","A"&amp;TEXT(ROW()-6,"00000"))</f>
        <v/>
      </c>
      <c r="C784" s="107" t="n"/>
      <c r="D784" s="107" t="n"/>
      <c r="E784" s="113">
        <f>IF($D784="","",IFERROR(INDEX(MUSTERILER!$C$7:$C$106,MATCH($D784,MUSTERILER!$B$7:$B$106,0)),"TANIMSIZ MÜŞTERİ"))</f>
        <v/>
      </c>
      <c r="F784" s="108" t="n"/>
      <c r="G784" s="107" t="n"/>
      <c r="H784" s="114" t="n"/>
      <c r="I784" s="114" t="n"/>
      <c r="J784" s="107" t="n"/>
      <c r="K784" s="107" t="n"/>
      <c r="L784" s="108" t="n"/>
      <c r="M784" s="108" t="n"/>
      <c r="N784" s="108" t="n"/>
      <c r="O784" s="114" t="n"/>
      <c r="P784" s="120">
        <f>IF(OR($D784="",$I784=""),"",IF(OR($J784="Tamamlandı",$J784="İptal"),"",$I784-TODAY()))</f>
        <v/>
      </c>
      <c r="Q784" s="112">
        <f>IF($D784="","",IF($E784="TANIMSIZ MÜŞTERİ","HATA",IF(OR($J784="Tamamlandı",$J784="İptal"),"KAPALI",IF(AND($C784="Görüşme",$N784=""),"SONRAKİ İŞLEM EKSİK",IF($I784="","TARİH EKSİK",IF($I784&lt;TODAY(),"GECİKMİŞ",IF($I784=TODAY(),"BUGÜN",IF($I784&lt;=TODAY()+7,"7 GÜN İÇİNDE","PLANLI"))))))))</f>
        <v/>
      </c>
      <c r="R784" s="6" t="n"/>
      <c r="S784" s="6" t="n"/>
    </row>
    <row r="785">
      <c r="A785" s="6" t="n"/>
      <c r="B785" s="112">
        <f>IF($D785="","","A"&amp;TEXT(ROW()-6,"00000"))</f>
        <v/>
      </c>
      <c r="C785" s="107" t="n"/>
      <c r="D785" s="107" t="n"/>
      <c r="E785" s="113">
        <f>IF($D785="","",IFERROR(INDEX(MUSTERILER!$C$7:$C$106,MATCH($D785,MUSTERILER!$B$7:$B$106,0)),"TANIMSIZ MÜŞTERİ"))</f>
        <v/>
      </c>
      <c r="F785" s="108" t="n"/>
      <c r="G785" s="107" t="n"/>
      <c r="H785" s="114" t="n"/>
      <c r="I785" s="114" t="n"/>
      <c r="J785" s="107" t="n"/>
      <c r="K785" s="107" t="n"/>
      <c r="L785" s="108" t="n"/>
      <c r="M785" s="108" t="n"/>
      <c r="N785" s="108" t="n"/>
      <c r="O785" s="114" t="n"/>
      <c r="P785" s="120">
        <f>IF(OR($D785="",$I785=""),"",IF(OR($J785="Tamamlandı",$J785="İptal"),"",$I785-TODAY()))</f>
        <v/>
      </c>
      <c r="Q785" s="112">
        <f>IF($D785="","",IF($E785="TANIMSIZ MÜŞTERİ","HATA",IF(OR($J785="Tamamlandı",$J785="İptal"),"KAPALI",IF(AND($C785="Görüşme",$N785=""),"SONRAKİ İŞLEM EKSİK",IF($I785="","TARİH EKSİK",IF($I785&lt;TODAY(),"GECİKMİŞ",IF($I785=TODAY(),"BUGÜN",IF($I785&lt;=TODAY()+7,"7 GÜN İÇİNDE","PLANLI"))))))))</f>
        <v/>
      </c>
      <c r="R785" s="6" t="n"/>
      <c r="S785" s="6" t="n"/>
    </row>
    <row r="786">
      <c r="A786" s="6" t="n"/>
      <c r="B786" s="112">
        <f>IF($D786="","","A"&amp;TEXT(ROW()-6,"00000"))</f>
        <v/>
      </c>
      <c r="C786" s="107" t="n"/>
      <c r="D786" s="107" t="n"/>
      <c r="E786" s="113">
        <f>IF($D786="","",IFERROR(INDEX(MUSTERILER!$C$7:$C$106,MATCH($D786,MUSTERILER!$B$7:$B$106,0)),"TANIMSIZ MÜŞTERİ"))</f>
        <v/>
      </c>
      <c r="F786" s="108" t="n"/>
      <c r="G786" s="107" t="n"/>
      <c r="H786" s="114" t="n"/>
      <c r="I786" s="114" t="n"/>
      <c r="J786" s="107" t="n"/>
      <c r="K786" s="107" t="n"/>
      <c r="L786" s="108" t="n"/>
      <c r="M786" s="108" t="n"/>
      <c r="N786" s="108" t="n"/>
      <c r="O786" s="114" t="n"/>
      <c r="P786" s="120">
        <f>IF(OR($D786="",$I786=""),"",IF(OR($J786="Tamamlandı",$J786="İptal"),"",$I786-TODAY()))</f>
        <v/>
      </c>
      <c r="Q786" s="112">
        <f>IF($D786="","",IF($E786="TANIMSIZ MÜŞTERİ","HATA",IF(OR($J786="Tamamlandı",$J786="İptal"),"KAPALI",IF(AND($C786="Görüşme",$N786=""),"SONRAKİ İŞLEM EKSİK",IF($I786="","TARİH EKSİK",IF($I786&lt;TODAY(),"GECİKMİŞ",IF($I786=TODAY(),"BUGÜN",IF($I786&lt;=TODAY()+7,"7 GÜN İÇİNDE","PLANLI"))))))))</f>
        <v/>
      </c>
      <c r="R786" s="6" t="n"/>
      <c r="S786" s="6" t="n"/>
    </row>
    <row r="787">
      <c r="A787" s="6" t="n"/>
      <c r="B787" s="112">
        <f>IF($D787="","","A"&amp;TEXT(ROW()-6,"00000"))</f>
        <v/>
      </c>
      <c r="C787" s="107" t="n"/>
      <c r="D787" s="107" t="n"/>
      <c r="E787" s="113">
        <f>IF($D787="","",IFERROR(INDEX(MUSTERILER!$C$7:$C$106,MATCH($D787,MUSTERILER!$B$7:$B$106,0)),"TANIMSIZ MÜŞTERİ"))</f>
        <v/>
      </c>
      <c r="F787" s="108" t="n"/>
      <c r="G787" s="107" t="n"/>
      <c r="H787" s="114" t="n"/>
      <c r="I787" s="114" t="n"/>
      <c r="J787" s="107" t="n"/>
      <c r="K787" s="107" t="n"/>
      <c r="L787" s="108" t="n"/>
      <c r="M787" s="108" t="n"/>
      <c r="N787" s="108" t="n"/>
      <c r="O787" s="114" t="n"/>
      <c r="P787" s="120">
        <f>IF(OR($D787="",$I787=""),"",IF(OR($J787="Tamamlandı",$J787="İptal"),"",$I787-TODAY()))</f>
        <v/>
      </c>
      <c r="Q787" s="112">
        <f>IF($D787="","",IF($E787="TANIMSIZ MÜŞTERİ","HATA",IF(OR($J787="Tamamlandı",$J787="İptal"),"KAPALI",IF(AND($C787="Görüşme",$N787=""),"SONRAKİ İŞLEM EKSİK",IF($I787="","TARİH EKSİK",IF($I787&lt;TODAY(),"GECİKMİŞ",IF($I787=TODAY(),"BUGÜN",IF($I787&lt;=TODAY()+7,"7 GÜN İÇİNDE","PLANLI"))))))))</f>
        <v/>
      </c>
      <c r="R787" s="6" t="n"/>
      <c r="S787" s="6" t="n"/>
    </row>
    <row r="788">
      <c r="A788" s="6" t="n"/>
      <c r="B788" s="112">
        <f>IF($D788="","","A"&amp;TEXT(ROW()-6,"00000"))</f>
        <v/>
      </c>
      <c r="C788" s="107" t="n"/>
      <c r="D788" s="107" t="n"/>
      <c r="E788" s="113">
        <f>IF($D788="","",IFERROR(INDEX(MUSTERILER!$C$7:$C$106,MATCH($D788,MUSTERILER!$B$7:$B$106,0)),"TANIMSIZ MÜŞTERİ"))</f>
        <v/>
      </c>
      <c r="F788" s="108" t="n"/>
      <c r="G788" s="107" t="n"/>
      <c r="H788" s="114" t="n"/>
      <c r="I788" s="114" t="n"/>
      <c r="J788" s="107" t="n"/>
      <c r="K788" s="107" t="n"/>
      <c r="L788" s="108" t="n"/>
      <c r="M788" s="108" t="n"/>
      <c r="N788" s="108" t="n"/>
      <c r="O788" s="114" t="n"/>
      <c r="P788" s="120">
        <f>IF(OR($D788="",$I788=""),"",IF(OR($J788="Tamamlandı",$J788="İptal"),"",$I788-TODAY()))</f>
        <v/>
      </c>
      <c r="Q788" s="112">
        <f>IF($D788="","",IF($E788="TANIMSIZ MÜŞTERİ","HATA",IF(OR($J788="Tamamlandı",$J788="İptal"),"KAPALI",IF(AND($C788="Görüşme",$N788=""),"SONRAKİ İŞLEM EKSİK",IF($I788="","TARİH EKSİK",IF($I788&lt;TODAY(),"GECİKMİŞ",IF($I788=TODAY(),"BUGÜN",IF($I788&lt;=TODAY()+7,"7 GÜN İÇİNDE","PLANLI"))))))))</f>
        <v/>
      </c>
      <c r="R788" s="6" t="n"/>
      <c r="S788" s="6" t="n"/>
    </row>
    <row r="789">
      <c r="A789" s="6" t="n"/>
      <c r="B789" s="112">
        <f>IF($D789="","","A"&amp;TEXT(ROW()-6,"00000"))</f>
        <v/>
      </c>
      <c r="C789" s="107" t="n"/>
      <c r="D789" s="107" t="n"/>
      <c r="E789" s="113">
        <f>IF($D789="","",IFERROR(INDEX(MUSTERILER!$C$7:$C$106,MATCH($D789,MUSTERILER!$B$7:$B$106,0)),"TANIMSIZ MÜŞTERİ"))</f>
        <v/>
      </c>
      <c r="F789" s="108" t="n"/>
      <c r="G789" s="107" t="n"/>
      <c r="H789" s="114" t="n"/>
      <c r="I789" s="114" t="n"/>
      <c r="J789" s="107" t="n"/>
      <c r="K789" s="107" t="n"/>
      <c r="L789" s="108" t="n"/>
      <c r="M789" s="108" t="n"/>
      <c r="N789" s="108" t="n"/>
      <c r="O789" s="114" t="n"/>
      <c r="P789" s="120">
        <f>IF(OR($D789="",$I789=""),"",IF(OR($J789="Tamamlandı",$J789="İptal"),"",$I789-TODAY()))</f>
        <v/>
      </c>
      <c r="Q789" s="112">
        <f>IF($D789="","",IF($E789="TANIMSIZ MÜŞTERİ","HATA",IF(OR($J789="Tamamlandı",$J789="İptal"),"KAPALI",IF(AND($C789="Görüşme",$N789=""),"SONRAKİ İŞLEM EKSİK",IF($I789="","TARİH EKSİK",IF($I789&lt;TODAY(),"GECİKMİŞ",IF($I789=TODAY(),"BUGÜN",IF($I789&lt;=TODAY()+7,"7 GÜN İÇİNDE","PLANLI"))))))))</f>
        <v/>
      </c>
      <c r="R789" s="6" t="n"/>
      <c r="S789" s="6" t="n"/>
    </row>
    <row r="790">
      <c r="A790" s="6" t="n"/>
      <c r="B790" s="112">
        <f>IF($D790="","","A"&amp;TEXT(ROW()-6,"00000"))</f>
        <v/>
      </c>
      <c r="C790" s="107" t="n"/>
      <c r="D790" s="107" t="n"/>
      <c r="E790" s="113">
        <f>IF($D790="","",IFERROR(INDEX(MUSTERILER!$C$7:$C$106,MATCH($D790,MUSTERILER!$B$7:$B$106,0)),"TANIMSIZ MÜŞTERİ"))</f>
        <v/>
      </c>
      <c r="F790" s="108" t="n"/>
      <c r="G790" s="107" t="n"/>
      <c r="H790" s="114" t="n"/>
      <c r="I790" s="114" t="n"/>
      <c r="J790" s="107" t="n"/>
      <c r="K790" s="107" t="n"/>
      <c r="L790" s="108" t="n"/>
      <c r="M790" s="108" t="n"/>
      <c r="N790" s="108" t="n"/>
      <c r="O790" s="114" t="n"/>
      <c r="P790" s="120">
        <f>IF(OR($D790="",$I790=""),"",IF(OR($J790="Tamamlandı",$J790="İptal"),"",$I790-TODAY()))</f>
        <v/>
      </c>
      <c r="Q790" s="112">
        <f>IF($D790="","",IF($E790="TANIMSIZ MÜŞTERİ","HATA",IF(OR($J790="Tamamlandı",$J790="İptal"),"KAPALI",IF(AND($C790="Görüşme",$N790=""),"SONRAKİ İŞLEM EKSİK",IF($I790="","TARİH EKSİK",IF($I790&lt;TODAY(),"GECİKMİŞ",IF($I790=TODAY(),"BUGÜN",IF($I790&lt;=TODAY()+7,"7 GÜN İÇİNDE","PLANLI"))))))))</f>
        <v/>
      </c>
      <c r="R790" s="6" t="n"/>
      <c r="S790" s="6" t="n"/>
    </row>
    <row r="791">
      <c r="A791" s="6" t="n"/>
      <c r="B791" s="112">
        <f>IF($D791="","","A"&amp;TEXT(ROW()-6,"00000"))</f>
        <v/>
      </c>
      <c r="C791" s="107" t="n"/>
      <c r="D791" s="107" t="n"/>
      <c r="E791" s="113">
        <f>IF($D791="","",IFERROR(INDEX(MUSTERILER!$C$7:$C$106,MATCH($D791,MUSTERILER!$B$7:$B$106,0)),"TANIMSIZ MÜŞTERİ"))</f>
        <v/>
      </c>
      <c r="F791" s="108" t="n"/>
      <c r="G791" s="107" t="n"/>
      <c r="H791" s="114" t="n"/>
      <c r="I791" s="114" t="n"/>
      <c r="J791" s="107" t="n"/>
      <c r="K791" s="107" t="n"/>
      <c r="L791" s="108" t="n"/>
      <c r="M791" s="108" t="n"/>
      <c r="N791" s="108" t="n"/>
      <c r="O791" s="114" t="n"/>
      <c r="P791" s="120">
        <f>IF(OR($D791="",$I791=""),"",IF(OR($J791="Tamamlandı",$J791="İptal"),"",$I791-TODAY()))</f>
        <v/>
      </c>
      <c r="Q791" s="112">
        <f>IF($D791="","",IF($E791="TANIMSIZ MÜŞTERİ","HATA",IF(OR($J791="Tamamlandı",$J791="İptal"),"KAPALI",IF(AND($C791="Görüşme",$N791=""),"SONRAKİ İŞLEM EKSİK",IF($I791="","TARİH EKSİK",IF($I791&lt;TODAY(),"GECİKMİŞ",IF($I791=TODAY(),"BUGÜN",IF($I791&lt;=TODAY()+7,"7 GÜN İÇİNDE","PLANLI"))))))))</f>
        <v/>
      </c>
      <c r="R791" s="6" t="n"/>
      <c r="S791" s="6" t="n"/>
    </row>
    <row r="792">
      <c r="A792" s="6" t="n"/>
      <c r="B792" s="112">
        <f>IF($D792="","","A"&amp;TEXT(ROW()-6,"00000"))</f>
        <v/>
      </c>
      <c r="C792" s="107" t="n"/>
      <c r="D792" s="107" t="n"/>
      <c r="E792" s="113">
        <f>IF($D792="","",IFERROR(INDEX(MUSTERILER!$C$7:$C$106,MATCH($D792,MUSTERILER!$B$7:$B$106,0)),"TANIMSIZ MÜŞTERİ"))</f>
        <v/>
      </c>
      <c r="F792" s="108" t="n"/>
      <c r="G792" s="107" t="n"/>
      <c r="H792" s="114" t="n"/>
      <c r="I792" s="114" t="n"/>
      <c r="J792" s="107" t="n"/>
      <c r="K792" s="107" t="n"/>
      <c r="L792" s="108" t="n"/>
      <c r="M792" s="108" t="n"/>
      <c r="N792" s="108" t="n"/>
      <c r="O792" s="114" t="n"/>
      <c r="P792" s="120">
        <f>IF(OR($D792="",$I792=""),"",IF(OR($J792="Tamamlandı",$J792="İptal"),"",$I792-TODAY()))</f>
        <v/>
      </c>
      <c r="Q792" s="112">
        <f>IF($D792="","",IF($E792="TANIMSIZ MÜŞTERİ","HATA",IF(OR($J792="Tamamlandı",$J792="İptal"),"KAPALI",IF(AND($C792="Görüşme",$N792=""),"SONRAKİ İŞLEM EKSİK",IF($I792="","TARİH EKSİK",IF($I792&lt;TODAY(),"GECİKMİŞ",IF($I792=TODAY(),"BUGÜN",IF($I792&lt;=TODAY()+7,"7 GÜN İÇİNDE","PLANLI"))))))))</f>
        <v/>
      </c>
      <c r="R792" s="6" t="n"/>
      <c r="S792" s="6" t="n"/>
    </row>
    <row r="793">
      <c r="A793" s="6" t="n"/>
      <c r="B793" s="112">
        <f>IF($D793="","","A"&amp;TEXT(ROW()-6,"00000"))</f>
        <v/>
      </c>
      <c r="C793" s="107" t="n"/>
      <c r="D793" s="107" t="n"/>
      <c r="E793" s="113">
        <f>IF($D793="","",IFERROR(INDEX(MUSTERILER!$C$7:$C$106,MATCH($D793,MUSTERILER!$B$7:$B$106,0)),"TANIMSIZ MÜŞTERİ"))</f>
        <v/>
      </c>
      <c r="F793" s="108" t="n"/>
      <c r="G793" s="107" t="n"/>
      <c r="H793" s="114" t="n"/>
      <c r="I793" s="114" t="n"/>
      <c r="J793" s="107" t="n"/>
      <c r="K793" s="107" t="n"/>
      <c r="L793" s="108" t="n"/>
      <c r="M793" s="108" t="n"/>
      <c r="N793" s="108" t="n"/>
      <c r="O793" s="114" t="n"/>
      <c r="P793" s="120">
        <f>IF(OR($D793="",$I793=""),"",IF(OR($J793="Tamamlandı",$J793="İptal"),"",$I793-TODAY()))</f>
        <v/>
      </c>
      <c r="Q793" s="112">
        <f>IF($D793="","",IF($E793="TANIMSIZ MÜŞTERİ","HATA",IF(OR($J793="Tamamlandı",$J793="İptal"),"KAPALI",IF(AND($C793="Görüşme",$N793=""),"SONRAKİ İŞLEM EKSİK",IF($I793="","TARİH EKSİK",IF($I793&lt;TODAY(),"GECİKMİŞ",IF($I793=TODAY(),"BUGÜN",IF($I793&lt;=TODAY()+7,"7 GÜN İÇİNDE","PLANLI"))))))))</f>
        <v/>
      </c>
      <c r="R793" s="6" t="n"/>
      <c r="S793" s="6" t="n"/>
    </row>
    <row r="794">
      <c r="A794" s="6" t="n"/>
      <c r="B794" s="112">
        <f>IF($D794="","","A"&amp;TEXT(ROW()-6,"00000"))</f>
        <v/>
      </c>
      <c r="C794" s="107" t="n"/>
      <c r="D794" s="107" t="n"/>
      <c r="E794" s="113">
        <f>IF($D794="","",IFERROR(INDEX(MUSTERILER!$C$7:$C$106,MATCH($D794,MUSTERILER!$B$7:$B$106,0)),"TANIMSIZ MÜŞTERİ"))</f>
        <v/>
      </c>
      <c r="F794" s="108" t="n"/>
      <c r="G794" s="107" t="n"/>
      <c r="H794" s="114" t="n"/>
      <c r="I794" s="114" t="n"/>
      <c r="J794" s="107" t="n"/>
      <c r="K794" s="107" t="n"/>
      <c r="L794" s="108" t="n"/>
      <c r="M794" s="108" t="n"/>
      <c r="N794" s="108" t="n"/>
      <c r="O794" s="114" t="n"/>
      <c r="P794" s="120">
        <f>IF(OR($D794="",$I794=""),"",IF(OR($J794="Tamamlandı",$J794="İptal"),"",$I794-TODAY()))</f>
        <v/>
      </c>
      <c r="Q794" s="112">
        <f>IF($D794="","",IF($E794="TANIMSIZ MÜŞTERİ","HATA",IF(OR($J794="Tamamlandı",$J794="İptal"),"KAPALI",IF(AND($C794="Görüşme",$N794=""),"SONRAKİ İŞLEM EKSİK",IF($I794="","TARİH EKSİK",IF($I794&lt;TODAY(),"GECİKMİŞ",IF($I794=TODAY(),"BUGÜN",IF($I794&lt;=TODAY()+7,"7 GÜN İÇİNDE","PLANLI"))))))))</f>
        <v/>
      </c>
      <c r="R794" s="6" t="n"/>
      <c r="S794" s="6" t="n"/>
    </row>
    <row r="795">
      <c r="A795" s="6" t="n"/>
      <c r="B795" s="112">
        <f>IF($D795="","","A"&amp;TEXT(ROW()-6,"00000"))</f>
        <v/>
      </c>
      <c r="C795" s="107" t="n"/>
      <c r="D795" s="107" t="n"/>
      <c r="E795" s="113">
        <f>IF($D795="","",IFERROR(INDEX(MUSTERILER!$C$7:$C$106,MATCH($D795,MUSTERILER!$B$7:$B$106,0)),"TANIMSIZ MÜŞTERİ"))</f>
        <v/>
      </c>
      <c r="F795" s="108" t="n"/>
      <c r="G795" s="107" t="n"/>
      <c r="H795" s="114" t="n"/>
      <c r="I795" s="114" t="n"/>
      <c r="J795" s="107" t="n"/>
      <c r="K795" s="107" t="n"/>
      <c r="L795" s="108" t="n"/>
      <c r="M795" s="108" t="n"/>
      <c r="N795" s="108" t="n"/>
      <c r="O795" s="114" t="n"/>
      <c r="P795" s="120">
        <f>IF(OR($D795="",$I795=""),"",IF(OR($J795="Tamamlandı",$J795="İptal"),"",$I795-TODAY()))</f>
        <v/>
      </c>
      <c r="Q795" s="112">
        <f>IF($D795="","",IF($E795="TANIMSIZ MÜŞTERİ","HATA",IF(OR($J795="Tamamlandı",$J795="İptal"),"KAPALI",IF(AND($C795="Görüşme",$N795=""),"SONRAKİ İŞLEM EKSİK",IF($I795="","TARİH EKSİK",IF($I795&lt;TODAY(),"GECİKMİŞ",IF($I795=TODAY(),"BUGÜN",IF($I795&lt;=TODAY()+7,"7 GÜN İÇİNDE","PLANLI"))))))))</f>
        <v/>
      </c>
      <c r="R795" s="6" t="n"/>
      <c r="S795" s="6" t="n"/>
    </row>
    <row r="796">
      <c r="A796" s="6" t="n"/>
      <c r="B796" s="112">
        <f>IF($D796="","","A"&amp;TEXT(ROW()-6,"00000"))</f>
        <v/>
      </c>
      <c r="C796" s="107" t="n"/>
      <c r="D796" s="107" t="n"/>
      <c r="E796" s="113">
        <f>IF($D796="","",IFERROR(INDEX(MUSTERILER!$C$7:$C$106,MATCH($D796,MUSTERILER!$B$7:$B$106,0)),"TANIMSIZ MÜŞTERİ"))</f>
        <v/>
      </c>
      <c r="F796" s="108" t="n"/>
      <c r="G796" s="107" t="n"/>
      <c r="H796" s="114" t="n"/>
      <c r="I796" s="114" t="n"/>
      <c r="J796" s="107" t="n"/>
      <c r="K796" s="107" t="n"/>
      <c r="L796" s="108" t="n"/>
      <c r="M796" s="108" t="n"/>
      <c r="N796" s="108" t="n"/>
      <c r="O796" s="114" t="n"/>
      <c r="P796" s="120">
        <f>IF(OR($D796="",$I796=""),"",IF(OR($J796="Tamamlandı",$J796="İptal"),"",$I796-TODAY()))</f>
        <v/>
      </c>
      <c r="Q796" s="112">
        <f>IF($D796="","",IF($E796="TANIMSIZ MÜŞTERİ","HATA",IF(OR($J796="Tamamlandı",$J796="İptal"),"KAPALI",IF(AND($C796="Görüşme",$N796=""),"SONRAKİ İŞLEM EKSİK",IF($I796="","TARİH EKSİK",IF($I796&lt;TODAY(),"GECİKMİŞ",IF($I796=TODAY(),"BUGÜN",IF($I796&lt;=TODAY()+7,"7 GÜN İÇİNDE","PLANLI"))))))))</f>
        <v/>
      </c>
      <c r="R796" s="6" t="n"/>
      <c r="S796" s="6" t="n"/>
    </row>
    <row r="797">
      <c r="A797" s="6" t="n"/>
      <c r="B797" s="112">
        <f>IF($D797="","","A"&amp;TEXT(ROW()-6,"00000"))</f>
        <v/>
      </c>
      <c r="C797" s="107" t="n"/>
      <c r="D797" s="107" t="n"/>
      <c r="E797" s="113">
        <f>IF($D797="","",IFERROR(INDEX(MUSTERILER!$C$7:$C$106,MATCH($D797,MUSTERILER!$B$7:$B$106,0)),"TANIMSIZ MÜŞTERİ"))</f>
        <v/>
      </c>
      <c r="F797" s="108" t="n"/>
      <c r="G797" s="107" t="n"/>
      <c r="H797" s="114" t="n"/>
      <c r="I797" s="114" t="n"/>
      <c r="J797" s="107" t="n"/>
      <c r="K797" s="107" t="n"/>
      <c r="L797" s="108" t="n"/>
      <c r="M797" s="108" t="n"/>
      <c r="N797" s="108" t="n"/>
      <c r="O797" s="114" t="n"/>
      <c r="P797" s="120">
        <f>IF(OR($D797="",$I797=""),"",IF(OR($J797="Tamamlandı",$J797="İptal"),"",$I797-TODAY()))</f>
        <v/>
      </c>
      <c r="Q797" s="112">
        <f>IF($D797="","",IF($E797="TANIMSIZ MÜŞTERİ","HATA",IF(OR($J797="Tamamlandı",$J797="İptal"),"KAPALI",IF(AND($C797="Görüşme",$N797=""),"SONRAKİ İŞLEM EKSİK",IF($I797="","TARİH EKSİK",IF($I797&lt;TODAY(),"GECİKMİŞ",IF($I797=TODAY(),"BUGÜN",IF($I797&lt;=TODAY()+7,"7 GÜN İÇİNDE","PLANLI"))))))))</f>
        <v/>
      </c>
      <c r="R797" s="6" t="n"/>
      <c r="S797" s="6" t="n"/>
    </row>
    <row r="798">
      <c r="A798" s="6" t="n"/>
      <c r="B798" s="112">
        <f>IF($D798="","","A"&amp;TEXT(ROW()-6,"00000"))</f>
        <v/>
      </c>
      <c r="C798" s="107" t="n"/>
      <c r="D798" s="107" t="n"/>
      <c r="E798" s="113">
        <f>IF($D798="","",IFERROR(INDEX(MUSTERILER!$C$7:$C$106,MATCH($D798,MUSTERILER!$B$7:$B$106,0)),"TANIMSIZ MÜŞTERİ"))</f>
        <v/>
      </c>
      <c r="F798" s="108" t="n"/>
      <c r="G798" s="107" t="n"/>
      <c r="H798" s="114" t="n"/>
      <c r="I798" s="114" t="n"/>
      <c r="J798" s="107" t="n"/>
      <c r="K798" s="107" t="n"/>
      <c r="L798" s="108" t="n"/>
      <c r="M798" s="108" t="n"/>
      <c r="N798" s="108" t="n"/>
      <c r="O798" s="114" t="n"/>
      <c r="P798" s="120">
        <f>IF(OR($D798="",$I798=""),"",IF(OR($J798="Tamamlandı",$J798="İptal"),"",$I798-TODAY()))</f>
        <v/>
      </c>
      <c r="Q798" s="112">
        <f>IF($D798="","",IF($E798="TANIMSIZ MÜŞTERİ","HATA",IF(OR($J798="Tamamlandı",$J798="İptal"),"KAPALI",IF(AND($C798="Görüşme",$N798=""),"SONRAKİ İŞLEM EKSİK",IF($I798="","TARİH EKSİK",IF($I798&lt;TODAY(),"GECİKMİŞ",IF($I798=TODAY(),"BUGÜN",IF($I798&lt;=TODAY()+7,"7 GÜN İÇİNDE","PLANLI"))))))))</f>
        <v/>
      </c>
      <c r="R798" s="6" t="n"/>
      <c r="S798" s="6" t="n"/>
    </row>
    <row r="799">
      <c r="A799" s="6" t="n"/>
      <c r="B799" s="112">
        <f>IF($D799="","","A"&amp;TEXT(ROW()-6,"00000"))</f>
        <v/>
      </c>
      <c r="C799" s="107" t="n"/>
      <c r="D799" s="107" t="n"/>
      <c r="E799" s="113">
        <f>IF($D799="","",IFERROR(INDEX(MUSTERILER!$C$7:$C$106,MATCH($D799,MUSTERILER!$B$7:$B$106,0)),"TANIMSIZ MÜŞTERİ"))</f>
        <v/>
      </c>
      <c r="F799" s="108" t="n"/>
      <c r="G799" s="107" t="n"/>
      <c r="H799" s="114" t="n"/>
      <c r="I799" s="114" t="n"/>
      <c r="J799" s="107" t="n"/>
      <c r="K799" s="107" t="n"/>
      <c r="L799" s="108" t="n"/>
      <c r="M799" s="108" t="n"/>
      <c r="N799" s="108" t="n"/>
      <c r="O799" s="114" t="n"/>
      <c r="P799" s="120">
        <f>IF(OR($D799="",$I799=""),"",IF(OR($J799="Tamamlandı",$J799="İptal"),"",$I799-TODAY()))</f>
        <v/>
      </c>
      <c r="Q799" s="112">
        <f>IF($D799="","",IF($E799="TANIMSIZ MÜŞTERİ","HATA",IF(OR($J799="Tamamlandı",$J799="İptal"),"KAPALI",IF(AND($C799="Görüşme",$N799=""),"SONRAKİ İŞLEM EKSİK",IF($I799="","TARİH EKSİK",IF($I799&lt;TODAY(),"GECİKMİŞ",IF($I799=TODAY(),"BUGÜN",IF($I799&lt;=TODAY()+7,"7 GÜN İÇİNDE","PLANLI"))))))))</f>
        <v/>
      </c>
      <c r="R799" s="6" t="n"/>
      <c r="S799" s="6" t="n"/>
    </row>
    <row r="800">
      <c r="A800" s="6" t="n"/>
      <c r="B800" s="112">
        <f>IF($D800="","","A"&amp;TEXT(ROW()-6,"00000"))</f>
        <v/>
      </c>
      <c r="C800" s="107" t="n"/>
      <c r="D800" s="107" t="n"/>
      <c r="E800" s="113">
        <f>IF($D800="","",IFERROR(INDEX(MUSTERILER!$C$7:$C$106,MATCH($D800,MUSTERILER!$B$7:$B$106,0)),"TANIMSIZ MÜŞTERİ"))</f>
        <v/>
      </c>
      <c r="F800" s="108" t="n"/>
      <c r="G800" s="107" t="n"/>
      <c r="H800" s="114" t="n"/>
      <c r="I800" s="114" t="n"/>
      <c r="J800" s="107" t="n"/>
      <c r="K800" s="107" t="n"/>
      <c r="L800" s="108" t="n"/>
      <c r="M800" s="108" t="n"/>
      <c r="N800" s="108" t="n"/>
      <c r="O800" s="114" t="n"/>
      <c r="P800" s="120">
        <f>IF(OR($D800="",$I800=""),"",IF(OR($J800="Tamamlandı",$J800="İptal"),"",$I800-TODAY()))</f>
        <v/>
      </c>
      <c r="Q800" s="112">
        <f>IF($D800="","",IF($E800="TANIMSIZ MÜŞTERİ","HATA",IF(OR($J800="Tamamlandı",$J800="İptal"),"KAPALI",IF(AND($C800="Görüşme",$N800=""),"SONRAKİ İŞLEM EKSİK",IF($I800="","TARİH EKSİK",IF($I800&lt;TODAY(),"GECİKMİŞ",IF($I800=TODAY(),"BUGÜN",IF($I800&lt;=TODAY()+7,"7 GÜN İÇİNDE","PLANLI"))))))))</f>
        <v/>
      </c>
      <c r="R800" s="6" t="n"/>
      <c r="S800" s="6" t="n"/>
    </row>
    <row r="801">
      <c r="A801" s="6" t="n"/>
      <c r="B801" s="112">
        <f>IF($D801="","","A"&amp;TEXT(ROW()-6,"00000"))</f>
        <v/>
      </c>
      <c r="C801" s="107" t="n"/>
      <c r="D801" s="107" t="n"/>
      <c r="E801" s="113">
        <f>IF($D801="","",IFERROR(INDEX(MUSTERILER!$C$7:$C$106,MATCH($D801,MUSTERILER!$B$7:$B$106,0)),"TANIMSIZ MÜŞTERİ"))</f>
        <v/>
      </c>
      <c r="F801" s="108" t="n"/>
      <c r="G801" s="107" t="n"/>
      <c r="H801" s="114" t="n"/>
      <c r="I801" s="114" t="n"/>
      <c r="J801" s="107" t="n"/>
      <c r="K801" s="107" t="n"/>
      <c r="L801" s="108" t="n"/>
      <c r="M801" s="108" t="n"/>
      <c r="N801" s="108" t="n"/>
      <c r="O801" s="114" t="n"/>
      <c r="P801" s="120">
        <f>IF(OR($D801="",$I801=""),"",IF(OR($J801="Tamamlandı",$J801="İptal"),"",$I801-TODAY()))</f>
        <v/>
      </c>
      <c r="Q801" s="112">
        <f>IF($D801="","",IF($E801="TANIMSIZ MÜŞTERİ","HATA",IF(OR($J801="Tamamlandı",$J801="İptal"),"KAPALI",IF(AND($C801="Görüşme",$N801=""),"SONRAKİ İŞLEM EKSİK",IF($I801="","TARİH EKSİK",IF($I801&lt;TODAY(),"GECİKMİŞ",IF($I801=TODAY(),"BUGÜN",IF($I801&lt;=TODAY()+7,"7 GÜN İÇİNDE","PLANLI"))))))))</f>
        <v/>
      </c>
      <c r="R801" s="6" t="n"/>
      <c r="S801" s="6" t="n"/>
    </row>
    <row r="802">
      <c r="A802" s="6" t="n"/>
      <c r="B802" s="112">
        <f>IF($D802="","","A"&amp;TEXT(ROW()-6,"00000"))</f>
        <v/>
      </c>
      <c r="C802" s="107" t="n"/>
      <c r="D802" s="107" t="n"/>
      <c r="E802" s="113">
        <f>IF($D802="","",IFERROR(INDEX(MUSTERILER!$C$7:$C$106,MATCH($D802,MUSTERILER!$B$7:$B$106,0)),"TANIMSIZ MÜŞTERİ"))</f>
        <v/>
      </c>
      <c r="F802" s="108" t="n"/>
      <c r="G802" s="107" t="n"/>
      <c r="H802" s="114" t="n"/>
      <c r="I802" s="114" t="n"/>
      <c r="J802" s="107" t="n"/>
      <c r="K802" s="107" t="n"/>
      <c r="L802" s="108" t="n"/>
      <c r="M802" s="108" t="n"/>
      <c r="N802" s="108" t="n"/>
      <c r="O802" s="114" t="n"/>
      <c r="P802" s="120">
        <f>IF(OR($D802="",$I802=""),"",IF(OR($J802="Tamamlandı",$J802="İptal"),"",$I802-TODAY()))</f>
        <v/>
      </c>
      <c r="Q802" s="112">
        <f>IF($D802="","",IF($E802="TANIMSIZ MÜŞTERİ","HATA",IF(OR($J802="Tamamlandı",$J802="İptal"),"KAPALI",IF(AND($C802="Görüşme",$N802=""),"SONRAKİ İŞLEM EKSİK",IF($I802="","TARİH EKSİK",IF($I802&lt;TODAY(),"GECİKMİŞ",IF($I802=TODAY(),"BUGÜN",IF($I802&lt;=TODAY()+7,"7 GÜN İÇİNDE","PLANLI"))))))))</f>
        <v/>
      </c>
      <c r="R802" s="6" t="n"/>
      <c r="S802" s="6" t="n"/>
    </row>
    <row r="803">
      <c r="A803" s="6" t="n"/>
      <c r="B803" s="112">
        <f>IF($D803="","","A"&amp;TEXT(ROW()-6,"00000"))</f>
        <v/>
      </c>
      <c r="C803" s="107" t="n"/>
      <c r="D803" s="107" t="n"/>
      <c r="E803" s="113">
        <f>IF($D803="","",IFERROR(INDEX(MUSTERILER!$C$7:$C$106,MATCH($D803,MUSTERILER!$B$7:$B$106,0)),"TANIMSIZ MÜŞTERİ"))</f>
        <v/>
      </c>
      <c r="F803" s="108" t="n"/>
      <c r="G803" s="107" t="n"/>
      <c r="H803" s="114" t="n"/>
      <c r="I803" s="114" t="n"/>
      <c r="J803" s="107" t="n"/>
      <c r="K803" s="107" t="n"/>
      <c r="L803" s="108" t="n"/>
      <c r="M803" s="108" t="n"/>
      <c r="N803" s="108" t="n"/>
      <c r="O803" s="114" t="n"/>
      <c r="P803" s="120">
        <f>IF(OR($D803="",$I803=""),"",IF(OR($J803="Tamamlandı",$J803="İptal"),"",$I803-TODAY()))</f>
        <v/>
      </c>
      <c r="Q803" s="112">
        <f>IF($D803="","",IF($E803="TANIMSIZ MÜŞTERİ","HATA",IF(OR($J803="Tamamlandı",$J803="İptal"),"KAPALI",IF(AND($C803="Görüşme",$N803=""),"SONRAKİ İŞLEM EKSİK",IF($I803="","TARİH EKSİK",IF($I803&lt;TODAY(),"GECİKMİŞ",IF($I803=TODAY(),"BUGÜN",IF($I803&lt;=TODAY()+7,"7 GÜN İÇİNDE","PLANLI"))))))))</f>
        <v/>
      </c>
      <c r="R803" s="6" t="n"/>
      <c r="S803" s="6" t="n"/>
    </row>
    <row r="804">
      <c r="A804" s="6" t="n"/>
      <c r="B804" s="112">
        <f>IF($D804="","","A"&amp;TEXT(ROW()-6,"00000"))</f>
        <v/>
      </c>
      <c r="C804" s="107" t="n"/>
      <c r="D804" s="107" t="n"/>
      <c r="E804" s="113">
        <f>IF($D804="","",IFERROR(INDEX(MUSTERILER!$C$7:$C$106,MATCH($D804,MUSTERILER!$B$7:$B$106,0)),"TANIMSIZ MÜŞTERİ"))</f>
        <v/>
      </c>
      <c r="F804" s="108" t="n"/>
      <c r="G804" s="107" t="n"/>
      <c r="H804" s="114" t="n"/>
      <c r="I804" s="114" t="n"/>
      <c r="J804" s="107" t="n"/>
      <c r="K804" s="107" t="n"/>
      <c r="L804" s="108" t="n"/>
      <c r="M804" s="108" t="n"/>
      <c r="N804" s="108" t="n"/>
      <c r="O804" s="114" t="n"/>
      <c r="P804" s="120">
        <f>IF(OR($D804="",$I804=""),"",IF(OR($J804="Tamamlandı",$J804="İptal"),"",$I804-TODAY()))</f>
        <v/>
      </c>
      <c r="Q804" s="112">
        <f>IF($D804="","",IF($E804="TANIMSIZ MÜŞTERİ","HATA",IF(OR($J804="Tamamlandı",$J804="İptal"),"KAPALI",IF(AND($C804="Görüşme",$N804=""),"SONRAKİ İŞLEM EKSİK",IF($I804="","TARİH EKSİK",IF($I804&lt;TODAY(),"GECİKMİŞ",IF($I804=TODAY(),"BUGÜN",IF($I804&lt;=TODAY()+7,"7 GÜN İÇİNDE","PLANLI"))))))))</f>
        <v/>
      </c>
      <c r="R804" s="6" t="n"/>
      <c r="S804" s="6" t="n"/>
    </row>
    <row r="805">
      <c r="A805" s="6" t="n"/>
      <c r="B805" s="112">
        <f>IF($D805="","","A"&amp;TEXT(ROW()-6,"00000"))</f>
        <v/>
      </c>
      <c r="C805" s="107" t="n"/>
      <c r="D805" s="107" t="n"/>
      <c r="E805" s="113">
        <f>IF($D805="","",IFERROR(INDEX(MUSTERILER!$C$7:$C$106,MATCH($D805,MUSTERILER!$B$7:$B$106,0)),"TANIMSIZ MÜŞTERİ"))</f>
        <v/>
      </c>
      <c r="F805" s="108" t="n"/>
      <c r="G805" s="107" t="n"/>
      <c r="H805" s="114" t="n"/>
      <c r="I805" s="114" t="n"/>
      <c r="J805" s="107" t="n"/>
      <c r="K805" s="107" t="n"/>
      <c r="L805" s="108" t="n"/>
      <c r="M805" s="108" t="n"/>
      <c r="N805" s="108" t="n"/>
      <c r="O805" s="114" t="n"/>
      <c r="P805" s="120">
        <f>IF(OR($D805="",$I805=""),"",IF(OR($J805="Tamamlandı",$J805="İptal"),"",$I805-TODAY()))</f>
        <v/>
      </c>
      <c r="Q805" s="112">
        <f>IF($D805="","",IF($E805="TANIMSIZ MÜŞTERİ","HATA",IF(OR($J805="Tamamlandı",$J805="İptal"),"KAPALI",IF(AND($C805="Görüşme",$N805=""),"SONRAKİ İŞLEM EKSİK",IF($I805="","TARİH EKSİK",IF($I805&lt;TODAY(),"GECİKMİŞ",IF($I805=TODAY(),"BUGÜN",IF($I805&lt;=TODAY()+7,"7 GÜN İÇİNDE","PLANLI"))))))))</f>
        <v/>
      </c>
      <c r="R805" s="6" t="n"/>
      <c r="S805" s="6" t="n"/>
    </row>
    <row r="806">
      <c r="A806" s="6" t="n"/>
      <c r="B806" s="112">
        <f>IF($D806="","","A"&amp;TEXT(ROW()-6,"00000"))</f>
        <v/>
      </c>
      <c r="C806" s="107" t="n"/>
      <c r="D806" s="107" t="n"/>
      <c r="E806" s="113">
        <f>IF($D806="","",IFERROR(INDEX(MUSTERILER!$C$7:$C$106,MATCH($D806,MUSTERILER!$B$7:$B$106,0)),"TANIMSIZ MÜŞTERİ"))</f>
        <v/>
      </c>
      <c r="F806" s="108" t="n"/>
      <c r="G806" s="107" t="n"/>
      <c r="H806" s="114" t="n"/>
      <c r="I806" s="114" t="n"/>
      <c r="J806" s="107" t="n"/>
      <c r="K806" s="107" t="n"/>
      <c r="L806" s="108" t="n"/>
      <c r="M806" s="108" t="n"/>
      <c r="N806" s="108" t="n"/>
      <c r="O806" s="114" t="n"/>
      <c r="P806" s="120">
        <f>IF(OR($D806="",$I806=""),"",IF(OR($J806="Tamamlandı",$J806="İptal"),"",$I806-TODAY()))</f>
        <v/>
      </c>
      <c r="Q806" s="112">
        <f>IF($D806="","",IF($E806="TANIMSIZ MÜŞTERİ","HATA",IF(OR($J806="Tamamlandı",$J806="İptal"),"KAPALI",IF(AND($C806="Görüşme",$N806=""),"SONRAKİ İŞLEM EKSİK",IF($I806="","TARİH EKSİK",IF($I806&lt;TODAY(),"GECİKMİŞ",IF($I806=TODAY(),"BUGÜN",IF($I806&lt;=TODAY()+7,"7 GÜN İÇİNDE","PLANLI"))))))))</f>
        <v/>
      </c>
      <c r="R806" s="6" t="n"/>
      <c r="S806" s="6" t="n"/>
    </row>
    <row r="807">
      <c r="A807" s="6" t="n"/>
      <c r="B807" s="112">
        <f>IF($D807="","","A"&amp;TEXT(ROW()-6,"00000"))</f>
        <v/>
      </c>
      <c r="C807" s="107" t="n"/>
      <c r="D807" s="107" t="n"/>
      <c r="E807" s="113">
        <f>IF($D807="","",IFERROR(INDEX(MUSTERILER!$C$7:$C$106,MATCH($D807,MUSTERILER!$B$7:$B$106,0)),"TANIMSIZ MÜŞTERİ"))</f>
        <v/>
      </c>
      <c r="F807" s="108" t="n"/>
      <c r="G807" s="107" t="n"/>
      <c r="H807" s="114" t="n"/>
      <c r="I807" s="114" t="n"/>
      <c r="J807" s="107" t="n"/>
      <c r="K807" s="107" t="n"/>
      <c r="L807" s="108" t="n"/>
      <c r="M807" s="108" t="n"/>
      <c r="N807" s="108" t="n"/>
      <c r="O807" s="114" t="n"/>
      <c r="P807" s="120">
        <f>IF(OR($D807="",$I807=""),"",IF(OR($J807="Tamamlandı",$J807="İptal"),"",$I807-TODAY()))</f>
        <v/>
      </c>
      <c r="Q807" s="112">
        <f>IF($D807="","",IF($E807="TANIMSIZ MÜŞTERİ","HATA",IF(OR($J807="Tamamlandı",$J807="İptal"),"KAPALI",IF(AND($C807="Görüşme",$N807=""),"SONRAKİ İŞLEM EKSİK",IF($I807="","TARİH EKSİK",IF($I807&lt;TODAY(),"GECİKMİŞ",IF($I807=TODAY(),"BUGÜN",IF($I807&lt;=TODAY()+7,"7 GÜN İÇİNDE","PLANLI"))))))))</f>
        <v/>
      </c>
      <c r="R807" s="6" t="n"/>
      <c r="S807" s="6" t="n"/>
    </row>
    <row r="808">
      <c r="A808" s="6" t="n"/>
      <c r="B808" s="112">
        <f>IF($D808="","","A"&amp;TEXT(ROW()-6,"00000"))</f>
        <v/>
      </c>
      <c r="C808" s="107" t="n"/>
      <c r="D808" s="107" t="n"/>
      <c r="E808" s="113">
        <f>IF($D808="","",IFERROR(INDEX(MUSTERILER!$C$7:$C$106,MATCH($D808,MUSTERILER!$B$7:$B$106,0)),"TANIMSIZ MÜŞTERİ"))</f>
        <v/>
      </c>
      <c r="F808" s="108" t="n"/>
      <c r="G808" s="107" t="n"/>
      <c r="H808" s="114" t="n"/>
      <c r="I808" s="114" t="n"/>
      <c r="J808" s="107" t="n"/>
      <c r="K808" s="107" t="n"/>
      <c r="L808" s="108" t="n"/>
      <c r="M808" s="108" t="n"/>
      <c r="N808" s="108" t="n"/>
      <c r="O808" s="114" t="n"/>
      <c r="P808" s="120">
        <f>IF(OR($D808="",$I808=""),"",IF(OR($J808="Tamamlandı",$J808="İptal"),"",$I808-TODAY()))</f>
        <v/>
      </c>
      <c r="Q808" s="112">
        <f>IF($D808="","",IF($E808="TANIMSIZ MÜŞTERİ","HATA",IF(OR($J808="Tamamlandı",$J808="İptal"),"KAPALI",IF(AND($C808="Görüşme",$N808=""),"SONRAKİ İŞLEM EKSİK",IF($I808="","TARİH EKSİK",IF($I808&lt;TODAY(),"GECİKMİŞ",IF($I808=TODAY(),"BUGÜN",IF($I808&lt;=TODAY()+7,"7 GÜN İÇİNDE","PLANLI"))))))))</f>
        <v/>
      </c>
      <c r="R808" s="6" t="n"/>
      <c r="S808" s="6" t="n"/>
    </row>
    <row r="809">
      <c r="A809" s="6" t="n"/>
      <c r="B809" s="112">
        <f>IF($D809="","","A"&amp;TEXT(ROW()-6,"00000"))</f>
        <v/>
      </c>
      <c r="C809" s="107" t="n"/>
      <c r="D809" s="107" t="n"/>
      <c r="E809" s="113">
        <f>IF($D809="","",IFERROR(INDEX(MUSTERILER!$C$7:$C$106,MATCH($D809,MUSTERILER!$B$7:$B$106,0)),"TANIMSIZ MÜŞTERİ"))</f>
        <v/>
      </c>
      <c r="F809" s="108" t="n"/>
      <c r="G809" s="107" t="n"/>
      <c r="H809" s="114" t="n"/>
      <c r="I809" s="114" t="n"/>
      <c r="J809" s="107" t="n"/>
      <c r="K809" s="107" t="n"/>
      <c r="L809" s="108" t="n"/>
      <c r="M809" s="108" t="n"/>
      <c r="N809" s="108" t="n"/>
      <c r="O809" s="114" t="n"/>
      <c r="P809" s="120">
        <f>IF(OR($D809="",$I809=""),"",IF(OR($J809="Tamamlandı",$J809="İptal"),"",$I809-TODAY()))</f>
        <v/>
      </c>
      <c r="Q809" s="112">
        <f>IF($D809="","",IF($E809="TANIMSIZ MÜŞTERİ","HATA",IF(OR($J809="Tamamlandı",$J809="İptal"),"KAPALI",IF(AND($C809="Görüşme",$N809=""),"SONRAKİ İŞLEM EKSİK",IF($I809="","TARİH EKSİK",IF($I809&lt;TODAY(),"GECİKMİŞ",IF($I809=TODAY(),"BUGÜN",IF($I809&lt;=TODAY()+7,"7 GÜN İÇİNDE","PLANLI"))))))))</f>
        <v/>
      </c>
      <c r="R809" s="6" t="n"/>
      <c r="S809" s="6" t="n"/>
    </row>
    <row r="810">
      <c r="A810" s="6" t="n"/>
      <c r="B810" s="112">
        <f>IF($D810="","","A"&amp;TEXT(ROW()-6,"00000"))</f>
        <v/>
      </c>
      <c r="C810" s="107" t="n"/>
      <c r="D810" s="107" t="n"/>
      <c r="E810" s="113">
        <f>IF($D810="","",IFERROR(INDEX(MUSTERILER!$C$7:$C$106,MATCH($D810,MUSTERILER!$B$7:$B$106,0)),"TANIMSIZ MÜŞTERİ"))</f>
        <v/>
      </c>
      <c r="F810" s="108" t="n"/>
      <c r="G810" s="107" t="n"/>
      <c r="H810" s="114" t="n"/>
      <c r="I810" s="114" t="n"/>
      <c r="J810" s="107" t="n"/>
      <c r="K810" s="107" t="n"/>
      <c r="L810" s="108" t="n"/>
      <c r="M810" s="108" t="n"/>
      <c r="N810" s="108" t="n"/>
      <c r="O810" s="114" t="n"/>
      <c r="P810" s="120">
        <f>IF(OR($D810="",$I810=""),"",IF(OR($J810="Tamamlandı",$J810="İptal"),"",$I810-TODAY()))</f>
        <v/>
      </c>
      <c r="Q810" s="112">
        <f>IF($D810="","",IF($E810="TANIMSIZ MÜŞTERİ","HATA",IF(OR($J810="Tamamlandı",$J810="İptal"),"KAPALI",IF(AND($C810="Görüşme",$N810=""),"SONRAKİ İŞLEM EKSİK",IF($I810="","TARİH EKSİK",IF($I810&lt;TODAY(),"GECİKMİŞ",IF($I810=TODAY(),"BUGÜN",IF($I810&lt;=TODAY()+7,"7 GÜN İÇİNDE","PLANLI"))))))))</f>
        <v/>
      </c>
      <c r="R810" s="6" t="n"/>
      <c r="S810" s="6" t="n"/>
    </row>
    <row r="811">
      <c r="A811" s="6" t="n"/>
      <c r="B811" s="112">
        <f>IF($D811="","","A"&amp;TEXT(ROW()-6,"00000"))</f>
        <v/>
      </c>
      <c r="C811" s="107" t="n"/>
      <c r="D811" s="107" t="n"/>
      <c r="E811" s="113">
        <f>IF($D811="","",IFERROR(INDEX(MUSTERILER!$C$7:$C$106,MATCH($D811,MUSTERILER!$B$7:$B$106,0)),"TANIMSIZ MÜŞTERİ"))</f>
        <v/>
      </c>
      <c r="F811" s="108" t="n"/>
      <c r="G811" s="107" t="n"/>
      <c r="H811" s="114" t="n"/>
      <c r="I811" s="114" t="n"/>
      <c r="J811" s="107" t="n"/>
      <c r="K811" s="107" t="n"/>
      <c r="L811" s="108" t="n"/>
      <c r="M811" s="108" t="n"/>
      <c r="N811" s="108" t="n"/>
      <c r="O811" s="114" t="n"/>
      <c r="P811" s="120">
        <f>IF(OR($D811="",$I811=""),"",IF(OR($J811="Tamamlandı",$J811="İptal"),"",$I811-TODAY()))</f>
        <v/>
      </c>
      <c r="Q811" s="112">
        <f>IF($D811="","",IF($E811="TANIMSIZ MÜŞTERİ","HATA",IF(OR($J811="Tamamlandı",$J811="İptal"),"KAPALI",IF(AND($C811="Görüşme",$N811=""),"SONRAKİ İŞLEM EKSİK",IF($I811="","TARİH EKSİK",IF($I811&lt;TODAY(),"GECİKMİŞ",IF($I811=TODAY(),"BUGÜN",IF($I811&lt;=TODAY()+7,"7 GÜN İÇİNDE","PLANLI"))))))))</f>
        <v/>
      </c>
      <c r="R811" s="6" t="n"/>
      <c r="S811" s="6" t="n"/>
    </row>
    <row r="812">
      <c r="A812" s="6" t="n"/>
      <c r="B812" s="112">
        <f>IF($D812="","","A"&amp;TEXT(ROW()-6,"00000"))</f>
        <v/>
      </c>
      <c r="C812" s="107" t="n"/>
      <c r="D812" s="107" t="n"/>
      <c r="E812" s="113">
        <f>IF($D812="","",IFERROR(INDEX(MUSTERILER!$C$7:$C$106,MATCH($D812,MUSTERILER!$B$7:$B$106,0)),"TANIMSIZ MÜŞTERİ"))</f>
        <v/>
      </c>
      <c r="F812" s="108" t="n"/>
      <c r="G812" s="107" t="n"/>
      <c r="H812" s="114" t="n"/>
      <c r="I812" s="114" t="n"/>
      <c r="J812" s="107" t="n"/>
      <c r="K812" s="107" t="n"/>
      <c r="L812" s="108" t="n"/>
      <c r="M812" s="108" t="n"/>
      <c r="N812" s="108" t="n"/>
      <c r="O812" s="114" t="n"/>
      <c r="P812" s="120">
        <f>IF(OR($D812="",$I812=""),"",IF(OR($J812="Tamamlandı",$J812="İptal"),"",$I812-TODAY()))</f>
        <v/>
      </c>
      <c r="Q812" s="112">
        <f>IF($D812="","",IF($E812="TANIMSIZ MÜŞTERİ","HATA",IF(OR($J812="Tamamlandı",$J812="İptal"),"KAPALI",IF(AND($C812="Görüşme",$N812=""),"SONRAKİ İŞLEM EKSİK",IF($I812="","TARİH EKSİK",IF($I812&lt;TODAY(),"GECİKMİŞ",IF($I812=TODAY(),"BUGÜN",IF($I812&lt;=TODAY()+7,"7 GÜN İÇİNDE","PLANLI"))))))))</f>
        <v/>
      </c>
      <c r="R812" s="6" t="n"/>
      <c r="S812" s="6" t="n"/>
    </row>
    <row r="813">
      <c r="A813" s="6" t="n"/>
      <c r="B813" s="112">
        <f>IF($D813="","","A"&amp;TEXT(ROW()-6,"00000"))</f>
        <v/>
      </c>
      <c r="C813" s="107" t="n"/>
      <c r="D813" s="107" t="n"/>
      <c r="E813" s="113">
        <f>IF($D813="","",IFERROR(INDEX(MUSTERILER!$C$7:$C$106,MATCH($D813,MUSTERILER!$B$7:$B$106,0)),"TANIMSIZ MÜŞTERİ"))</f>
        <v/>
      </c>
      <c r="F813" s="108" t="n"/>
      <c r="G813" s="107" t="n"/>
      <c r="H813" s="114" t="n"/>
      <c r="I813" s="114" t="n"/>
      <c r="J813" s="107" t="n"/>
      <c r="K813" s="107" t="n"/>
      <c r="L813" s="108" t="n"/>
      <c r="M813" s="108" t="n"/>
      <c r="N813" s="108" t="n"/>
      <c r="O813" s="114" t="n"/>
      <c r="P813" s="120">
        <f>IF(OR($D813="",$I813=""),"",IF(OR($J813="Tamamlandı",$J813="İptal"),"",$I813-TODAY()))</f>
        <v/>
      </c>
      <c r="Q813" s="112">
        <f>IF($D813="","",IF($E813="TANIMSIZ MÜŞTERİ","HATA",IF(OR($J813="Tamamlandı",$J813="İptal"),"KAPALI",IF(AND($C813="Görüşme",$N813=""),"SONRAKİ İŞLEM EKSİK",IF($I813="","TARİH EKSİK",IF($I813&lt;TODAY(),"GECİKMİŞ",IF($I813=TODAY(),"BUGÜN",IF($I813&lt;=TODAY()+7,"7 GÜN İÇİNDE","PLANLI"))))))))</f>
        <v/>
      </c>
      <c r="R813" s="6" t="n"/>
      <c r="S813" s="6" t="n"/>
    </row>
    <row r="814">
      <c r="A814" s="6" t="n"/>
      <c r="B814" s="112">
        <f>IF($D814="","","A"&amp;TEXT(ROW()-6,"00000"))</f>
        <v/>
      </c>
      <c r="C814" s="107" t="n"/>
      <c r="D814" s="107" t="n"/>
      <c r="E814" s="113">
        <f>IF($D814="","",IFERROR(INDEX(MUSTERILER!$C$7:$C$106,MATCH($D814,MUSTERILER!$B$7:$B$106,0)),"TANIMSIZ MÜŞTERİ"))</f>
        <v/>
      </c>
      <c r="F814" s="108" t="n"/>
      <c r="G814" s="107" t="n"/>
      <c r="H814" s="114" t="n"/>
      <c r="I814" s="114" t="n"/>
      <c r="J814" s="107" t="n"/>
      <c r="K814" s="107" t="n"/>
      <c r="L814" s="108" t="n"/>
      <c r="M814" s="108" t="n"/>
      <c r="N814" s="108" t="n"/>
      <c r="O814" s="114" t="n"/>
      <c r="P814" s="120">
        <f>IF(OR($D814="",$I814=""),"",IF(OR($J814="Tamamlandı",$J814="İptal"),"",$I814-TODAY()))</f>
        <v/>
      </c>
      <c r="Q814" s="112">
        <f>IF($D814="","",IF($E814="TANIMSIZ MÜŞTERİ","HATA",IF(OR($J814="Tamamlandı",$J814="İptal"),"KAPALI",IF(AND($C814="Görüşme",$N814=""),"SONRAKİ İŞLEM EKSİK",IF($I814="","TARİH EKSİK",IF($I814&lt;TODAY(),"GECİKMİŞ",IF($I814=TODAY(),"BUGÜN",IF($I814&lt;=TODAY()+7,"7 GÜN İÇİNDE","PLANLI"))))))))</f>
        <v/>
      </c>
      <c r="R814" s="6" t="n"/>
      <c r="S814" s="6" t="n"/>
    </row>
    <row r="815">
      <c r="A815" s="6" t="n"/>
      <c r="B815" s="112">
        <f>IF($D815="","","A"&amp;TEXT(ROW()-6,"00000"))</f>
        <v/>
      </c>
      <c r="C815" s="107" t="n"/>
      <c r="D815" s="107" t="n"/>
      <c r="E815" s="113">
        <f>IF($D815="","",IFERROR(INDEX(MUSTERILER!$C$7:$C$106,MATCH($D815,MUSTERILER!$B$7:$B$106,0)),"TANIMSIZ MÜŞTERİ"))</f>
        <v/>
      </c>
      <c r="F815" s="108" t="n"/>
      <c r="G815" s="107" t="n"/>
      <c r="H815" s="114" t="n"/>
      <c r="I815" s="114" t="n"/>
      <c r="J815" s="107" t="n"/>
      <c r="K815" s="107" t="n"/>
      <c r="L815" s="108" t="n"/>
      <c r="M815" s="108" t="n"/>
      <c r="N815" s="108" t="n"/>
      <c r="O815" s="114" t="n"/>
      <c r="P815" s="120">
        <f>IF(OR($D815="",$I815=""),"",IF(OR($J815="Tamamlandı",$J815="İptal"),"",$I815-TODAY()))</f>
        <v/>
      </c>
      <c r="Q815" s="112">
        <f>IF($D815="","",IF($E815="TANIMSIZ MÜŞTERİ","HATA",IF(OR($J815="Tamamlandı",$J815="İptal"),"KAPALI",IF(AND($C815="Görüşme",$N815=""),"SONRAKİ İŞLEM EKSİK",IF($I815="","TARİH EKSİK",IF($I815&lt;TODAY(),"GECİKMİŞ",IF($I815=TODAY(),"BUGÜN",IF($I815&lt;=TODAY()+7,"7 GÜN İÇİNDE","PLANLI"))))))))</f>
        <v/>
      </c>
      <c r="R815" s="6" t="n"/>
      <c r="S815" s="6" t="n"/>
    </row>
    <row r="816">
      <c r="A816" s="6" t="n"/>
      <c r="B816" s="112">
        <f>IF($D816="","","A"&amp;TEXT(ROW()-6,"00000"))</f>
        <v/>
      </c>
      <c r="C816" s="107" t="n"/>
      <c r="D816" s="107" t="n"/>
      <c r="E816" s="113">
        <f>IF($D816="","",IFERROR(INDEX(MUSTERILER!$C$7:$C$106,MATCH($D816,MUSTERILER!$B$7:$B$106,0)),"TANIMSIZ MÜŞTERİ"))</f>
        <v/>
      </c>
      <c r="F816" s="108" t="n"/>
      <c r="G816" s="107" t="n"/>
      <c r="H816" s="114" t="n"/>
      <c r="I816" s="114" t="n"/>
      <c r="J816" s="107" t="n"/>
      <c r="K816" s="107" t="n"/>
      <c r="L816" s="108" t="n"/>
      <c r="M816" s="108" t="n"/>
      <c r="N816" s="108" t="n"/>
      <c r="O816" s="114" t="n"/>
      <c r="P816" s="120">
        <f>IF(OR($D816="",$I816=""),"",IF(OR($J816="Tamamlandı",$J816="İptal"),"",$I816-TODAY()))</f>
        <v/>
      </c>
      <c r="Q816" s="112">
        <f>IF($D816="","",IF($E816="TANIMSIZ MÜŞTERİ","HATA",IF(OR($J816="Tamamlandı",$J816="İptal"),"KAPALI",IF(AND($C816="Görüşme",$N816=""),"SONRAKİ İŞLEM EKSİK",IF($I816="","TARİH EKSİK",IF($I816&lt;TODAY(),"GECİKMİŞ",IF($I816=TODAY(),"BUGÜN",IF($I816&lt;=TODAY()+7,"7 GÜN İÇİNDE","PLANLI"))))))))</f>
        <v/>
      </c>
      <c r="R816" s="6" t="n"/>
      <c r="S816" s="6" t="n"/>
    </row>
    <row r="817">
      <c r="A817" s="6" t="n"/>
      <c r="B817" s="112">
        <f>IF($D817="","","A"&amp;TEXT(ROW()-6,"00000"))</f>
        <v/>
      </c>
      <c r="C817" s="107" t="n"/>
      <c r="D817" s="107" t="n"/>
      <c r="E817" s="113">
        <f>IF($D817="","",IFERROR(INDEX(MUSTERILER!$C$7:$C$106,MATCH($D817,MUSTERILER!$B$7:$B$106,0)),"TANIMSIZ MÜŞTERİ"))</f>
        <v/>
      </c>
      <c r="F817" s="108" t="n"/>
      <c r="G817" s="107" t="n"/>
      <c r="H817" s="114" t="n"/>
      <c r="I817" s="114" t="n"/>
      <c r="J817" s="107" t="n"/>
      <c r="K817" s="107" t="n"/>
      <c r="L817" s="108" t="n"/>
      <c r="M817" s="108" t="n"/>
      <c r="N817" s="108" t="n"/>
      <c r="O817" s="114" t="n"/>
      <c r="P817" s="120">
        <f>IF(OR($D817="",$I817=""),"",IF(OR($J817="Tamamlandı",$J817="İptal"),"",$I817-TODAY()))</f>
        <v/>
      </c>
      <c r="Q817" s="112">
        <f>IF($D817="","",IF($E817="TANIMSIZ MÜŞTERİ","HATA",IF(OR($J817="Tamamlandı",$J817="İptal"),"KAPALI",IF(AND($C817="Görüşme",$N817=""),"SONRAKİ İŞLEM EKSİK",IF($I817="","TARİH EKSİK",IF($I817&lt;TODAY(),"GECİKMİŞ",IF($I817=TODAY(),"BUGÜN",IF($I817&lt;=TODAY()+7,"7 GÜN İÇİNDE","PLANLI"))))))))</f>
        <v/>
      </c>
      <c r="R817" s="6" t="n"/>
      <c r="S817" s="6" t="n"/>
    </row>
    <row r="818">
      <c r="A818" s="6" t="n"/>
      <c r="B818" s="112">
        <f>IF($D818="","","A"&amp;TEXT(ROW()-6,"00000"))</f>
        <v/>
      </c>
      <c r="C818" s="107" t="n"/>
      <c r="D818" s="107" t="n"/>
      <c r="E818" s="113">
        <f>IF($D818="","",IFERROR(INDEX(MUSTERILER!$C$7:$C$106,MATCH($D818,MUSTERILER!$B$7:$B$106,0)),"TANIMSIZ MÜŞTERİ"))</f>
        <v/>
      </c>
      <c r="F818" s="108" t="n"/>
      <c r="G818" s="107" t="n"/>
      <c r="H818" s="114" t="n"/>
      <c r="I818" s="114" t="n"/>
      <c r="J818" s="107" t="n"/>
      <c r="K818" s="107" t="n"/>
      <c r="L818" s="108" t="n"/>
      <c r="M818" s="108" t="n"/>
      <c r="N818" s="108" t="n"/>
      <c r="O818" s="114" t="n"/>
      <c r="P818" s="120">
        <f>IF(OR($D818="",$I818=""),"",IF(OR($J818="Tamamlandı",$J818="İptal"),"",$I818-TODAY()))</f>
        <v/>
      </c>
      <c r="Q818" s="112">
        <f>IF($D818="","",IF($E818="TANIMSIZ MÜŞTERİ","HATA",IF(OR($J818="Tamamlandı",$J818="İptal"),"KAPALI",IF(AND($C818="Görüşme",$N818=""),"SONRAKİ İŞLEM EKSİK",IF($I818="","TARİH EKSİK",IF($I818&lt;TODAY(),"GECİKMİŞ",IF($I818=TODAY(),"BUGÜN",IF($I818&lt;=TODAY()+7,"7 GÜN İÇİNDE","PLANLI"))))))))</f>
        <v/>
      </c>
      <c r="R818" s="6" t="n"/>
      <c r="S818" s="6" t="n"/>
    </row>
    <row r="819">
      <c r="A819" s="6" t="n"/>
      <c r="B819" s="112">
        <f>IF($D819="","","A"&amp;TEXT(ROW()-6,"00000"))</f>
        <v/>
      </c>
      <c r="C819" s="107" t="n"/>
      <c r="D819" s="107" t="n"/>
      <c r="E819" s="113">
        <f>IF($D819="","",IFERROR(INDEX(MUSTERILER!$C$7:$C$106,MATCH($D819,MUSTERILER!$B$7:$B$106,0)),"TANIMSIZ MÜŞTERİ"))</f>
        <v/>
      </c>
      <c r="F819" s="108" t="n"/>
      <c r="G819" s="107" t="n"/>
      <c r="H819" s="114" t="n"/>
      <c r="I819" s="114" t="n"/>
      <c r="J819" s="107" t="n"/>
      <c r="K819" s="107" t="n"/>
      <c r="L819" s="108" t="n"/>
      <c r="M819" s="108" t="n"/>
      <c r="N819" s="108" t="n"/>
      <c r="O819" s="114" t="n"/>
      <c r="P819" s="120">
        <f>IF(OR($D819="",$I819=""),"",IF(OR($J819="Tamamlandı",$J819="İptal"),"",$I819-TODAY()))</f>
        <v/>
      </c>
      <c r="Q819" s="112">
        <f>IF($D819="","",IF($E819="TANIMSIZ MÜŞTERİ","HATA",IF(OR($J819="Tamamlandı",$J819="İptal"),"KAPALI",IF(AND($C819="Görüşme",$N819=""),"SONRAKİ İŞLEM EKSİK",IF($I819="","TARİH EKSİK",IF($I819&lt;TODAY(),"GECİKMİŞ",IF($I819=TODAY(),"BUGÜN",IF($I819&lt;=TODAY()+7,"7 GÜN İÇİNDE","PLANLI"))))))))</f>
        <v/>
      </c>
      <c r="R819" s="6" t="n"/>
      <c r="S819" s="6" t="n"/>
    </row>
    <row r="820">
      <c r="A820" s="6" t="n"/>
      <c r="B820" s="112">
        <f>IF($D820="","","A"&amp;TEXT(ROW()-6,"00000"))</f>
        <v/>
      </c>
      <c r="C820" s="107" t="n"/>
      <c r="D820" s="107" t="n"/>
      <c r="E820" s="113">
        <f>IF($D820="","",IFERROR(INDEX(MUSTERILER!$C$7:$C$106,MATCH($D820,MUSTERILER!$B$7:$B$106,0)),"TANIMSIZ MÜŞTERİ"))</f>
        <v/>
      </c>
      <c r="F820" s="108" t="n"/>
      <c r="G820" s="107" t="n"/>
      <c r="H820" s="114" t="n"/>
      <c r="I820" s="114" t="n"/>
      <c r="J820" s="107" t="n"/>
      <c r="K820" s="107" t="n"/>
      <c r="L820" s="108" t="n"/>
      <c r="M820" s="108" t="n"/>
      <c r="N820" s="108" t="n"/>
      <c r="O820" s="114" t="n"/>
      <c r="P820" s="120">
        <f>IF(OR($D820="",$I820=""),"",IF(OR($J820="Tamamlandı",$J820="İptal"),"",$I820-TODAY()))</f>
        <v/>
      </c>
      <c r="Q820" s="112">
        <f>IF($D820="","",IF($E820="TANIMSIZ MÜŞTERİ","HATA",IF(OR($J820="Tamamlandı",$J820="İptal"),"KAPALI",IF(AND($C820="Görüşme",$N820=""),"SONRAKİ İŞLEM EKSİK",IF($I820="","TARİH EKSİK",IF($I820&lt;TODAY(),"GECİKMİŞ",IF($I820=TODAY(),"BUGÜN",IF($I820&lt;=TODAY()+7,"7 GÜN İÇİNDE","PLANLI"))))))))</f>
        <v/>
      </c>
      <c r="R820" s="6" t="n"/>
      <c r="S820" s="6" t="n"/>
    </row>
    <row r="821">
      <c r="A821" s="6" t="n"/>
      <c r="B821" s="112">
        <f>IF($D821="","","A"&amp;TEXT(ROW()-6,"00000"))</f>
        <v/>
      </c>
      <c r="C821" s="107" t="n"/>
      <c r="D821" s="107" t="n"/>
      <c r="E821" s="113">
        <f>IF($D821="","",IFERROR(INDEX(MUSTERILER!$C$7:$C$106,MATCH($D821,MUSTERILER!$B$7:$B$106,0)),"TANIMSIZ MÜŞTERİ"))</f>
        <v/>
      </c>
      <c r="F821" s="108" t="n"/>
      <c r="G821" s="107" t="n"/>
      <c r="H821" s="114" t="n"/>
      <c r="I821" s="114" t="n"/>
      <c r="J821" s="107" t="n"/>
      <c r="K821" s="107" t="n"/>
      <c r="L821" s="108" t="n"/>
      <c r="M821" s="108" t="n"/>
      <c r="N821" s="108" t="n"/>
      <c r="O821" s="114" t="n"/>
      <c r="P821" s="120">
        <f>IF(OR($D821="",$I821=""),"",IF(OR($J821="Tamamlandı",$J821="İptal"),"",$I821-TODAY()))</f>
        <v/>
      </c>
      <c r="Q821" s="112">
        <f>IF($D821="","",IF($E821="TANIMSIZ MÜŞTERİ","HATA",IF(OR($J821="Tamamlandı",$J821="İptal"),"KAPALI",IF(AND($C821="Görüşme",$N821=""),"SONRAKİ İŞLEM EKSİK",IF($I821="","TARİH EKSİK",IF($I821&lt;TODAY(),"GECİKMİŞ",IF($I821=TODAY(),"BUGÜN",IF($I821&lt;=TODAY()+7,"7 GÜN İÇİNDE","PLANLI"))))))))</f>
        <v/>
      </c>
      <c r="R821" s="6" t="n"/>
      <c r="S821" s="6" t="n"/>
    </row>
    <row r="822">
      <c r="A822" s="6" t="n"/>
      <c r="B822" s="112">
        <f>IF($D822="","","A"&amp;TEXT(ROW()-6,"00000"))</f>
        <v/>
      </c>
      <c r="C822" s="107" t="n"/>
      <c r="D822" s="107" t="n"/>
      <c r="E822" s="113">
        <f>IF($D822="","",IFERROR(INDEX(MUSTERILER!$C$7:$C$106,MATCH($D822,MUSTERILER!$B$7:$B$106,0)),"TANIMSIZ MÜŞTERİ"))</f>
        <v/>
      </c>
      <c r="F822" s="108" t="n"/>
      <c r="G822" s="107" t="n"/>
      <c r="H822" s="114" t="n"/>
      <c r="I822" s="114" t="n"/>
      <c r="J822" s="107" t="n"/>
      <c r="K822" s="107" t="n"/>
      <c r="L822" s="108" t="n"/>
      <c r="M822" s="108" t="n"/>
      <c r="N822" s="108" t="n"/>
      <c r="O822" s="114" t="n"/>
      <c r="P822" s="120">
        <f>IF(OR($D822="",$I822=""),"",IF(OR($J822="Tamamlandı",$J822="İptal"),"",$I822-TODAY()))</f>
        <v/>
      </c>
      <c r="Q822" s="112">
        <f>IF($D822="","",IF($E822="TANIMSIZ MÜŞTERİ","HATA",IF(OR($J822="Tamamlandı",$J822="İptal"),"KAPALI",IF(AND($C822="Görüşme",$N822=""),"SONRAKİ İŞLEM EKSİK",IF($I822="","TARİH EKSİK",IF($I822&lt;TODAY(),"GECİKMİŞ",IF($I822=TODAY(),"BUGÜN",IF($I822&lt;=TODAY()+7,"7 GÜN İÇİNDE","PLANLI"))))))))</f>
        <v/>
      </c>
      <c r="R822" s="6" t="n"/>
      <c r="S822" s="6" t="n"/>
    </row>
    <row r="823">
      <c r="A823" s="6" t="n"/>
      <c r="B823" s="112">
        <f>IF($D823="","","A"&amp;TEXT(ROW()-6,"00000"))</f>
        <v/>
      </c>
      <c r="C823" s="107" t="n"/>
      <c r="D823" s="107" t="n"/>
      <c r="E823" s="113">
        <f>IF($D823="","",IFERROR(INDEX(MUSTERILER!$C$7:$C$106,MATCH($D823,MUSTERILER!$B$7:$B$106,0)),"TANIMSIZ MÜŞTERİ"))</f>
        <v/>
      </c>
      <c r="F823" s="108" t="n"/>
      <c r="G823" s="107" t="n"/>
      <c r="H823" s="114" t="n"/>
      <c r="I823" s="114" t="n"/>
      <c r="J823" s="107" t="n"/>
      <c r="K823" s="107" t="n"/>
      <c r="L823" s="108" t="n"/>
      <c r="M823" s="108" t="n"/>
      <c r="N823" s="108" t="n"/>
      <c r="O823" s="114" t="n"/>
      <c r="P823" s="120">
        <f>IF(OR($D823="",$I823=""),"",IF(OR($J823="Tamamlandı",$J823="İptal"),"",$I823-TODAY()))</f>
        <v/>
      </c>
      <c r="Q823" s="112">
        <f>IF($D823="","",IF($E823="TANIMSIZ MÜŞTERİ","HATA",IF(OR($J823="Tamamlandı",$J823="İptal"),"KAPALI",IF(AND($C823="Görüşme",$N823=""),"SONRAKİ İŞLEM EKSİK",IF($I823="","TARİH EKSİK",IF($I823&lt;TODAY(),"GECİKMİŞ",IF($I823=TODAY(),"BUGÜN",IF($I823&lt;=TODAY()+7,"7 GÜN İÇİNDE","PLANLI"))))))))</f>
        <v/>
      </c>
      <c r="R823" s="6" t="n"/>
      <c r="S823" s="6" t="n"/>
    </row>
    <row r="824">
      <c r="A824" s="6" t="n"/>
      <c r="B824" s="112">
        <f>IF($D824="","","A"&amp;TEXT(ROW()-6,"00000"))</f>
        <v/>
      </c>
      <c r="C824" s="107" t="n"/>
      <c r="D824" s="107" t="n"/>
      <c r="E824" s="113">
        <f>IF($D824="","",IFERROR(INDEX(MUSTERILER!$C$7:$C$106,MATCH($D824,MUSTERILER!$B$7:$B$106,0)),"TANIMSIZ MÜŞTERİ"))</f>
        <v/>
      </c>
      <c r="F824" s="108" t="n"/>
      <c r="G824" s="107" t="n"/>
      <c r="H824" s="114" t="n"/>
      <c r="I824" s="114" t="n"/>
      <c r="J824" s="107" t="n"/>
      <c r="K824" s="107" t="n"/>
      <c r="L824" s="108" t="n"/>
      <c r="M824" s="108" t="n"/>
      <c r="N824" s="108" t="n"/>
      <c r="O824" s="114" t="n"/>
      <c r="P824" s="120">
        <f>IF(OR($D824="",$I824=""),"",IF(OR($J824="Tamamlandı",$J824="İptal"),"",$I824-TODAY()))</f>
        <v/>
      </c>
      <c r="Q824" s="112">
        <f>IF($D824="","",IF($E824="TANIMSIZ MÜŞTERİ","HATA",IF(OR($J824="Tamamlandı",$J824="İptal"),"KAPALI",IF(AND($C824="Görüşme",$N824=""),"SONRAKİ İŞLEM EKSİK",IF($I824="","TARİH EKSİK",IF($I824&lt;TODAY(),"GECİKMİŞ",IF($I824=TODAY(),"BUGÜN",IF($I824&lt;=TODAY()+7,"7 GÜN İÇİNDE","PLANLI"))))))))</f>
        <v/>
      </c>
      <c r="R824" s="6" t="n"/>
      <c r="S824" s="6" t="n"/>
    </row>
    <row r="825">
      <c r="A825" s="6" t="n"/>
      <c r="B825" s="112">
        <f>IF($D825="","","A"&amp;TEXT(ROW()-6,"00000"))</f>
        <v/>
      </c>
      <c r="C825" s="107" t="n"/>
      <c r="D825" s="107" t="n"/>
      <c r="E825" s="113">
        <f>IF($D825="","",IFERROR(INDEX(MUSTERILER!$C$7:$C$106,MATCH($D825,MUSTERILER!$B$7:$B$106,0)),"TANIMSIZ MÜŞTERİ"))</f>
        <v/>
      </c>
      <c r="F825" s="108" t="n"/>
      <c r="G825" s="107" t="n"/>
      <c r="H825" s="114" t="n"/>
      <c r="I825" s="114" t="n"/>
      <c r="J825" s="107" t="n"/>
      <c r="K825" s="107" t="n"/>
      <c r="L825" s="108" t="n"/>
      <c r="M825" s="108" t="n"/>
      <c r="N825" s="108" t="n"/>
      <c r="O825" s="114" t="n"/>
      <c r="P825" s="120">
        <f>IF(OR($D825="",$I825=""),"",IF(OR($J825="Tamamlandı",$J825="İptal"),"",$I825-TODAY()))</f>
        <v/>
      </c>
      <c r="Q825" s="112">
        <f>IF($D825="","",IF($E825="TANIMSIZ MÜŞTERİ","HATA",IF(OR($J825="Tamamlandı",$J825="İptal"),"KAPALI",IF(AND($C825="Görüşme",$N825=""),"SONRAKİ İŞLEM EKSİK",IF($I825="","TARİH EKSİK",IF($I825&lt;TODAY(),"GECİKMİŞ",IF($I825=TODAY(),"BUGÜN",IF($I825&lt;=TODAY()+7,"7 GÜN İÇİNDE","PLANLI"))))))))</f>
        <v/>
      </c>
      <c r="R825" s="6" t="n"/>
      <c r="S825" s="6" t="n"/>
    </row>
    <row r="826">
      <c r="A826" s="6" t="n"/>
      <c r="B826" s="112">
        <f>IF($D826="","","A"&amp;TEXT(ROW()-6,"00000"))</f>
        <v/>
      </c>
      <c r="C826" s="107" t="n"/>
      <c r="D826" s="107" t="n"/>
      <c r="E826" s="113">
        <f>IF($D826="","",IFERROR(INDEX(MUSTERILER!$C$7:$C$106,MATCH($D826,MUSTERILER!$B$7:$B$106,0)),"TANIMSIZ MÜŞTERİ"))</f>
        <v/>
      </c>
      <c r="F826" s="108" t="n"/>
      <c r="G826" s="107" t="n"/>
      <c r="H826" s="114" t="n"/>
      <c r="I826" s="114" t="n"/>
      <c r="J826" s="107" t="n"/>
      <c r="K826" s="107" t="n"/>
      <c r="L826" s="108" t="n"/>
      <c r="M826" s="108" t="n"/>
      <c r="N826" s="108" t="n"/>
      <c r="O826" s="114" t="n"/>
      <c r="P826" s="120">
        <f>IF(OR($D826="",$I826=""),"",IF(OR($J826="Tamamlandı",$J826="İptal"),"",$I826-TODAY()))</f>
        <v/>
      </c>
      <c r="Q826" s="112">
        <f>IF($D826="","",IF($E826="TANIMSIZ MÜŞTERİ","HATA",IF(OR($J826="Tamamlandı",$J826="İptal"),"KAPALI",IF(AND($C826="Görüşme",$N826=""),"SONRAKİ İŞLEM EKSİK",IF($I826="","TARİH EKSİK",IF($I826&lt;TODAY(),"GECİKMİŞ",IF($I826=TODAY(),"BUGÜN",IF($I826&lt;=TODAY()+7,"7 GÜN İÇİNDE","PLANLI"))))))))</f>
        <v/>
      </c>
      <c r="R826" s="6" t="n"/>
      <c r="S826" s="6" t="n"/>
    </row>
    <row r="827">
      <c r="A827" s="6" t="n"/>
      <c r="B827" s="112">
        <f>IF($D827="","","A"&amp;TEXT(ROW()-6,"00000"))</f>
        <v/>
      </c>
      <c r="C827" s="107" t="n"/>
      <c r="D827" s="107" t="n"/>
      <c r="E827" s="113">
        <f>IF($D827="","",IFERROR(INDEX(MUSTERILER!$C$7:$C$106,MATCH($D827,MUSTERILER!$B$7:$B$106,0)),"TANIMSIZ MÜŞTERİ"))</f>
        <v/>
      </c>
      <c r="F827" s="108" t="n"/>
      <c r="G827" s="107" t="n"/>
      <c r="H827" s="114" t="n"/>
      <c r="I827" s="114" t="n"/>
      <c r="J827" s="107" t="n"/>
      <c r="K827" s="107" t="n"/>
      <c r="L827" s="108" t="n"/>
      <c r="M827" s="108" t="n"/>
      <c r="N827" s="108" t="n"/>
      <c r="O827" s="114" t="n"/>
      <c r="P827" s="120">
        <f>IF(OR($D827="",$I827=""),"",IF(OR($J827="Tamamlandı",$J827="İptal"),"",$I827-TODAY()))</f>
        <v/>
      </c>
      <c r="Q827" s="112">
        <f>IF($D827="","",IF($E827="TANIMSIZ MÜŞTERİ","HATA",IF(OR($J827="Tamamlandı",$J827="İptal"),"KAPALI",IF(AND($C827="Görüşme",$N827=""),"SONRAKİ İŞLEM EKSİK",IF($I827="","TARİH EKSİK",IF($I827&lt;TODAY(),"GECİKMİŞ",IF($I827=TODAY(),"BUGÜN",IF($I827&lt;=TODAY()+7,"7 GÜN İÇİNDE","PLANLI"))))))))</f>
        <v/>
      </c>
      <c r="R827" s="6" t="n"/>
      <c r="S827" s="6" t="n"/>
    </row>
    <row r="828">
      <c r="A828" s="6" t="n"/>
      <c r="B828" s="112">
        <f>IF($D828="","","A"&amp;TEXT(ROW()-6,"00000"))</f>
        <v/>
      </c>
      <c r="C828" s="107" t="n"/>
      <c r="D828" s="107" t="n"/>
      <c r="E828" s="113">
        <f>IF($D828="","",IFERROR(INDEX(MUSTERILER!$C$7:$C$106,MATCH($D828,MUSTERILER!$B$7:$B$106,0)),"TANIMSIZ MÜŞTERİ"))</f>
        <v/>
      </c>
      <c r="F828" s="108" t="n"/>
      <c r="G828" s="107" t="n"/>
      <c r="H828" s="114" t="n"/>
      <c r="I828" s="114" t="n"/>
      <c r="J828" s="107" t="n"/>
      <c r="K828" s="107" t="n"/>
      <c r="L828" s="108" t="n"/>
      <c r="M828" s="108" t="n"/>
      <c r="N828" s="108" t="n"/>
      <c r="O828" s="114" t="n"/>
      <c r="P828" s="120">
        <f>IF(OR($D828="",$I828=""),"",IF(OR($J828="Tamamlandı",$J828="İptal"),"",$I828-TODAY()))</f>
        <v/>
      </c>
      <c r="Q828" s="112">
        <f>IF($D828="","",IF($E828="TANIMSIZ MÜŞTERİ","HATA",IF(OR($J828="Tamamlandı",$J828="İptal"),"KAPALI",IF(AND($C828="Görüşme",$N828=""),"SONRAKİ İŞLEM EKSİK",IF($I828="","TARİH EKSİK",IF($I828&lt;TODAY(),"GECİKMİŞ",IF($I828=TODAY(),"BUGÜN",IF($I828&lt;=TODAY()+7,"7 GÜN İÇİNDE","PLANLI"))))))))</f>
        <v/>
      </c>
      <c r="R828" s="6" t="n"/>
      <c r="S828" s="6" t="n"/>
    </row>
    <row r="829">
      <c r="A829" s="6" t="n"/>
      <c r="B829" s="112">
        <f>IF($D829="","","A"&amp;TEXT(ROW()-6,"00000"))</f>
        <v/>
      </c>
      <c r="C829" s="107" t="n"/>
      <c r="D829" s="107" t="n"/>
      <c r="E829" s="113">
        <f>IF($D829="","",IFERROR(INDEX(MUSTERILER!$C$7:$C$106,MATCH($D829,MUSTERILER!$B$7:$B$106,0)),"TANIMSIZ MÜŞTERİ"))</f>
        <v/>
      </c>
      <c r="F829" s="108" t="n"/>
      <c r="G829" s="107" t="n"/>
      <c r="H829" s="114" t="n"/>
      <c r="I829" s="114" t="n"/>
      <c r="J829" s="107" t="n"/>
      <c r="K829" s="107" t="n"/>
      <c r="L829" s="108" t="n"/>
      <c r="M829" s="108" t="n"/>
      <c r="N829" s="108" t="n"/>
      <c r="O829" s="114" t="n"/>
      <c r="P829" s="120">
        <f>IF(OR($D829="",$I829=""),"",IF(OR($J829="Tamamlandı",$J829="İptal"),"",$I829-TODAY()))</f>
        <v/>
      </c>
      <c r="Q829" s="112">
        <f>IF($D829="","",IF($E829="TANIMSIZ MÜŞTERİ","HATA",IF(OR($J829="Tamamlandı",$J829="İptal"),"KAPALI",IF(AND($C829="Görüşme",$N829=""),"SONRAKİ İŞLEM EKSİK",IF($I829="","TARİH EKSİK",IF($I829&lt;TODAY(),"GECİKMİŞ",IF($I829=TODAY(),"BUGÜN",IF($I829&lt;=TODAY()+7,"7 GÜN İÇİNDE","PLANLI"))))))))</f>
        <v/>
      </c>
      <c r="R829" s="6" t="n"/>
      <c r="S829" s="6" t="n"/>
    </row>
    <row r="830">
      <c r="A830" s="6" t="n"/>
      <c r="B830" s="112">
        <f>IF($D830="","","A"&amp;TEXT(ROW()-6,"00000"))</f>
        <v/>
      </c>
      <c r="C830" s="107" t="n"/>
      <c r="D830" s="107" t="n"/>
      <c r="E830" s="113">
        <f>IF($D830="","",IFERROR(INDEX(MUSTERILER!$C$7:$C$106,MATCH($D830,MUSTERILER!$B$7:$B$106,0)),"TANIMSIZ MÜŞTERİ"))</f>
        <v/>
      </c>
      <c r="F830" s="108" t="n"/>
      <c r="G830" s="107" t="n"/>
      <c r="H830" s="114" t="n"/>
      <c r="I830" s="114" t="n"/>
      <c r="J830" s="107" t="n"/>
      <c r="K830" s="107" t="n"/>
      <c r="L830" s="108" t="n"/>
      <c r="M830" s="108" t="n"/>
      <c r="N830" s="108" t="n"/>
      <c r="O830" s="114" t="n"/>
      <c r="P830" s="120">
        <f>IF(OR($D830="",$I830=""),"",IF(OR($J830="Tamamlandı",$J830="İptal"),"",$I830-TODAY()))</f>
        <v/>
      </c>
      <c r="Q830" s="112">
        <f>IF($D830="","",IF($E830="TANIMSIZ MÜŞTERİ","HATA",IF(OR($J830="Tamamlandı",$J830="İptal"),"KAPALI",IF(AND($C830="Görüşme",$N830=""),"SONRAKİ İŞLEM EKSİK",IF($I830="","TARİH EKSİK",IF($I830&lt;TODAY(),"GECİKMİŞ",IF($I830=TODAY(),"BUGÜN",IF($I830&lt;=TODAY()+7,"7 GÜN İÇİNDE","PLANLI"))))))))</f>
        <v/>
      </c>
      <c r="R830" s="6" t="n"/>
      <c r="S830" s="6" t="n"/>
    </row>
    <row r="831">
      <c r="A831" s="6" t="n"/>
      <c r="B831" s="112">
        <f>IF($D831="","","A"&amp;TEXT(ROW()-6,"00000"))</f>
        <v/>
      </c>
      <c r="C831" s="107" t="n"/>
      <c r="D831" s="107" t="n"/>
      <c r="E831" s="113">
        <f>IF($D831="","",IFERROR(INDEX(MUSTERILER!$C$7:$C$106,MATCH($D831,MUSTERILER!$B$7:$B$106,0)),"TANIMSIZ MÜŞTERİ"))</f>
        <v/>
      </c>
      <c r="F831" s="108" t="n"/>
      <c r="G831" s="107" t="n"/>
      <c r="H831" s="114" t="n"/>
      <c r="I831" s="114" t="n"/>
      <c r="J831" s="107" t="n"/>
      <c r="K831" s="107" t="n"/>
      <c r="L831" s="108" t="n"/>
      <c r="M831" s="108" t="n"/>
      <c r="N831" s="108" t="n"/>
      <c r="O831" s="114" t="n"/>
      <c r="P831" s="120">
        <f>IF(OR($D831="",$I831=""),"",IF(OR($J831="Tamamlandı",$J831="İptal"),"",$I831-TODAY()))</f>
        <v/>
      </c>
      <c r="Q831" s="112">
        <f>IF($D831="","",IF($E831="TANIMSIZ MÜŞTERİ","HATA",IF(OR($J831="Tamamlandı",$J831="İptal"),"KAPALI",IF(AND($C831="Görüşme",$N831=""),"SONRAKİ İŞLEM EKSİK",IF($I831="","TARİH EKSİK",IF($I831&lt;TODAY(),"GECİKMİŞ",IF($I831=TODAY(),"BUGÜN",IF($I831&lt;=TODAY()+7,"7 GÜN İÇİNDE","PLANLI"))))))))</f>
        <v/>
      </c>
      <c r="R831" s="6" t="n"/>
      <c r="S831" s="6" t="n"/>
    </row>
    <row r="832">
      <c r="A832" s="6" t="n"/>
      <c r="B832" s="112">
        <f>IF($D832="","","A"&amp;TEXT(ROW()-6,"00000"))</f>
        <v/>
      </c>
      <c r="C832" s="107" t="n"/>
      <c r="D832" s="107" t="n"/>
      <c r="E832" s="113">
        <f>IF($D832="","",IFERROR(INDEX(MUSTERILER!$C$7:$C$106,MATCH($D832,MUSTERILER!$B$7:$B$106,0)),"TANIMSIZ MÜŞTERİ"))</f>
        <v/>
      </c>
      <c r="F832" s="108" t="n"/>
      <c r="G832" s="107" t="n"/>
      <c r="H832" s="114" t="n"/>
      <c r="I832" s="114" t="n"/>
      <c r="J832" s="107" t="n"/>
      <c r="K832" s="107" t="n"/>
      <c r="L832" s="108" t="n"/>
      <c r="M832" s="108" t="n"/>
      <c r="N832" s="108" t="n"/>
      <c r="O832" s="114" t="n"/>
      <c r="P832" s="120">
        <f>IF(OR($D832="",$I832=""),"",IF(OR($J832="Tamamlandı",$J832="İptal"),"",$I832-TODAY()))</f>
        <v/>
      </c>
      <c r="Q832" s="112">
        <f>IF($D832="","",IF($E832="TANIMSIZ MÜŞTERİ","HATA",IF(OR($J832="Tamamlandı",$J832="İptal"),"KAPALI",IF(AND($C832="Görüşme",$N832=""),"SONRAKİ İŞLEM EKSİK",IF($I832="","TARİH EKSİK",IF($I832&lt;TODAY(),"GECİKMİŞ",IF($I832=TODAY(),"BUGÜN",IF($I832&lt;=TODAY()+7,"7 GÜN İÇİNDE","PLANLI"))))))))</f>
        <v/>
      </c>
      <c r="R832" s="6" t="n"/>
      <c r="S832" s="6" t="n"/>
    </row>
    <row r="833">
      <c r="A833" s="6" t="n"/>
      <c r="B833" s="112">
        <f>IF($D833="","","A"&amp;TEXT(ROW()-6,"00000"))</f>
        <v/>
      </c>
      <c r="C833" s="107" t="n"/>
      <c r="D833" s="107" t="n"/>
      <c r="E833" s="113">
        <f>IF($D833="","",IFERROR(INDEX(MUSTERILER!$C$7:$C$106,MATCH($D833,MUSTERILER!$B$7:$B$106,0)),"TANIMSIZ MÜŞTERİ"))</f>
        <v/>
      </c>
      <c r="F833" s="108" t="n"/>
      <c r="G833" s="107" t="n"/>
      <c r="H833" s="114" t="n"/>
      <c r="I833" s="114" t="n"/>
      <c r="J833" s="107" t="n"/>
      <c r="K833" s="107" t="n"/>
      <c r="L833" s="108" t="n"/>
      <c r="M833" s="108" t="n"/>
      <c r="N833" s="108" t="n"/>
      <c r="O833" s="114" t="n"/>
      <c r="P833" s="120">
        <f>IF(OR($D833="",$I833=""),"",IF(OR($J833="Tamamlandı",$J833="İptal"),"",$I833-TODAY()))</f>
        <v/>
      </c>
      <c r="Q833" s="112">
        <f>IF($D833="","",IF($E833="TANIMSIZ MÜŞTERİ","HATA",IF(OR($J833="Tamamlandı",$J833="İptal"),"KAPALI",IF(AND($C833="Görüşme",$N833=""),"SONRAKİ İŞLEM EKSİK",IF($I833="","TARİH EKSİK",IF($I833&lt;TODAY(),"GECİKMİŞ",IF($I833=TODAY(),"BUGÜN",IF($I833&lt;=TODAY()+7,"7 GÜN İÇİNDE","PLANLI"))))))))</f>
        <v/>
      </c>
      <c r="R833" s="6" t="n"/>
      <c r="S833" s="6" t="n"/>
    </row>
    <row r="834">
      <c r="A834" s="6" t="n"/>
      <c r="B834" s="112">
        <f>IF($D834="","","A"&amp;TEXT(ROW()-6,"00000"))</f>
        <v/>
      </c>
      <c r="C834" s="107" t="n"/>
      <c r="D834" s="107" t="n"/>
      <c r="E834" s="113">
        <f>IF($D834="","",IFERROR(INDEX(MUSTERILER!$C$7:$C$106,MATCH($D834,MUSTERILER!$B$7:$B$106,0)),"TANIMSIZ MÜŞTERİ"))</f>
        <v/>
      </c>
      <c r="F834" s="108" t="n"/>
      <c r="G834" s="107" t="n"/>
      <c r="H834" s="114" t="n"/>
      <c r="I834" s="114" t="n"/>
      <c r="J834" s="107" t="n"/>
      <c r="K834" s="107" t="n"/>
      <c r="L834" s="108" t="n"/>
      <c r="M834" s="108" t="n"/>
      <c r="N834" s="108" t="n"/>
      <c r="O834" s="114" t="n"/>
      <c r="P834" s="120">
        <f>IF(OR($D834="",$I834=""),"",IF(OR($J834="Tamamlandı",$J834="İptal"),"",$I834-TODAY()))</f>
        <v/>
      </c>
      <c r="Q834" s="112">
        <f>IF($D834="","",IF($E834="TANIMSIZ MÜŞTERİ","HATA",IF(OR($J834="Tamamlandı",$J834="İptal"),"KAPALI",IF(AND($C834="Görüşme",$N834=""),"SONRAKİ İŞLEM EKSİK",IF($I834="","TARİH EKSİK",IF($I834&lt;TODAY(),"GECİKMİŞ",IF($I834=TODAY(),"BUGÜN",IF($I834&lt;=TODAY()+7,"7 GÜN İÇİNDE","PLANLI"))))))))</f>
        <v/>
      </c>
      <c r="R834" s="6" t="n"/>
      <c r="S834" s="6" t="n"/>
    </row>
    <row r="835">
      <c r="A835" s="6" t="n"/>
      <c r="B835" s="112">
        <f>IF($D835="","","A"&amp;TEXT(ROW()-6,"00000"))</f>
        <v/>
      </c>
      <c r="C835" s="107" t="n"/>
      <c r="D835" s="107" t="n"/>
      <c r="E835" s="113">
        <f>IF($D835="","",IFERROR(INDEX(MUSTERILER!$C$7:$C$106,MATCH($D835,MUSTERILER!$B$7:$B$106,0)),"TANIMSIZ MÜŞTERİ"))</f>
        <v/>
      </c>
      <c r="F835" s="108" t="n"/>
      <c r="G835" s="107" t="n"/>
      <c r="H835" s="114" t="n"/>
      <c r="I835" s="114" t="n"/>
      <c r="J835" s="107" t="n"/>
      <c r="K835" s="107" t="n"/>
      <c r="L835" s="108" t="n"/>
      <c r="M835" s="108" t="n"/>
      <c r="N835" s="108" t="n"/>
      <c r="O835" s="114" t="n"/>
      <c r="P835" s="120">
        <f>IF(OR($D835="",$I835=""),"",IF(OR($J835="Tamamlandı",$J835="İptal"),"",$I835-TODAY()))</f>
        <v/>
      </c>
      <c r="Q835" s="112">
        <f>IF($D835="","",IF($E835="TANIMSIZ MÜŞTERİ","HATA",IF(OR($J835="Tamamlandı",$J835="İptal"),"KAPALI",IF(AND($C835="Görüşme",$N835=""),"SONRAKİ İŞLEM EKSİK",IF($I835="","TARİH EKSİK",IF($I835&lt;TODAY(),"GECİKMİŞ",IF($I835=TODAY(),"BUGÜN",IF($I835&lt;=TODAY()+7,"7 GÜN İÇİNDE","PLANLI"))))))))</f>
        <v/>
      </c>
      <c r="R835" s="6" t="n"/>
      <c r="S835" s="6" t="n"/>
    </row>
    <row r="836">
      <c r="A836" s="6" t="n"/>
      <c r="B836" s="112">
        <f>IF($D836="","","A"&amp;TEXT(ROW()-6,"00000"))</f>
        <v/>
      </c>
      <c r="C836" s="107" t="n"/>
      <c r="D836" s="107" t="n"/>
      <c r="E836" s="113">
        <f>IF($D836="","",IFERROR(INDEX(MUSTERILER!$C$7:$C$106,MATCH($D836,MUSTERILER!$B$7:$B$106,0)),"TANIMSIZ MÜŞTERİ"))</f>
        <v/>
      </c>
      <c r="F836" s="108" t="n"/>
      <c r="G836" s="107" t="n"/>
      <c r="H836" s="114" t="n"/>
      <c r="I836" s="114" t="n"/>
      <c r="J836" s="107" t="n"/>
      <c r="K836" s="107" t="n"/>
      <c r="L836" s="108" t="n"/>
      <c r="M836" s="108" t="n"/>
      <c r="N836" s="108" t="n"/>
      <c r="O836" s="114" t="n"/>
      <c r="P836" s="120">
        <f>IF(OR($D836="",$I836=""),"",IF(OR($J836="Tamamlandı",$J836="İptal"),"",$I836-TODAY()))</f>
        <v/>
      </c>
      <c r="Q836" s="112">
        <f>IF($D836="","",IF($E836="TANIMSIZ MÜŞTERİ","HATA",IF(OR($J836="Tamamlandı",$J836="İptal"),"KAPALI",IF(AND($C836="Görüşme",$N836=""),"SONRAKİ İŞLEM EKSİK",IF($I836="","TARİH EKSİK",IF($I836&lt;TODAY(),"GECİKMİŞ",IF($I836=TODAY(),"BUGÜN",IF($I836&lt;=TODAY()+7,"7 GÜN İÇİNDE","PLANLI"))))))))</f>
        <v/>
      </c>
      <c r="R836" s="6" t="n"/>
      <c r="S836" s="6" t="n"/>
    </row>
    <row r="837">
      <c r="A837" s="6" t="n"/>
      <c r="B837" s="112">
        <f>IF($D837="","","A"&amp;TEXT(ROW()-6,"00000"))</f>
        <v/>
      </c>
      <c r="C837" s="107" t="n"/>
      <c r="D837" s="107" t="n"/>
      <c r="E837" s="113">
        <f>IF($D837="","",IFERROR(INDEX(MUSTERILER!$C$7:$C$106,MATCH($D837,MUSTERILER!$B$7:$B$106,0)),"TANIMSIZ MÜŞTERİ"))</f>
        <v/>
      </c>
      <c r="F837" s="108" t="n"/>
      <c r="G837" s="107" t="n"/>
      <c r="H837" s="114" t="n"/>
      <c r="I837" s="114" t="n"/>
      <c r="J837" s="107" t="n"/>
      <c r="K837" s="107" t="n"/>
      <c r="L837" s="108" t="n"/>
      <c r="M837" s="108" t="n"/>
      <c r="N837" s="108" t="n"/>
      <c r="O837" s="114" t="n"/>
      <c r="P837" s="120">
        <f>IF(OR($D837="",$I837=""),"",IF(OR($J837="Tamamlandı",$J837="İptal"),"",$I837-TODAY()))</f>
        <v/>
      </c>
      <c r="Q837" s="112">
        <f>IF($D837="","",IF($E837="TANIMSIZ MÜŞTERİ","HATA",IF(OR($J837="Tamamlandı",$J837="İptal"),"KAPALI",IF(AND($C837="Görüşme",$N837=""),"SONRAKİ İŞLEM EKSİK",IF($I837="","TARİH EKSİK",IF($I837&lt;TODAY(),"GECİKMİŞ",IF($I837=TODAY(),"BUGÜN",IF($I837&lt;=TODAY()+7,"7 GÜN İÇİNDE","PLANLI"))))))))</f>
        <v/>
      </c>
      <c r="R837" s="6" t="n"/>
      <c r="S837" s="6" t="n"/>
    </row>
    <row r="838">
      <c r="A838" s="6" t="n"/>
      <c r="B838" s="112">
        <f>IF($D838="","","A"&amp;TEXT(ROW()-6,"00000"))</f>
        <v/>
      </c>
      <c r="C838" s="107" t="n"/>
      <c r="D838" s="107" t="n"/>
      <c r="E838" s="113">
        <f>IF($D838="","",IFERROR(INDEX(MUSTERILER!$C$7:$C$106,MATCH($D838,MUSTERILER!$B$7:$B$106,0)),"TANIMSIZ MÜŞTERİ"))</f>
        <v/>
      </c>
      <c r="F838" s="108" t="n"/>
      <c r="G838" s="107" t="n"/>
      <c r="H838" s="114" t="n"/>
      <c r="I838" s="114" t="n"/>
      <c r="J838" s="107" t="n"/>
      <c r="K838" s="107" t="n"/>
      <c r="L838" s="108" t="n"/>
      <c r="M838" s="108" t="n"/>
      <c r="N838" s="108" t="n"/>
      <c r="O838" s="114" t="n"/>
      <c r="P838" s="120">
        <f>IF(OR($D838="",$I838=""),"",IF(OR($J838="Tamamlandı",$J838="İptal"),"",$I838-TODAY()))</f>
        <v/>
      </c>
      <c r="Q838" s="112">
        <f>IF($D838="","",IF($E838="TANIMSIZ MÜŞTERİ","HATA",IF(OR($J838="Tamamlandı",$J838="İptal"),"KAPALI",IF(AND($C838="Görüşme",$N838=""),"SONRAKİ İŞLEM EKSİK",IF($I838="","TARİH EKSİK",IF($I838&lt;TODAY(),"GECİKMİŞ",IF($I838=TODAY(),"BUGÜN",IF($I838&lt;=TODAY()+7,"7 GÜN İÇİNDE","PLANLI"))))))))</f>
        <v/>
      </c>
      <c r="R838" s="6" t="n"/>
      <c r="S838" s="6" t="n"/>
    </row>
    <row r="839">
      <c r="A839" s="6" t="n"/>
      <c r="B839" s="112">
        <f>IF($D839="","","A"&amp;TEXT(ROW()-6,"00000"))</f>
        <v/>
      </c>
      <c r="C839" s="107" t="n"/>
      <c r="D839" s="107" t="n"/>
      <c r="E839" s="113">
        <f>IF($D839="","",IFERROR(INDEX(MUSTERILER!$C$7:$C$106,MATCH($D839,MUSTERILER!$B$7:$B$106,0)),"TANIMSIZ MÜŞTERİ"))</f>
        <v/>
      </c>
      <c r="F839" s="108" t="n"/>
      <c r="G839" s="107" t="n"/>
      <c r="H839" s="114" t="n"/>
      <c r="I839" s="114" t="n"/>
      <c r="J839" s="107" t="n"/>
      <c r="K839" s="107" t="n"/>
      <c r="L839" s="108" t="n"/>
      <c r="M839" s="108" t="n"/>
      <c r="N839" s="108" t="n"/>
      <c r="O839" s="114" t="n"/>
      <c r="P839" s="120">
        <f>IF(OR($D839="",$I839=""),"",IF(OR($J839="Tamamlandı",$J839="İptal"),"",$I839-TODAY()))</f>
        <v/>
      </c>
      <c r="Q839" s="112">
        <f>IF($D839="","",IF($E839="TANIMSIZ MÜŞTERİ","HATA",IF(OR($J839="Tamamlandı",$J839="İptal"),"KAPALI",IF(AND($C839="Görüşme",$N839=""),"SONRAKİ İŞLEM EKSİK",IF($I839="","TARİH EKSİK",IF($I839&lt;TODAY(),"GECİKMİŞ",IF($I839=TODAY(),"BUGÜN",IF($I839&lt;=TODAY()+7,"7 GÜN İÇİNDE","PLANLI"))))))))</f>
        <v/>
      </c>
      <c r="R839" s="6" t="n"/>
      <c r="S839" s="6" t="n"/>
    </row>
    <row r="840">
      <c r="A840" s="6" t="n"/>
      <c r="B840" s="112">
        <f>IF($D840="","","A"&amp;TEXT(ROW()-6,"00000"))</f>
        <v/>
      </c>
      <c r="C840" s="107" t="n"/>
      <c r="D840" s="107" t="n"/>
      <c r="E840" s="113">
        <f>IF($D840="","",IFERROR(INDEX(MUSTERILER!$C$7:$C$106,MATCH($D840,MUSTERILER!$B$7:$B$106,0)),"TANIMSIZ MÜŞTERİ"))</f>
        <v/>
      </c>
      <c r="F840" s="108" t="n"/>
      <c r="G840" s="107" t="n"/>
      <c r="H840" s="114" t="n"/>
      <c r="I840" s="114" t="n"/>
      <c r="J840" s="107" t="n"/>
      <c r="K840" s="107" t="n"/>
      <c r="L840" s="108" t="n"/>
      <c r="M840" s="108" t="n"/>
      <c r="N840" s="108" t="n"/>
      <c r="O840" s="114" t="n"/>
      <c r="P840" s="120">
        <f>IF(OR($D840="",$I840=""),"",IF(OR($J840="Tamamlandı",$J840="İptal"),"",$I840-TODAY()))</f>
        <v/>
      </c>
      <c r="Q840" s="112">
        <f>IF($D840="","",IF($E840="TANIMSIZ MÜŞTERİ","HATA",IF(OR($J840="Tamamlandı",$J840="İptal"),"KAPALI",IF(AND($C840="Görüşme",$N840=""),"SONRAKİ İŞLEM EKSİK",IF($I840="","TARİH EKSİK",IF($I840&lt;TODAY(),"GECİKMİŞ",IF($I840=TODAY(),"BUGÜN",IF($I840&lt;=TODAY()+7,"7 GÜN İÇİNDE","PLANLI"))))))))</f>
        <v/>
      </c>
      <c r="R840" s="6" t="n"/>
      <c r="S840" s="6" t="n"/>
    </row>
    <row r="841">
      <c r="A841" s="6" t="n"/>
      <c r="B841" s="112">
        <f>IF($D841="","","A"&amp;TEXT(ROW()-6,"00000"))</f>
        <v/>
      </c>
      <c r="C841" s="107" t="n"/>
      <c r="D841" s="107" t="n"/>
      <c r="E841" s="113">
        <f>IF($D841="","",IFERROR(INDEX(MUSTERILER!$C$7:$C$106,MATCH($D841,MUSTERILER!$B$7:$B$106,0)),"TANIMSIZ MÜŞTERİ"))</f>
        <v/>
      </c>
      <c r="F841" s="108" t="n"/>
      <c r="G841" s="107" t="n"/>
      <c r="H841" s="114" t="n"/>
      <c r="I841" s="114" t="n"/>
      <c r="J841" s="107" t="n"/>
      <c r="K841" s="107" t="n"/>
      <c r="L841" s="108" t="n"/>
      <c r="M841" s="108" t="n"/>
      <c r="N841" s="108" t="n"/>
      <c r="O841" s="114" t="n"/>
      <c r="P841" s="120">
        <f>IF(OR($D841="",$I841=""),"",IF(OR($J841="Tamamlandı",$J841="İptal"),"",$I841-TODAY()))</f>
        <v/>
      </c>
      <c r="Q841" s="112">
        <f>IF($D841="","",IF($E841="TANIMSIZ MÜŞTERİ","HATA",IF(OR($J841="Tamamlandı",$J841="İptal"),"KAPALI",IF(AND($C841="Görüşme",$N841=""),"SONRAKİ İŞLEM EKSİK",IF($I841="","TARİH EKSİK",IF($I841&lt;TODAY(),"GECİKMİŞ",IF($I841=TODAY(),"BUGÜN",IF($I841&lt;=TODAY()+7,"7 GÜN İÇİNDE","PLANLI"))))))))</f>
        <v/>
      </c>
      <c r="R841" s="6" t="n"/>
      <c r="S841" s="6" t="n"/>
    </row>
    <row r="842">
      <c r="A842" s="6" t="n"/>
      <c r="B842" s="112">
        <f>IF($D842="","","A"&amp;TEXT(ROW()-6,"00000"))</f>
        <v/>
      </c>
      <c r="C842" s="107" t="n"/>
      <c r="D842" s="107" t="n"/>
      <c r="E842" s="113">
        <f>IF($D842="","",IFERROR(INDEX(MUSTERILER!$C$7:$C$106,MATCH($D842,MUSTERILER!$B$7:$B$106,0)),"TANIMSIZ MÜŞTERİ"))</f>
        <v/>
      </c>
      <c r="F842" s="108" t="n"/>
      <c r="G842" s="107" t="n"/>
      <c r="H842" s="114" t="n"/>
      <c r="I842" s="114" t="n"/>
      <c r="J842" s="107" t="n"/>
      <c r="K842" s="107" t="n"/>
      <c r="L842" s="108" t="n"/>
      <c r="M842" s="108" t="n"/>
      <c r="N842" s="108" t="n"/>
      <c r="O842" s="114" t="n"/>
      <c r="P842" s="120">
        <f>IF(OR($D842="",$I842=""),"",IF(OR($J842="Tamamlandı",$J842="İptal"),"",$I842-TODAY()))</f>
        <v/>
      </c>
      <c r="Q842" s="112">
        <f>IF($D842="","",IF($E842="TANIMSIZ MÜŞTERİ","HATA",IF(OR($J842="Tamamlandı",$J842="İptal"),"KAPALI",IF(AND($C842="Görüşme",$N842=""),"SONRAKİ İŞLEM EKSİK",IF($I842="","TARİH EKSİK",IF($I842&lt;TODAY(),"GECİKMİŞ",IF($I842=TODAY(),"BUGÜN",IF($I842&lt;=TODAY()+7,"7 GÜN İÇİNDE","PLANLI"))))))))</f>
        <v/>
      </c>
      <c r="R842" s="6" t="n"/>
      <c r="S842" s="6" t="n"/>
    </row>
    <row r="843">
      <c r="A843" s="6" t="n"/>
      <c r="B843" s="112">
        <f>IF($D843="","","A"&amp;TEXT(ROW()-6,"00000"))</f>
        <v/>
      </c>
      <c r="C843" s="107" t="n"/>
      <c r="D843" s="107" t="n"/>
      <c r="E843" s="113">
        <f>IF($D843="","",IFERROR(INDEX(MUSTERILER!$C$7:$C$106,MATCH($D843,MUSTERILER!$B$7:$B$106,0)),"TANIMSIZ MÜŞTERİ"))</f>
        <v/>
      </c>
      <c r="F843" s="108" t="n"/>
      <c r="G843" s="107" t="n"/>
      <c r="H843" s="114" t="n"/>
      <c r="I843" s="114" t="n"/>
      <c r="J843" s="107" t="n"/>
      <c r="K843" s="107" t="n"/>
      <c r="L843" s="108" t="n"/>
      <c r="M843" s="108" t="n"/>
      <c r="N843" s="108" t="n"/>
      <c r="O843" s="114" t="n"/>
      <c r="P843" s="120">
        <f>IF(OR($D843="",$I843=""),"",IF(OR($J843="Tamamlandı",$J843="İptal"),"",$I843-TODAY()))</f>
        <v/>
      </c>
      <c r="Q843" s="112">
        <f>IF($D843="","",IF($E843="TANIMSIZ MÜŞTERİ","HATA",IF(OR($J843="Tamamlandı",$J843="İptal"),"KAPALI",IF(AND($C843="Görüşme",$N843=""),"SONRAKİ İŞLEM EKSİK",IF($I843="","TARİH EKSİK",IF($I843&lt;TODAY(),"GECİKMİŞ",IF($I843=TODAY(),"BUGÜN",IF($I843&lt;=TODAY()+7,"7 GÜN İÇİNDE","PLANLI"))))))))</f>
        <v/>
      </c>
      <c r="R843" s="6" t="n"/>
      <c r="S843" s="6" t="n"/>
    </row>
    <row r="844">
      <c r="A844" s="6" t="n"/>
      <c r="B844" s="112">
        <f>IF($D844="","","A"&amp;TEXT(ROW()-6,"00000"))</f>
        <v/>
      </c>
      <c r="C844" s="107" t="n"/>
      <c r="D844" s="107" t="n"/>
      <c r="E844" s="113">
        <f>IF($D844="","",IFERROR(INDEX(MUSTERILER!$C$7:$C$106,MATCH($D844,MUSTERILER!$B$7:$B$106,0)),"TANIMSIZ MÜŞTERİ"))</f>
        <v/>
      </c>
      <c r="F844" s="108" t="n"/>
      <c r="G844" s="107" t="n"/>
      <c r="H844" s="114" t="n"/>
      <c r="I844" s="114" t="n"/>
      <c r="J844" s="107" t="n"/>
      <c r="K844" s="107" t="n"/>
      <c r="L844" s="108" t="n"/>
      <c r="M844" s="108" t="n"/>
      <c r="N844" s="108" t="n"/>
      <c r="O844" s="114" t="n"/>
      <c r="P844" s="120">
        <f>IF(OR($D844="",$I844=""),"",IF(OR($J844="Tamamlandı",$J844="İptal"),"",$I844-TODAY()))</f>
        <v/>
      </c>
      <c r="Q844" s="112">
        <f>IF($D844="","",IF($E844="TANIMSIZ MÜŞTERİ","HATA",IF(OR($J844="Tamamlandı",$J844="İptal"),"KAPALI",IF(AND($C844="Görüşme",$N844=""),"SONRAKİ İŞLEM EKSİK",IF($I844="","TARİH EKSİK",IF($I844&lt;TODAY(),"GECİKMİŞ",IF($I844=TODAY(),"BUGÜN",IF($I844&lt;=TODAY()+7,"7 GÜN İÇİNDE","PLANLI"))))))))</f>
        <v/>
      </c>
      <c r="R844" s="6" t="n"/>
      <c r="S844" s="6" t="n"/>
    </row>
    <row r="845">
      <c r="A845" s="6" t="n"/>
      <c r="B845" s="112">
        <f>IF($D845="","","A"&amp;TEXT(ROW()-6,"00000"))</f>
        <v/>
      </c>
      <c r="C845" s="107" t="n"/>
      <c r="D845" s="107" t="n"/>
      <c r="E845" s="113">
        <f>IF($D845="","",IFERROR(INDEX(MUSTERILER!$C$7:$C$106,MATCH($D845,MUSTERILER!$B$7:$B$106,0)),"TANIMSIZ MÜŞTERİ"))</f>
        <v/>
      </c>
      <c r="F845" s="108" t="n"/>
      <c r="G845" s="107" t="n"/>
      <c r="H845" s="114" t="n"/>
      <c r="I845" s="114" t="n"/>
      <c r="J845" s="107" t="n"/>
      <c r="K845" s="107" t="n"/>
      <c r="L845" s="108" t="n"/>
      <c r="M845" s="108" t="n"/>
      <c r="N845" s="108" t="n"/>
      <c r="O845" s="114" t="n"/>
      <c r="P845" s="120">
        <f>IF(OR($D845="",$I845=""),"",IF(OR($J845="Tamamlandı",$J845="İptal"),"",$I845-TODAY()))</f>
        <v/>
      </c>
      <c r="Q845" s="112">
        <f>IF($D845="","",IF($E845="TANIMSIZ MÜŞTERİ","HATA",IF(OR($J845="Tamamlandı",$J845="İptal"),"KAPALI",IF(AND($C845="Görüşme",$N845=""),"SONRAKİ İŞLEM EKSİK",IF($I845="","TARİH EKSİK",IF($I845&lt;TODAY(),"GECİKMİŞ",IF($I845=TODAY(),"BUGÜN",IF($I845&lt;=TODAY()+7,"7 GÜN İÇİNDE","PLANLI"))))))))</f>
        <v/>
      </c>
      <c r="R845" s="6" t="n"/>
      <c r="S845" s="6" t="n"/>
    </row>
    <row r="846">
      <c r="A846" s="6" t="n"/>
      <c r="B846" s="112">
        <f>IF($D846="","","A"&amp;TEXT(ROW()-6,"00000"))</f>
        <v/>
      </c>
      <c r="C846" s="107" t="n"/>
      <c r="D846" s="107" t="n"/>
      <c r="E846" s="113">
        <f>IF($D846="","",IFERROR(INDEX(MUSTERILER!$C$7:$C$106,MATCH($D846,MUSTERILER!$B$7:$B$106,0)),"TANIMSIZ MÜŞTERİ"))</f>
        <v/>
      </c>
      <c r="F846" s="108" t="n"/>
      <c r="G846" s="107" t="n"/>
      <c r="H846" s="114" t="n"/>
      <c r="I846" s="114" t="n"/>
      <c r="J846" s="107" t="n"/>
      <c r="K846" s="107" t="n"/>
      <c r="L846" s="108" t="n"/>
      <c r="M846" s="108" t="n"/>
      <c r="N846" s="108" t="n"/>
      <c r="O846" s="114" t="n"/>
      <c r="P846" s="120">
        <f>IF(OR($D846="",$I846=""),"",IF(OR($J846="Tamamlandı",$J846="İptal"),"",$I846-TODAY()))</f>
        <v/>
      </c>
      <c r="Q846" s="112">
        <f>IF($D846="","",IF($E846="TANIMSIZ MÜŞTERİ","HATA",IF(OR($J846="Tamamlandı",$J846="İptal"),"KAPALI",IF(AND($C846="Görüşme",$N846=""),"SONRAKİ İŞLEM EKSİK",IF($I846="","TARİH EKSİK",IF($I846&lt;TODAY(),"GECİKMİŞ",IF($I846=TODAY(),"BUGÜN",IF($I846&lt;=TODAY()+7,"7 GÜN İÇİNDE","PLANLI"))))))))</f>
        <v/>
      </c>
      <c r="R846" s="6" t="n"/>
      <c r="S846" s="6" t="n"/>
    </row>
    <row r="847">
      <c r="A847" s="6" t="n"/>
      <c r="B847" s="112">
        <f>IF($D847="","","A"&amp;TEXT(ROW()-6,"00000"))</f>
        <v/>
      </c>
      <c r="C847" s="107" t="n"/>
      <c r="D847" s="107" t="n"/>
      <c r="E847" s="113">
        <f>IF($D847="","",IFERROR(INDEX(MUSTERILER!$C$7:$C$106,MATCH($D847,MUSTERILER!$B$7:$B$106,0)),"TANIMSIZ MÜŞTERİ"))</f>
        <v/>
      </c>
      <c r="F847" s="108" t="n"/>
      <c r="G847" s="107" t="n"/>
      <c r="H847" s="114" t="n"/>
      <c r="I847" s="114" t="n"/>
      <c r="J847" s="107" t="n"/>
      <c r="K847" s="107" t="n"/>
      <c r="L847" s="108" t="n"/>
      <c r="M847" s="108" t="n"/>
      <c r="N847" s="108" t="n"/>
      <c r="O847" s="114" t="n"/>
      <c r="P847" s="120">
        <f>IF(OR($D847="",$I847=""),"",IF(OR($J847="Tamamlandı",$J847="İptal"),"",$I847-TODAY()))</f>
        <v/>
      </c>
      <c r="Q847" s="112">
        <f>IF($D847="","",IF($E847="TANIMSIZ MÜŞTERİ","HATA",IF(OR($J847="Tamamlandı",$J847="İptal"),"KAPALI",IF(AND($C847="Görüşme",$N847=""),"SONRAKİ İŞLEM EKSİK",IF($I847="","TARİH EKSİK",IF($I847&lt;TODAY(),"GECİKMİŞ",IF($I847=TODAY(),"BUGÜN",IF($I847&lt;=TODAY()+7,"7 GÜN İÇİNDE","PLANLI"))))))))</f>
        <v/>
      </c>
      <c r="R847" s="6" t="n"/>
      <c r="S847" s="6" t="n"/>
    </row>
    <row r="848">
      <c r="A848" s="6" t="n"/>
      <c r="B848" s="112">
        <f>IF($D848="","","A"&amp;TEXT(ROW()-6,"00000"))</f>
        <v/>
      </c>
      <c r="C848" s="107" t="n"/>
      <c r="D848" s="107" t="n"/>
      <c r="E848" s="113">
        <f>IF($D848="","",IFERROR(INDEX(MUSTERILER!$C$7:$C$106,MATCH($D848,MUSTERILER!$B$7:$B$106,0)),"TANIMSIZ MÜŞTERİ"))</f>
        <v/>
      </c>
      <c r="F848" s="108" t="n"/>
      <c r="G848" s="107" t="n"/>
      <c r="H848" s="114" t="n"/>
      <c r="I848" s="114" t="n"/>
      <c r="J848" s="107" t="n"/>
      <c r="K848" s="107" t="n"/>
      <c r="L848" s="108" t="n"/>
      <c r="M848" s="108" t="n"/>
      <c r="N848" s="108" t="n"/>
      <c r="O848" s="114" t="n"/>
      <c r="P848" s="120">
        <f>IF(OR($D848="",$I848=""),"",IF(OR($J848="Tamamlandı",$J848="İptal"),"",$I848-TODAY()))</f>
        <v/>
      </c>
      <c r="Q848" s="112">
        <f>IF($D848="","",IF($E848="TANIMSIZ MÜŞTERİ","HATA",IF(OR($J848="Tamamlandı",$J848="İptal"),"KAPALI",IF(AND($C848="Görüşme",$N848=""),"SONRAKİ İŞLEM EKSİK",IF($I848="","TARİH EKSİK",IF($I848&lt;TODAY(),"GECİKMİŞ",IF($I848=TODAY(),"BUGÜN",IF($I848&lt;=TODAY()+7,"7 GÜN İÇİNDE","PLANLI"))))))))</f>
        <v/>
      </c>
      <c r="R848" s="6" t="n"/>
      <c r="S848" s="6" t="n"/>
    </row>
    <row r="849">
      <c r="A849" s="6" t="n"/>
      <c r="B849" s="112">
        <f>IF($D849="","","A"&amp;TEXT(ROW()-6,"00000"))</f>
        <v/>
      </c>
      <c r="C849" s="107" t="n"/>
      <c r="D849" s="107" t="n"/>
      <c r="E849" s="113">
        <f>IF($D849="","",IFERROR(INDEX(MUSTERILER!$C$7:$C$106,MATCH($D849,MUSTERILER!$B$7:$B$106,0)),"TANIMSIZ MÜŞTERİ"))</f>
        <v/>
      </c>
      <c r="F849" s="108" t="n"/>
      <c r="G849" s="107" t="n"/>
      <c r="H849" s="114" t="n"/>
      <c r="I849" s="114" t="n"/>
      <c r="J849" s="107" t="n"/>
      <c r="K849" s="107" t="n"/>
      <c r="L849" s="108" t="n"/>
      <c r="M849" s="108" t="n"/>
      <c r="N849" s="108" t="n"/>
      <c r="O849" s="114" t="n"/>
      <c r="P849" s="120">
        <f>IF(OR($D849="",$I849=""),"",IF(OR($J849="Tamamlandı",$J849="İptal"),"",$I849-TODAY()))</f>
        <v/>
      </c>
      <c r="Q849" s="112">
        <f>IF($D849="","",IF($E849="TANIMSIZ MÜŞTERİ","HATA",IF(OR($J849="Tamamlandı",$J849="İptal"),"KAPALI",IF(AND($C849="Görüşme",$N849=""),"SONRAKİ İŞLEM EKSİK",IF($I849="","TARİH EKSİK",IF($I849&lt;TODAY(),"GECİKMİŞ",IF($I849=TODAY(),"BUGÜN",IF($I849&lt;=TODAY()+7,"7 GÜN İÇİNDE","PLANLI"))))))))</f>
        <v/>
      </c>
      <c r="R849" s="6" t="n"/>
      <c r="S849" s="6" t="n"/>
    </row>
    <row r="850">
      <c r="A850" s="6" t="n"/>
      <c r="B850" s="112">
        <f>IF($D850="","","A"&amp;TEXT(ROW()-6,"00000"))</f>
        <v/>
      </c>
      <c r="C850" s="107" t="n"/>
      <c r="D850" s="107" t="n"/>
      <c r="E850" s="113">
        <f>IF($D850="","",IFERROR(INDEX(MUSTERILER!$C$7:$C$106,MATCH($D850,MUSTERILER!$B$7:$B$106,0)),"TANIMSIZ MÜŞTERİ"))</f>
        <v/>
      </c>
      <c r="F850" s="108" t="n"/>
      <c r="G850" s="107" t="n"/>
      <c r="H850" s="114" t="n"/>
      <c r="I850" s="114" t="n"/>
      <c r="J850" s="107" t="n"/>
      <c r="K850" s="107" t="n"/>
      <c r="L850" s="108" t="n"/>
      <c r="M850" s="108" t="n"/>
      <c r="N850" s="108" t="n"/>
      <c r="O850" s="114" t="n"/>
      <c r="P850" s="120">
        <f>IF(OR($D850="",$I850=""),"",IF(OR($J850="Tamamlandı",$J850="İptal"),"",$I850-TODAY()))</f>
        <v/>
      </c>
      <c r="Q850" s="112">
        <f>IF($D850="","",IF($E850="TANIMSIZ MÜŞTERİ","HATA",IF(OR($J850="Tamamlandı",$J850="İptal"),"KAPALI",IF(AND($C850="Görüşme",$N850=""),"SONRAKİ İŞLEM EKSİK",IF($I850="","TARİH EKSİK",IF($I850&lt;TODAY(),"GECİKMİŞ",IF($I850=TODAY(),"BUGÜN",IF($I850&lt;=TODAY()+7,"7 GÜN İÇİNDE","PLANLI"))))))))</f>
        <v/>
      </c>
      <c r="R850" s="6" t="n"/>
      <c r="S850" s="6" t="n"/>
    </row>
    <row r="851">
      <c r="A851" s="6" t="n"/>
      <c r="B851" s="112">
        <f>IF($D851="","","A"&amp;TEXT(ROW()-6,"00000"))</f>
        <v/>
      </c>
      <c r="C851" s="107" t="n"/>
      <c r="D851" s="107" t="n"/>
      <c r="E851" s="113">
        <f>IF($D851="","",IFERROR(INDEX(MUSTERILER!$C$7:$C$106,MATCH($D851,MUSTERILER!$B$7:$B$106,0)),"TANIMSIZ MÜŞTERİ"))</f>
        <v/>
      </c>
      <c r="F851" s="108" t="n"/>
      <c r="G851" s="107" t="n"/>
      <c r="H851" s="114" t="n"/>
      <c r="I851" s="114" t="n"/>
      <c r="J851" s="107" t="n"/>
      <c r="K851" s="107" t="n"/>
      <c r="L851" s="108" t="n"/>
      <c r="M851" s="108" t="n"/>
      <c r="N851" s="108" t="n"/>
      <c r="O851" s="114" t="n"/>
      <c r="P851" s="120">
        <f>IF(OR($D851="",$I851=""),"",IF(OR($J851="Tamamlandı",$J851="İptal"),"",$I851-TODAY()))</f>
        <v/>
      </c>
      <c r="Q851" s="112">
        <f>IF($D851="","",IF($E851="TANIMSIZ MÜŞTERİ","HATA",IF(OR($J851="Tamamlandı",$J851="İptal"),"KAPALI",IF(AND($C851="Görüşme",$N851=""),"SONRAKİ İŞLEM EKSİK",IF($I851="","TARİH EKSİK",IF($I851&lt;TODAY(),"GECİKMİŞ",IF($I851=TODAY(),"BUGÜN",IF($I851&lt;=TODAY()+7,"7 GÜN İÇİNDE","PLANLI"))))))))</f>
        <v/>
      </c>
      <c r="R851" s="6" t="n"/>
      <c r="S851" s="6" t="n"/>
    </row>
    <row r="852">
      <c r="A852" s="6" t="n"/>
      <c r="B852" s="112">
        <f>IF($D852="","","A"&amp;TEXT(ROW()-6,"00000"))</f>
        <v/>
      </c>
      <c r="C852" s="107" t="n"/>
      <c r="D852" s="107" t="n"/>
      <c r="E852" s="113">
        <f>IF($D852="","",IFERROR(INDEX(MUSTERILER!$C$7:$C$106,MATCH($D852,MUSTERILER!$B$7:$B$106,0)),"TANIMSIZ MÜŞTERİ"))</f>
        <v/>
      </c>
      <c r="F852" s="108" t="n"/>
      <c r="G852" s="107" t="n"/>
      <c r="H852" s="114" t="n"/>
      <c r="I852" s="114" t="n"/>
      <c r="J852" s="107" t="n"/>
      <c r="K852" s="107" t="n"/>
      <c r="L852" s="108" t="n"/>
      <c r="M852" s="108" t="n"/>
      <c r="N852" s="108" t="n"/>
      <c r="O852" s="114" t="n"/>
      <c r="P852" s="120">
        <f>IF(OR($D852="",$I852=""),"",IF(OR($J852="Tamamlandı",$J852="İptal"),"",$I852-TODAY()))</f>
        <v/>
      </c>
      <c r="Q852" s="112">
        <f>IF($D852="","",IF($E852="TANIMSIZ MÜŞTERİ","HATA",IF(OR($J852="Tamamlandı",$J852="İptal"),"KAPALI",IF(AND($C852="Görüşme",$N852=""),"SONRAKİ İŞLEM EKSİK",IF($I852="","TARİH EKSİK",IF($I852&lt;TODAY(),"GECİKMİŞ",IF($I852=TODAY(),"BUGÜN",IF($I852&lt;=TODAY()+7,"7 GÜN İÇİNDE","PLANLI"))))))))</f>
        <v/>
      </c>
      <c r="R852" s="6" t="n"/>
      <c r="S852" s="6" t="n"/>
    </row>
    <row r="853">
      <c r="A853" s="6" t="n"/>
      <c r="B853" s="112">
        <f>IF($D853="","","A"&amp;TEXT(ROW()-6,"00000"))</f>
        <v/>
      </c>
      <c r="C853" s="107" t="n"/>
      <c r="D853" s="107" t="n"/>
      <c r="E853" s="113">
        <f>IF($D853="","",IFERROR(INDEX(MUSTERILER!$C$7:$C$106,MATCH($D853,MUSTERILER!$B$7:$B$106,0)),"TANIMSIZ MÜŞTERİ"))</f>
        <v/>
      </c>
      <c r="F853" s="108" t="n"/>
      <c r="G853" s="107" t="n"/>
      <c r="H853" s="114" t="n"/>
      <c r="I853" s="114" t="n"/>
      <c r="J853" s="107" t="n"/>
      <c r="K853" s="107" t="n"/>
      <c r="L853" s="108" t="n"/>
      <c r="M853" s="108" t="n"/>
      <c r="N853" s="108" t="n"/>
      <c r="O853" s="114" t="n"/>
      <c r="P853" s="120">
        <f>IF(OR($D853="",$I853=""),"",IF(OR($J853="Tamamlandı",$J853="İptal"),"",$I853-TODAY()))</f>
        <v/>
      </c>
      <c r="Q853" s="112">
        <f>IF($D853="","",IF($E853="TANIMSIZ MÜŞTERİ","HATA",IF(OR($J853="Tamamlandı",$J853="İptal"),"KAPALI",IF(AND($C853="Görüşme",$N853=""),"SONRAKİ İŞLEM EKSİK",IF($I853="","TARİH EKSİK",IF($I853&lt;TODAY(),"GECİKMİŞ",IF($I853=TODAY(),"BUGÜN",IF($I853&lt;=TODAY()+7,"7 GÜN İÇİNDE","PLANLI"))))))))</f>
        <v/>
      </c>
      <c r="R853" s="6" t="n"/>
      <c r="S853" s="6" t="n"/>
    </row>
    <row r="854">
      <c r="A854" s="6" t="n"/>
      <c r="B854" s="112">
        <f>IF($D854="","","A"&amp;TEXT(ROW()-6,"00000"))</f>
        <v/>
      </c>
      <c r="C854" s="107" t="n"/>
      <c r="D854" s="107" t="n"/>
      <c r="E854" s="113">
        <f>IF($D854="","",IFERROR(INDEX(MUSTERILER!$C$7:$C$106,MATCH($D854,MUSTERILER!$B$7:$B$106,0)),"TANIMSIZ MÜŞTERİ"))</f>
        <v/>
      </c>
      <c r="F854" s="108" t="n"/>
      <c r="G854" s="107" t="n"/>
      <c r="H854" s="114" t="n"/>
      <c r="I854" s="114" t="n"/>
      <c r="J854" s="107" t="n"/>
      <c r="K854" s="107" t="n"/>
      <c r="L854" s="108" t="n"/>
      <c r="M854" s="108" t="n"/>
      <c r="N854" s="108" t="n"/>
      <c r="O854" s="114" t="n"/>
      <c r="P854" s="120">
        <f>IF(OR($D854="",$I854=""),"",IF(OR($J854="Tamamlandı",$J854="İptal"),"",$I854-TODAY()))</f>
        <v/>
      </c>
      <c r="Q854" s="112">
        <f>IF($D854="","",IF($E854="TANIMSIZ MÜŞTERİ","HATA",IF(OR($J854="Tamamlandı",$J854="İptal"),"KAPALI",IF(AND($C854="Görüşme",$N854=""),"SONRAKİ İŞLEM EKSİK",IF($I854="","TARİH EKSİK",IF($I854&lt;TODAY(),"GECİKMİŞ",IF($I854=TODAY(),"BUGÜN",IF($I854&lt;=TODAY()+7,"7 GÜN İÇİNDE","PLANLI"))))))))</f>
        <v/>
      </c>
      <c r="R854" s="6" t="n"/>
      <c r="S854" s="6" t="n"/>
    </row>
    <row r="855">
      <c r="A855" s="6" t="n"/>
      <c r="B855" s="112">
        <f>IF($D855="","","A"&amp;TEXT(ROW()-6,"00000"))</f>
        <v/>
      </c>
      <c r="C855" s="107" t="n"/>
      <c r="D855" s="107" t="n"/>
      <c r="E855" s="113">
        <f>IF($D855="","",IFERROR(INDEX(MUSTERILER!$C$7:$C$106,MATCH($D855,MUSTERILER!$B$7:$B$106,0)),"TANIMSIZ MÜŞTERİ"))</f>
        <v/>
      </c>
      <c r="F855" s="108" t="n"/>
      <c r="G855" s="107" t="n"/>
      <c r="H855" s="114" t="n"/>
      <c r="I855" s="114" t="n"/>
      <c r="J855" s="107" t="n"/>
      <c r="K855" s="107" t="n"/>
      <c r="L855" s="108" t="n"/>
      <c r="M855" s="108" t="n"/>
      <c r="N855" s="108" t="n"/>
      <c r="O855" s="114" t="n"/>
      <c r="P855" s="120">
        <f>IF(OR($D855="",$I855=""),"",IF(OR($J855="Tamamlandı",$J855="İptal"),"",$I855-TODAY()))</f>
        <v/>
      </c>
      <c r="Q855" s="112">
        <f>IF($D855="","",IF($E855="TANIMSIZ MÜŞTERİ","HATA",IF(OR($J855="Tamamlandı",$J855="İptal"),"KAPALI",IF(AND($C855="Görüşme",$N855=""),"SONRAKİ İŞLEM EKSİK",IF($I855="","TARİH EKSİK",IF($I855&lt;TODAY(),"GECİKMİŞ",IF($I855=TODAY(),"BUGÜN",IF($I855&lt;=TODAY()+7,"7 GÜN İÇİNDE","PLANLI"))))))))</f>
        <v/>
      </c>
      <c r="R855" s="6" t="n"/>
      <c r="S855" s="6" t="n"/>
    </row>
    <row r="856">
      <c r="A856" s="6" t="n"/>
      <c r="B856" s="112">
        <f>IF($D856="","","A"&amp;TEXT(ROW()-6,"00000"))</f>
        <v/>
      </c>
      <c r="C856" s="107" t="n"/>
      <c r="D856" s="107" t="n"/>
      <c r="E856" s="113">
        <f>IF($D856="","",IFERROR(INDEX(MUSTERILER!$C$7:$C$106,MATCH($D856,MUSTERILER!$B$7:$B$106,0)),"TANIMSIZ MÜŞTERİ"))</f>
        <v/>
      </c>
      <c r="F856" s="108" t="n"/>
      <c r="G856" s="107" t="n"/>
      <c r="H856" s="114" t="n"/>
      <c r="I856" s="114" t="n"/>
      <c r="J856" s="107" t="n"/>
      <c r="K856" s="107" t="n"/>
      <c r="L856" s="108" t="n"/>
      <c r="M856" s="108" t="n"/>
      <c r="N856" s="108" t="n"/>
      <c r="O856" s="114" t="n"/>
      <c r="P856" s="120">
        <f>IF(OR($D856="",$I856=""),"",IF(OR($J856="Tamamlandı",$J856="İptal"),"",$I856-TODAY()))</f>
        <v/>
      </c>
      <c r="Q856" s="112">
        <f>IF($D856="","",IF($E856="TANIMSIZ MÜŞTERİ","HATA",IF(OR($J856="Tamamlandı",$J856="İptal"),"KAPALI",IF(AND($C856="Görüşme",$N856=""),"SONRAKİ İŞLEM EKSİK",IF($I856="","TARİH EKSİK",IF($I856&lt;TODAY(),"GECİKMİŞ",IF($I856=TODAY(),"BUGÜN",IF($I856&lt;=TODAY()+7,"7 GÜN İÇİNDE","PLANLI"))))))))</f>
        <v/>
      </c>
      <c r="R856" s="6" t="n"/>
      <c r="S856" s="6" t="n"/>
    </row>
    <row r="857">
      <c r="A857" s="6" t="n"/>
      <c r="B857" s="112">
        <f>IF($D857="","","A"&amp;TEXT(ROW()-6,"00000"))</f>
        <v/>
      </c>
      <c r="C857" s="107" t="n"/>
      <c r="D857" s="107" t="n"/>
      <c r="E857" s="113">
        <f>IF($D857="","",IFERROR(INDEX(MUSTERILER!$C$7:$C$106,MATCH($D857,MUSTERILER!$B$7:$B$106,0)),"TANIMSIZ MÜŞTERİ"))</f>
        <v/>
      </c>
      <c r="F857" s="108" t="n"/>
      <c r="G857" s="107" t="n"/>
      <c r="H857" s="114" t="n"/>
      <c r="I857" s="114" t="n"/>
      <c r="J857" s="107" t="n"/>
      <c r="K857" s="107" t="n"/>
      <c r="L857" s="108" t="n"/>
      <c r="M857" s="108" t="n"/>
      <c r="N857" s="108" t="n"/>
      <c r="O857" s="114" t="n"/>
      <c r="P857" s="120">
        <f>IF(OR($D857="",$I857=""),"",IF(OR($J857="Tamamlandı",$J857="İptal"),"",$I857-TODAY()))</f>
        <v/>
      </c>
      <c r="Q857" s="112">
        <f>IF($D857="","",IF($E857="TANIMSIZ MÜŞTERİ","HATA",IF(OR($J857="Tamamlandı",$J857="İptal"),"KAPALI",IF(AND($C857="Görüşme",$N857=""),"SONRAKİ İŞLEM EKSİK",IF($I857="","TARİH EKSİK",IF($I857&lt;TODAY(),"GECİKMİŞ",IF($I857=TODAY(),"BUGÜN",IF($I857&lt;=TODAY()+7,"7 GÜN İÇİNDE","PLANLI"))))))))</f>
        <v/>
      </c>
      <c r="R857" s="6" t="n"/>
      <c r="S857" s="6" t="n"/>
    </row>
    <row r="858">
      <c r="A858" s="6" t="n"/>
      <c r="B858" s="112">
        <f>IF($D858="","","A"&amp;TEXT(ROW()-6,"00000"))</f>
        <v/>
      </c>
      <c r="C858" s="107" t="n"/>
      <c r="D858" s="107" t="n"/>
      <c r="E858" s="113">
        <f>IF($D858="","",IFERROR(INDEX(MUSTERILER!$C$7:$C$106,MATCH($D858,MUSTERILER!$B$7:$B$106,0)),"TANIMSIZ MÜŞTERİ"))</f>
        <v/>
      </c>
      <c r="F858" s="108" t="n"/>
      <c r="G858" s="107" t="n"/>
      <c r="H858" s="114" t="n"/>
      <c r="I858" s="114" t="n"/>
      <c r="J858" s="107" t="n"/>
      <c r="K858" s="107" t="n"/>
      <c r="L858" s="108" t="n"/>
      <c r="M858" s="108" t="n"/>
      <c r="N858" s="108" t="n"/>
      <c r="O858" s="114" t="n"/>
      <c r="P858" s="120">
        <f>IF(OR($D858="",$I858=""),"",IF(OR($J858="Tamamlandı",$J858="İptal"),"",$I858-TODAY()))</f>
        <v/>
      </c>
      <c r="Q858" s="112">
        <f>IF($D858="","",IF($E858="TANIMSIZ MÜŞTERİ","HATA",IF(OR($J858="Tamamlandı",$J858="İptal"),"KAPALI",IF(AND($C858="Görüşme",$N858=""),"SONRAKİ İŞLEM EKSİK",IF($I858="","TARİH EKSİK",IF($I858&lt;TODAY(),"GECİKMİŞ",IF($I858=TODAY(),"BUGÜN",IF($I858&lt;=TODAY()+7,"7 GÜN İÇİNDE","PLANLI"))))))))</f>
        <v/>
      </c>
      <c r="R858" s="6" t="n"/>
      <c r="S858" s="6" t="n"/>
    </row>
    <row r="859">
      <c r="A859" s="6" t="n"/>
      <c r="B859" s="112">
        <f>IF($D859="","","A"&amp;TEXT(ROW()-6,"00000"))</f>
        <v/>
      </c>
      <c r="C859" s="107" t="n"/>
      <c r="D859" s="107" t="n"/>
      <c r="E859" s="113">
        <f>IF($D859="","",IFERROR(INDEX(MUSTERILER!$C$7:$C$106,MATCH($D859,MUSTERILER!$B$7:$B$106,0)),"TANIMSIZ MÜŞTERİ"))</f>
        <v/>
      </c>
      <c r="F859" s="108" t="n"/>
      <c r="G859" s="107" t="n"/>
      <c r="H859" s="114" t="n"/>
      <c r="I859" s="114" t="n"/>
      <c r="J859" s="107" t="n"/>
      <c r="K859" s="107" t="n"/>
      <c r="L859" s="108" t="n"/>
      <c r="M859" s="108" t="n"/>
      <c r="N859" s="108" t="n"/>
      <c r="O859" s="114" t="n"/>
      <c r="P859" s="120">
        <f>IF(OR($D859="",$I859=""),"",IF(OR($J859="Tamamlandı",$J859="İptal"),"",$I859-TODAY()))</f>
        <v/>
      </c>
      <c r="Q859" s="112">
        <f>IF($D859="","",IF($E859="TANIMSIZ MÜŞTERİ","HATA",IF(OR($J859="Tamamlandı",$J859="İptal"),"KAPALI",IF(AND($C859="Görüşme",$N859=""),"SONRAKİ İŞLEM EKSİK",IF($I859="","TARİH EKSİK",IF($I859&lt;TODAY(),"GECİKMİŞ",IF($I859=TODAY(),"BUGÜN",IF($I859&lt;=TODAY()+7,"7 GÜN İÇİNDE","PLANLI"))))))))</f>
        <v/>
      </c>
      <c r="R859" s="6" t="n"/>
      <c r="S859" s="6" t="n"/>
    </row>
    <row r="860">
      <c r="A860" s="6" t="n"/>
      <c r="B860" s="112">
        <f>IF($D860="","","A"&amp;TEXT(ROW()-6,"00000"))</f>
        <v/>
      </c>
      <c r="C860" s="107" t="n"/>
      <c r="D860" s="107" t="n"/>
      <c r="E860" s="113">
        <f>IF($D860="","",IFERROR(INDEX(MUSTERILER!$C$7:$C$106,MATCH($D860,MUSTERILER!$B$7:$B$106,0)),"TANIMSIZ MÜŞTERİ"))</f>
        <v/>
      </c>
      <c r="F860" s="108" t="n"/>
      <c r="G860" s="107" t="n"/>
      <c r="H860" s="114" t="n"/>
      <c r="I860" s="114" t="n"/>
      <c r="J860" s="107" t="n"/>
      <c r="K860" s="107" t="n"/>
      <c r="L860" s="108" t="n"/>
      <c r="M860" s="108" t="n"/>
      <c r="N860" s="108" t="n"/>
      <c r="O860" s="114" t="n"/>
      <c r="P860" s="120">
        <f>IF(OR($D860="",$I860=""),"",IF(OR($J860="Tamamlandı",$J860="İptal"),"",$I860-TODAY()))</f>
        <v/>
      </c>
      <c r="Q860" s="112">
        <f>IF($D860="","",IF($E860="TANIMSIZ MÜŞTERİ","HATA",IF(OR($J860="Tamamlandı",$J860="İptal"),"KAPALI",IF(AND($C860="Görüşme",$N860=""),"SONRAKİ İŞLEM EKSİK",IF($I860="","TARİH EKSİK",IF($I860&lt;TODAY(),"GECİKMİŞ",IF($I860=TODAY(),"BUGÜN",IF($I860&lt;=TODAY()+7,"7 GÜN İÇİNDE","PLANLI"))))))))</f>
        <v/>
      </c>
      <c r="R860" s="6" t="n"/>
      <c r="S860" s="6" t="n"/>
    </row>
    <row r="861">
      <c r="A861" s="6" t="n"/>
      <c r="B861" s="112">
        <f>IF($D861="","","A"&amp;TEXT(ROW()-6,"00000"))</f>
        <v/>
      </c>
      <c r="C861" s="107" t="n"/>
      <c r="D861" s="107" t="n"/>
      <c r="E861" s="113">
        <f>IF($D861="","",IFERROR(INDEX(MUSTERILER!$C$7:$C$106,MATCH($D861,MUSTERILER!$B$7:$B$106,0)),"TANIMSIZ MÜŞTERİ"))</f>
        <v/>
      </c>
      <c r="F861" s="108" t="n"/>
      <c r="G861" s="107" t="n"/>
      <c r="H861" s="114" t="n"/>
      <c r="I861" s="114" t="n"/>
      <c r="J861" s="107" t="n"/>
      <c r="K861" s="107" t="n"/>
      <c r="L861" s="108" t="n"/>
      <c r="M861" s="108" t="n"/>
      <c r="N861" s="108" t="n"/>
      <c r="O861" s="114" t="n"/>
      <c r="P861" s="120">
        <f>IF(OR($D861="",$I861=""),"",IF(OR($J861="Tamamlandı",$J861="İptal"),"",$I861-TODAY()))</f>
        <v/>
      </c>
      <c r="Q861" s="112">
        <f>IF($D861="","",IF($E861="TANIMSIZ MÜŞTERİ","HATA",IF(OR($J861="Tamamlandı",$J861="İptal"),"KAPALI",IF(AND($C861="Görüşme",$N861=""),"SONRAKİ İŞLEM EKSİK",IF($I861="","TARİH EKSİK",IF($I861&lt;TODAY(),"GECİKMİŞ",IF($I861=TODAY(),"BUGÜN",IF($I861&lt;=TODAY()+7,"7 GÜN İÇİNDE","PLANLI"))))))))</f>
        <v/>
      </c>
      <c r="R861" s="6" t="n"/>
      <c r="S861" s="6" t="n"/>
    </row>
    <row r="862">
      <c r="A862" s="6" t="n"/>
      <c r="B862" s="112">
        <f>IF($D862="","","A"&amp;TEXT(ROW()-6,"00000"))</f>
        <v/>
      </c>
      <c r="C862" s="107" t="n"/>
      <c r="D862" s="107" t="n"/>
      <c r="E862" s="113">
        <f>IF($D862="","",IFERROR(INDEX(MUSTERILER!$C$7:$C$106,MATCH($D862,MUSTERILER!$B$7:$B$106,0)),"TANIMSIZ MÜŞTERİ"))</f>
        <v/>
      </c>
      <c r="F862" s="108" t="n"/>
      <c r="G862" s="107" t="n"/>
      <c r="H862" s="114" t="n"/>
      <c r="I862" s="114" t="n"/>
      <c r="J862" s="107" t="n"/>
      <c r="K862" s="107" t="n"/>
      <c r="L862" s="108" t="n"/>
      <c r="M862" s="108" t="n"/>
      <c r="N862" s="108" t="n"/>
      <c r="O862" s="114" t="n"/>
      <c r="P862" s="120">
        <f>IF(OR($D862="",$I862=""),"",IF(OR($J862="Tamamlandı",$J862="İptal"),"",$I862-TODAY()))</f>
        <v/>
      </c>
      <c r="Q862" s="112">
        <f>IF($D862="","",IF($E862="TANIMSIZ MÜŞTERİ","HATA",IF(OR($J862="Tamamlandı",$J862="İptal"),"KAPALI",IF(AND($C862="Görüşme",$N862=""),"SONRAKİ İŞLEM EKSİK",IF($I862="","TARİH EKSİK",IF($I862&lt;TODAY(),"GECİKMİŞ",IF($I862=TODAY(),"BUGÜN",IF($I862&lt;=TODAY()+7,"7 GÜN İÇİNDE","PLANLI"))))))))</f>
        <v/>
      </c>
      <c r="R862" s="6" t="n"/>
      <c r="S862" s="6" t="n"/>
    </row>
    <row r="863">
      <c r="A863" s="6" t="n"/>
      <c r="B863" s="112">
        <f>IF($D863="","","A"&amp;TEXT(ROW()-6,"00000"))</f>
        <v/>
      </c>
      <c r="C863" s="107" t="n"/>
      <c r="D863" s="107" t="n"/>
      <c r="E863" s="113">
        <f>IF($D863="","",IFERROR(INDEX(MUSTERILER!$C$7:$C$106,MATCH($D863,MUSTERILER!$B$7:$B$106,0)),"TANIMSIZ MÜŞTERİ"))</f>
        <v/>
      </c>
      <c r="F863" s="108" t="n"/>
      <c r="G863" s="107" t="n"/>
      <c r="H863" s="114" t="n"/>
      <c r="I863" s="114" t="n"/>
      <c r="J863" s="107" t="n"/>
      <c r="K863" s="107" t="n"/>
      <c r="L863" s="108" t="n"/>
      <c r="M863" s="108" t="n"/>
      <c r="N863" s="108" t="n"/>
      <c r="O863" s="114" t="n"/>
      <c r="P863" s="120">
        <f>IF(OR($D863="",$I863=""),"",IF(OR($J863="Tamamlandı",$J863="İptal"),"",$I863-TODAY()))</f>
        <v/>
      </c>
      <c r="Q863" s="112">
        <f>IF($D863="","",IF($E863="TANIMSIZ MÜŞTERİ","HATA",IF(OR($J863="Tamamlandı",$J863="İptal"),"KAPALI",IF(AND($C863="Görüşme",$N863=""),"SONRAKİ İŞLEM EKSİK",IF($I863="","TARİH EKSİK",IF($I863&lt;TODAY(),"GECİKMİŞ",IF($I863=TODAY(),"BUGÜN",IF($I863&lt;=TODAY()+7,"7 GÜN İÇİNDE","PLANLI"))))))))</f>
        <v/>
      </c>
      <c r="R863" s="6" t="n"/>
      <c r="S863" s="6" t="n"/>
    </row>
    <row r="864">
      <c r="A864" s="6" t="n"/>
      <c r="B864" s="112">
        <f>IF($D864="","","A"&amp;TEXT(ROW()-6,"00000"))</f>
        <v/>
      </c>
      <c r="C864" s="107" t="n"/>
      <c r="D864" s="107" t="n"/>
      <c r="E864" s="113">
        <f>IF($D864="","",IFERROR(INDEX(MUSTERILER!$C$7:$C$106,MATCH($D864,MUSTERILER!$B$7:$B$106,0)),"TANIMSIZ MÜŞTERİ"))</f>
        <v/>
      </c>
      <c r="F864" s="108" t="n"/>
      <c r="G864" s="107" t="n"/>
      <c r="H864" s="114" t="n"/>
      <c r="I864" s="114" t="n"/>
      <c r="J864" s="107" t="n"/>
      <c r="K864" s="107" t="n"/>
      <c r="L864" s="108" t="n"/>
      <c r="M864" s="108" t="n"/>
      <c r="N864" s="108" t="n"/>
      <c r="O864" s="114" t="n"/>
      <c r="P864" s="120">
        <f>IF(OR($D864="",$I864=""),"",IF(OR($J864="Tamamlandı",$J864="İptal"),"",$I864-TODAY()))</f>
        <v/>
      </c>
      <c r="Q864" s="112">
        <f>IF($D864="","",IF($E864="TANIMSIZ MÜŞTERİ","HATA",IF(OR($J864="Tamamlandı",$J864="İptal"),"KAPALI",IF(AND($C864="Görüşme",$N864=""),"SONRAKİ İŞLEM EKSİK",IF($I864="","TARİH EKSİK",IF($I864&lt;TODAY(),"GECİKMİŞ",IF($I864=TODAY(),"BUGÜN",IF($I864&lt;=TODAY()+7,"7 GÜN İÇİNDE","PLANLI"))))))))</f>
        <v/>
      </c>
      <c r="R864" s="6" t="n"/>
      <c r="S864" s="6" t="n"/>
    </row>
    <row r="865">
      <c r="A865" s="6" t="n"/>
      <c r="B865" s="112">
        <f>IF($D865="","","A"&amp;TEXT(ROW()-6,"00000"))</f>
        <v/>
      </c>
      <c r="C865" s="107" t="n"/>
      <c r="D865" s="107" t="n"/>
      <c r="E865" s="113">
        <f>IF($D865="","",IFERROR(INDEX(MUSTERILER!$C$7:$C$106,MATCH($D865,MUSTERILER!$B$7:$B$106,0)),"TANIMSIZ MÜŞTERİ"))</f>
        <v/>
      </c>
      <c r="F865" s="108" t="n"/>
      <c r="G865" s="107" t="n"/>
      <c r="H865" s="114" t="n"/>
      <c r="I865" s="114" t="n"/>
      <c r="J865" s="107" t="n"/>
      <c r="K865" s="107" t="n"/>
      <c r="L865" s="108" t="n"/>
      <c r="M865" s="108" t="n"/>
      <c r="N865" s="108" t="n"/>
      <c r="O865" s="114" t="n"/>
      <c r="P865" s="120">
        <f>IF(OR($D865="",$I865=""),"",IF(OR($J865="Tamamlandı",$J865="İptal"),"",$I865-TODAY()))</f>
        <v/>
      </c>
      <c r="Q865" s="112">
        <f>IF($D865="","",IF($E865="TANIMSIZ MÜŞTERİ","HATA",IF(OR($J865="Tamamlandı",$J865="İptal"),"KAPALI",IF(AND($C865="Görüşme",$N865=""),"SONRAKİ İŞLEM EKSİK",IF($I865="","TARİH EKSİK",IF($I865&lt;TODAY(),"GECİKMİŞ",IF($I865=TODAY(),"BUGÜN",IF($I865&lt;=TODAY()+7,"7 GÜN İÇİNDE","PLANLI"))))))))</f>
        <v/>
      </c>
      <c r="R865" s="6" t="n"/>
      <c r="S865" s="6" t="n"/>
    </row>
    <row r="866">
      <c r="A866" s="6" t="n"/>
      <c r="B866" s="112">
        <f>IF($D866="","","A"&amp;TEXT(ROW()-6,"00000"))</f>
        <v/>
      </c>
      <c r="C866" s="107" t="n"/>
      <c r="D866" s="107" t="n"/>
      <c r="E866" s="113">
        <f>IF($D866="","",IFERROR(INDEX(MUSTERILER!$C$7:$C$106,MATCH($D866,MUSTERILER!$B$7:$B$106,0)),"TANIMSIZ MÜŞTERİ"))</f>
        <v/>
      </c>
      <c r="F866" s="108" t="n"/>
      <c r="G866" s="107" t="n"/>
      <c r="H866" s="114" t="n"/>
      <c r="I866" s="114" t="n"/>
      <c r="J866" s="107" t="n"/>
      <c r="K866" s="107" t="n"/>
      <c r="L866" s="108" t="n"/>
      <c r="M866" s="108" t="n"/>
      <c r="N866" s="108" t="n"/>
      <c r="O866" s="114" t="n"/>
      <c r="P866" s="120">
        <f>IF(OR($D866="",$I866=""),"",IF(OR($J866="Tamamlandı",$J866="İptal"),"",$I866-TODAY()))</f>
        <v/>
      </c>
      <c r="Q866" s="112">
        <f>IF($D866="","",IF($E866="TANIMSIZ MÜŞTERİ","HATA",IF(OR($J866="Tamamlandı",$J866="İptal"),"KAPALI",IF(AND($C866="Görüşme",$N866=""),"SONRAKİ İŞLEM EKSİK",IF($I866="","TARİH EKSİK",IF($I866&lt;TODAY(),"GECİKMİŞ",IF($I866=TODAY(),"BUGÜN",IF($I866&lt;=TODAY()+7,"7 GÜN İÇİNDE","PLANLI"))))))))</f>
        <v/>
      </c>
      <c r="R866" s="6" t="n"/>
      <c r="S866" s="6" t="n"/>
    </row>
    <row r="867">
      <c r="A867" s="6" t="n"/>
      <c r="B867" s="112">
        <f>IF($D867="","","A"&amp;TEXT(ROW()-6,"00000"))</f>
        <v/>
      </c>
      <c r="C867" s="107" t="n"/>
      <c r="D867" s="107" t="n"/>
      <c r="E867" s="113">
        <f>IF($D867="","",IFERROR(INDEX(MUSTERILER!$C$7:$C$106,MATCH($D867,MUSTERILER!$B$7:$B$106,0)),"TANIMSIZ MÜŞTERİ"))</f>
        <v/>
      </c>
      <c r="F867" s="108" t="n"/>
      <c r="G867" s="107" t="n"/>
      <c r="H867" s="114" t="n"/>
      <c r="I867" s="114" t="n"/>
      <c r="J867" s="107" t="n"/>
      <c r="K867" s="107" t="n"/>
      <c r="L867" s="108" t="n"/>
      <c r="M867" s="108" t="n"/>
      <c r="N867" s="108" t="n"/>
      <c r="O867" s="114" t="n"/>
      <c r="P867" s="120">
        <f>IF(OR($D867="",$I867=""),"",IF(OR($J867="Tamamlandı",$J867="İptal"),"",$I867-TODAY()))</f>
        <v/>
      </c>
      <c r="Q867" s="112">
        <f>IF($D867="","",IF($E867="TANIMSIZ MÜŞTERİ","HATA",IF(OR($J867="Tamamlandı",$J867="İptal"),"KAPALI",IF(AND($C867="Görüşme",$N867=""),"SONRAKİ İŞLEM EKSİK",IF($I867="","TARİH EKSİK",IF($I867&lt;TODAY(),"GECİKMİŞ",IF($I867=TODAY(),"BUGÜN",IF($I867&lt;=TODAY()+7,"7 GÜN İÇİNDE","PLANLI"))))))))</f>
        <v/>
      </c>
      <c r="R867" s="6" t="n"/>
      <c r="S867" s="6" t="n"/>
    </row>
    <row r="868">
      <c r="A868" s="6" t="n"/>
      <c r="B868" s="112">
        <f>IF($D868="","","A"&amp;TEXT(ROW()-6,"00000"))</f>
        <v/>
      </c>
      <c r="C868" s="107" t="n"/>
      <c r="D868" s="107" t="n"/>
      <c r="E868" s="113">
        <f>IF($D868="","",IFERROR(INDEX(MUSTERILER!$C$7:$C$106,MATCH($D868,MUSTERILER!$B$7:$B$106,0)),"TANIMSIZ MÜŞTERİ"))</f>
        <v/>
      </c>
      <c r="F868" s="108" t="n"/>
      <c r="G868" s="107" t="n"/>
      <c r="H868" s="114" t="n"/>
      <c r="I868" s="114" t="n"/>
      <c r="J868" s="107" t="n"/>
      <c r="K868" s="107" t="n"/>
      <c r="L868" s="108" t="n"/>
      <c r="M868" s="108" t="n"/>
      <c r="N868" s="108" t="n"/>
      <c r="O868" s="114" t="n"/>
      <c r="P868" s="120">
        <f>IF(OR($D868="",$I868=""),"",IF(OR($J868="Tamamlandı",$J868="İptal"),"",$I868-TODAY()))</f>
        <v/>
      </c>
      <c r="Q868" s="112">
        <f>IF($D868="","",IF($E868="TANIMSIZ MÜŞTERİ","HATA",IF(OR($J868="Tamamlandı",$J868="İptal"),"KAPALI",IF(AND($C868="Görüşme",$N868=""),"SONRAKİ İŞLEM EKSİK",IF($I868="","TARİH EKSİK",IF($I868&lt;TODAY(),"GECİKMİŞ",IF($I868=TODAY(),"BUGÜN",IF($I868&lt;=TODAY()+7,"7 GÜN İÇİNDE","PLANLI"))))))))</f>
        <v/>
      </c>
      <c r="R868" s="6" t="n"/>
      <c r="S868" s="6" t="n"/>
    </row>
    <row r="869">
      <c r="A869" s="6" t="n"/>
      <c r="B869" s="112">
        <f>IF($D869="","","A"&amp;TEXT(ROW()-6,"00000"))</f>
        <v/>
      </c>
      <c r="C869" s="107" t="n"/>
      <c r="D869" s="107" t="n"/>
      <c r="E869" s="113">
        <f>IF($D869="","",IFERROR(INDEX(MUSTERILER!$C$7:$C$106,MATCH($D869,MUSTERILER!$B$7:$B$106,0)),"TANIMSIZ MÜŞTERİ"))</f>
        <v/>
      </c>
      <c r="F869" s="108" t="n"/>
      <c r="G869" s="107" t="n"/>
      <c r="H869" s="114" t="n"/>
      <c r="I869" s="114" t="n"/>
      <c r="J869" s="107" t="n"/>
      <c r="K869" s="107" t="n"/>
      <c r="L869" s="108" t="n"/>
      <c r="M869" s="108" t="n"/>
      <c r="N869" s="108" t="n"/>
      <c r="O869" s="114" t="n"/>
      <c r="P869" s="120">
        <f>IF(OR($D869="",$I869=""),"",IF(OR($J869="Tamamlandı",$J869="İptal"),"",$I869-TODAY()))</f>
        <v/>
      </c>
      <c r="Q869" s="112">
        <f>IF($D869="","",IF($E869="TANIMSIZ MÜŞTERİ","HATA",IF(OR($J869="Tamamlandı",$J869="İptal"),"KAPALI",IF(AND($C869="Görüşme",$N869=""),"SONRAKİ İŞLEM EKSİK",IF($I869="","TARİH EKSİK",IF($I869&lt;TODAY(),"GECİKMİŞ",IF($I869=TODAY(),"BUGÜN",IF($I869&lt;=TODAY()+7,"7 GÜN İÇİNDE","PLANLI"))))))))</f>
        <v/>
      </c>
      <c r="R869" s="6" t="n"/>
      <c r="S869" s="6" t="n"/>
    </row>
    <row r="870">
      <c r="A870" s="6" t="n"/>
      <c r="B870" s="112">
        <f>IF($D870="","","A"&amp;TEXT(ROW()-6,"00000"))</f>
        <v/>
      </c>
      <c r="C870" s="107" t="n"/>
      <c r="D870" s="107" t="n"/>
      <c r="E870" s="113">
        <f>IF($D870="","",IFERROR(INDEX(MUSTERILER!$C$7:$C$106,MATCH($D870,MUSTERILER!$B$7:$B$106,0)),"TANIMSIZ MÜŞTERİ"))</f>
        <v/>
      </c>
      <c r="F870" s="108" t="n"/>
      <c r="G870" s="107" t="n"/>
      <c r="H870" s="114" t="n"/>
      <c r="I870" s="114" t="n"/>
      <c r="J870" s="107" t="n"/>
      <c r="K870" s="107" t="n"/>
      <c r="L870" s="108" t="n"/>
      <c r="M870" s="108" t="n"/>
      <c r="N870" s="108" t="n"/>
      <c r="O870" s="114" t="n"/>
      <c r="P870" s="120">
        <f>IF(OR($D870="",$I870=""),"",IF(OR($J870="Tamamlandı",$J870="İptal"),"",$I870-TODAY()))</f>
        <v/>
      </c>
      <c r="Q870" s="112">
        <f>IF($D870="","",IF($E870="TANIMSIZ MÜŞTERİ","HATA",IF(OR($J870="Tamamlandı",$J870="İptal"),"KAPALI",IF(AND($C870="Görüşme",$N870=""),"SONRAKİ İŞLEM EKSİK",IF($I870="","TARİH EKSİK",IF($I870&lt;TODAY(),"GECİKMİŞ",IF($I870=TODAY(),"BUGÜN",IF($I870&lt;=TODAY()+7,"7 GÜN İÇİNDE","PLANLI"))))))))</f>
        <v/>
      </c>
      <c r="R870" s="6" t="n"/>
      <c r="S870" s="6" t="n"/>
    </row>
    <row r="871">
      <c r="A871" s="6" t="n"/>
      <c r="B871" s="112">
        <f>IF($D871="","","A"&amp;TEXT(ROW()-6,"00000"))</f>
        <v/>
      </c>
      <c r="C871" s="107" t="n"/>
      <c r="D871" s="107" t="n"/>
      <c r="E871" s="113">
        <f>IF($D871="","",IFERROR(INDEX(MUSTERILER!$C$7:$C$106,MATCH($D871,MUSTERILER!$B$7:$B$106,0)),"TANIMSIZ MÜŞTERİ"))</f>
        <v/>
      </c>
      <c r="F871" s="108" t="n"/>
      <c r="G871" s="107" t="n"/>
      <c r="H871" s="114" t="n"/>
      <c r="I871" s="114" t="n"/>
      <c r="J871" s="107" t="n"/>
      <c r="K871" s="107" t="n"/>
      <c r="L871" s="108" t="n"/>
      <c r="M871" s="108" t="n"/>
      <c r="N871" s="108" t="n"/>
      <c r="O871" s="114" t="n"/>
      <c r="P871" s="120">
        <f>IF(OR($D871="",$I871=""),"",IF(OR($J871="Tamamlandı",$J871="İptal"),"",$I871-TODAY()))</f>
        <v/>
      </c>
      <c r="Q871" s="112">
        <f>IF($D871="","",IF($E871="TANIMSIZ MÜŞTERİ","HATA",IF(OR($J871="Tamamlandı",$J871="İptal"),"KAPALI",IF(AND($C871="Görüşme",$N871=""),"SONRAKİ İŞLEM EKSİK",IF($I871="","TARİH EKSİK",IF($I871&lt;TODAY(),"GECİKMİŞ",IF($I871=TODAY(),"BUGÜN",IF($I871&lt;=TODAY()+7,"7 GÜN İÇİNDE","PLANLI"))))))))</f>
        <v/>
      </c>
      <c r="R871" s="6" t="n"/>
      <c r="S871" s="6" t="n"/>
    </row>
    <row r="872">
      <c r="A872" s="6" t="n"/>
      <c r="B872" s="112">
        <f>IF($D872="","","A"&amp;TEXT(ROW()-6,"00000"))</f>
        <v/>
      </c>
      <c r="C872" s="107" t="n"/>
      <c r="D872" s="107" t="n"/>
      <c r="E872" s="113">
        <f>IF($D872="","",IFERROR(INDEX(MUSTERILER!$C$7:$C$106,MATCH($D872,MUSTERILER!$B$7:$B$106,0)),"TANIMSIZ MÜŞTERİ"))</f>
        <v/>
      </c>
      <c r="F872" s="108" t="n"/>
      <c r="G872" s="107" t="n"/>
      <c r="H872" s="114" t="n"/>
      <c r="I872" s="114" t="n"/>
      <c r="J872" s="107" t="n"/>
      <c r="K872" s="107" t="n"/>
      <c r="L872" s="108" t="n"/>
      <c r="M872" s="108" t="n"/>
      <c r="N872" s="108" t="n"/>
      <c r="O872" s="114" t="n"/>
      <c r="P872" s="120">
        <f>IF(OR($D872="",$I872=""),"",IF(OR($J872="Tamamlandı",$J872="İptal"),"",$I872-TODAY()))</f>
        <v/>
      </c>
      <c r="Q872" s="112">
        <f>IF($D872="","",IF($E872="TANIMSIZ MÜŞTERİ","HATA",IF(OR($J872="Tamamlandı",$J872="İptal"),"KAPALI",IF(AND($C872="Görüşme",$N872=""),"SONRAKİ İŞLEM EKSİK",IF($I872="","TARİH EKSİK",IF($I872&lt;TODAY(),"GECİKMİŞ",IF($I872=TODAY(),"BUGÜN",IF($I872&lt;=TODAY()+7,"7 GÜN İÇİNDE","PLANLI"))))))))</f>
        <v/>
      </c>
      <c r="R872" s="6" t="n"/>
      <c r="S872" s="6" t="n"/>
    </row>
    <row r="873">
      <c r="A873" s="6" t="n"/>
      <c r="B873" s="112">
        <f>IF($D873="","","A"&amp;TEXT(ROW()-6,"00000"))</f>
        <v/>
      </c>
      <c r="C873" s="107" t="n"/>
      <c r="D873" s="107" t="n"/>
      <c r="E873" s="113">
        <f>IF($D873="","",IFERROR(INDEX(MUSTERILER!$C$7:$C$106,MATCH($D873,MUSTERILER!$B$7:$B$106,0)),"TANIMSIZ MÜŞTERİ"))</f>
        <v/>
      </c>
      <c r="F873" s="108" t="n"/>
      <c r="G873" s="107" t="n"/>
      <c r="H873" s="114" t="n"/>
      <c r="I873" s="114" t="n"/>
      <c r="J873" s="107" t="n"/>
      <c r="K873" s="107" t="n"/>
      <c r="L873" s="108" t="n"/>
      <c r="M873" s="108" t="n"/>
      <c r="N873" s="108" t="n"/>
      <c r="O873" s="114" t="n"/>
      <c r="P873" s="120">
        <f>IF(OR($D873="",$I873=""),"",IF(OR($J873="Tamamlandı",$J873="İptal"),"",$I873-TODAY()))</f>
        <v/>
      </c>
      <c r="Q873" s="112">
        <f>IF($D873="","",IF($E873="TANIMSIZ MÜŞTERİ","HATA",IF(OR($J873="Tamamlandı",$J873="İptal"),"KAPALI",IF(AND($C873="Görüşme",$N873=""),"SONRAKİ İŞLEM EKSİK",IF($I873="","TARİH EKSİK",IF($I873&lt;TODAY(),"GECİKMİŞ",IF($I873=TODAY(),"BUGÜN",IF($I873&lt;=TODAY()+7,"7 GÜN İÇİNDE","PLANLI"))))))))</f>
        <v/>
      </c>
      <c r="R873" s="6" t="n"/>
      <c r="S873" s="6" t="n"/>
    </row>
    <row r="874">
      <c r="A874" s="6" t="n"/>
      <c r="B874" s="112">
        <f>IF($D874="","","A"&amp;TEXT(ROW()-6,"00000"))</f>
        <v/>
      </c>
      <c r="C874" s="107" t="n"/>
      <c r="D874" s="107" t="n"/>
      <c r="E874" s="113">
        <f>IF($D874="","",IFERROR(INDEX(MUSTERILER!$C$7:$C$106,MATCH($D874,MUSTERILER!$B$7:$B$106,0)),"TANIMSIZ MÜŞTERİ"))</f>
        <v/>
      </c>
      <c r="F874" s="108" t="n"/>
      <c r="G874" s="107" t="n"/>
      <c r="H874" s="114" t="n"/>
      <c r="I874" s="114" t="n"/>
      <c r="J874" s="107" t="n"/>
      <c r="K874" s="107" t="n"/>
      <c r="L874" s="108" t="n"/>
      <c r="M874" s="108" t="n"/>
      <c r="N874" s="108" t="n"/>
      <c r="O874" s="114" t="n"/>
      <c r="P874" s="120">
        <f>IF(OR($D874="",$I874=""),"",IF(OR($J874="Tamamlandı",$J874="İptal"),"",$I874-TODAY()))</f>
        <v/>
      </c>
      <c r="Q874" s="112">
        <f>IF($D874="","",IF($E874="TANIMSIZ MÜŞTERİ","HATA",IF(OR($J874="Tamamlandı",$J874="İptal"),"KAPALI",IF(AND($C874="Görüşme",$N874=""),"SONRAKİ İŞLEM EKSİK",IF($I874="","TARİH EKSİK",IF($I874&lt;TODAY(),"GECİKMİŞ",IF($I874=TODAY(),"BUGÜN",IF($I874&lt;=TODAY()+7,"7 GÜN İÇİNDE","PLANLI"))))))))</f>
        <v/>
      </c>
      <c r="R874" s="6" t="n"/>
      <c r="S874" s="6" t="n"/>
    </row>
    <row r="875">
      <c r="A875" s="6" t="n"/>
      <c r="B875" s="112">
        <f>IF($D875="","","A"&amp;TEXT(ROW()-6,"00000"))</f>
        <v/>
      </c>
      <c r="C875" s="107" t="n"/>
      <c r="D875" s="107" t="n"/>
      <c r="E875" s="113">
        <f>IF($D875="","",IFERROR(INDEX(MUSTERILER!$C$7:$C$106,MATCH($D875,MUSTERILER!$B$7:$B$106,0)),"TANIMSIZ MÜŞTERİ"))</f>
        <v/>
      </c>
      <c r="F875" s="108" t="n"/>
      <c r="G875" s="107" t="n"/>
      <c r="H875" s="114" t="n"/>
      <c r="I875" s="114" t="n"/>
      <c r="J875" s="107" t="n"/>
      <c r="K875" s="107" t="n"/>
      <c r="L875" s="108" t="n"/>
      <c r="M875" s="108" t="n"/>
      <c r="N875" s="108" t="n"/>
      <c r="O875" s="114" t="n"/>
      <c r="P875" s="120">
        <f>IF(OR($D875="",$I875=""),"",IF(OR($J875="Tamamlandı",$J875="İptal"),"",$I875-TODAY()))</f>
        <v/>
      </c>
      <c r="Q875" s="112">
        <f>IF($D875="","",IF($E875="TANIMSIZ MÜŞTERİ","HATA",IF(OR($J875="Tamamlandı",$J875="İptal"),"KAPALI",IF(AND($C875="Görüşme",$N875=""),"SONRAKİ İŞLEM EKSİK",IF($I875="","TARİH EKSİK",IF($I875&lt;TODAY(),"GECİKMİŞ",IF($I875=TODAY(),"BUGÜN",IF($I875&lt;=TODAY()+7,"7 GÜN İÇİNDE","PLANLI"))))))))</f>
        <v/>
      </c>
      <c r="R875" s="6" t="n"/>
      <c r="S875" s="6" t="n"/>
    </row>
    <row r="876">
      <c r="A876" s="6" t="n"/>
      <c r="B876" s="112">
        <f>IF($D876="","","A"&amp;TEXT(ROW()-6,"00000"))</f>
        <v/>
      </c>
      <c r="C876" s="107" t="n"/>
      <c r="D876" s="107" t="n"/>
      <c r="E876" s="113">
        <f>IF($D876="","",IFERROR(INDEX(MUSTERILER!$C$7:$C$106,MATCH($D876,MUSTERILER!$B$7:$B$106,0)),"TANIMSIZ MÜŞTERİ"))</f>
        <v/>
      </c>
      <c r="F876" s="108" t="n"/>
      <c r="G876" s="107" t="n"/>
      <c r="H876" s="114" t="n"/>
      <c r="I876" s="114" t="n"/>
      <c r="J876" s="107" t="n"/>
      <c r="K876" s="107" t="n"/>
      <c r="L876" s="108" t="n"/>
      <c r="M876" s="108" t="n"/>
      <c r="N876" s="108" t="n"/>
      <c r="O876" s="114" t="n"/>
      <c r="P876" s="120">
        <f>IF(OR($D876="",$I876=""),"",IF(OR($J876="Tamamlandı",$J876="İptal"),"",$I876-TODAY()))</f>
        <v/>
      </c>
      <c r="Q876" s="112">
        <f>IF($D876="","",IF($E876="TANIMSIZ MÜŞTERİ","HATA",IF(OR($J876="Tamamlandı",$J876="İptal"),"KAPALI",IF(AND($C876="Görüşme",$N876=""),"SONRAKİ İŞLEM EKSİK",IF($I876="","TARİH EKSİK",IF($I876&lt;TODAY(),"GECİKMİŞ",IF($I876=TODAY(),"BUGÜN",IF($I876&lt;=TODAY()+7,"7 GÜN İÇİNDE","PLANLI"))))))))</f>
        <v/>
      </c>
      <c r="R876" s="6" t="n"/>
      <c r="S876" s="6" t="n"/>
    </row>
    <row r="877">
      <c r="A877" s="6" t="n"/>
      <c r="B877" s="112">
        <f>IF($D877="","","A"&amp;TEXT(ROW()-6,"00000"))</f>
        <v/>
      </c>
      <c r="C877" s="107" t="n"/>
      <c r="D877" s="107" t="n"/>
      <c r="E877" s="113">
        <f>IF($D877="","",IFERROR(INDEX(MUSTERILER!$C$7:$C$106,MATCH($D877,MUSTERILER!$B$7:$B$106,0)),"TANIMSIZ MÜŞTERİ"))</f>
        <v/>
      </c>
      <c r="F877" s="108" t="n"/>
      <c r="G877" s="107" t="n"/>
      <c r="H877" s="114" t="n"/>
      <c r="I877" s="114" t="n"/>
      <c r="J877" s="107" t="n"/>
      <c r="K877" s="107" t="n"/>
      <c r="L877" s="108" t="n"/>
      <c r="M877" s="108" t="n"/>
      <c r="N877" s="108" t="n"/>
      <c r="O877" s="114" t="n"/>
      <c r="P877" s="120">
        <f>IF(OR($D877="",$I877=""),"",IF(OR($J877="Tamamlandı",$J877="İptal"),"",$I877-TODAY()))</f>
        <v/>
      </c>
      <c r="Q877" s="112">
        <f>IF($D877="","",IF($E877="TANIMSIZ MÜŞTERİ","HATA",IF(OR($J877="Tamamlandı",$J877="İptal"),"KAPALI",IF(AND($C877="Görüşme",$N877=""),"SONRAKİ İŞLEM EKSİK",IF($I877="","TARİH EKSİK",IF($I877&lt;TODAY(),"GECİKMİŞ",IF($I877=TODAY(),"BUGÜN",IF($I877&lt;=TODAY()+7,"7 GÜN İÇİNDE","PLANLI"))))))))</f>
        <v/>
      </c>
      <c r="R877" s="6" t="n"/>
      <c r="S877" s="6" t="n"/>
    </row>
    <row r="878">
      <c r="A878" s="6" t="n"/>
      <c r="B878" s="112">
        <f>IF($D878="","","A"&amp;TEXT(ROW()-6,"00000"))</f>
        <v/>
      </c>
      <c r="C878" s="107" t="n"/>
      <c r="D878" s="107" t="n"/>
      <c r="E878" s="113">
        <f>IF($D878="","",IFERROR(INDEX(MUSTERILER!$C$7:$C$106,MATCH($D878,MUSTERILER!$B$7:$B$106,0)),"TANIMSIZ MÜŞTERİ"))</f>
        <v/>
      </c>
      <c r="F878" s="108" t="n"/>
      <c r="G878" s="107" t="n"/>
      <c r="H878" s="114" t="n"/>
      <c r="I878" s="114" t="n"/>
      <c r="J878" s="107" t="n"/>
      <c r="K878" s="107" t="n"/>
      <c r="L878" s="108" t="n"/>
      <c r="M878" s="108" t="n"/>
      <c r="N878" s="108" t="n"/>
      <c r="O878" s="114" t="n"/>
      <c r="P878" s="120">
        <f>IF(OR($D878="",$I878=""),"",IF(OR($J878="Tamamlandı",$J878="İptal"),"",$I878-TODAY()))</f>
        <v/>
      </c>
      <c r="Q878" s="112">
        <f>IF($D878="","",IF($E878="TANIMSIZ MÜŞTERİ","HATA",IF(OR($J878="Tamamlandı",$J878="İptal"),"KAPALI",IF(AND($C878="Görüşme",$N878=""),"SONRAKİ İŞLEM EKSİK",IF($I878="","TARİH EKSİK",IF($I878&lt;TODAY(),"GECİKMİŞ",IF($I878=TODAY(),"BUGÜN",IF($I878&lt;=TODAY()+7,"7 GÜN İÇİNDE","PLANLI"))))))))</f>
        <v/>
      </c>
      <c r="R878" s="6" t="n"/>
      <c r="S878" s="6" t="n"/>
    </row>
    <row r="879">
      <c r="A879" s="6" t="n"/>
      <c r="B879" s="112">
        <f>IF($D879="","","A"&amp;TEXT(ROW()-6,"00000"))</f>
        <v/>
      </c>
      <c r="C879" s="107" t="n"/>
      <c r="D879" s="107" t="n"/>
      <c r="E879" s="113">
        <f>IF($D879="","",IFERROR(INDEX(MUSTERILER!$C$7:$C$106,MATCH($D879,MUSTERILER!$B$7:$B$106,0)),"TANIMSIZ MÜŞTERİ"))</f>
        <v/>
      </c>
      <c r="F879" s="108" t="n"/>
      <c r="G879" s="107" t="n"/>
      <c r="H879" s="114" t="n"/>
      <c r="I879" s="114" t="n"/>
      <c r="J879" s="107" t="n"/>
      <c r="K879" s="107" t="n"/>
      <c r="L879" s="108" t="n"/>
      <c r="M879" s="108" t="n"/>
      <c r="N879" s="108" t="n"/>
      <c r="O879" s="114" t="n"/>
      <c r="P879" s="120">
        <f>IF(OR($D879="",$I879=""),"",IF(OR($J879="Tamamlandı",$J879="İptal"),"",$I879-TODAY()))</f>
        <v/>
      </c>
      <c r="Q879" s="112">
        <f>IF($D879="","",IF($E879="TANIMSIZ MÜŞTERİ","HATA",IF(OR($J879="Tamamlandı",$J879="İptal"),"KAPALI",IF(AND($C879="Görüşme",$N879=""),"SONRAKİ İŞLEM EKSİK",IF($I879="","TARİH EKSİK",IF($I879&lt;TODAY(),"GECİKMİŞ",IF($I879=TODAY(),"BUGÜN",IF($I879&lt;=TODAY()+7,"7 GÜN İÇİNDE","PLANLI"))))))))</f>
        <v/>
      </c>
      <c r="R879" s="6" t="n"/>
      <c r="S879" s="6" t="n"/>
    </row>
    <row r="880">
      <c r="A880" s="6" t="n"/>
      <c r="B880" s="112">
        <f>IF($D880="","","A"&amp;TEXT(ROW()-6,"00000"))</f>
        <v/>
      </c>
      <c r="C880" s="107" t="n"/>
      <c r="D880" s="107" t="n"/>
      <c r="E880" s="113">
        <f>IF($D880="","",IFERROR(INDEX(MUSTERILER!$C$7:$C$106,MATCH($D880,MUSTERILER!$B$7:$B$106,0)),"TANIMSIZ MÜŞTERİ"))</f>
        <v/>
      </c>
      <c r="F880" s="108" t="n"/>
      <c r="G880" s="107" t="n"/>
      <c r="H880" s="114" t="n"/>
      <c r="I880" s="114" t="n"/>
      <c r="J880" s="107" t="n"/>
      <c r="K880" s="107" t="n"/>
      <c r="L880" s="108" t="n"/>
      <c r="M880" s="108" t="n"/>
      <c r="N880" s="108" t="n"/>
      <c r="O880" s="114" t="n"/>
      <c r="P880" s="120">
        <f>IF(OR($D880="",$I880=""),"",IF(OR($J880="Tamamlandı",$J880="İptal"),"",$I880-TODAY()))</f>
        <v/>
      </c>
      <c r="Q880" s="112">
        <f>IF($D880="","",IF($E880="TANIMSIZ MÜŞTERİ","HATA",IF(OR($J880="Tamamlandı",$J880="İptal"),"KAPALI",IF(AND($C880="Görüşme",$N880=""),"SONRAKİ İŞLEM EKSİK",IF($I880="","TARİH EKSİK",IF($I880&lt;TODAY(),"GECİKMİŞ",IF($I880=TODAY(),"BUGÜN",IF($I880&lt;=TODAY()+7,"7 GÜN İÇİNDE","PLANLI"))))))))</f>
        <v/>
      </c>
      <c r="R880" s="6" t="n"/>
      <c r="S880" s="6" t="n"/>
    </row>
    <row r="881">
      <c r="A881" s="6" t="n"/>
      <c r="B881" s="112">
        <f>IF($D881="","","A"&amp;TEXT(ROW()-6,"00000"))</f>
        <v/>
      </c>
      <c r="C881" s="107" t="n"/>
      <c r="D881" s="107" t="n"/>
      <c r="E881" s="113">
        <f>IF($D881="","",IFERROR(INDEX(MUSTERILER!$C$7:$C$106,MATCH($D881,MUSTERILER!$B$7:$B$106,0)),"TANIMSIZ MÜŞTERİ"))</f>
        <v/>
      </c>
      <c r="F881" s="108" t="n"/>
      <c r="G881" s="107" t="n"/>
      <c r="H881" s="114" t="n"/>
      <c r="I881" s="114" t="n"/>
      <c r="J881" s="107" t="n"/>
      <c r="K881" s="107" t="n"/>
      <c r="L881" s="108" t="n"/>
      <c r="M881" s="108" t="n"/>
      <c r="N881" s="108" t="n"/>
      <c r="O881" s="114" t="n"/>
      <c r="P881" s="120">
        <f>IF(OR($D881="",$I881=""),"",IF(OR($J881="Tamamlandı",$J881="İptal"),"",$I881-TODAY()))</f>
        <v/>
      </c>
      <c r="Q881" s="112">
        <f>IF($D881="","",IF($E881="TANIMSIZ MÜŞTERİ","HATA",IF(OR($J881="Tamamlandı",$J881="İptal"),"KAPALI",IF(AND($C881="Görüşme",$N881=""),"SONRAKİ İŞLEM EKSİK",IF($I881="","TARİH EKSİK",IF($I881&lt;TODAY(),"GECİKMİŞ",IF($I881=TODAY(),"BUGÜN",IF($I881&lt;=TODAY()+7,"7 GÜN İÇİNDE","PLANLI"))))))))</f>
        <v/>
      </c>
      <c r="R881" s="6" t="n"/>
      <c r="S881" s="6" t="n"/>
    </row>
    <row r="882">
      <c r="A882" s="6" t="n"/>
      <c r="B882" s="112">
        <f>IF($D882="","","A"&amp;TEXT(ROW()-6,"00000"))</f>
        <v/>
      </c>
      <c r="C882" s="107" t="n"/>
      <c r="D882" s="107" t="n"/>
      <c r="E882" s="113">
        <f>IF($D882="","",IFERROR(INDEX(MUSTERILER!$C$7:$C$106,MATCH($D882,MUSTERILER!$B$7:$B$106,0)),"TANIMSIZ MÜŞTERİ"))</f>
        <v/>
      </c>
      <c r="F882" s="108" t="n"/>
      <c r="G882" s="107" t="n"/>
      <c r="H882" s="114" t="n"/>
      <c r="I882" s="114" t="n"/>
      <c r="J882" s="107" t="n"/>
      <c r="K882" s="107" t="n"/>
      <c r="L882" s="108" t="n"/>
      <c r="M882" s="108" t="n"/>
      <c r="N882" s="108" t="n"/>
      <c r="O882" s="114" t="n"/>
      <c r="P882" s="120">
        <f>IF(OR($D882="",$I882=""),"",IF(OR($J882="Tamamlandı",$J882="İptal"),"",$I882-TODAY()))</f>
        <v/>
      </c>
      <c r="Q882" s="112">
        <f>IF($D882="","",IF($E882="TANIMSIZ MÜŞTERİ","HATA",IF(OR($J882="Tamamlandı",$J882="İptal"),"KAPALI",IF(AND($C882="Görüşme",$N882=""),"SONRAKİ İŞLEM EKSİK",IF($I882="","TARİH EKSİK",IF($I882&lt;TODAY(),"GECİKMİŞ",IF($I882=TODAY(),"BUGÜN",IF($I882&lt;=TODAY()+7,"7 GÜN İÇİNDE","PLANLI"))))))))</f>
        <v/>
      </c>
      <c r="R882" s="6" t="n"/>
      <c r="S882" s="6" t="n"/>
    </row>
    <row r="883">
      <c r="A883" s="6" t="n"/>
      <c r="B883" s="112">
        <f>IF($D883="","","A"&amp;TEXT(ROW()-6,"00000"))</f>
        <v/>
      </c>
      <c r="C883" s="107" t="n"/>
      <c r="D883" s="107" t="n"/>
      <c r="E883" s="113">
        <f>IF($D883="","",IFERROR(INDEX(MUSTERILER!$C$7:$C$106,MATCH($D883,MUSTERILER!$B$7:$B$106,0)),"TANIMSIZ MÜŞTERİ"))</f>
        <v/>
      </c>
      <c r="F883" s="108" t="n"/>
      <c r="G883" s="107" t="n"/>
      <c r="H883" s="114" t="n"/>
      <c r="I883" s="114" t="n"/>
      <c r="J883" s="107" t="n"/>
      <c r="K883" s="107" t="n"/>
      <c r="L883" s="108" t="n"/>
      <c r="M883" s="108" t="n"/>
      <c r="N883" s="108" t="n"/>
      <c r="O883" s="114" t="n"/>
      <c r="P883" s="120">
        <f>IF(OR($D883="",$I883=""),"",IF(OR($J883="Tamamlandı",$J883="İptal"),"",$I883-TODAY()))</f>
        <v/>
      </c>
      <c r="Q883" s="112">
        <f>IF($D883="","",IF($E883="TANIMSIZ MÜŞTERİ","HATA",IF(OR($J883="Tamamlandı",$J883="İptal"),"KAPALI",IF(AND($C883="Görüşme",$N883=""),"SONRAKİ İŞLEM EKSİK",IF($I883="","TARİH EKSİK",IF($I883&lt;TODAY(),"GECİKMİŞ",IF($I883=TODAY(),"BUGÜN",IF($I883&lt;=TODAY()+7,"7 GÜN İÇİNDE","PLANLI"))))))))</f>
        <v/>
      </c>
      <c r="R883" s="6" t="n"/>
      <c r="S883" s="6" t="n"/>
    </row>
    <row r="884">
      <c r="A884" s="6" t="n"/>
      <c r="B884" s="112">
        <f>IF($D884="","","A"&amp;TEXT(ROW()-6,"00000"))</f>
        <v/>
      </c>
      <c r="C884" s="107" t="n"/>
      <c r="D884" s="107" t="n"/>
      <c r="E884" s="113">
        <f>IF($D884="","",IFERROR(INDEX(MUSTERILER!$C$7:$C$106,MATCH($D884,MUSTERILER!$B$7:$B$106,0)),"TANIMSIZ MÜŞTERİ"))</f>
        <v/>
      </c>
      <c r="F884" s="108" t="n"/>
      <c r="G884" s="107" t="n"/>
      <c r="H884" s="114" t="n"/>
      <c r="I884" s="114" t="n"/>
      <c r="J884" s="107" t="n"/>
      <c r="K884" s="107" t="n"/>
      <c r="L884" s="108" t="n"/>
      <c r="M884" s="108" t="n"/>
      <c r="N884" s="108" t="n"/>
      <c r="O884" s="114" t="n"/>
      <c r="P884" s="120">
        <f>IF(OR($D884="",$I884=""),"",IF(OR($J884="Tamamlandı",$J884="İptal"),"",$I884-TODAY()))</f>
        <v/>
      </c>
      <c r="Q884" s="112">
        <f>IF($D884="","",IF($E884="TANIMSIZ MÜŞTERİ","HATA",IF(OR($J884="Tamamlandı",$J884="İptal"),"KAPALI",IF(AND($C884="Görüşme",$N884=""),"SONRAKİ İŞLEM EKSİK",IF($I884="","TARİH EKSİK",IF($I884&lt;TODAY(),"GECİKMİŞ",IF($I884=TODAY(),"BUGÜN",IF($I884&lt;=TODAY()+7,"7 GÜN İÇİNDE","PLANLI"))))))))</f>
        <v/>
      </c>
      <c r="R884" s="6" t="n"/>
      <c r="S884" s="6" t="n"/>
    </row>
    <row r="885">
      <c r="A885" s="6" t="n"/>
      <c r="B885" s="112">
        <f>IF($D885="","","A"&amp;TEXT(ROW()-6,"00000"))</f>
        <v/>
      </c>
      <c r="C885" s="107" t="n"/>
      <c r="D885" s="107" t="n"/>
      <c r="E885" s="113">
        <f>IF($D885="","",IFERROR(INDEX(MUSTERILER!$C$7:$C$106,MATCH($D885,MUSTERILER!$B$7:$B$106,0)),"TANIMSIZ MÜŞTERİ"))</f>
        <v/>
      </c>
      <c r="F885" s="108" t="n"/>
      <c r="G885" s="107" t="n"/>
      <c r="H885" s="114" t="n"/>
      <c r="I885" s="114" t="n"/>
      <c r="J885" s="107" t="n"/>
      <c r="K885" s="107" t="n"/>
      <c r="L885" s="108" t="n"/>
      <c r="M885" s="108" t="n"/>
      <c r="N885" s="108" t="n"/>
      <c r="O885" s="114" t="n"/>
      <c r="P885" s="120">
        <f>IF(OR($D885="",$I885=""),"",IF(OR($J885="Tamamlandı",$J885="İptal"),"",$I885-TODAY()))</f>
        <v/>
      </c>
      <c r="Q885" s="112">
        <f>IF($D885="","",IF($E885="TANIMSIZ MÜŞTERİ","HATA",IF(OR($J885="Tamamlandı",$J885="İptal"),"KAPALI",IF(AND($C885="Görüşme",$N885=""),"SONRAKİ İŞLEM EKSİK",IF($I885="","TARİH EKSİK",IF($I885&lt;TODAY(),"GECİKMİŞ",IF($I885=TODAY(),"BUGÜN",IF($I885&lt;=TODAY()+7,"7 GÜN İÇİNDE","PLANLI"))))))))</f>
        <v/>
      </c>
      <c r="R885" s="6" t="n"/>
      <c r="S885" s="6" t="n"/>
    </row>
    <row r="886">
      <c r="A886" s="6" t="n"/>
      <c r="B886" s="112">
        <f>IF($D886="","","A"&amp;TEXT(ROW()-6,"00000"))</f>
        <v/>
      </c>
      <c r="C886" s="107" t="n"/>
      <c r="D886" s="107" t="n"/>
      <c r="E886" s="113">
        <f>IF($D886="","",IFERROR(INDEX(MUSTERILER!$C$7:$C$106,MATCH($D886,MUSTERILER!$B$7:$B$106,0)),"TANIMSIZ MÜŞTERİ"))</f>
        <v/>
      </c>
      <c r="F886" s="108" t="n"/>
      <c r="G886" s="107" t="n"/>
      <c r="H886" s="114" t="n"/>
      <c r="I886" s="114" t="n"/>
      <c r="J886" s="107" t="n"/>
      <c r="K886" s="107" t="n"/>
      <c r="L886" s="108" t="n"/>
      <c r="M886" s="108" t="n"/>
      <c r="N886" s="108" t="n"/>
      <c r="O886" s="114" t="n"/>
      <c r="P886" s="120">
        <f>IF(OR($D886="",$I886=""),"",IF(OR($J886="Tamamlandı",$J886="İptal"),"",$I886-TODAY()))</f>
        <v/>
      </c>
      <c r="Q886" s="112">
        <f>IF($D886="","",IF($E886="TANIMSIZ MÜŞTERİ","HATA",IF(OR($J886="Tamamlandı",$J886="İptal"),"KAPALI",IF(AND($C886="Görüşme",$N886=""),"SONRAKİ İŞLEM EKSİK",IF($I886="","TARİH EKSİK",IF($I886&lt;TODAY(),"GECİKMİŞ",IF($I886=TODAY(),"BUGÜN",IF($I886&lt;=TODAY()+7,"7 GÜN İÇİNDE","PLANLI"))))))))</f>
        <v/>
      </c>
      <c r="R886" s="6" t="n"/>
      <c r="S886" s="6" t="n"/>
    </row>
    <row r="887">
      <c r="A887" s="6" t="n"/>
      <c r="B887" s="112">
        <f>IF($D887="","","A"&amp;TEXT(ROW()-6,"00000"))</f>
        <v/>
      </c>
      <c r="C887" s="107" t="n"/>
      <c r="D887" s="107" t="n"/>
      <c r="E887" s="113">
        <f>IF($D887="","",IFERROR(INDEX(MUSTERILER!$C$7:$C$106,MATCH($D887,MUSTERILER!$B$7:$B$106,0)),"TANIMSIZ MÜŞTERİ"))</f>
        <v/>
      </c>
      <c r="F887" s="108" t="n"/>
      <c r="G887" s="107" t="n"/>
      <c r="H887" s="114" t="n"/>
      <c r="I887" s="114" t="n"/>
      <c r="J887" s="107" t="n"/>
      <c r="K887" s="107" t="n"/>
      <c r="L887" s="108" t="n"/>
      <c r="M887" s="108" t="n"/>
      <c r="N887" s="108" t="n"/>
      <c r="O887" s="114" t="n"/>
      <c r="P887" s="120">
        <f>IF(OR($D887="",$I887=""),"",IF(OR($J887="Tamamlandı",$J887="İptal"),"",$I887-TODAY()))</f>
        <v/>
      </c>
      <c r="Q887" s="112">
        <f>IF($D887="","",IF($E887="TANIMSIZ MÜŞTERİ","HATA",IF(OR($J887="Tamamlandı",$J887="İptal"),"KAPALI",IF(AND($C887="Görüşme",$N887=""),"SONRAKİ İŞLEM EKSİK",IF($I887="","TARİH EKSİK",IF($I887&lt;TODAY(),"GECİKMİŞ",IF($I887=TODAY(),"BUGÜN",IF($I887&lt;=TODAY()+7,"7 GÜN İÇİNDE","PLANLI"))))))))</f>
        <v/>
      </c>
      <c r="R887" s="6" t="n"/>
      <c r="S887" s="6" t="n"/>
    </row>
    <row r="888">
      <c r="A888" s="6" t="n"/>
      <c r="B888" s="112">
        <f>IF($D888="","","A"&amp;TEXT(ROW()-6,"00000"))</f>
        <v/>
      </c>
      <c r="C888" s="107" t="n"/>
      <c r="D888" s="107" t="n"/>
      <c r="E888" s="113">
        <f>IF($D888="","",IFERROR(INDEX(MUSTERILER!$C$7:$C$106,MATCH($D888,MUSTERILER!$B$7:$B$106,0)),"TANIMSIZ MÜŞTERİ"))</f>
        <v/>
      </c>
      <c r="F888" s="108" t="n"/>
      <c r="G888" s="107" t="n"/>
      <c r="H888" s="114" t="n"/>
      <c r="I888" s="114" t="n"/>
      <c r="J888" s="107" t="n"/>
      <c r="K888" s="107" t="n"/>
      <c r="L888" s="108" t="n"/>
      <c r="M888" s="108" t="n"/>
      <c r="N888" s="108" t="n"/>
      <c r="O888" s="114" t="n"/>
      <c r="P888" s="120">
        <f>IF(OR($D888="",$I888=""),"",IF(OR($J888="Tamamlandı",$J888="İptal"),"",$I888-TODAY()))</f>
        <v/>
      </c>
      <c r="Q888" s="112">
        <f>IF($D888="","",IF($E888="TANIMSIZ MÜŞTERİ","HATA",IF(OR($J888="Tamamlandı",$J888="İptal"),"KAPALI",IF(AND($C888="Görüşme",$N888=""),"SONRAKİ İŞLEM EKSİK",IF($I888="","TARİH EKSİK",IF($I888&lt;TODAY(),"GECİKMİŞ",IF($I888=TODAY(),"BUGÜN",IF($I888&lt;=TODAY()+7,"7 GÜN İÇİNDE","PLANLI"))))))))</f>
        <v/>
      </c>
      <c r="R888" s="6" t="n"/>
      <c r="S888" s="6" t="n"/>
    </row>
    <row r="889">
      <c r="A889" s="6" t="n"/>
      <c r="B889" s="112">
        <f>IF($D889="","","A"&amp;TEXT(ROW()-6,"00000"))</f>
        <v/>
      </c>
      <c r="C889" s="107" t="n"/>
      <c r="D889" s="107" t="n"/>
      <c r="E889" s="113">
        <f>IF($D889="","",IFERROR(INDEX(MUSTERILER!$C$7:$C$106,MATCH($D889,MUSTERILER!$B$7:$B$106,0)),"TANIMSIZ MÜŞTERİ"))</f>
        <v/>
      </c>
      <c r="F889" s="108" t="n"/>
      <c r="G889" s="107" t="n"/>
      <c r="H889" s="114" t="n"/>
      <c r="I889" s="114" t="n"/>
      <c r="J889" s="107" t="n"/>
      <c r="K889" s="107" t="n"/>
      <c r="L889" s="108" t="n"/>
      <c r="M889" s="108" t="n"/>
      <c r="N889" s="108" t="n"/>
      <c r="O889" s="114" t="n"/>
      <c r="P889" s="120">
        <f>IF(OR($D889="",$I889=""),"",IF(OR($J889="Tamamlandı",$J889="İptal"),"",$I889-TODAY()))</f>
        <v/>
      </c>
      <c r="Q889" s="112">
        <f>IF($D889="","",IF($E889="TANIMSIZ MÜŞTERİ","HATA",IF(OR($J889="Tamamlandı",$J889="İptal"),"KAPALI",IF(AND($C889="Görüşme",$N889=""),"SONRAKİ İŞLEM EKSİK",IF($I889="","TARİH EKSİK",IF($I889&lt;TODAY(),"GECİKMİŞ",IF($I889=TODAY(),"BUGÜN",IF($I889&lt;=TODAY()+7,"7 GÜN İÇİNDE","PLANLI"))))))))</f>
        <v/>
      </c>
      <c r="R889" s="6" t="n"/>
      <c r="S889" s="6" t="n"/>
    </row>
    <row r="890">
      <c r="A890" s="6" t="n"/>
      <c r="B890" s="112">
        <f>IF($D890="","","A"&amp;TEXT(ROW()-6,"00000"))</f>
        <v/>
      </c>
      <c r="C890" s="107" t="n"/>
      <c r="D890" s="107" t="n"/>
      <c r="E890" s="113">
        <f>IF($D890="","",IFERROR(INDEX(MUSTERILER!$C$7:$C$106,MATCH($D890,MUSTERILER!$B$7:$B$106,0)),"TANIMSIZ MÜŞTERİ"))</f>
        <v/>
      </c>
      <c r="F890" s="108" t="n"/>
      <c r="G890" s="107" t="n"/>
      <c r="H890" s="114" t="n"/>
      <c r="I890" s="114" t="n"/>
      <c r="J890" s="107" t="n"/>
      <c r="K890" s="107" t="n"/>
      <c r="L890" s="108" t="n"/>
      <c r="M890" s="108" t="n"/>
      <c r="N890" s="108" t="n"/>
      <c r="O890" s="114" t="n"/>
      <c r="P890" s="120">
        <f>IF(OR($D890="",$I890=""),"",IF(OR($J890="Tamamlandı",$J890="İptal"),"",$I890-TODAY()))</f>
        <v/>
      </c>
      <c r="Q890" s="112">
        <f>IF($D890="","",IF($E890="TANIMSIZ MÜŞTERİ","HATA",IF(OR($J890="Tamamlandı",$J890="İptal"),"KAPALI",IF(AND($C890="Görüşme",$N890=""),"SONRAKİ İŞLEM EKSİK",IF($I890="","TARİH EKSİK",IF($I890&lt;TODAY(),"GECİKMİŞ",IF($I890=TODAY(),"BUGÜN",IF($I890&lt;=TODAY()+7,"7 GÜN İÇİNDE","PLANLI"))))))))</f>
        <v/>
      </c>
      <c r="R890" s="6" t="n"/>
      <c r="S890" s="6" t="n"/>
    </row>
    <row r="891">
      <c r="A891" s="6" t="n"/>
      <c r="B891" s="112">
        <f>IF($D891="","","A"&amp;TEXT(ROW()-6,"00000"))</f>
        <v/>
      </c>
      <c r="C891" s="107" t="n"/>
      <c r="D891" s="107" t="n"/>
      <c r="E891" s="113">
        <f>IF($D891="","",IFERROR(INDEX(MUSTERILER!$C$7:$C$106,MATCH($D891,MUSTERILER!$B$7:$B$106,0)),"TANIMSIZ MÜŞTERİ"))</f>
        <v/>
      </c>
      <c r="F891" s="108" t="n"/>
      <c r="G891" s="107" t="n"/>
      <c r="H891" s="114" t="n"/>
      <c r="I891" s="114" t="n"/>
      <c r="J891" s="107" t="n"/>
      <c r="K891" s="107" t="n"/>
      <c r="L891" s="108" t="n"/>
      <c r="M891" s="108" t="n"/>
      <c r="N891" s="108" t="n"/>
      <c r="O891" s="114" t="n"/>
      <c r="P891" s="120">
        <f>IF(OR($D891="",$I891=""),"",IF(OR($J891="Tamamlandı",$J891="İptal"),"",$I891-TODAY()))</f>
        <v/>
      </c>
      <c r="Q891" s="112">
        <f>IF($D891="","",IF($E891="TANIMSIZ MÜŞTERİ","HATA",IF(OR($J891="Tamamlandı",$J891="İptal"),"KAPALI",IF(AND($C891="Görüşme",$N891=""),"SONRAKİ İŞLEM EKSİK",IF($I891="","TARİH EKSİK",IF($I891&lt;TODAY(),"GECİKMİŞ",IF($I891=TODAY(),"BUGÜN",IF($I891&lt;=TODAY()+7,"7 GÜN İÇİNDE","PLANLI"))))))))</f>
        <v/>
      </c>
      <c r="R891" s="6" t="n"/>
      <c r="S891" s="6" t="n"/>
    </row>
    <row r="892">
      <c r="A892" s="6" t="n"/>
      <c r="B892" s="112">
        <f>IF($D892="","","A"&amp;TEXT(ROW()-6,"00000"))</f>
        <v/>
      </c>
      <c r="C892" s="107" t="n"/>
      <c r="D892" s="107" t="n"/>
      <c r="E892" s="113">
        <f>IF($D892="","",IFERROR(INDEX(MUSTERILER!$C$7:$C$106,MATCH($D892,MUSTERILER!$B$7:$B$106,0)),"TANIMSIZ MÜŞTERİ"))</f>
        <v/>
      </c>
      <c r="F892" s="108" t="n"/>
      <c r="G892" s="107" t="n"/>
      <c r="H892" s="114" t="n"/>
      <c r="I892" s="114" t="n"/>
      <c r="J892" s="107" t="n"/>
      <c r="K892" s="107" t="n"/>
      <c r="L892" s="108" t="n"/>
      <c r="M892" s="108" t="n"/>
      <c r="N892" s="108" t="n"/>
      <c r="O892" s="114" t="n"/>
      <c r="P892" s="120">
        <f>IF(OR($D892="",$I892=""),"",IF(OR($J892="Tamamlandı",$J892="İptal"),"",$I892-TODAY()))</f>
        <v/>
      </c>
      <c r="Q892" s="112">
        <f>IF($D892="","",IF($E892="TANIMSIZ MÜŞTERİ","HATA",IF(OR($J892="Tamamlandı",$J892="İptal"),"KAPALI",IF(AND($C892="Görüşme",$N892=""),"SONRAKİ İŞLEM EKSİK",IF($I892="","TARİH EKSİK",IF($I892&lt;TODAY(),"GECİKMİŞ",IF($I892=TODAY(),"BUGÜN",IF($I892&lt;=TODAY()+7,"7 GÜN İÇİNDE","PLANLI"))))))))</f>
        <v/>
      </c>
      <c r="R892" s="6" t="n"/>
      <c r="S892" s="6" t="n"/>
    </row>
    <row r="893">
      <c r="A893" s="6" t="n"/>
      <c r="B893" s="112">
        <f>IF($D893="","","A"&amp;TEXT(ROW()-6,"00000"))</f>
        <v/>
      </c>
      <c r="C893" s="107" t="n"/>
      <c r="D893" s="107" t="n"/>
      <c r="E893" s="113">
        <f>IF($D893="","",IFERROR(INDEX(MUSTERILER!$C$7:$C$106,MATCH($D893,MUSTERILER!$B$7:$B$106,0)),"TANIMSIZ MÜŞTERİ"))</f>
        <v/>
      </c>
      <c r="F893" s="108" t="n"/>
      <c r="G893" s="107" t="n"/>
      <c r="H893" s="114" t="n"/>
      <c r="I893" s="114" t="n"/>
      <c r="J893" s="107" t="n"/>
      <c r="K893" s="107" t="n"/>
      <c r="L893" s="108" t="n"/>
      <c r="M893" s="108" t="n"/>
      <c r="N893" s="108" t="n"/>
      <c r="O893" s="114" t="n"/>
      <c r="P893" s="120">
        <f>IF(OR($D893="",$I893=""),"",IF(OR($J893="Tamamlandı",$J893="İptal"),"",$I893-TODAY()))</f>
        <v/>
      </c>
      <c r="Q893" s="112">
        <f>IF($D893="","",IF($E893="TANIMSIZ MÜŞTERİ","HATA",IF(OR($J893="Tamamlandı",$J893="İptal"),"KAPALI",IF(AND($C893="Görüşme",$N893=""),"SONRAKİ İŞLEM EKSİK",IF($I893="","TARİH EKSİK",IF($I893&lt;TODAY(),"GECİKMİŞ",IF($I893=TODAY(),"BUGÜN",IF($I893&lt;=TODAY()+7,"7 GÜN İÇİNDE","PLANLI"))))))))</f>
        <v/>
      </c>
      <c r="R893" s="6" t="n"/>
      <c r="S893" s="6" t="n"/>
    </row>
    <row r="894">
      <c r="A894" s="6" t="n"/>
      <c r="B894" s="112">
        <f>IF($D894="","","A"&amp;TEXT(ROW()-6,"00000"))</f>
        <v/>
      </c>
      <c r="C894" s="107" t="n"/>
      <c r="D894" s="107" t="n"/>
      <c r="E894" s="113">
        <f>IF($D894="","",IFERROR(INDEX(MUSTERILER!$C$7:$C$106,MATCH($D894,MUSTERILER!$B$7:$B$106,0)),"TANIMSIZ MÜŞTERİ"))</f>
        <v/>
      </c>
      <c r="F894" s="108" t="n"/>
      <c r="G894" s="107" t="n"/>
      <c r="H894" s="114" t="n"/>
      <c r="I894" s="114" t="n"/>
      <c r="J894" s="107" t="n"/>
      <c r="K894" s="107" t="n"/>
      <c r="L894" s="108" t="n"/>
      <c r="M894" s="108" t="n"/>
      <c r="N894" s="108" t="n"/>
      <c r="O894" s="114" t="n"/>
      <c r="P894" s="120">
        <f>IF(OR($D894="",$I894=""),"",IF(OR($J894="Tamamlandı",$J894="İptal"),"",$I894-TODAY()))</f>
        <v/>
      </c>
      <c r="Q894" s="112">
        <f>IF($D894="","",IF($E894="TANIMSIZ MÜŞTERİ","HATA",IF(OR($J894="Tamamlandı",$J894="İptal"),"KAPALI",IF(AND($C894="Görüşme",$N894=""),"SONRAKİ İŞLEM EKSİK",IF($I894="","TARİH EKSİK",IF($I894&lt;TODAY(),"GECİKMİŞ",IF($I894=TODAY(),"BUGÜN",IF($I894&lt;=TODAY()+7,"7 GÜN İÇİNDE","PLANLI"))))))))</f>
        <v/>
      </c>
      <c r="R894" s="6" t="n"/>
      <c r="S894" s="6" t="n"/>
    </row>
    <row r="895">
      <c r="A895" s="6" t="n"/>
      <c r="B895" s="112">
        <f>IF($D895="","","A"&amp;TEXT(ROW()-6,"00000"))</f>
        <v/>
      </c>
      <c r="C895" s="107" t="n"/>
      <c r="D895" s="107" t="n"/>
      <c r="E895" s="113">
        <f>IF($D895="","",IFERROR(INDEX(MUSTERILER!$C$7:$C$106,MATCH($D895,MUSTERILER!$B$7:$B$106,0)),"TANIMSIZ MÜŞTERİ"))</f>
        <v/>
      </c>
      <c r="F895" s="108" t="n"/>
      <c r="G895" s="107" t="n"/>
      <c r="H895" s="114" t="n"/>
      <c r="I895" s="114" t="n"/>
      <c r="J895" s="107" t="n"/>
      <c r="K895" s="107" t="n"/>
      <c r="L895" s="108" t="n"/>
      <c r="M895" s="108" t="n"/>
      <c r="N895" s="108" t="n"/>
      <c r="O895" s="114" t="n"/>
      <c r="P895" s="120">
        <f>IF(OR($D895="",$I895=""),"",IF(OR($J895="Tamamlandı",$J895="İptal"),"",$I895-TODAY()))</f>
        <v/>
      </c>
      <c r="Q895" s="112">
        <f>IF($D895="","",IF($E895="TANIMSIZ MÜŞTERİ","HATA",IF(OR($J895="Tamamlandı",$J895="İptal"),"KAPALI",IF(AND($C895="Görüşme",$N895=""),"SONRAKİ İŞLEM EKSİK",IF($I895="","TARİH EKSİK",IF($I895&lt;TODAY(),"GECİKMİŞ",IF($I895=TODAY(),"BUGÜN",IF($I895&lt;=TODAY()+7,"7 GÜN İÇİNDE","PLANLI"))))))))</f>
        <v/>
      </c>
      <c r="R895" s="6" t="n"/>
      <c r="S895" s="6" t="n"/>
    </row>
    <row r="896">
      <c r="A896" s="6" t="n"/>
      <c r="B896" s="112">
        <f>IF($D896="","","A"&amp;TEXT(ROW()-6,"00000"))</f>
        <v/>
      </c>
      <c r="C896" s="107" t="n"/>
      <c r="D896" s="107" t="n"/>
      <c r="E896" s="113">
        <f>IF($D896="","",IFERROR(INDEX(MUSTERILER!$C$7:$C$106,MATCH($D896,MUSTERILER!$B$7:$B$106,0)),"TANIMSIZ MÜŞTERİ"))</f>
        <v/>
      </c>
      <c r="F896" s="108" t="n"/>
      <c r="G896" s="107" t="n"/>
      <c r="H896" s="114" t="n"/>
      <c r="I896" s="114" t="n"/>
      <c r="J896" s="107" t="n"/>
      <c r="K896" s="107" t="n"/>
      <c r="L896" s="108" t="n"/>
      <c r="M896" s="108" t="n"/>
      <c r="N896" s="108" t="n"/>
      <c r="O896" s="114" t="n"/>
      <c r="P896" s="120">
        <f>IF(OR($D896="",$I896=""),"",IF(OR($J896="Tamamlandı",$J896="İptal"),"",$I896-TODAY()))</f>
        <v/>
      </c>
      <c r="Q896" s="112">
        <f>IF($D896="","",IF($E896="TANIMSIZ MÜŞTERİ","HATA",IF(OR($J896="Tamamlandı",$J896="İptal"),"KAPALI",IF(AND($C896="Görüşme",$N896=""),"SONRAKİ İŞLEM EKSİK",IF($I896="","TARİH EKSİK",IF($I896&lt;TODAY(),"GECİKMİŞ",IF($I896=TODAY(),"BUGÜN",IF($I896&lt;=TODAY()+7,"7 GÜN İÇİNDE","PLANLI"))))))))</f>
        <v/>
      </c>
      <c r="R896" s="6" t="n"/>
      <c r="S896" s="6" t="n"/>
    </row>
    <row r="897">
      <c r="A897" s="6" t="n"/>
      <c r="B897" s="112">
        <f>IF($D897="","","A"&amp;TEXT(ROW()-6,"00000"))</f>
        <v/>
      </c>
      <c r="C897" s="107" t="n"/>
      <c r="D897" s="107" t="n"/>
      <c r="E897" s="113">
        <f>IF($D897="","",IFERROR(INDEX(MUSTERILER!$C$7:$C$106,MATCH($D897,MUSTERILER!$B$7:$B$106,0)),"TANIMSIZ MÜŞTERİ"))</f>
        <v/>
      </c>
      <c r="F897" s="108" t="n"/>
      <c r="G897" s="107" t="n"/>
      <c r="H897" s="114" t="n"/>
      <c r="I897" s="114" t="n"/>
      <c r="J897" s="107" t="n"/>
      <c r="K897" s="107" t="n"/>
      <c r="L897" s="108" t="n"/>
      <c r="M897" s="108" t="n"/>
      <c r="N897" s="108" t="n"/>
      <c r="O897" s="114" t="n"/>
      <c r="P897" s="120">
        <f>IF(OR($D897="",$I897=""),"",IF(OR($J897="Tamamlandı",$J897="İptal"),"",$I897-TODAY()))</f>
        <v/>
      </c>
      <c r="Q897" s="112">
        <f>IF($D897="","",IF($E897="TANIMSIZ MÜŞTERİ","HATA",IF(OR($J897="Tamamlandı",$J897="İptal"),"KAPALI",IF(AND($C897="Görüşme",$N897=""),"SONRAKİ İŞLEM EKSİK",IF($I897="","TARİH EKSİK",IF($I897&lt;TODAY(),"GECİKMİŞ",IF($I897=TODAY(),"BUGÜN",IF($I897&lt;=TODAY()+7,"7 GÜN İÇİNDE","PLANLI"))))))))</f>
        <v/>
      </c>
      <c r="R897" s="6" t="n"/>
      <c r="S897" s="6" t="n"/>
    </row>
    <row r="898">
      <c r="A898" s="6" t="n"/>
      <c r="B898" s="112">
        <f>IF($D898="","","A"&amp;TEXT(ROW()-6,"00000"))</f>
        <v/>
      </c>
      <c r="C898" s="107" t="n"/>
      <c r="D898" s="107" t="n"/>
      <c r="E898" s="113">
        <f>IF($D898="","",IFERROR(INDEX(MUSTERILER!$C$7:$C$106,MATCH($D898,MUSTERILER!$B$7:$B$106,0)),"TANIMSIZ MÜŞTERİ"))</f>
        <v/>
      </c>
      <c r="F898" s="108" t="n"/>
      <c r="G898" s="107" t="n"/>
      <c r="H898" s="114" t="n"/>
      <c r="I898" s="114" t="n"/>
      <c r="J898" s="107" t="n"/>
      <c r="K898" s="107" t="n"/>
      <c r="L898" s="108" t="n"/>
      <c r="M898" s="108" t="n"/>
      <c r="N898" s="108" t="n"/>
      <c r="O898" s="114" t="n"/>
      <c r="P898" s="120">
        <f>IF(OR($D898="",$I898=""),"",IF(OR($J898="Tamamlandı",$J898="İptal"),"",$I898-TODAY()))</f>
        <v/>
      </c>
      <c r="Q898" s="112">
        <f>IF($D898="","",IF($E898="TANIMSIZ MÜŞTERİ","HATA",IF(OR($J898="Tamamlandı",$J898="İptal"),"KAPALI",IF(AND($C898="Görüşme",$N898=""),"SONRAKİ İŞLEM EKSİK",IF($I898="","TARİH EKSİK",IF($I898&lt;TODAY(),"GECİKMİŞ",IF($I898=TODAY(),"BUGÜN",IF($I898&lt;=TODAY()+7,"7 GÜN İÇİNDE","PLANLI"))))))))</f>
        <v/>
      </c>
      <c r="R898" s="6" t="n"/>
      <c r="S898" s="6" t="n"/>
    </row>
    <row r="899">
      <c r="A899" s="6" t="n"/>
      <c r="B899" s="112">
        <f>IF($D899="","","A"&amp;TEXT(ROW()-6,"00000"))</f>
        <v/>
      </c>
      <c r="C899" s="107" t="n"/>
      <c r="D899" s="107" t="n"/>
      <c r="E899" s="113">
        <f>IF($D899="","",IFERROR(INDEX(MUSTERILER!$C$7:$C$106,MATCH($D899,MUSTERILER!$B$7:$B$106,0)),"TANIMSIZ MÜŞTERİ"))</f>
        <v/>
      </c>
      <c r="F899" s="108" t="n"/>
      <c r="G899" s="107" t="n"/>
      <c r="H899" s="114" t="n"/>
      <c r="I899" s="114" t="n"/>
      <c r="J899" s="107" t="n"/>
      <c r="K899" s="107" t="n"/>
      <c r="L899" s="108" t="n"/>
      <c r="M899" s="108" t="n"/>
      <c r="N899" s="108" t="n"/>
      <c r="O899" s="114" t="n"/>
      <c r="P899" s="120">
        <f>IF(OR($D899="",$I899=""),"",IF(OR($J899="Tamamlandı",$J899="İptal"),"",$I899-TODAY()))</f>
        <v/>
      </c>
      <c r="Q899" s="112">
        <f>IF($D899="","",IF($E899="TANIMSIZ MÜŞTERİ","HATA",IF(OR($J899="Tamamlandı",$J899="İptal"),"KAPALI",IF(AND($C899="Görüşme",$N899=""),"SONRAKİ İŞLEM EKSİK",IF($I899="","TARİH EKSİK",IF($I899&lt;TODAY(),"GECİKMİŞ",IF($I899=TODAY(),"BUGÜN",IF($I899&lt;=TODAY()+7,"7 GÜN İÇİNDE","PLANLI"))))))))</f>
        <v/>
      </c>
      <c r="R899" s="6" t="n"/>
      <c r="S899" s="6" t="n"/>
    </row>
    <row r="900">
      <c r="A900" s="6" t="n"/>
      <c r="B900" s="112">
        <f>IF($D900="","","A"&amp;TEXT(ROW()-6,"00000"))</f>
        <v/>
      </c>
      <c r="C900" s="107" t="n"/>
      <c r="D900" s="107" t="n"/>
      <c r="E900" s="113">
        <f>IF($D900="","",IFERROR(INDEX(MUSTERILER!$C$7:$C$106,MATCH($D900,MUSTERILER!$B$7:$B$106,0)),"TANIMSIZ MÜŞTERİ"))</f>
        <v/>
      </c>
      <c r="F900" s="108" t="n"/>
      <c r="G900" s="107" t="n"/>
      <c r="H900" s="114" t="n"/>
      <c r="I900" s="114" t="n"/>
      <c r="J900" s="107" t="n"/>
      <c r="K900" s="107" t="n"/>
      <c r="L900" s="108" t="n"/>
      <c r="M900" s="108" t="n"/>
      <c r="N900" s="108" t="n"/>
      <c r="O900" s="114" t="n"/>
      <c r="P900" s="120">
        <f>IF(OR($D900="",$I900=""),"",IF(OR($J900="Tamamlandı",$J900="İptal"),"",$I900-TODAY()))</f>
        <v/>
      </c>
      <c r="Q900" s="112">
        <f>IF($D900="","",IF($E900="TANIMSIZ MÜŞTERİ","HATA",IF(OR($J900="Tamamlandı",$J900="İptal"),"KAPALI",IF(AND($C900="Görüşme",$N900=""),"SONRAKİ İŞLEM EKSİK",IF($I900="","TARİH EKSİK",IF($I900&lt;TODAY(),"GECİKMİŞ",IF($I900=TODAY(),"BUGÜN",IF($I900&lt;=TODAY()+7,"7 GÜN İÇİNDE","PLANLI"))))))))</f>
        <v/>
      </c>
      <c r="R900" s="6" t="n"/>
      <c r="S900" s="6" t="n"/>
    </row>
    <row r="901">
      <c r="A901" s="6" t="n"/>
      <c r="B901" s="112">
        <f>IF($D901="","","A"&amp;TEXT(ROW()-6,"00000"))</f>
        <v/>
      </c>
      <c r="C901" s="107" t="n"/>
      <c r="D901" s="107" t="n"/>
      <c r="E901" s="113">
        <f>IF($D901="","",IFERROR(INDEX(MUSTERILER!$C$7:$C$106,MATCH($D901,MUSTERILER!$B$7:$B$106,0)),"TANIMSIZ MÜŞTERİ"))</f>
        <v/>
      </c>
      <c r="F901" s="108" t="n"/>
      <c r="G901" s="107" t="n"/>
      <c r="H901" s="114" t="n"/>
      <c r="I901" s="114" t="n"/>
      <c r="J901" s="107" t="n"/>
      <c r="K901" s="107" t="n"/>
      <c r="L901" s="108" t="n"/>
      <c r="M901" s="108" t="n"/>
      <c r="N901" s="108" t="n"/>
      <c r="O901" s="114" t="n"/>
      <c r="P901" s="120">
        <f>IF(OR($D901="",$I901=""),"",IF(OR($J901="Tamamlandı",$J901="İptal"),"",$I901-TODAY()))</f>
        <v/>
      </c>
      <c r="Q901" s="112">
        <f>IF($D901="","",IF($E901="TANIMSIZ MÜŞTERİ","HATA",IF(OR($J901="Tamamlandı",$J901="İptal"),"KAPALI",IF(AND($C901="Görüşme",$N901=""),"SONRAKİ İŞLEM EKSİK",IF($I901="","TARİH EKSİK",IF($I901&lt;TODAY(),"GECİKMİŞ",IF($I901=TODAY(),"BUGÜN",IF($I901&lt;=TODAY()+7,"7 GÜN İÇİNDE","PLANLI"))))))))</f>
        <v/>
      </c>
      <c r="R901" s="6" t="n"/>
      <c r="S901" s="6" t="n"/>
    </row>
    <row r="902">
      <c r="A902" s="6" t="n"/>
      <c r="B902" s="112">
        <f>IF($D902="","","A"&amp;TEXT(ROW()-6,"00000"))</f>
        <v/>
      </c>
      <c r="C902" s="107" t="n"/>
      <c r="D902" s="107" t="n"/>
      <c r="E902" s="113">
        <f>IF($D902="","",IFERROR(INDEX(MUSTERILER!$C$7:$C$106,MATCH($D902,MUSTERILER!$B$7:$B$106,0)),"TANIMSIZ MÜŞTERİ"))</f>
        <v/>
      </c>
      <c r="F902" s="108" t="n"/>
      <c r="G902" s="107" t="n"/>
      <c r="H902" s="114" t="n"/>
      <c r="I902" s="114" t="n"/>
      <c r="J902" s="107" t="n"/>
      <c r="K902" s="107" t="n"/>
      <c r="L902" s="108" t="n"/>
      <c r="M902" s="108" t="n"/>
      <c r="N902" s="108" t="n"/>
      <c r="O902" s="114" t="n"/>
      <c r="P902" s="120">
        <f>IF(OR($D902="",$I902=""),"",IF(OR($J902="Tamamlandı",$J902="İptal"),"",$I902-TODAY()))</f>
        <v/>
      </c>
      <c r="Q902" s="112">
        <f>IF($D902="","",IF($E902="TANIMSIZ MÜŞTERİ","HATA",IF(OR($J902="Tamamlandı",$J902="İptal"),"KAPALI",IF(AND($C902="Görüşme",$N902=""),"SONRAKİ İŞLEM EKSİK",IF($I902="","TARİH EKSİK",IF($I902&lt;TODAY(),"GECİKMİŞ",IF($I902=TODAY(),"BUGÜN",IF($I902&lt;=TODAY()+7,"7 GÜN İÇİNDE","PLANLI"))))))))</f>
        <v/>
      </c>
      <c r="R902" s="6" t="n"/>
      <c r="S902" s="6" t="n"/>
    </row>
    <row r="903">
      <c r="A903" s="6" t="n"/>
      <c r="B903" s="112">
        <f>IF($D903="","","A"&amp;TEXT(ROW()-6,"00000"))</f>
        <v/>
      </c>
      <c r="C903" s="107" t="n"/>
      <c r="D903" s="107" t="n"/>
      <c r="E903" s="113">
        <f>IF($D903="","",IFERROR(INDEX(MUSTERILER!$C$7:$C$106,MATCH($D903,MUSTERILER!$B$7:$B$106,0)),"TANIMSIZ MÜŞTERİ"))</f>
        <v/>
      </c>
      <c r="F903" s="108" t="n"/>
      <c r="G903" s="107" t="n"/>
      <c r="H903" s="114" t="n"/>
      <c r="I903" s="114" t="n"/>
      <c r="J903" s="107" t="n"/>
      <c r="K903" s="107" t="n"/>
      <c r="L903" s="108" t="n"/>
      <c r="M903" s="108" t="n"/>
      <c r="N903" s="108" t="n"/>
      <c r="O903" s="114" t="n"/>
      <c r="P903" s="120">
        <f>IF(OR($D903="",$I903=""),"",IF(OR($J903="Tamamlandı",$J903="İptal"),"",$I903-TODAY()))</f>
        <v/>
      </c>
      <c r="Q903" s="112">
        <f>IF($D903="","",IF($E903="TANIMSIZ MÜŞTERİ","HATA",IF(OR($J903="Tamamlandı",$J903="İptal"),"KAPALI",IF(AND($C903="Görüşme",$N903=""),"SONRAKİ İŞLEM EKSİK",IF($I903="","TARİH EKSİK",IF($I903&lt;TODAY(),"GECİKMİŞ",IF($I903=TODAY(),"BUGÜN",IF($I903&lt;=TODAY()+7,"7 GÜN İÇİNDE","PLANLI"))))))))</f>
        <v/>
      </c>
      <c r="R903" s="6" t="n"/>
      <c r="S903" s="6" t="n"/>
    </row>
    <row r="904">
      <c r="A904" s="6" t="n"/>
      <c r="B904" s="112">
        <f>IF($D904="","","A"&amp;TEXT(ROW()-6,"00000"))</f>
        <v/>
      </c>
      <c r="C904" s="107" t="n"/>
      <c r="D904" s="107" t="n"/>
      <c r="E904" s="113">
        <f>IF($D904="","",IFERROR(INDEX(MUSTERILER!$C$7:$C$106,MATCH($D904,MUSTERILER!$B$7:$B$106,0)),"TANIMSIZ MÜŞTERİ"))</f>
        <v/>
      </c>
      <c r="F904" s="108" t="n"/>
      <c r="G904" s="107" t="n"/>
      <c r="H904" s="114" t="n"/>
      <c r="I904" s="114" t="n"/>
      <c r="J904" s="107" t="n"/>
      <c r="K904" s="107" t="n"/>
      <c r="L904" s="108" t="n"/>
      <c r="M904" s="108" t="n"/>
      <c r="N904" s="108" t="n"/>
      <c r="O904" s="114" t="n"/>
      <c r="P904" s="120">
        <f>IF(OR($D904="",$I904=""),"",IF(OR($J904="Tamamlandı",$J904="İptal"),"",$I904-TODAY()))</f>
        <v/>
      </c>
      <c r="Q904" s="112">
        <f>IF($D904="","",IF($E904="TANIMSIZ MÜŞTERİ","HATA",IF(OR($J904="Tamamlandı",$J904="İptal"),"KAPALI",IF(AND($C904="Görüşme",$N904=""),"SONRAKİ İŞLEM EKSİK",IF($I904="","TARİH EKSİK",IF($I904&lt;TODAY(),"GECİKMİŞ",IF($I904=TODAY(),"BUGÜN",IF($I904&lt;=TODAY()+7,"7 GÜN İÇİNDE","PLANLI"))))))))</f>
        <v/>
      </c>
      <c r="R904" s="6" t="n"/>
      <c r="S904" s="6" t="n"/>
    </row>
    <row r="905">
      <c r="A905" s="6" t="n"/>
      <c r="B905" s="112">
        <f>IF($D905="","","A"&amp;TEXT(ROW()-6,"00000"))</f>
        <v/>
      </c>
      <c r="C905" s="107" t="n"/>
      <c r="D905" s="107" t="n"/>
      <c r="E905" s="113">
        <f>IF($D905="","",IFERROR(INDEX(MUSTERILER!$C$7:$C$106,MATCH($D905,MUSTERILER!$B$7:$B$106,0)),"TANIMSIZ MÜŞTERİ"))</f>
        <v/>
      </c>
      <c r="F905" s="108" t="n"/>
      <c r="G905" s="107" t="n"/>
      <c r="H905" s="114" t="n"/>
      <c r="I905" s="114" t="n"/>
      <c r="J905" s="107" t="n"/>
      <c r="K905" s="107" t="n"/>
      <c r="L905" s="108" t="n"/>
      <c r="M905" s="108" t="n"/>
      <c r="N905" s="108" t="n"/>
      <c r="O905" s="114" t="n"/>
      <c r="P905" s="120">
        <f>IF(OR($D905="",$I905=""),"",IF(OR($J905="Tamamlandı",$J905="İptal"),"",$I905-TODAY()))</f>
        <v/>
      </c>
      <c r="Q905" s="112">
        <f>IF($D905="","",IF($E905="TANIMSIZ MÜŞTERİ","HATA",IF(OR($J905="Tamamlandı",$J905="İptal"),"KAPALI",IF(AND($C905="Görüşme",$N905=""),"SONRAKİ İŞLEM EKSİK",IF($I905="","TARİH EKSİK",IF($I905&lt;TODAY(),"GECİKMİŞ",IF($I905=TODAY(),"BUGÜN",IF($I905&lt;=TODAY()+7,"7 GÜN İÇİNDE","PLANLI"))))))))</f>
        <v/>
      </c>
      <c r="R905" s="6" t="n"/>
      <c r="S905" s="6" t="n"/>
    </row>
    <row r="906">
      <c r="A906" s="6" t="n"/>
      <c r="B906" s="112">
        <f>IF($D906="","","A"&amp;TEXT(ROW()-6,"00000"))</f>
        <v/>
      </c>
      <c r="C906" s="107" t="n"/>
      <c r="D906" s="107" t="n"/>
      <c r="E906" s="113">
        <f>IF($D906="","",IFERROR(INDEX(MUSTERILER!$C$7:$C$106,MATCH($D906,MUSTERILER!$B$7:$B$106,0)),"TANIMSIZ MÜŞTERİ"))</f>
        <v/>
      </c>
      <c r="F906" s="108" t="n"/>
      <c r="G906" s="107" t="n"/>
      <c r="H906" s="114" t="n"/>
      <c r="I906" s="114" t="n"/>
      <c r="J906" s="107" t="n"/>
      <c r="K906" s="107" t="n"/>
      <c r="L906" s="108" t="n"/>
      <c r="M906" s="108" t="n"/>
      <c r="N906" s="108" t="n"/>
      <c r="O906" s="114" t="n"/>
      <c r="P906" s="120">
        <f>IF(OR($D906="",$I906=""),"",IF(OR($J906="Tamamlandı",$J906="İptal"),"",$I906-TODAY()))</f>
        <v/>
      </c>
      <c r="Q906" s="112">
        <f>IF($D906="","",IF($E906="TANIMSIZ MÜŞTERİ","HATA",IF(OR($J906="Tamamlandı",$J906="İptal"),"KAPALI",IF(AND($C906="Görüşme",$N906=""),"SONRAKİ İŞLEM EKSİK",IF($I906="","TARİH EKSİK",IF($I906&lt;TODAY(),"GECİKMİŞ",IF($I906=TODAY(),"BUGÜN",IF($I906&lt;=TODAY()+7,"7 GÜN İÇİNDE","PLANLI"))))))))</f>
        <v/>
      </c>
      <c r="R906" s="6" t="n"/>
      <c r="S906" s="6" t="n"/>
    </row>
    <row r="907">
      <c r="A907" s="6" t="n"/>
      <c r="B907" s="112">
        <f>IF($D907="","","A"&amp;TEXT(ROW()-6,"00000"))</f>
        <v/>
      </c>
      <c r="C907" s="107" t="n"/>
      <c r="D907" s="107" t="n"/>
      <c r="E907" s="113">
        <f>IF($D907="","",IFERROR(INDEX(MUSTERILER!$C$7:$C$106,MATCH($D907,MUSTERILER!$B$7:$B$106,0)),"TANIMSIZ MÜŞTERİ"))</f>
        <v/>
      </c>
      <c r="F907" s="108" t="n"/>
      <c r="G907" s="107" t="n"/>
      <c r="H907" s="114" t="n"/>
      <c r="I907" s="114" t="n"/>
      <c r="J907" s="107" t="n"/>
      <c r="K907" s="107" t="n"/>
      <c r="L907" s="108" t="n"/>
      <c r="M907" s="108" t="n"/>
      <c r="N907" s="108" t="n"/>
      <c r="O907" s="114" t="n"/>
      <c r="P907" s="120">
        <f>IF(OR($D907="",$I907=""),"",IF(OR($J907="Tamamlandı",$J907="İptal"),"",$I907-TODAY()))</f>
        <v/>
      </c>
      <c r="Q907" s="112">
        <f>IF($D907="","",IF($E907="TANIMSIZ MÜŞTERİ","HATA",IF(OR($J907="Tamamlandı",$J907="İptal"),"KAPALI",IF(AND($C907="Görüşme",$N907=""),"SONRAKİ İŞLEM EKSİK",IF($I907="","TARİH EKSİK",IF($I907&lt;TODAY(),"GECİKMİŞ",IF($I907=TODAY(),"BUGÜN",IF($I907&lt;=TODAY()+7,"7 GÜN İÇİNDE","PLANLI"))))))))</f>
        <v/>
      </c>
      <c r="R907" s="6" t="n"/>
      <c r="S907" s="6" t="n"/>
    </row>
    <row r="908">
      <c r="A908" s="6" t="n"/>
      <c r="B908" s="112">
        <f>IF($D908="","","A"&amp;TEXT(ROW()-6,"00000"))</f>
        <v/>
      </c>
      <c r="C908" s="107" t="n"/>
      <c r="D908" s="107" t="n"/>
      <c r="E908" s="113">
        <f>IF($D908="","",IFERROR(INDEX(MUSTERILER!$C$7:$C$106,MATCH($D908,MUSTERILER!$B$7:$B$106,0)),"TANIMSIZ MÜŞTERİ"))</f>
        <v/>
      </c>
      <c r="F908" s="108" t="n"/>
      <c r="G908" s="107" t="n"/>
      <c r="H908" s="114" t="n"/>
      <c r="I908" s="114" t="n"/>
      <c r="J908" s="107" t="n"/>
      <c r="K908" s="107" t="n"/>
      <c r="L908" s="108" t="n"/>
      <c r="M908" s="108" t="n"/>
      <c r="N908" s="108" t="n"/>
      <c r="O908" s="114" t="n"/>
      <c r="P908" s="120">
        <f>IF(OR($D908="",$I908=""),"",IF(OR($J908="Tamamlandı",$J908="İptal"),"",$I908-TODAY()))</f>
        <v/>
      </c>
      <c r="Q908" s="112">
        <f>IF($D908="","",IF($E908="TANIMSIZ MÜŞTERİ","HATA",IF(OR($J908="Tamamlandı",$J908="İptal"),"KAPALI",IF(AND($C908="Görüşme",$N908=""),"SONRAKİ İŞLEM EKSİK",IF($I908="","TARİH EKSİK",IF($I908&lt;TODAY(),"GECİKMİŞ",IF($I908=TODAY(),"BUGÜN",IF($I908&lt;=TODAY()+7,"7 GÜN İÇİNDE","PLANLI"))))))))</f>
        <v/>
      </c>
      <c r="R908" s="6" t="n"/>
      <c r="S908" s="6" t="n"/>
    </row>
    <row r="909">
      <c r="A909" s="6" t="n"/>
      <c r="B909" s="112">
        <f>IF($D909="","","A"&amp;TEXT(ROW()-6,"00000"))</f>
        <v/>
      </c>
      <c r="C909" s="107" t="n"/>
      <c r="D909" s="107" t="n"/>
      <c r="E909" s="113">
        <f>IF($D909="","",IFERROR(INDEX(MUSTERILER!$C$7:$C$106,MATCH($D909,MUSTERILER!$B$7:$B$106,0)),"TANIMSIZ MÜŞTERİ"))</f>
        <v/>
      </c>
      <c r="F909" s="108" t="n"/>
      <c r="G909" s="107" t="n"/>
      <c r="H909" s="114" t="n"/>
      <c r="I909" s="114" t="n"/>
      <c r="J909" s="107" t="n"/>
      <c r="K909" s="107" t="n"/>
      <c r="L909" s="108" t="n"/>
      <c r="M909" s="108" t="n"/>
      <c r="N909" s="108" t="n"/>
      <c r="O909" s="114" t="n"/>
      <c r="P909" s="120">
        <f>IF(OR($D909="",$I909=""),"",IF(OR($J909="Tamamlandı",$J909="İptal"),"",$I909-TODAY()))</f>
        <v/>
      </c>
      <c r="Q909" s="112">
        <f>IF($D909="","",IF($E909="TANIMSIZ MÜŞTERİ","HATA",IF(OR($J909="Tamamlandı",$J909="İptal"),"KAPALI",IF(AND($C909="Görüşme",$N909=""),"SONRAKİ İŞLEM EKSİK",IF($I909="","TARİH EKSİK",IF($I909&lt;TODAY(),"GECİKMİŞ",IF($I909=TODAY(),"BUGÜN",IF($I909&lt;=TODAY()+7,"7 GÜN İÇİNDE","PLANLI"))))))))</f>
        <v/>
      </c>
      <c r="R909" s="6" t="n"/>
      <c r="S909" s="6" t="n"/>
    </row>
    <row r="910">
      <c r="A910" s="6" t="n"/>
      <c r="B910" s="112">
        <f>IF($D910="","","A"&amp;TEXT(ROW()-6,"00000"))</f>
        <v/>
      </c>
      <c r="C910" s="107" t="n"/>
      <c r="D910" s="107" t="n"/>
      <c r="E910" s="113">
        <f>IF($D910="","",IFERROR(INDEX(MUSTERILER!$C$7:$C$106,MATCH($D910,MUSTERILER!$B$7:$B$106,0)),"TANIMSIZ MÜŞTERİ"))</f>
        <v/>
      </c>
      <c r="F910" s="108" t="n"/>
      <c r="G910" s="107" t="n"/>
      <c r="H910" s="114" t="n"/>
      <c r="I910" s="114" t="n"/>
      <c r="J910" s="107" t="n"/>
      <c r="K910" s="107" t="n"/>
      <c r="L910" s="108" t="n"/>
      <c r="M910" s="108" t="n"/>
      <c r="N910" s="108" t="n"/>
      <c r="O910" s="114" t="n"/>
      <c r="P910" s="120">
        <f>IF(OR($D910="",$I910=""),"",IF(OR($J910="Tamamlandı",$J910="İptal"),"",$I910-TODAY()))</f>
        <v/>
      </c>
      <c r="Q910" s="112">
        <f>IF($D910="","",IF($E910="TANIMSIZ MÜŞTERİ","HATA",IF(OR($J910="Tamamlandı",$J910="İptal"),"KAPALI",IF(AND($C910="Görüşme",$N910=""),"SONRAKİ İŞLEM EKSİK",IF($I910="","TARİH EKSİK",IF($I910&lt;TODAY(),"GECİKMİŞ",IF($I910=TODAY(),"BUGÜN",IF($I910&lt;=TODAY()+7,"7 GÜN İÇİNDE","PLANLI"))))))))</f>
        <v/>
      </c>
      <c r="R910" s="6" t="n"/>
      <c r="S910" s="6" t="n"/>
    </row>
    <row r="911">
      <c r="A911" s="6" t="n"/>
      <c r="B911" s="112">
        <f>IF($D911="","","A"&amp;TEXT(ROW()-6,"00000"))</f>
        <v/>
      </c>
      <c r="C911" s="107" t="n"/>
      <c r="D911" s="107" t="n"/>
      <c r="E911" s="113">
        <f>IF($D911="","",IFERROR(INDEX(MUSTERILER!$C$7:$C$106,MATCH($D911,MUSTERILER!$B$7:$B$106,0)),"TANIMSIZ MÜŞTERİ"))</f>
        <v/>
      </c>
      <c r="F911" s="108" t="n"/>
      <c r="G911" s="107" t="n"/>
      <c r="H911" s="114" t="n"/>
      <c r="I911" s="114" t="n"/>
      <c r="J911" s="107" t="n"/>
      <c r="K911" s="107" t="n"/>
      <c r="L911" s="108" t="n"/>
      <c r="M911" s="108" t="n"/>
      <c r="N911" s="108" t="n"/>
      <c r="O911" s="114" t="n"/>
      <c r="P911" s="120">
        <f>IF(OR($D911="",$I911=""),"",IF(OR($J911="Tamamlandı",$J911="İptal"),"",$I911-TODAY()))</f>
        <v/>
      </c>
      <c r="Q911" s="112">
        <f>IF($D911="","",IF($E911="TANIMSIZ MÜŞTERİ","HATA",IF(OR($J911="Tamamlandı",$J911="İptal"),"KAPALI",IF(AND($C911="Görüşme",$N911=""),"SONRAKİ İŞLEM EKSİK",IF($I911="","TARİH EKSİK",IF($I911&lt;TODAY(),"GECİKMİŞ",IF($I911=TODAY(),"BUGÜN",IF($I911&lt;=TODAY()+7,"7 GÜN İÇİNDE","PLANLI"))))))))</f>
        <v/>
      </c>
      <c r="R911" s="6" t="n"/>
      <c r="S911" s="6" t="n"/>
    </row>
    <row r="912">
      <c r="A912" s="6" t="n"/>
      <c r="B912" s="112">
        <f>IF($D912="","","A"&amp;TEXT(ROW()-6,"00000"))</f>
        <v/>
      </c>
      <c r="C912" s="107" t="n"/>
      <c r="D912" s="107" t="n"/>
      <c r="E912" s="113">
        <f>IF($D912="","",IFERROR(INDEX(MUSTERILER!$C$7:$C$106,MATCH($D912,MUSTERILER!$B$7:$B$106,0)),"TANIMSIZ MÜŞTERİ"))</f>
        <v/>
      </c>
      <c r="F912" s="108" t="n"/>
      <c r="G912" s="107" t="n"/>
      <c r="H912" s="114" t="n"/>
      <c r="I912" s="114" t="n"/>
      <c r="J912" s="107" t="n"/>
      <c r="K912" s="107" t="n"/>
      <c r="L912" s="108" t="n"/>
      <c r="M912" s="108" t="n"/>
      <c r="N912" s="108" t="n"/>
      <c r="O912" s="114" t="n"/>
      <c r="P912" s="120">
        <f>IF(OR($D912="",$I912=""),"",IF(OR($J912="Tamamlandı",$J912="İptal"),"",$I912-TODAY()))</f>
        <v/>
      </c>
      <c r="Q912" s="112">
        <f>IF($D912="","",IF($E912="TANIMSIZ MÜŞTERİ","HATA",IF(OR($J912="Tamamlandı",$J912="İptal"),"KAPALI",IF(AND($C912="Görüşme",$N912=""),"SONRAKİ İŞLEM EKSİK",IF($I912="","TARİH EKSİK",IF($I912&lt;TODAY(),"GECİKMİŞ",IF($I912=TODAY(),"BUGÜN",IF($I912&lt;=TODAY()+7,"7 GÜN İÇİNDE","PLANLI"))))))))</f>
        <v/>
      </c>
      <c r="R912" s="6" t="n"/>
      <c r="S912" s="6" t="n"/>
    </row>
    <row r="913">
      <c r="A913" s="6" t="n"/>
      <c r="B913" s="112">
        <f>IF($D913="","","A"&amp;TEXT(ROW()-6,"00000"))</f>
        <v/>
      </c>
      <c r="C913" s="107" t="n"/>
      <c r="D913" s="107" t="n"/>
      <c r="E913" s="113">
        <f>IF($D913="","",IFERROR(INDEX(MUSTERILER!$C$7:$C$106,MATCH($D913,MUSTERILER!$B$7:$B$106,0)),"TANIMSIZ MÜŞTERİ"))</f>
        <v/>
      </c>
      <c r="F913" s="108" t="n"/>
      <c r="G913" s="107" t="n"/>
      <c r="H913" s="114" t="n"/>
      <c r="I913" s="114" t="n"/>
      <c r="J913" s="107" t="n"/>
      <c r="K913" s="107" t="n"/>
      <c r="L913" s="108" t="n"/>
      <c r="M913" s="108" t="n"/>
      <c r="N913" s="108" t="n"/>
      <c r="O913" s="114" t="n"/>
      <c r="P913" s="120">
        <f>IF(OR($D913="",$I913=""),"",IF(OR($J913="Tamamlandı",$J913="İptal"),"",$I913-TODAY()))</f>
        <v/>
      </c>
      <c r="Q913" s="112">
        <f>IF($D913="","",IF($E913="TANIMSIZ MÜŞTERİ","HATA",IF(OR($J913="Tamamlandı",$J913="İptal"),"KAPALI",IF(AND($C913="Görüşme",$N913=""),"SONRAKİ İŞLEM EKSİK",IF($I913="","TARİH EKSİK",IF($I913&lt;TODAY(),"GECİKMİŞ",IF($I913=TODAY(),"BUGÜN",IF($I913&lt;=TODAY()+7,"7 GÜN İÇİNDE","PLANLI"))))))))</f>
        <v/>
      </c>
      <c r="R913" s="6" t="n"/>
      <c r="S913" s="6" t="n"/>
    </row>
    <row r="914">
      <c r="A914" s="6" t="n"/>
      <c r="B914" s="112">
        <f>IF($D914="","","A"&amp;TEXT(ROW()-6,"00000"))</f>
        <v/>
      </c>
      <c r="C914" s="107" t="n"/>
      <c r="D914" s="107" t="n"/>
      <c r="E914" s="113">
        <f>IF($D914="","",IFERROR(INDEX(MUSTERILER!$C$7:$C$106,MATCH($D914,MUSTERILER!$B$7:$B$106,0)),"TANIMSIZ MÜŞTERİ"))</f>
        <v/>
      </c>
      <c r="F914" s="108" t="n"/>
      <c r="G914" s="107" t="n"/>
      <c r="H914" s="114" t="n"/>
      <c r="I914" s="114" t="n"/>
      <c r="J914" s="107" t="n"/>
      <c r="K914" s="107" t="n"/>
      <c r="L914" s="108" t="n"/>
      <c r="M914" s="108" t="n"/>
      <c r="N914" s="108" t="n"/>
      <c r="O914" s="114" t="n"/>
      <c r="P914" s="120">
        <f>IF(OR($D914="",$I914=""),"",IF(OR($J914="Tamamlandı",$J914="İptal"),"",$I914-TODAY()))</f>
        <v/>
      </c>
      <c r="Q914" s="112">
        <f>IF($D914="","",IF($E914="TANIMSIZ MÜŞTERİ","HATA",IF(OR($J914="Tamamlandı",$J914="İptal"),"KAPALI",IF(AND($C914="Görüşme",$N914=""),"SONRAKİ İŞLEM EKSİK",IF($I914="","TARİH EKSİK",IF($I914&lt;TODAY(),"GECİKMİŞ",IF($I914=TODAY(),"BUGÜN",IF($I914&lt;=TODAY()+7,"7 GÜN İÇİNDE","PLANLI"))))))))</f>
        <v/>
      </c>
      <c r="R914" s="6" t="n"/>
      <c r="S914" s="6" t="n"/>
    </row>
    <row r="915">
      <c r="A915" s="6" t="n"/>
      <c r="B915" s="112">
        <f>IF($D915="","","A"&amp;TEXT(ROW()-6,"00000"))</f>
        <v/>
      </c>
      <c r="C915" s="107" t="n"/>
      <c r="D915" s="107" t="n"/>
      <c r="E915" s="113">
        <f>IF($D915="","",IFERROR(INDEX(MUSTERILER!$C$7:$C$106,MATCH($D915,MUSTERILER!$B$7:$B$106,0)),"TANIMSIZ MÜŞTERİ"))</f>
        <v/>
      </c>
      <c r="F915" s="108" t="n"/>
      <c r="G915" s="107" t="n"/>
      <c r="H915" s="114" t="n"/>
      <c r="I915" s="114" t="n"/>
      <c r="J915" s="107" t="n"/>
      <c r="K915" s="107" t="n"/>
      <c r="L915" s="108" t="n"/>
      <c r="M915" s="108" t="n"/>
      <c r="N915" s="108" t="n"/>
      <c r="O915" s="114" t="n"/>
      <c r="P915" s="120">
        <f>IF(OR($D915="",$I915=""),"",IF(OR($J915="Tamamlandı",$J915="İptal"),"",$I915-TODAY()))</f>
        <v/>
      </c>
      <c r="Q915" s="112">
        <f>IF($D915="","",IF($E915="TANIMSIZ MÜŞTERİ","HATA",IF(OR($J915="Tamamlandı",$J915="İptal"),"KAPALI",IF(AND($C915="Görüşme",$N915=""),"SONRAKİ İŞLEM EKSİK",IF($I915="","TARİH EKSİK",IF($I915&lt;TODAY(),"GECİKMİŞ",IF($I915=TODAY(),"BUGÜN",IF($I915&lt;=TODAY()+7,"7 GÜN İÇİNDE","PLANLI"))))))))</f>
        <v/>
      </c>
      <c r="R915" s="6" t="n"/>
      <c r="S915" s="6" t="n"/>
    </row>
    <row r="916">
      <c r="A916" s="6" t="n"/>
      <c r="B916" s="112">
        <f>IF($D916="","","A"&amp;TEXT(ROW()-6,"00000"))</f>
        <v/>
      </c>
      <c r="C916" s="107" t="n"/>
      <c r="D916" s="107" t="n"/>
      <c r="E916" s="113">
        <f>IF($D916="","",IFERROR(INDEX(MUSTERILER!$C$7:$C$106,MATCH($D916,MUSTERILER!$B$7:$B$106,0)),"TANIMSIZ MÜŞTERİ"))</f>
        <v/>
      </c>
      <c r="F916" s="108" t="n"/>
      <c r="G916" s="107" t="n"/>
      <c r="H916" s="114" t="n"/>
      <c r="I916" s="114" t="n"/>
      <c r="J916" s="107" t="n"/>
      <c r="K916" s="107" t="n"/>
      <c r="L916" s="108" t="n"/>
      <c r="M916" s="108" t="n"/>
      <c r="N916" s="108" t="n"/>
      <c r="O916" s="114" t="n"/>
      <c r="P916" s="120">
        <f>IF(OR($D916="",$I916=""),"",IF(OR($J916="Tamamlandı",$J916="İptal"),"",$I916-TODAY()))</f>
        <v/>
      </c>
      <c r="Q916" s="112">
        <f>IF($D916="","",IF($E916="TANIMSIZ MÜŞTERİ","HATA",IF(OR($J916="Tamamlandı",$J916="İptal"),"KAPALI",IF(AND($C916="Görüşme",$N916=""),"SONRAKİ İŞLEM EKSİK",IF($I916="","TARİH EKSİK",IF($I916&lt;TODAY(),"GECİKMİŞ",IF($I916=TODAY(),"BUGÜN",IF($I916&lt;=TODAY()+7,"7 GÜN İÇİNDE","PLANLI"))))))))</f>
        <v/>
      </c>
      <c r="R916" s="6" t="n"/>
      <c r="S916" s="6" t="n"/>
    </row>
    <row r="917">
      <c r="A917" s="6" t="n"/>
      <c r="B917" s="112">
        <f>IF($D917="","","A"&amp;TEXT(ROW()-6,"00000"))</f>
        <v/>
      </c>
      <c r="C917" s="107" t="n"/>
      <c r="D917" s="107" t="n"/>
      <c r="E917" s="113">
        <f>IF($D917="","",IFERROR(INDEX(MUSTERILER!$C$7:$C$106,MATCH($D917,MUSTERILER!$B$7:$B$106,0)),"TANIMSIZ MÜŞTERİ"))</f>
        <v/>
      </c>
      <c r="F917" s="108" t="n"/>
      <c r="G917" s="107" t="n"/>
      <c r="H917" s="114" t="n"/>
      <c r="I917" s="114" t="n"/>
      <c r="J917" s="107" t="n"/>
      <c r="K917" s="107" t="n"/>
      <c r="L917" s="108" t="n"/>
      <c r="M917" s="108" t="n"/>
      <c r="N917" s="108" t="n"/>
      <c r="O917" s="114" t="n"/>
      <c r="P917" s="120">
        <f>IF(OR($D917="",$I917=""),"",IF(OR($J917="Tamamlandı",$J917="İptal"),"",$I917-TODAY()))</f>
        <v/>
      </c>
      <c r="Q917" s="112">
        <f>IF($D917="","",IF($E917="TANIMSIZ MÜŞTERİ","HATA",IF(OR($J917="Tamamlandı",$J917="İptal"),"KAPALI",IF(AND($C917="Görüşme",$N917=""),"SONRAKİ İŞLEM EKSİK",IF($I917="","TARİH EKSİK",IF($I917&lt;TODAY(),"GECİKMİŞ",IF($I917=TODAY(),"BUGÜN",IF($I917&lt;=TODAY()+7,"7 GÜN İÇİNDE","PLANLI"))))))))</f>
        <v/>
      </c>
      <c r="R917" s="6" t="n"/>
      <c r="S917" s="6" t="n"/>
    </row>
    <row r="918">
      <c r="A918" s="6" t="n"/>
      <c r="B918" s="112">
        <f>IF($D918="","","A"&amp;TEXT(ROW()-6,"00000"))</f>
        <v/>
      </c>
      <c r="C918" s="107" t="n"/>
      <c r="D918" s="107" t="n"/>
      <c r="E918" s="113">
        <f>IF($D918="","",IFERROR(INDEX(MUSTERILER!$C$7:$C$106,MATCH($D918,MUSTERILER!$B$7:$B$106,0)),"TANIMSIZ MÜŞTERİ"))</f>
        <v/>
      </c>
      <c r="F918" s="108" t="n"/>
      <c r="G918" s="107" t="n"/>
      <c r="H918" s="114" t="n"/>
      <c r="I918" s="114" t="n"/>
      <c r="J918" s="107" t="n"/>
      <c r="K918" s="107" t="n"/>
      <c r="L918" s="108" t="n"/>
      <c r="M918" s="108" t="n"/>
      <c r="N918" s="108" t="n"/>
      <c r="O918" s="114" t="n"/>
      <c r="P918" s="120">
        <f>IF(OR($D918="",$I918=""),"",IF(OR($J918="Tamamlandı",$J918="İptal"),"",$I918-TODAY()))</f>
        <v/>
      </c>
      <c r="Q918" s="112">
        <f>IF($D918="","",IF($E918="TANIMSIZ MÜŞTERİ","HATA",IF(OR($J918="Tamamlandı",$J918="İptal"),"KAPALI",IF(AND($C918="Görüşme",$N918=""),"SONRAKİ İŞLEM EKSİK",IF($I918="","TARİH EKSİK",IF($I918&lt;TODAY(),"GECİKMİŞ",IF($I918=TODAY(),"BUGÜN",IF($I918&lt;=TODAY()+7,"7 GÜN İÇİNDE","PLANLI"))))))))</f>
        <v/>
      </c>
      <c r="R918" s="6" t="n"/>
      <c r="S918" s="6" t="n"/>
    </row>
    <row r="919">
      <c r="A919" s="6" t="n"/>
      <c r="B919" s="112">
        <f>IF($D919="","","A"&amp;TEXT(ROW()-6,"00000"))</f>
        <v/>
      </c>
      <c r="C919" s="107" t="n"/>
      <c r="D919" s="107" t="n"/>
      <c r="E919" s="113">
        <f>IF($D919="","",IFERROR(INDEX(MUSTERILER!$C$7:$C$106,MATCH($D919,MUSTERILER!$B$7:$B$106,0)),"TANIMSIZ MÜŞTERİ"))</f>
        <v/>
      </c>
      <c r="F919" s="108" t="n"/>
      <c r="G919" s="107" t="n"/>
      <c r="H919" s="114" t="n"/>
      <c r="I919" s="114" t="n"/>
      <c r="J919" s="107" t="n"/>
      <c r="K919" s="107" t="n"/>
      <c r="L919" s="108" t="n"/>
      <c r="M919" s="108" t="n"/>
      <c r="N919" s="108" t="n"/>
      <c r="O919" s="114" t="n"/>
      <c r="P919" s="120">
        <f>IF(OR($D919="",$I919=""),"",IF(OR($J919="Tamamlandı",$J919="İptal"),"",$I919-TODAY()))</f>
        <v/>
      </c>
      <c r="Q919" s="112">
        <f>IF($D919="","",IF($E919="TANIMSIZ MÜŞTERİ","HATA",IF(OR($J919="Tamamlandı",$J919="İptal"),"KAPALI",IF(AND($C919="Görüşme",$N919=""),"SONRAKİ İŞLEM EKSİK",IF($I919="","TARİH EKSİK",IF($I919&lt;TODAY(),"GECİKMİŞ",IF($I919=TODAY(),"BUGÜN",IF($I919&lt;=TODAY()+7,"7 GÜN İÇİNDE","PLANLI"))))))))</f>
        <v/>
      </c>
      <c r="R919" s="6" t="n"/>
      <c r="S919" s="6" t="n"/>
    </row>
    <row r="920">
      <c r="A920" s="6" t="n"/>
      <c r="B920" s="112">
        <f>IF($D920="","","A"&amp;TEXT(ROW()-6,"00000"))</f>
        <v/>
      </c>
      <c r="C920" s="107" t="n"/>
      <c r="D920" s="107" t="n"/>
      <c r="E920" s="113">
        <f>IF($D920="","",IFERROR(INDEX(MUSTERILER!$C$7:$C$106,MATCH($D920,MUSTERILER!$B$7:$B$106,0)),"TANIMSIZ MÜŞTERİ"))</f>
        <v/>
      </c>
      <c r="F920" s="108" t="n"/>
      <c r="G920" s="107" t="n"/>
      <c r="H920" s="114" t="n"/>
      <c r="I920" s="114" t="n"/>
      <c r="J920" s="107" t="n"/>
      <c r="K920" s="107" t="n"/>
      <c r="L920" s="108" t="n"/>
      <c r="M920" s="108" t="n"/>
      <c r="N920" s="108" t="n"/>
      <c r="O920" s="114" t="n"/>
      <c r="P920" s="120">
        <f>IF(OR($D920="",$I920=""),"",IF(OR($J920="Tamamlandı",$J920="İptal"),"",$I920-TODAY()))</f>
        <v/>
      </c>
      <c r="Q920" s="112">
        <f>IF($D920="","",IF($E920="TANIMSIZ MÜŞTERİ","HATA",IF(OR($J920="Tamamlandı",$J920="İptal"),"KAPALI",IF(AND($C920="Görüşme",$N920=""),"SONRAKİ İŞLEM EKSİK",IF($I920="","TARİH EKSİK",IF($I920&lt;TODAY(),"GECİKMİŞ",IF($I920=TODAY(),"BUGÜN",IF($I920&lt;=TODAY()+7,"7 GÜN İÇİNDE","PLANLI"))))))))</f>
        <v/>
      </c>
      <c r="R920" s="6" t="n"/>
      <c r="S920" s="6" t="n"/>
    </row>
    <row r="921">
      <c r="A921" s="6" t="n"/>
      <c r="B921" s="112">
        <f>IF($D921="","","A"&amp;TEXT(ROW()-6,"00000"))</f>
        <v/>
      </c>
      <c r="C921" s="107" t="n"/>
      <c r="D921" s="107" t="n"/>
      <c r="E921" s="113">
        <f>IF($D921="","",IFERROR(INDEX(MUSTERILER!$C$7:$C$106,MATCH($D921,MUSTERILER!$B$7:$B$106,0)),"TANIMSIZ MÜŞTERİ"))</f>
        <v/>
      </c>
      <c r="F921" s="108" t="n"/>
      <c r="G921" s="107" t="n"/>
      <c r="H921" s="114" t="n"/>
      <c r="I921" s="114" t="n"/>
      <c r="J921" s="107" t="n"/>
      <c r="K921" s="107" t="n"/>
      <c r="L921" s="108" t="n"/>
      <c r="M921" s="108" t="n"/>
      <c r="N921" s="108" t="n"/>
      <c r="O921" s="114" t="n"/>
      <c r="P921" s="120">
        <f>IF(OR($D921="",$I921=""),"",IF(OR($J921="Tamamlandı",$J921="İptal"),"",$I921-TODAY()))</f>
        <v/>
      </c>
      <c r="Q921" s="112">
        <f>IF($D921="","",IF($E921="TANIMSIZ MÜŞTERİ","HATA",IF(OR($J921="Tamamlandı",$J921="İptal"),"KAPALI",IF(AND($C921="Görüşme",$N921=""),"SONRAKİ İŞLEM EKSİK",IF($I921="","TARİH EKSİK",IF($I921&lt;TODAY(),"GECİKMİŞ",IF($I921=TODAY(),"BUGÜN",IF($I921&lt;=TODAY()+7,"7 GÜN İÇİNDE","PLANLI"))))))))</f>
        <v/>
      </c>
      <c r="R921" s="6" t="n"/>
      <c r="S921" s="6" t="n"/>
    </row>
    <row r="922">
      <c r="A922" s="6" t="n"/>
      <c r="B922" s="112">
        <f>IF($D922="","","A"&amp;TEXT(ROW()-6,"00000"))</f>
        <v/>
      </c>
      <c r="C922" s="107" t="n"/>
      <c r="D922" s="107" t="n"/>
      <c r="E922" s="113">
        <f>IF($D922="","",IFERROR(INDEX(MUSTERILER!$C$7:$C$106,MATCH($D922,MUSTERILER!$B$7:$B$106,0)),"TANIMSIZ MÜŞTERİ"))</f>
        <v/>
      </c>
      <c r="F922" s="108" t="n"/>
      <c r="G922" s="107" t="n"/>
      <c r="H922" s="114" t="n"/>
      <c r="I922" s="114" t="n"/>
      <c r="J922" s="107" t="n"/>
      <c r="K922" s="107" t="n"/>
      <c r="L922" s="108" t="n"/>
      <c r="M922" s="108" t="n"/>
      <c r="N922" s="108" t="n"/>
      <c r="O922" s="114" t="n"/>
      <c r="P922" s="120">
        <f>IF(OR($D922="",$I922=""),"",IF(OR($J922="Tamamlandı",$J922="İptal"),"",$I922-TODAY()))</f>
        <v/>
      </c>
      <c r="Q922" s="112">
        <f>IF($D922="","",IF($E922="TANIMSIZ MÜŞTERİ","HATA",IF(OR($J922="Tamamlandı",$J922="İptal"),"KAPALI",IF(AND($C922="Görüşme",$N922=""),"SONRAKİ İŞLEM EKSİK",IF($I922="","TARİH EKSİK",IF($I922&lt;TODAY(),"GECİKMİŞ",IF($I922=TODAY(),"BUGÜN",IF($I922&lt;=TODAY()+7,"7 GÜN İÇİNDE","PLANLI"))))))))</f>
        <v/>
      </c>
      <c r="R922" s="6" t="n"/>
      <c r="S922" s="6" t="n"/>
    </row>
    <row r="923">
      <c r="A923" s="6" t="n"/>
      <c r="B923" s="112">
        <f>IF($D923="","","A"&amp;TEXT(ROW()-6,"00000"))</f>
        <v/>
      </c>
      <c r="C923" s="107" t="n"/>
      <c r="D923" s="107" t="n"/>
      <c r="E923" s="113">
        <f>IF($D923="","",IFERROR(INDEX(MUSTERILER!$C$7:$C$106,MATCH($D923,MUSTERILER!$B$7:$B$106,0)),"TANIMSIZ MÜŞTERİ"))</f>
        <v/>
      </c>
      <c r="F923" s="108" t="n"/>
      <c r="G923" s="107" t="n"/>
      <c r="H923" s="114" t="n"/>
      <c r="I923" s="114" t="n"/>
      <c r="J923" s="107" t="n"/>
      <c r="K923" s="107" t="n"/>
      <c r="L923" s="108" t="n"/>
      <c r="M923" s="108" t="n"/>
      <c r="N923" s="108" t="n"/>
      <c r="O923" s="114" t="n"/>
      <c r="P923" s="120">
        <f>IF(OR($D923="",$I923=""),"",IF(OR($J923="Tamamlandı",$J923="İptal"),"",$I923-TODAY()))</f>
        <v/>
      </c>
      <c r="Q923" s="112">
        <f>IF($D923="","",IF($E923="TANIMSIZ MÜŞTERİ","HATA",IF(OR($J923="Tamamlandı",$J923="İptal"),"KAPALI",IF(AND($C923="Görüşme",$N923=""),"SONRAKİ İŞLEM EKSİK",IF($I923="","TARİH EKSİK",IF($I923&lt;TODAY(),"GECİKMİŞ",IF($I923=TODAY(),"BUGÜN",IF($I923&lt;=TODAY()+7,"7 GÜN İÇİNDE","PLANLI"))))))))</f>
        <v/>
      </c>
      <c r="R923" s="6" t="n"/>
      <c r="S923" s="6" t="n"/>
    </row>
    <row r="924">
      <c r="A924" s="6" t="n"/>
      <c r="B924" s="112">
        <f>IF($D924="","","A"&amp;TEXT(ROW()-6,"00000"))</f>
        <v/>
      </c>
      <c r="C924" s="107" t="n"/>
      <c r="D924" s="107" t="n"/>
      <c r="E924" s="113">
        <f>IF($D924="","",IFERROR(INDEX(MUSTERILER!$C$7:$C$106,MATCH($D924,MUSTERILER!$B$7:$B$106,0)),"TANIMSIZ MÜŞTERİ"))</f>
        <v/>
      </c>
      <c r="F924" s="108" t="n"/>
      <c r="G924" s="107" t="n"/>
      <c r="H924" s="114" t="n"/>
      <c r="I924" s="114" t="n"/>
      <c r="J924" s="107" t="n"/>
      <c r="K924" s="107" t="n"/>
      <c r="L924" s="108" t="n"/>
      <c r="M924" s="108" t="n"/>
      <c r="N924" s="108" t="n"/>
      <c r="O924" s="114" t="n"/>
      <c r="P924" s="120">
        <f>IF(OR($D924="",$I924=""),"",IF(OR($J924="Tamamlandı",$J924="İptal"),"",$I924-TODAY()))</f>
        <v/>
      </c>
      <c r="Q924" s="112">
        <f>IF($D924="","",IF($E924="TANIMSIZ MÜŞTERİ","HATA",IF(OR($J924="Tamamlandı",$J924="İptal"),"KAPALI",IF(AND($C924="Görüşme",$N924=""),"SONRAKİ İŞLEM EKSİK",IF($I924="","TARİH EKSİK",IF($I924&lt;TODAY(),"GECİKMİŞ",IF($I924=TODAY(),"BUGÜN",IF($I924&lt;=TODAY()+7,"7 GÜN İÇİNDE","PLANLI"))))))))</f>
        <v/>
      </c>
      <c r="R924" s="6" t="n"/>
      <c r="S924" s="6" t="n"/>
    </row>
    <row r="925">
      <c r="A925" s="6" t="n"/>
      <c r="B925" s="112">
        <f>IF($D925="","","A"&amp;TEXT(ROW()-6,"00000"))</f>
        <v/>
      </c>
      <c r="C925" s="107" t="n"/>
      <c r="D925" s="107" t="n"/>
      <c r="E925" s="113">
        <f>IF($D925="","",IFERROR(INDEX(MUSTERILER!$C$7:$C$106,MATCH($D925,MUSTERILER!$B$7:$B$106,0)),"TANIMSIZ MÜŞTERİ"))</f>
        <v/>
      </c>
      <c r="F925" s="108" t="n"/>
      <c r="G925" s="107" t="n"/>
      <c r="H925" s="114" t="n"/>
      <c r="I925" s="114" t="n"/>
      <c r="J925" s="107" t="n"/>
      <c r="K925" s="107" t="n"/>
      <c r="L925" s="108" t="n"/>
      <c r="M925" s="108" t="n"/>
      <c r="N925" s="108" t="n"/>
      <c r="O925" s="114" t="n"/>
      <c r="P925" s="120">
        <f>IF(OR($D925="",$I925=""),"",IF(OR($J925="Tamamlandı",$J925="İptal"),"",$I925-TODAY()))</f>
        <v/>
      </c>
      <c r="Q925" s="112">
        <f>IF($D925="","",IF($E925="TANIMSIZ MÜŞTERİ","HATA",IF(OR($J925="Tamamlandı",$J925="İptal"),"KAPALI",IF(AND($C925="Görüşme",$N925=""),"SONRAKİ İŞLEM EKSİK",IF($I925="","TARİH EKSİK",IF($I925&lt;TODAY(),"GECİKMİŞ",IF($I925=TODAY(),"BUGÜN",IF($I925&lt;=TODAY()+7,"7 GÜN İÇİNDE","PLANLI"))))))))</f>
        <v/>
      </c>
      <c r="R925" s="6" t="n"/>
      <c r="S925" s="6" t="n"/>
    </row>
    <row r="926">
      <c r="A926" s="6" t="n"/>
      <c r="B926" s="112">
        <f>IF($D926="","","A"&amp;TEXT(ROW()-6,"00000"))</f>
        <v/>
      </c>
      <c r="C926" s="107" t="n"/>
      <c r="D926" s="107" t="n"/>
      <c r="E926" s="113">
        <f>IF($D926="","",IFERROR(INDEX(MUSTERILER!$C$7:$C$106,MATCH($D926,MUSTERILER!$B$7:$B$106,0)),"TANIMSIZ MÜŞTERİ"))</f>
        <v/>
      </c>
      <c r="F926" s="108" t="n"/>
      <c r="G926" s="107" t="n"/>
      <c r="H926" s="114" t="n"/>
      <c r="I926" s="114" t="n"/>
      <c r="J926" s="107" t="n"/>
      <c r="K926" s="107" t="n"/>
      <c r="L926" s="108" t="n"/>
      <c r="M926" s="108" t="n"/>
      <c r="N926" s="108" t="n"/>
      <c r="O926" s="114" t="n"/>
      <c r="P926" s="120">
        <f>IF(OR($D926="",$I926=""),"",IF(OR($J926="Tamamlandı",$J926="İptal"),"",$I926-TODAY()))</f>
        <v/>
      </c>
      <c r="Q926" s="112">
        <f>IF($D926="","",IF($E926="TANIMSIZ MÜŞTERİ","HATA",IF(OR($J926="Tamamlandı",$J926="İptal"),"KAPALI",IF(AND($C926="Görüşme",$N926=""),"SONRAKİ İŞLEM EKSİK",IF($I926="","TARİH EKSİK",IF($I926&lt;TODAY(),"GECİKMİŞ",IF($I926=TODAY(),"BUGÜN",IF($I926&lt;=TODAY()+7,"7 GÜN İÇİNDE","PLANLI"))))))))</f>
        <v/>
      </c>
      <c r="R926" s="6" t="n"/>
      <c r="S926" s="6" t="n"/>
    </row>
    <row r="927">
      <c r="A927" s="6" t="n"/>
      <c r="B927" s="112">
        <f>IF($D927="","","A"&amp;TEXT(ROW()-6,"00000"))</f>
        <v/>
      </c>
      <c r="C927" s="107" t="n"/>
      <c r="D927" s="107" t="n"/>
      <c r="E927" s="113">
        <f>IF($D927="","",IFERROR(INDEX(MUSTERILER!$C$7:$C$106,MATCH($D927,MUSTERILER!$B$7:$B$106,0)),"TANIMSIZ MÜŞTERİ"))</f>
        <v/>
      </c>
      <c r="F927" s="108" t="n"/>
      <c r="G927" s="107" t="n"/>
      <c r="H927" s="114" t="n"/>
      <c r="I927" s="114" t="n"/>
      <c r="J927" s="107" t="n"/>
      <c r="K927" s="107" t="n"/>
      <c r="L927" s="108" t="n"/>
      <c r="M927" s="108" t="n"/>
      <c r="N927" s="108" t="n"/>
      <c r="O927" s="114" t="n"/>
      <c r="P927" s="120">
        <f>IF(OR($D927="",$I927=""),"",IF(OR($J927="Tamamlandı",$J927="İptal"),"",$I927-TODAY()))</f>
        <v/>
      </c>
      <c r="Q927" s="112">
        <f>IF($D927="","",IF($E927="TANIMSIZ MÜŞTERİ","HATA",IF(OR($J927="Tamamlandı",$J927="İptal"),"KAPALI",IF(AND($C927="Görüşme",$N927=""),"SONRAKİ İŞLEM EKSİK",IF($I927="","TARİH EKSİK",IF($I927&lt;TODAY(),"GECİKMİŞ",IF($I927=TODAY(),"BUGÜN",IF($I927&lt;=TODAY()+7,"7 GÜN İÇİNDE","PLANLI"))))))))</f>
        <v/>
      </c>
      <c r="R927" s="6" t="n"/>
      <c r="S927" s="6" t="n"/>
    </row>
    <row r="928">
      <c r="A928" s="6" t="n"/>
      <c r="B928" s="112">
        <f>IF($D928="","","A"&amp;TEXT(ROW()-6,"00000"))</f>
        <v/>
      </c>
      <c r="C928" s="107" t="n"/>
      <c r="D928" s="107" t="n"/>
      <c r="E928" s="113">
        <f>IF($D928="","",IFERROR(INDEX(MUSTERILER!$C$7:$C$106,MATCH($D928,MUSTERILER!$B$7:$B$106,0)),"TANIMSIZ MÜŞTERİ"))</f>
        <v/>
      </c>
      <c r="F928" s="108" t="n"/>
      <c r="G928" s="107" t="n"/>
      <c r="H928" s="114" t="n"/>
      <c r="I928" s="114" t="n"/>
      <c r="J928" s="107" t="n"/>
      <c r="K928" s="107" t="n"/>
      <c r="L928" s="108" t="n"/>
      <c r="M928" s="108" t="n"/>
      <c r="N928" s="108" t="n"/>
      <c r="O928" s="114" t="n"/>
      <c r="P928" s="120">
        <f>IF(OR($D928="",$I928=""),"",IF(OR($J928="Tamamlandı",$J928="İptal"),"",$I928-TODAY()))</f>
        <v/>
      </c>
      <c r="Q928" s="112">
        <f>IF($D928="","",IF($E928="TANIMSIZ MÜŞTERİ","HATA",IF(OR($J928="Tamamlandı",$J928="İptal"),"KAPALI",IF(AND($C928="Görüşme",$N928=""),"SONRAKİ İŞLEM EKSİK",IF($I928="","TARİH EKSİK",IF($I928&lt;TODAY(),"GECİKMİŞ",IF($I928=TODAY(),"BUGÜN",IF($I928&lt;=TODAY()+7,"7 GÜN İÇİNDE","PLANLI"))))))))</f>
        <v/>
      </c>
      <c r="R928" s="6" t="n"/>
      <c r="S928" s="6" t="n"/>
    </row>
    <row r="929">
      <c r="A929" s="6" t="n"/>
      <c r="B929" s="112">
        <f>IF($D929="","","A"&amp;TEXT(ROW()-6,"00000"))</f>
        <v/>
      </c>
      <c r="C929" s="107" t="n"/>
      <c r="D929" s="107" t="n"/>
      <c r="E929" s="113">
        <f>IF($D929="","",IFERROR(INDEX(MUSTERILER!$C$7:$C$106,MATCH($D929,MUSTERILER!$B$7:$B$106,0)),"TANIMSIZ MÜŞTERİ"))</f>
        <v/>
      </c>
      <c r="F929" s="108" t="n"/>
      <c r="G929" s="107" t="n"/>
      <c r="H929" s="114" t="n"/>
      <c r="I929" s="114" t="n"/>
      <c r="J929" s="107" t="n"/>
      <c r="K929" s="107" t="n"/>
      <c r="L929" s="108" t="n"/>
      <c r="M929" s="108" t="n"/>
      <c r="N929" s="108" t="n"/>
      <c r="O929" s="114" t="n"/>
      <c r="P929" s="120">
        <f>IF(OR($D929="",$I929=""),"",IF(OR($J929="Tamamlandı",$J929="İptal"),"",$I929-TODAY()))</f>
        <v/>
      </c>
      <c r="Q929" s="112">
        <f>IF($D929="","",IF($E929="TANIMSIZ MÜŞTERİ","HATA",IF(OR($J929="Tamamlandı",$J929="İptal"),"KAPALI",IF(AND($C929="Görüşme",$N929=""),"SONRAKİ İŞLEM EKSİK",IF($I929="","TARİH EKSİK",IF($I929&lt;TODAY(),"GECİKMİŞ",IF($I929=TODAY(),"BUGÜN",IF($I929&lt;=TODAY()+7,"7 GÜN İÇİNDE","PLANLI"))))))))</f>
        <v/>
      </c>
      <c r="R929" s="6" t="n"/>
      <c r="S929" s="6" t="n"/>
    </row>
    <row r="930">
      <c r="A930" s="6" t="n"/>
      <c r="B930" s="112">
        <f>IF($D930="","","A"&amp;TEXT(ROW()-6,"00000"))</f>
        <v/>
      </c>
      <c r="C930" s="107" t="n"/>
      <c r="D930" s="107" t="n"/>
      <c r="E930" s="113">
        <f>IF($D930="","",IFERROR(INDEX(MUSTERILER!$C$7:$C$106,MATCH($D930,MUSTERILER!$B$7:$B$106,0)),"TANIMSIZ MÜŞTERİ"))</f>
        <v/>
      </c>
      <c r="F930" s="108" t="n"/>
      <c r="G930" s="107" t="n"/>
      <c r="H930" s="114" t="n"/>
      <c r="I930" s="114" t="n"/>
      <c r="J930" s="107" t="n"/>
      <c r="K930" s="107" t="n"/>
      <c r="L930" s="108" t="n"/>
      <c r="M930" s="108" t="n"/>
      <c r="N930" s="108" t="n"/>
      <c r="O930" s="114" t="n"/>
      <c r="P930" s="120">
        <f>IF(OR($D930="",$I930=""),"",IF(OR($J930="Tamamlandı",$J930="İptal"),"",$I930-TODAY()))</f>
        <v/>
      </c>
      <c r="Q930" s="112">
        <f>IF($D930="","",IF($E930="TANIMSIZ MÜŞTERİ","HATA",IF(OR($J930="Tamamlandı",$J930="İptal"),"KAPALI",IF(AND($C930="Görüşme",$N930=""),"SONRAKİ İŞLEM EKSİK",IF($I930="","TARİH EKSİK",IF($I930&lt;TODAY(),"GECİKMİŞ",IF($I930=TODAY(),"BUGÜN",IF($I930&lt;=TODAY()+7,"7 GÜN İÇİNDE","PLANLI"))))))))</f>
        <v/>
      </c>
      <c r="R930" s="6" t="n"/>
      <c r="S930" s="6" t="n"/>
    </row>
    <row r="931">
      <c r="A931" s="6" t="n"/>
      <c r="B931" s="112">
        <f>IF($D931="","","A"&amp;TEXT(ROW()-6,"00000"))</f>
        <v/>
      </c>
      <c r="C931" s="107" t="n"/>
      <c r="D931" s="107" t="n"/>
      <c r="E931" s="113">
        <f>IF($D931="","",IFERROR(INDEX(MUSTERILER!$C$7:$C$106,MATCH($D931,MUSTERILER!$B$7:$B$106,0)),"TANIMSIZ MÜŞTERİ"))</f>
        <v/>
      </c>
      <c r="F931" s="108" t="n"/>
      <c r="G931" s="107" t="n"/>
      <c r="H931" s="114" t="n"/>
      <c r="I931" s="114" t="n"/>
      <c r="J931" s="107" t="n"/>
      <c r="K931" s="107" t="n"/>
      <c r="L931" s="108" t="n"/>
      <c r="M931" s="108" t="n"/>
      <c r="N931" s="108" t="n"/>
      <c r="O931" s="114" t="n"/>
      <c r="P931" s="120">
        <f>IF(OR($D931="",$I931=""),"",IF(OR($J931="Tamamlandı",$J931="İptal"),"",$I931-TODAY()))</f>
        <v/>
      </c>
      <c r="Q931" s="112">
        <f>IF($D931="","",IF($E931="TANIMSIZ MÜŞTERİ","HATA",IF(OR($J931="Tamamlandı",$J931="İptal"),"KAPALI",IF(AND($C931="Görüşme",$N931=""),"SONRAKİ İŞLEM EKSİK",IF($I931="","TARİH EKSİK",IF($I931&lt;TODAY(),"GECİKMİŞ",IF($I931=TODAY(),"BUGÜN",IF($I931&lt;=TODAY()+7,"7 GÜN İÇİNDE","PLANLI"))))))))</f>
        <v/>
      </c>
      <c r="R931" s="6" t="n"/>
      <c r="S931" s="6" t="n"/>
    </row>
    <row r="932">
      <c r="A932" s="6" t="n"/>
      <c r="B932" s="112">
        <f>IF($D932="","","A"&amp;TEXT(ROW()-6,"00000"))</f>
        <v/>
      </c>
      <c r="C932" s="107" t="n"/>
      <c r="D932" s="107" t="n"/>
      <c r="E932" s="113">
        <f>IF($D932="","",IFERROR(INDEX(MUSTERILER!$C$7:$C$106,MATCH($D932,MUSTERILER!$B$7:$B$106,0)),"TANIMSIZ MÜŞTERİ"))</f>
        <v/>
      </c>
      <c r="F932" s="108" t="n"/>
      <c r="G932" s="107" t="n"/>
      <c r="H932" s="114" t="n"/>
      <c r="I932" s="114" t="n"/>
      <c r="J932" s="107" t="n"/>
      <c r="K932" s="107" t="n"/>
      <c r="L932" s="108" t="n"/>
      <c r="M932" s="108" t="n"/>
      <c r="N932" s="108" t="n"/>
      <c r="O932" s="114" t="n"/>
      <c r="P932" s="120">
        <f>IF(OR($D932="",$I932=""),"",IF(OR($J932="Tamamlandı",$J932="İptal"),"",$I932-TODAY()))</f>
        <v/>
      </c>
      <c r="Q932" s="112">
        <f>IF($D932="","",IF($E932="TANIMSIZ MÜŞTERİ","HATA",IF(OR($J932="Tamamlandı",$J932="İptal"),"KAPALI",IF(AND($C932="Görüşme",$N932=""),"SONRAKİ İŞLEM EKSİK",IF($I932="","TARİH EKSİK",IF($I932&lt;TODAY(),"GECİKMİŞ",IF($I932=TODAY(),"BUGÜN",IF($I932&lt;=TODAY()+7,"7 GÜN İÇİNDE","PLANLI"))))))))</f>
        <v/>
      </c>
      <c r="R932" s="6" t="n"/>
      <c r="S932" s="6" t="n"/>
    </row>
    <row r="933">
      <c r="A933" s="6" t="n"/>
      <c r="B933" s="112">
        <f>IF($D933="","","A"&amp;TEXT(ROW()-6,"00000"))</f>
        <v/>
      </c>
      <c r="C933" s="107" t="n"/>
      <c r="D933" s="107" t="n"/>
      <c r="E933" s="113">
        <f>IF($D933="","",IFERROR(INDEX(MUSTERILER!$C$7:$C$106,MATCH($D933,MUSTERILER!$B$7:$B$106,0)),"TANIMSIZ MÜŞTERİ"))</f>
        <v/>
      </c>
      <c r="F933" s="108" t="n"/>
      <c r="G933" s="107" t="n"/>
      <c r="H933" s="114" t="n"/>
      <c r="I933" s="114" t="n"/>
      <c r="J933" s="107" t="n"/>
      <c r="K933" s="107" t="n"/>
      <c r="L933" s="108" t="n"/>
      <c r="M933" s="108" t="n"/>
      <c r="N933" s="108" t="n"/>
      <c r="O933" s="114" t="n"/>
      <c r="P933" s="120">
        <f>IF(OR($D933="",$I933=""),"",IF(OR($J933="Tamamlandı",$J933="İptal"),"",$I933-TODAY()))</f>
        <v/>
      </c>
      <c r="Q933" s="112">
        <f>IF($D933="","",IF($E933="TANIMSIZ MÜŞTERİ","HATA",IF(OR($J933="Tamamlandı",$J933="İptal"),"KAPALI",IF(AND($C933="Görüşme",$N933=""),"SONRAKİ İŞLEM EKSİK",IF($I933="","TARİH EKSİK",IF($I933&lt;TODAY(),"GECİKMİŞ",IF($I933=TODAY(),"BUGÜN",IF($I933&lt;=TODAY()+7,"7 GÜN İÇİNDE","PLANLI"))))))))</f>
        <v/>
      </c>
      <c r="R933" s="6" t="n"/>
      <c r="S933" s="6" t="n"/>
    </row>
    <row r="934">
      <c r="A934" s="6" t="n"/>
      <c r="B934" s="112">
        <f>IF($D934="","","A"&amp;TEXT(ROW()-6,"00000"))</f>
        <v/>
      </c>
      <c r="C934" s="107" t="n"/>
      <c r="D934" s="107" t="n"/>
      <c r="E934" s="113">
        <f>IF($D934="","",IFERROR(INDEX(MUSTERILER!$C$7:$C$106,MATCH($D934,MUSTERILER!$B$7:$B$106,0)),"TANIMSIZ MÜŞTERİ"))</f>
        <v/>
      </c>
      <c r="F934" s="108" t="n"/>
      <c r="G934" s="107" t="n"/>
      <c r="H934" s="114" t="n"/>
      <c r="I934" s="114" t="n"/>
      <c r="J934" s="107" t="n"/>
      <c r="K934" s="107" t="n"/>
      <c r="L934" s="108" t="n"/>
      <c r="M934" s="108" t="n"/>
      <c r="N934" s="108" t="n"/>
      <c r="O934" s="114" t="n"/>
      <c r="P934" s="120">
        <f>IF(OR($D934="",$I934=""),"",IF(OR($J934="Tamamlandı",$J934="İptal"),"",$I934-TODAY()))</f>
        <v/>
      </c>
      <c r="Q934" s="112">
        <f>IF($D934="","",IF($E934="TANIMSIZ MÜŞTERİ","HATA",IF(OR($J934="Tamamlandı",$J934="İptal"),"KAPALI",IF(AND($C934="Görüşme",$N934=""),"SONRAKİ İŞLEM EKSİK",IF($I934="","TARİH EKSİK",IF($I934&lt;TODAY(),"GECİKMİŞ",IF($I934=TODAY(),"BUGÜN",IF($I934&lt;=TODAY()+7,"7 GÜN İÇİNDE","PLANLI"))))))))</f>
        <v/>
      </c>
      <c r="R934" s="6" t="n"/>
      <c r="S934" s="6" t="n"/>
    </row>
    <row r="935">
      <c r="A935" s="6" t="n"/>
      <c r="B935" s="112">
        <f>IF($D935="","","A"&amp;TEXT(ROW()-6,"00000"))</f>
        <v/>
      </c>
      <c r="C935" s="107" t="n"/>
      <c r="D935" s="107" t="n"/>
      <c r="E935" s="113">
        <f>IF($D935="","",IFERROR(INDEX(MUSTERILER!$C$7:$C$106,MATCH($D935,MUSTERILER!$B$7:$B$106,0)),"TANIMSIZ MÜŞTERİ"))</f>
        <v/>
      </c>
      <c r="F935" s="108" t="n"/>
      <c r="G935" s="107" t="n"/>
      <c r="H935" s="114" t="n"/>
      <c r="I935" s="114" t="n"/>
      <c r="J935" s="107" t="n"/>
      <c r="K935" s="107" t="n"/>
      <c r="L935" s="108" t="n"/>
      <c r="M935" s="108" t="n"/>
      <c r="N935" s="108" t="n"/>
      <c r="O935" s="114" t="n"/>
      <c r="P935" s="120">
        <f>IF(OR($D935="",$I935=""),"",IF(OR($J935="Tamamlandı",$J935="İptal"),"",$I935-TODAY()))</f>
        <v/>
      </c>
      <c r="Q935" s="112">
        <f>IF($D935="","",IF($E935="TANIMSIZ MÜŞTERİ","HATA",IF(OR($J935="Tamamlandı",$J935="İptal"),"KAPALI",IF(AND($C935="Görüşme",$N935=""),"SONRAKİ İŞLEM EKSİK",IF($I935="","TARİH EKSİK",IF($I935&lt;TODAY(),"GECİKMİŞ",IF($I935=TODAY(),"BUGÜN",IF($I935&lt;=TODAY()+7,"7 GÜN İÇİNDE","PLANLI"))))))))</f>
        <v/>
      </c>
      <c r="R935" s="6" t="n"/>
      <c r="S935" s="6" t="n"/>
    </row>
    <row r="936">
      <c r="A936" s="6" t="n"/>
      <c r="B936" s="112">
        <f>IF($D936="","","A"&amp;TEXT(ROW()-6,"00000"))</f>
        <v/>
      </c>
      <c r="C936" s="107" t="n"/>
      <c r="D936" s="107" t="n"/>
      <c r="E936" s="113">
        <f>IF($D936="","",IFERROR(INDEX(MUSTERILER!$C$7:$C$106,MATCH($D936,MUSTERILER!$B$7:$B$106,0)),"TANIMSIZ MÜŞTERİ"))</f>
        <v/>
      </c>
      <c r="F936" s="108" t="n"/>
      <c r="G936" s="107" t="n"/>
      <c r="H936" s="114" t="n"/>
      <c r="I936" s="114" t="n"/>
      <c r="J936" s="107" t="n"/>
      <c r="K936" s="107" t="n"/>
      <c r="L936" s="108" t="n"/>
      <c r="M936" s="108" t="n"/>
      <c r="N936" s="108" t="n"/>
      <c r="O936" s="114" t="n"/>
      <c r="P936" s="120">
        <f>IF(OR($D936="",$I936=""),"",IF(OR($J936="Tamamlandı",$J936="İptal"),"",$I936-TODAY()))</f>
        <v/>
      </c>
      <c r="Q936" s="112">
        <f>IF($D936="","",IF($E936="TANIMSIZ MÜŞTERİ","HATA",IF(OR($J936="Tamamlandı",$J936="İptal"),"KAPALI",IF(AND($C936="Görüşme",$N936=""),"SONRAKİ İŞLEM EKSİK",IF($I936="","TARİH EKSİK",IF($I936&lt;TODAY(),"GECİKMİŞ",IF($I936=TODAY(),"BUGÜN",IF($I936&lt;=TODAY()+7,"7 GÜN İÇİNDE","PLANLI"))))))))</f>
        <v/>
      </c>
      <c r="R936" s="6" t="n"/>
      <c r="S936" s="6" t="n"/>
    </row>
    <row r="937">
      <c r="A937" s="6" t="n"/>
      <c r="B937" s="112">
        <f>IF($D937="","","A"&amp;TEXT(ROW()-6,"00000"))</f>
        <v/>
      </c>
      <c r="C937" s="107" t="n"/>
      <c r="D937" s="107" t="n"/>
      <c r="E937" s="113">
        <f>IF($D937="","",IFERROR(INDEX(MUSTERILER!$C$7:$C$106,MATCH($D937,MUSTERILER!$B$7:$B$106,0)),"TANIMSIZ MÜŞTERİ"))</f>
        <v/>
      </c>
      <c r="F937" s="108" t="n"/>
      <c r="G937" s="107" t="n"/>
      <c r="H937" s="114" t="n"/>
      <c r="I937" s="114" t="n"/>
      <c r="J937" s="107" t="n"/>
      <c r="K937" s="107" t="n"/>
      <c r="L937" s="108" t="n"/>
      <c r="M937" s="108" t="n"/>
      <c r="N937" s="108" t="n"/>
      <c r="O937" s="114" t="n"/>
      <c r="P937" s="120">
        <f>IF(OR($D937="",$I937=""),"",IF(OR($J937="Tamamlandı",$J937="İptal"),"",$I937-TODAY()))</f>
        <v/>
      </c>
      <c r="Q937" s="112">
        <f>IF($D937="","",IF($E937="TANIMSIZ MÜŞTERİ","HATA",IF(OR($J937="Tamamlandı",$J937="İptal"),"KAPALI",IF(AND($C937="Görüşme",$N937=""),"SONRAKİ İŞLEM EKSİK",IF($I937="","TARİH EKSİK",IF($I937&lt;TODAY(),"GECİKMİŞ",IF($I937=TODAY(),"BUGÜN",IF($I937&lt;=TODAY()+7,"7 GÜN İÇİNDE","PLANLI"))))))))</f>
        <v/>
      </c>
      <c r="R937" s="6" t="n"/>
      <c r="S937" s="6" t="n"/>
    </row>
    <row r="938">
      <c r="A938" s="6" t="n"/>
      <c r="B938" s="112">
        <f>IF($D938="","","A"&amp;TEXT(ROW()-6,"00000"))</f>
        <v/>
      </c>
      <c r="C938" s="107" t="n"/>
      <c r="D938" s="107" t="n"/>
      <c r="E938" s="113">
        <f>IF($D938="","",IFERROR(INDEX(MUSTERILER!$C$7:$C$106,MATCH($D938,MUSTERILER!$B$7:$B$106,0)),"TANIMSIZ MÜŞTERİ"))</f>
        <v/>
      </c>
      <c r="F938" s="108" t="n"/>
      <c r="G938" s="107" t="n"/>
      <c r="H938" s="114" t="n"/>
      <c r="I938" s="114" t="n"/>
      <c r="J938" s="107" t="n"/>
      <c r="K938" s="107" t="n"/>
      <c r="L938" s="108" t="n"/>
      <c r="M938" s="108" t="n"/>
      <c r="N938" s="108" t="n"/>
      <c r="O938" s="114" t="n"/>
      <c r="P938" s="120">
        <f>IF(OR($D938="",$I938=""),"",IF(OR($J938="Tamamlandı",$J938="İptal"),"",$I938-TODAY()))</f>
        <v/>
      </c>
      <c r="Q938" s="112">
        <f>IF($D938="","",IF($E938="TANIMSIZ MÜŞTERİ","HATA",IF(OR($J938="Tamamlandı",$J938="İptal"),"KAPALI",IF(AND($C938="Görüşme",$N938=""),"SONRAKİ İŞLEM EKSİK",IF($I938="","TARİH EKSİK",IF($I938&lt;TODAY(),"GECİKMİŞ",IF($I938=TODAY(),"BUGÜN",IF($I938&lt;=TODAY()+7,"7 GÜN İÇİNDE","PLANLI"))))))))</f>
        <v/>
      </c>
      <c r="R938" s="6" t="n"/>
      <c r="S938" s="6" t="n"/>
    </row>
    <row r="939">
      <c r="A939" s="6" t="n"/>
      <c r="B939" s="112">
        <f>IF($D939="","","A"&amp;TEXT(ROW()-6,"00000"))</f>
        <v/>
      </c>
      <c r="C939" s="107" t="n"/>
      <c r="D939" s="107" t="n"/>
      <c r="E939" s="113">
        <f>IF($D939="","",IFERROR(INDEX(MUSTERILER!$C$7:$C$106,MATCH($D939,MUSTERILER!$B$7:$B$106,0)),"TANIMSIZ MÜŞTERİ"))</f>
        <v/>
      </c>
      <c r="F939" s="108" t="n"/>
      <c r="G939" s="107" t="n"/>
      <c r="H939" s="114" t="n"/>
      <c r="I939" s="114" t="n"/>
      <c r="J939" s="107" t="n"/>
      <c r="K939" s="107" t="n"/>
      <c r="L939" s="108" t="n"/>
      <c r="M939" s="108" t="n"/>
      <c r="N939" s="108" t="n"/>
      <c r="O939" s="114" t="n"/>
      <c r="P939" s="120">
        <f>IF(OR($D939="",$I939=""),"",IF(OR($J939="Tamamlandı",$J939="İptal"),"",$I939-TODAY()))</f>
        <v/>
      </c>
      <c r="Q939" s="112">
        <f>IF($D939="","",IF($E939="TANIMSIZ MÜŞTERİ","HATA",IF(OR($J939="Tamamlandı",$J939="İptal"),"KAPALI",IF(AND($C939="Görüşme",$N939=""),"SONRAKİ İŞLEM EKSİK",IF($I939="","TARİH EKSİK",IF($I939&lt;TODAY(),"GECİKMİŞ",IF($I939=TODAY(),"BUGÜN",IF($I939&lt;=TODAY()+7,"7 GÜN İÇİNDE","PLANLI"))))))))</f>
        <v/>
      </c>
      <c r="R939" s="6" t="n"/>
      <c r="S939" s="6" t="n"/>
    </row>
    <row r="940">
      <c r="A940" s="6" t="n"/>
      <c r="B940" s="112">
        <f>IF($D940="","","A"&amp;TEXT(ROW()-6,"00000"))</f>
        <v/>
      </c>
      <c r="C940" s="107" t="n"/>
      <c r="D940" s="107" t="n"/>
      <c r="E940" s="113">
        <f>IF($D940="","",IFERROR(INDEX(MUSTERILER!$C$7:$C$106,MATCH($D940,MUSTERILER!$B$7:$B$106,0)),"TANIMSIZ MÜŞTERİ"))</f>
        <v/>
      </c>
      <c r="F940" s="108" t="n"/>
      <c r="G940" s="107" t="n"/>
      <c r="H940" s="114" t="n"/>
      <c r="I940" s="114" t="n"/>
      <c r="J940" s="107" t="n"/>
      <c r="K940" s="107" t="n"/>
      <c r="L940" s="108" t="n"/>
      <c r="M940" s="108" t="n"/>
      <c r="N940" s="108" t="n"/>
      <c r="O940" s="114" t="n"/>
      <c r="P940" s="120">
        <f>IF(OR($D940="",$I940=""),"",IF(OR($J940="Tamamlandı",$J940="İptal"),"",$I940-TODAY()))</f>
        <v/>
      </c>
      <c r="Q940" s="112">
        <f>IF($D940="","",IF($E940="TANIMSIZ MÜŞTERİ","HATA",IF(OR($J940="Tamamlandı",$J940="İptal"),"KAPALI",IF(AND($C940="Görüşme",$N940=""),"SONRAKİ İŞLEM EKSİK",IF($I940="","TARİH EKSİK",IF($I940&lt;TODAY(),"GECİKMİŞ",IF($I940=TODAY(),"BUGÜN",IF($I940&lt;=TODAY()+7,"7 GÜN İÇİNDE","PLANLI"))))))))</f>
        <v/>
      </c>
      <c r="R940" s="6" t="n"/>
      <c r="S940" s="6" t="n"/>
    </row>
    <row r="941">
      <c r="A941" s="6" t="n"/>
      <c r="B941" s="112">
        <f>IF($D941="","","A"&amp;TEXT(ROW()-6,"00000"))</f>
        <v/>
      </c>
      <c r="C941" s="107" t="n"/>
      <c r="D941" s="107" t="n"/>
      <c r="E941" s="113">
        <f>IF($D941="","",IFERROR(INDEX(MUSTERILER!$C$7:$C$106,MATCH($D941,MUSTERILER!$B$7:$B$106,0)),"TANIMSIZ MÜŞTERİ"))</f>
        <v/>
      </c>
      <c r="F941" s="108" t="n"/>
      <c r="G941" s="107" t="n"/>
      <c r="H941" s="114" t="n"/>
      <c r="I941" s="114" t="n"/>
      <c r="J941" s="107" t="n"/>
      <c r="K941" s="107" t="n"/>
      <c r="L941" s="108" t="n"/>
      <c r="M941" s="108" t="n"/>
      <c r="N941" s="108" t="n"/>
      <c r="O941" s="114" t="n"/>
      <c r="P941" s="120">
        <f>IF(OR($D941="",$I941=""),"",IF(OR($J941="Tamamlandı",$J941="İptal"),"",$I941-TODAY()))</f>
        <v/>
      </c>
      <c r="Q941" s="112">
        <f>IF($D941="","",IF($E941="TANIMSIZ MÜŞTERİ","HATA",IF(OR($J941="Tamamlandı",$J941="İptal"),"KAPALI",IF(AND($C941="Görüşme",$N941=""),"SONRAKİ İŞLEM EKSİK",IF($I941="","TARİH EKSİK",IF($I941&lt;TODAY(),"GECİKMİŞ",IF($I941=TODAY(),"BUGÜN",IF($I941&lt;=TODAY()+7,"7 GÜN İÇİNDE","PLANLI"))))))))</f>
        <v/>
      </c>
      <c r="R941" s="6" t="n"/>
      <c r="S941" s="6" t="n"/>
    </row>
    <row r="942">
      <c r="A942" s="6" t="n"/>
      <c r="B942" s="112">
        <f>IF($D942="","","A"&amp;TEXT(ROW()-6,"00000"))</f>
        <v/>
      </c>
      <c r="C942" s="107" t="n"/>
      <c r="D942" s="107" t="n"/>
      <c r="E942" s="113">
        <f>IF($D942="","",IFERROR(INDEX(MUSTERILER!$C$7:$C$106,MATCH($D942,MUSTERILER!$B$7:$B$106,0)),"TANIMSIZ MÜŞTERİ"))</f>
        <v/>
      </c>
      <c r="F942" s="108" t="n"/>
      <c r="G942" s="107" t="n"/>
      <c r="H942" s="114" t="n"/>
      <c r="I942" s="114" t="n"/>
      <c r="J942" s="107" t="n"/>
      <c r="K942" s="107" t="n"/>
      <c r="L942" s="108" t="n"/>
      <c r="M942" s="108" t="n"/>
      <c r="N942" s="108" t="n"/>
      <c r="O942" s="114" t="n"/>
      <c r="P942" s="120">
        <f>IF(OR($D942="",$I942=""),"",IF(OR($J942="Tamamlandı",$J942="İptal"),"",$I942-TODAY()))</f>
        <v/>
      </c>
      <c r="Q942" s="112">
        <f>IF($D942="","",IF($E942="TANIMSIZ MÜŞTERİ","HATA",IF(OR($J942="Tamamlandı",$J942="İptal"),"KAPALI",IF(AND($C942="Görüşme",$N942=""),"SONRAKİ İŞLEM EKSİK",IF($I942="","TARİH EKSİK",IF($I942&lt;TODAY(),"GECİKMİŞ",IF($I942=TODAY(),"BUGÜN",IF($I942&lt;=TODAY()+7,"7 GÜN İÇİNDE","PLANLI"))))))))</f>
        <v/>
      </c>
      <c r="R942" s="6" t="n"/>
      <c r="S942" s="6" t="n"/>
    </row>
    <row r="943">
      <c r="A943" s="6" t="n"/>
      <c r="B943" s="112">
        <f>IF($D943="","","A"&amp;TEXT(ROW()-6,"00000"))</f>
        <v/>
      </c>
      <c r="C943" s="107" t="n"/>
      <c r="D943" s="107" t="n"/>
      <c r="E943" s="113">
        <f>IF($D943="","",IFERROR(INDEX(MUSTERILER!$C$7:$C$106,MATCH($D943,MUSTERILER!$B$7:$B$106,0)),"TANIMSIZ MÜŞTERİ"))</f>
        <v/>
      </c>
      <c r="F943" s="108" t="n"/>
      <c r="G943" s="107" t="n"/>
      <c r="H943" s="114" t="n"/>
      <c r="I943" s="114" t="n"/>
      <c r="J943" s="107" t="n"/>
      <c r="K943" s="107" t="n"/>
      <c r="L943" s="108" t="n"/>
      <c r="M943" s="108" t="n"/>
      <c r="N943" s="108" t="n"/>
      <c r="O943" s="114" t="n"/>
      <c r="P943" s="120">
        <f>IF(OR($D943="",$I943=""),"",IF(OR($J943="Tamamlandı",$J943="İptal"),"",$I943-TODAY()))</f>
        <v/>
      </c>
      <c r="Q943" s="112">
        <f>IF($D943="","",IF($E943="TANIMSIZ MÜŞTERİ","HATA",IF(OR($J943="Tamamlandı",$J943="İptal"),"KAPALI",IF(AND($C943="Görüşme",$N943=""),"SONRAKİ İŞLEM EKSİK",IF($I943="","TARİH EKSİK",IF($I943&lt;TODAY(),"GECİKMİŞ",IF($I943=TODAY(),"BUGÜN",IF($I943&lt;=TODAY()+7,"7 GÜN İÇİNDE","PLANLI"))))))))</f>
        <v/>
      </c>
      <c r="R943" s="6" t="n"/>
      <c r="S943" s="6" t="n"/>
    </row>
    <row r="944">
      <c r="A944" s="6" t="n"/>
      <c r="B944" s="112">
        <f>IF($D944="","","A"&amp;TEXT(ROW()-6,"00000"))</f>
        <v/>
      </c>
      <c r="C944" s="107" t="n"/>
      <c r="D944" s="107" t="n"/>
      <c r="E944" s="113">
        <f>IF($D944="","",IFERROR(INDEX(MUSTERILER!$C$7:$C$106,MATCH($D944,MUSTERILER!$B$7:$B$106,0)),"TANIMSIZ MÜŞTERİ"))</f>
        <v/>
      </c>
      <c r="F944" s="108" t="n"/>
      <c r="G944" s="107" t="n"/>
      <c r="H944" s="114" t="n"/>
      <c r="I944" s="114" t="n"/>
      <c r="J944" s="107" t="n"/>
      <c r="K944" s="107" t="n"/>
      <c r="L944" s="108" t="n"/>
      <c r="M944" s="108" t="n"/>
      <c r="N944" s="108" t="n"/>
      <c r="O944" s="114" t="n"/>
      <c r="P944" s="120">
        <f>IF(OR($D944="",$I944=""),"",IF(OR($J944="Tamamlandı",$J944="İptal"),"",$I944-TODAY()))</f>
        <v/>
      </c>
      <c r="Q944" s="112">
        <f>IF($D944="","",IF($E944="TANIMSIZ MÜŞTERİ","HATA",IF(OR($J944="Tamamlandı",$J944="İptal"),"KAPALI",IF(AND($C944="Görüşme",$N944=""),"SONRAKİ İŞLEM EKSİK",IF($I944="","TARİH EKSİK",IF($I944&lt;TODAY(),"GECİKMİŞ",IF($I944=TODAY(),"BUGÜN",IF($I944&lt;=TODAY()+7,"7 GÜN İÇİNDE","PLANLI"))))))))</f>
        <v/>
      </c>
      <c r="R944" s="6" t="n"/>
      <c r="S944" s="6" t="n"/>
    </row>
    <row r="945">
      <c r="A945" s="6" t="n"/>
      <c r="B945" s="112">
        <f>IF($D945="","","A"&amp;TEXT(ROW()-6,"00000"))</f>
        <v/>
      </c>
      <c r="C945" s="107" t="n"/>
      <c r="D945" s="107" t="n"/>
      <c r="E945" s="113">
        <f>IF($D945="","",IFERROR(INDEX(MUSTERILER!$C$7:$C$106,MATCH($D945,MUSTERILER!$B$7:$B$106,0)),"TANIMSIZ MÜŞTERİ"))</f>
        <v/>
      </c>
      <c r="F945" s="108" t="n"/>
      <c r="G945" s="107" t="n"/>
      <c r="H945" s="114" t="n"/>
      <c r="I945" s="114" t="n"/>
      <c r="J945" s="107" t="n"/>
      <c r="K945" s="107" t="n"/>
      <c r="L945" s="108" t="n"/>
      <c r="M945" s="108" t="n"/>
      <c r="N945" s="108" t="n"/>
      <c r="O945" s="114" t="n"/>
      <c r="P945" s="120">
        <f>IF(OR($D945="",$I945=""),"",IF(OR($J945="Tamamlandı",$J945="İptal"),"",$I945-TODAY()))</f>
        <v/>
      </c>
      <c r="Q945" s="112">
        <f>IF($D945="","",IF($E945="TANIMSIZ MÜŞTERİ","HATA",IF(OR($J945="Tamamlandı",$J945="İptal"),"KAPALI",IF(AND($C945="Görüşme",$N945=""),"SONRAKİ İŞLEM EKSİK",IF($I945="","TARİH EKSİK",IF($I945&lt;TODAY(),"GECİKMİŞ",IF($I945=TODAY(),"BUGÜN",IF($I945&lt;=TODAY()+7,"7 GÜN İÇİNDE","PLANLI"))))))))</f>
        <v/>
      </c>
      <c r="R945" s="6" t="n"/>
      <c r="S945" s="6" t="n"/>
    </row>
    <row r="946">
      <c r="A946" s="6" t="n"/>
      <c r="B946" s="112">
        <f>IF($D946="","","A"&amp;TEXT(ROW()-6,"00000"))</f>
        <v/>
      </c>
      <c r="C946" s="107" t="n"/>
      <c r="D946" s="107" t="n"/>
      <c r="E946" s="113">
        <f>IF($D946="","",IFERROR(INDEX(MUSTERILER!$C$7:$C$106,MATCH($D946,MUSTERILER!$B$7:$B$106,0)),"TANIMSIZ MÜŞTERİ"))</f>
        <v/>
      </c>
      <c r="F946" s="108" t="n"/>
      <c r="G946" s="107" t="n"/>
      <c r="H946" s="114" t="n"/>
      <c r="I946" s="114" t="n"/>
      <c r="J946" s="107" t="n"/>
      <c r="K946" s="107" t="n"/>
      <c r="L946" s="108" t="n"/>
      <c r="M946" s="108" t="n"/>
      <c r="N946" s="108" t="n"/>
      <c r="O946" s="114" t="n"/>
      <c r="P946" s="120">
        <f>IF(OR($D946="",$I946=""),"",IF(OR($J946="Tamamlandı",$J946="İptal"),"",$I946-TODAY()))</f>
        <v/>
      </c>
      <c r="Q946" s="112">
        <f>IF($D946="","",IF($E946="TANIMSIZ MÜŞTERİ","HATA",IF(OR($J946="Tamamlandı",$J946="İptal"),"KAPALI",IF(AND($C946="Görüşme",$N946=""),"SONRAKİ İŞLEM EKSİK",IF($I946="","TARİH EKSİK",IF($I946&lt;TODAY(),"GECİKMİŞ",IF($I946=TODAY(),"BUGÜN",IF($I946&lt;=TODAY()+7,"7 GÜN İÇİNDE","PLANLI"))))))))</f>
        <v/>
      </c>
      <c r="R946" s="6" t="n"/>
      <c r="S946" s="6" t="n"/>
    </row>
    <row r="947">
      <c r="A947" s="6" t="n"/>
      <c r="B947" s="112">
        <f>IF($D947="","","A"&amp;TEXT(ROW()-6,"00000"))</f>
        <v/>
      </c>
      <c r="C947" s="107" t="n"/>
      <c r="D947" s="107" t="n"/>
      <c r="E947" s="113">
        <f>IF($D947="","",IFERROR(INDEX(MUSTERILER!$C$7:$C$106,MATCH($D947,MUSTERILER!$B$7:$B$106,0)),"TANIMSIZ MÜŞTERİ"))</f>
        <v/>
      </c>
      <c r="F947" s="108" t="n"/>
      <c r="G947" s="107" t="n"/>
      <c r="H947" s="114" t="n"/>
      <c r="I947" s="114" t="n"/>
      <c r="J947" s="107" t="n"/>
      <c r="K947" s="107" t="n"/>
      <c r="L947" s="108" t="n"/>
      <c r="M947" s="108" t="n"/>
      <c r="N947" s="108" t="n"/>
      <c r="O947" s="114" t="n"/>
      <c r="P947" s="120">
        <f>IF(OR($D947="",$I947=""),"",IF(OR($J947="Tamamlandı",$J947="İptal"),"",$I947-TODAY()))</f>
        <v/>
      </c>
      <c r="Q947" s="112">
        <f>IF($D947="","",IF($E947="TANIMSIZ MÜŞTERİ","HATA",IF(OR($J947="Tamamlandı",$J947="İptal"),"KAPALI",IF(AND($C947="Görüşme",$N947=""),"SONRAKİ İŞLEM EKSİK",IF($I947="","TARİH EKSİK",IF($I947&lt;TODAY(),"GECİKMİŞ",IF($I947=TODAY(),"BUGÜN",IF($I947&lt;=TODAY()+7,"7 GÜN İÇİNDE","PLANLI"))))))))</f>
        <v/>
      </c>
      <c r="R947" s="6" t="n"/>
      <c r="S947" s="6" t="n"/>
    </row>
    <row r="948">
      <c r="A948" s="6" t="n"/>
      <c r="B948" s="112">
        <f>IF($D948="","","A"&amp;TEXT(ROW()-6,"00000"))</f>
        <v/>
      </c>
      <c r="C948" s="107" t="n"/>
      <c r="D948" s="107" t="n"/>
      <c r="E948" s="113">
        <f>IF($D948="","",IFERROR(INDEX(MUSTERILER!$C$7:$C$106,MATCH($D948,MUSTERILER!$B$7:$B$106,0)),"TANIMSIZ MÜŞTERİ"))</f>
        <v/>
      </c>
      <c r="F948" s="108" t="n"/>
      <c r="G948" s="107" t="n"/>
      <c r="H948" s="114" t="n"/>
      <c r="I948" s="114" t="n"/>
      <c r="J948" s="107" t="n"/>
      <c r="K948" s="107" t="n"/>
      <c r="L948" s="108" t="n"/>
      <c r="M948" s="108" t="n"/>
      <c r="N948" s="108" t="n"/>
      <c r="O948" s="114" t="n"/>
      <c r="P948" s="120">
        <f>IF(OR($D948="",$I948=""),"",IF(OR($J948="Tamamlandı",$J948="İptal"),"",$I948-TODAY()))</f>
        <v/>
      </c>
      <c r="Q948" s="112">
        <f>IF($D948="","",IF($E948="TANIMSIZ MÜŞTERİ","HATA",IF(OR($J948="Tamamlandı",$J948="İptal"),"KAPALI",IF(AND($C948="Görüşme",$N948=""),"SONRAKİ İŞLEM EKSİK",IF($I948="","TARİH EKSİK",IF($I948&lt;TODAY(),"GECİKMİŞ",IF($I948=TODAY(),"BUGÜN",IF($I948&lt;=TODAY()+7,"7 GÜN İÇİNDE","PLANLI"))))))))</f>
        <v/>
      </c>
      <c r="R948" s="6" t="n"/>
      <c r="S948" s="6" t="n"/>
    </row>
    <row r="949">
      <c r="A949" s="6" t="n"/>
      <c r="B949" s="112">
        <f>IF($D949="","","A"&amp;TEXT(ROW()-6,"00000"))</f>
        <v/>
      </c>
      <c r="C949" s="107" t="n"/>
      <c r="D949" s="107" t="n"/>
      <c r="E949" s="113">
        <f>IF($D949="","",IFERROR(INDEX(MUSTERILER!$C$7:$C$106,MATCH($D949,MUSTERILER!$B$7:$B$106,0)),"TANIMSIZ MÜŞTERİ"))</f>
        <v/>
      </c>
      <c r="F949" s="108" t="n"/>
      <c r="G949" s="107" t="n"/>
      <c r="H949" s="114" t="n"/>
      <c r="I949" s="114" t="n"/>
      <c r="J949" s="107" t="n"/>
      <c r="K949" s="107" t="n"/>
      <c r="L949" s="108" t="n"/>
      <c r="M949" s="108" t="n"/>
      <c r="N949" s="108" t="n"/>
      <c r="O949" s="114" t="n"/>
      <c r="P949" s="120">
        <f>IF(OR($D949="",$I949=""),"",IF(OR($J949="Tamamlandı",$J949="İptal"),"",$I949-TODAY()))</f>
        <v/>
      </c>
      <c r="Q949" s="112">
        <f>IF($D949="","",IF($E949="TANIMSIZ MÜŞTERİ","HATA",IF(OR($J949="Tamamlandı",$J949="İptal"),"KAPALI",IF(AND($C949="Görüşme",$N949=""),"SONRAKİ İŞLEM EKSİK",IF($I949="","TARİH EKSİK",IF($I949&lt;TODAY(),"GECİKMİŞ",IF($I949=TODAY(),"BUGÜN",IF($I949&lt;=TODAY()+7,"7 GÜN İÇİNDE","PLANLI"))))))))</f>
        <v/>
      </c>
      <c r="R949" s="6" t="n"/>
      <c r="S949" s="6" t="n"/>
    </row>
    <row r="950">
      <c r="A950" s="6" t="n"/>
      <c r="B950" s="112">
        <f>IF($D950="","","A"&amp;TEXT(ROW()-6,"00000"))</f>
        <v/>
      </c>
      <c r="C950" s="107" t="n"/>
      <c r="D950" s="107" t="n"/>
      <c r="E950" s="113">
        <f>IF($D950="","",IFERROR(INDEX(MUSTERILER!$C$7:$C$106,MATCH($D950,MUSTERILER!$B$7:$B$106,0)),"TANIMSIZ MÜŞTERİ"))</f>
        <v/>
      </c>
      <c r="F950" s="108" t="n"/>
      <c r="G950" s="107" t="n"/>
      <c r="H950" s="114" t="n"/>
      <c r="I950" s="114" t="n"/>
      <c r="J950" s="107" t="n"/>
      <c r="K950" s="107" t="n"/>
      <c r="L950" s="108" t="n"/>
      <c r="M950" s="108" t="n"/>
      <c r="N950" s="108" t="n"/>
      <c r="O950" s="114" t="n"/>
      <c r="P950" s="120">
        <f>IF(OR($D950="",$I950=""),"",IF(OR($J950="Tamamlandı",$J950="İptal"),"",$I950-TODAY()))</f>
        <v/>
      </c>
      <c r="Q950" s="112">
        <f>IF($D950="","",IF($E950="TANIMSIZ MÜŞTERİ","HATA",IF(OR($J950="Tamamlandı",$J950="İptal"),"KAPALI",IF(AND($C950="Görüşme",$N950=""),"SONRAKİ İŞLEM EKSİK",IF($I950="","TARİH EKSİK",IF($I950&lt;TODAY(),"GECİKMİŞ",IF($I950=TODAY(),"BUGÜN",IF($I950&lt;=TODAY()+7,"7 GÜN İÇİNDE","PLANLI"))))))))</f>
        <v/>
      </c>
      <c r="R950" s="6" t="n"/>
      <c r="S950" s="6" t="n"/>
    </row>
    <row r="951">
      <c r="A951" s="6" t="n"/>
      <c r="B951" s="112">
        <f>IF($D951="","","A"&amp;TEXT(ROW()-6,"00000"))</f>
        <v/>
      </c>
      <c r="C951" s="107" t="n"/>
      <c r="D951" s="107" t="n"/>
      <c r="E951" s="113">
        <f>IF($D951="","",IFERROR(INDEX(MUSTERILER!$C$7:$C$106,MATCH($D951,MUSTERILER!$B$7:$B$106,0)),"TANIMSIZ MÜŞTERİ"))</f>
        <v/>
      </c>
      <c r="F951" s="108" t="n"/>
      <c r="G951" s="107" t="n"/>
      <c r="H951" s="114" t="n"/>
      <c r="I951" s="114" t="n"/>
      <c r="J951" s="107" t="n"/>
      <c r="K951" s="107" t="n"/>
      <c r="L951" s="108" t="n"/>
      <c r="M951" s="108" t="n"/>
      <c r="N951" s="108" t="n"/>
      <c r="O951" s="114" t="n"/>
      <c r="P951" s="120">
        <f>IF(OR($D951="",$I951=""),"",IF(OR($J951="Tamamlandı",$J951="İptal"),"",$I951-TODAY()))</f>
        <v/>
      </c>
      <c r="Q951" s="112">
        <f>IF($D951="","",IF($E951="TANIMSIZ MÜŞTERİ","HATA",IF(OR($J951="Tamamlandı",$J951="İptal"),"KAPALI",IF(AND($C951="Görüşme",$N951=""),"SONRAKİ İŞLEM EKSİK",IF($I951="","TARİH EKSİK",IF($I951&lt;TODAY(),"GECİKMİŞ",IF($I951=TODAY(),"BUGÜN",IF($I951&lt;=TODAY()+7,"7 GÜN İÇİNDE","PLANLI"))))))))</f>
        <v/>
      </c>
      <c r="R951" s="6" t="n"/>
      <c r="S951" s="6" t="n"/>
    </row>
    <row r="952">
      <c r="A952" s="6" t="n"/>
      <c r="B952" s="112">
        <f>IF($D952="","","A"&amp;TEXT(ROW()-6,"00000"))</f>
        <v/>
      </c>
      <c r="C952" s="107" t="n"/>
      <c r="D952" s="107" t="n"/>
      <c r="E952" s="113">
        <f>IF($D952="","",IFERROR(INDEX(MUSTERILER!$C$7:$C$106,MATCH($D952,MUSTERILER!$B$7:$B$106,0)),"TANIMSIZ MÜŞTERİ"))</f>
        <v/>
      </c>
      <c r="F952" s="108" t="n"/>
      <c r="G952" s="107" t="n"/>
      <c r="H952" s="114" t="n"/>
      <c r="I952" s="114" t="n"/>
      <c r="J952" s="107" t="n"/>
      <c r="K952" s="107" t="n"/>
      <c r="L952" s="108" t="n"/>
      <c r="M952" s="108" t="n"/>
      <c r="N952" s="108" t="n"/>
      <c r="O952" s="114" t="n"/>
      <c r="P952" s="120">
        <f>IF(OR($D952="",$I952=""),"",IF(OR($J952="Tamamlandı",$J952="İptal"),"",$I952-TODAY()))</f>
        <v/>
      </c>
      <c r="Q952" s="112">
        <f>IF($D952="","",IF($E952="TANIMSIZ MÜŞTERİ","HATA",IF(OR($J952="Tamamlandı",$J952="İptal"),"KAPALI",IF(AND($C952="Görüşme",$N952=""),"SONRAKİ İŞLEM EKSİK",IF($I952="","TARİH EKSİK",IF($I952&lt;TODAY(),"GECİKMİŞ",IF($I952=TODAY(),"BUGÜN",IF($I952&lt;=TODAY()+7,"7 GÜN İÇİNDE","PLANLI"))))))))</f>
        <v/>
      </c>
      <c r="R952" s="6" t="n"/>
      <c r="S952" s="6" t="n"/>
    </row>
    <row r="953">
      <c r="A953" s="6" t="n"/>
      <c r="B953" s="112">
        <f>IF($D953="","","A"&amp;TEXT(ROW()-6,"00000"))</f>
        <v/>
      </c>
      <c r="C953" s="107" t="n"/>
      <c r="D953" s="107" t="n"/>
      <c r="E953" s="113">
        <f>IF($D953="","",IFERROR(INDEX(MUSTERILER!$C$7:$C$106,MATCH($D953,MUSTERILER!$B$7:$B$106,0)),"TANIMSIZ MÜŞTERİ"))</f>
        <v/>
      </c>
      <c r="F953" s="108" t="n"/>
      <c r="G953" s="107" t="n"/>
      <c r="H953" s="114" t="n"/>
      <c r="I953" s="114" t="n"/>
      <c r="J953" s="107" t="n"/>
      <c r="K953" s="107" t="n"/>
      <c r="L953" s="108" t="n"/>
      <c r="M953" s="108" t="n"/>
      <c r="N953" s="108" t="n"/>
      <c r="O953" s="114" t="n"/>
      <c r="P953" s="120">
        <f>IF(OR($D953="",$I953=""),"",IF(OR($J953="Tamamlandı",$J953="İptal"),"",$I953-TODAY()))</f>
        <v/>
      </c>
      <c r="Q953" s="112">
        <f>IF($D953="","",IF($E953="TANIMSIZ MÜŞTERİ","HATA",IF(OR($J953="Tamamlandı",$J953="İptal"),"KAPALI",IF(AND($C953="Görüşme",$N953=""),"SONRAKİ İŞLEM EKSİK",IF($I953="","TARİH EKSİK",IF($I953&lt;TODAY(),"GECİKMİŞ",IF($I953=TODAY(),"BUGÜN",IF($I953&lt;=TODAY()+7,"7 GÜN İÇİNDE","PLANLI"))))))))</f>
        <v/>
      </c>
      <c r="R953" s="6" t="n"/>
      <c r="S953" s="6" t="n"/>
    </row>
    <row r="954">
      <c r="A954" s="6" t="n"/>
      <c r="B954" s="112">
        <f>IF($D954="","","A"&amp;TEXT(ROW()-6,"00000"))</f>
        <v/>
      </c>
      <c r="C954" s="107" t="n"/>
      <c r="D954" s="107" t="n"/>
      <c r="E954" s="113">
        <f>IF($D954="","",IFERROR(INDEX(MUSTERILER!$C$7:$C$106,MATCH($D954,MUSTERILER!$B$7:$B$106,0)),"TANIMSIZ MÜŞTERİ"))</f>
        <v/>
      </c>
      <c r="F954" s="108" t="n"/>
      <c r="G954" s="107" t="n"/>
      <c r="H954" s="114" t="n"/>
      <c r="I954" s="114" t="n"/>
      <c r="J954" s="107" t="n"/>
      <c r="K954" s="107" t="n"/>
      <c r="L954" s="108" t="n"/>
      <c r="M954" s="108" t="n"/>
      <c r="N954" s="108" t="n"/>
      <c r="O954" s="114" t="n"/>
      <c r="P954" s="120">
        <f>IF(OR($D954="",$I954=""),"",IF(OR($J954="Tamamlandı",$J954="İptal"),"",$I954-TODAY()))</f>
        <v/>
      </c>
      <c r="Q954" s="112">
        <f>IF($D954="","",IF($E954="TANIMSIZ MÜŞTERİ","HATA",IF(OR($J954="Tamamlandı",$J954="İptal"),"KAPALI",IF(AND($C954="Görüşme",$N954=""),"SONRAKİ İŞLEM EKSİK",IF($I954="","TARİH EKSİK",IF($I954&lt;TODAY(),"GECİKMİŞ",IF($I954=TODAY(),"BUGÜN",IF($I954&lt;=TODAY()+7,"7 GÜN İÇİNDE","PLANLI"))))))))</f>
        <v/>
      </c>
      <c r="R954" s="6" t="n"/>
      <c r="S954" s="6" t="n"/>
    </row>
    <row r="955">
      <c r="A955" s="6" t="n"/>
      <c r="B955" s="112">
        <f>IF($D955="","","A"&amp;TEXT(ROW()-6,"00000"))</f>
        <v/>
      </c>
      <c r="C955" s="107" t="n"/>
      <c r="D955" s="107" t="n"/>
      <c r="E955" s="113">
        <f>IF($D955="","",IFERROR(INDEX(MUSTERILER!$C$7:$C$106,MATCH($D955,MUSTERILER!$B$7:$B$106,0)),"TANIMSIZ MÜŞTERİ"))</f>
        <v/>
      </c>
      <c r="F955" s="108" t="n"/>
      <c r="G955" s="107" t="n"/>
      <c r="H955" s="114" t="n"/>
      <c r="I955" s="114" t="n"/>
      <c r="J955" s="107" t="n"/>
      <c r="K955" s="107" t="n"/>
      <c r="L955" s="108" t="n"/>
      <c r="M955" s="108" t="n"/>
      <c r="N955" s="108" t="n"/>
      <c r="O955" s="114" t="n"/>
      <c r="P955" s="120">
        <f>IF(OR($D955="",$I955=""),"",IF(OR($J955="Tamamlandı",$J955="İptal"),"",$I955-TODAY()))</f>
        <v/>
      </c>
      <c r="Q955" s="112">
        <f>IF($D955="","",IF($E955="TANIMSIZ MÜŞTERİ","HATA",IF(OR($J955="Tamamlandı",$J955="İptal"),"KAPALI",IF(AND($C955="Görüşme",$N955=""),"SONRAKİ İŞLEM EKSİK",IF($I955="","TARİH EKSİK",IF($I955&lt;TODAY(),"GECİKMİŞ",IF($I955=TODAY(),"BUGÜN",IF($I955&lt;=TODAY()+7,"7 GÜN İÇİNDE","PLANLI"))))))))</f>
        <v/>
      </c>
      <c r="R955" s="6" t="n"/>
      <c r="S955" s="6" t="n"/>
    </row>
    <row r="956">
      <c r="A956" s="6" t="n"/>
      <c r="B956" s="112">
        <f>IF($D956="","","A"&amp;TEXT(ROW()-6,"00000"))</f>
        <v/>
      </c>
      <c r="C956" s="107" t="n"/>
      <c r="D956" s="107" t="n"/>
      <c r="E956" s="113">
        <f>IF($D956="","",IFERROR(INDEX(MUSTERILER!$C$7:$C$106,MATCH($D956,MUSTERILER!$B$7:$B$106,0)),"TANIMSIZ MÜŞTERİ"))</f>
        <v/>
      </c>
      <c r="F956" s="108" t="n"/>
      <c r="G956" s="107" t="n"/>
      <c r="H956" s="114" t="n"/>
      <c r="I956" s="114" t="n"/>
      <c r="J956" s="107" t="n"/>
      <c r="K956" s="107" t="n"/>
      <c r="L956" s="108" t="n"/>
      <c r="M956" s="108" t="n"/>
      <c r="N956" s="108" t="n"/>
      <c r="O956" s="114" t="n"/>
      <c r="P956" s="120">
        <f>IF(OR($D956="",$I956=""),"",IF(OR($J956="Tamamlandı",$J956="İptal"),"",$I956-TODAY()))</f>
        <v/>
      </c>
      <c r="Q956" s="112">
        <f>IF($D956="","",IF($E956="TANIMSIZ MÜŞTERİ","HATA",IF(OR($J956="Tamamlandı",$J956="İptal"),"KAPALI",IF(AND($C956="Görüşme",$N956=""),"SONRAKİ İŞLEM EKSİK",IF($I956="","TARİH EKSİK",IF($I956&lt;TODAY(),"GECİKMİŞ",IF($I956=TODAY(),"BUGÜN",IF($I956&lt;=TODAY()+7,"7 GÜN İÇİNDE","PLANLI"))))))))</f>
        <v/>
      </c>
      <c r="R956" s="6" t="n"/>
      <c r="S956" s="6" t="n"/>
    </row>
    <row r="957">
      <c r="A957" s="6" t="n"/>
      <c r="B957" s="112">
        <f>IF($D957="","","A"&amp;TEXT(ROW()-6,"00000"))</f>
        <v/>
      </c>
      <c r="C957" s="107" t="n"/>
      <c r="D957" s="107" t="n"/>
      <c r="E957" s="113">
        <f>IF($D957="","",IFERROR(INDEX(MUSTERILER!$C$7:$C$106,MATCH($D957,MUSTERILER!$B$7:$B$106,0)),"TANIMSIZ MÜŞTERİ"))</f>
        <v/>
      </c>
      <c r="F957" s="108" t="n"/>
      <c r="G957" s="107" t="n"/>
      <c r="H957" s="114" t="n"/>
      <c r="I957" s="114" t="n"/>
      <c r="J957" s="107" t="n"/>
      <c r="K957" s="107" t="n"/>
      <c r="L957" s="108" t="n"/>
      <c r="M957" s="108" t="n"/>
      <c r="N957" s="108" t="n"/>
      <c r="O957" s="114" t="n"/>
      <c r="P957" s="120">
        <f>IF(OR($D957="",$I957=""),"",IF(OR($J957="Tamamlandı",$J957="İptal"),"",$I957-TODAY()))</f>
        <v/>
      </c>
      <c r="Q957" s="112">
        <f>IF($D957="","",IF($E957="TANIMSIZ MÜŞTERİ","HATA",IF(OR($J957="Tamamlandı",$J957="İptal"),"KAPALI",IF(AND($C957="Görüşme",$N957=""),"SONRAKİ İŞLEM EKSİK",IF($I957="","TARİH EKSİK",IF($I957&lt;TODAY(),"GECİKMİŞ",IF($I957=TODAY(),"BUGÜN",IF($I957&lt;=TODAY()+7,"7 GÜN İÇİNDE","PLANLI"))))))))</f>
        <v/>
      </c>
      <c r="R957" s="6" t="n"/>
      <c r="S957" s="6" t="n"/>
    </row>
    <row r="958">
      <c r="A958" s="6" t="n"/>
      <c r="B958" s="112">
        <f>IF($D958="","","A"&amp;TEXT(ROW()-6,"00000"))</f>
        <v/>
      </c>
      <c r="C958" s="107" t="n"/>
      <c r="D958" s="107" t="n"/>
      <c r="E958" s="113">
        <f>IF($D958="","",IFERROR(INDEX(MUSTERILER!$C$7:$C$106,MATCH($D958,MUSTERILER!$B$7:$B$106,0)),"TANIMSIZ MÜŞTERİ"))</f>
        <v/>
      </c>
      <c r="F958" s="108" t="n"/>
      <c r="G958" s="107" t="n"/>
      <c r="H958" s="114" t="n"/>
      <c r="I958" s="114" t="n"/>
      <c r="J958" s="107" t="n"/>
      <c r="K958" s="107" t="n"/>
      <c r="L958" s="108" t="n"/>
      <c r="M958" s="108" t="n"/>
      <c r="N958" s="108" t="n"/>
      <c r="O958" s="114" t="n"/>
      <c r="P958" s="120">
        <f>IF(OR($D958="",$I958=""),"",IF(OR($J958="Tamamlandı",$J958="İptal"),"",$I958-TODAY()))</f>
        <v/>
      </c>
      <c r="Q958" s="112">
        <f>IF($D958="","",IF($E958="TANIMSIZ MÜŞTERİ","HATA",IF(OR($J958="Tamamlandı",$J958="İptal"),"KAPALI",IF(AND($C958="Görüşme",$N958=""),"SONRAKİ İŞLEM EKSİK",IF($I958="","TARİH EKSİK",IF($I958&lt;TODAY(),"GECİKMİŞ",IF($I958=TODAY(),"BUGÜN",IF($I958&lt;=TODAY()+7,"7 GÜN İÇİNDE","PLANLI"))))))))</f>
        <v/>
      </c>
      <c r="R958" s="6" t="n"/>
      <c r="S958" s="6" t="n"/>
    </row>
    <row r="959">
      <c r="A959" s="6" t="n"/>
      <c r="B959" s="112">
        <f>IF($D959="","","A"&amp;TEXT(ROW()-6,"00000"))</f>
        <v/>
      </c>
      <c r="C959" s="107" t="n"/>
      <c r="D959" s="107" t="n"/>
      <c r="E959" s="113">
        <f>IF($D959="","",IFERROR(INDEX(MUSTERILER!$C$7:$C$106,MATCH($D959,MUSTERILER!$B$7:$B$106,0)),"TANIMSIZ MÜŞTERİ"))</f>
        <v/>
      </c>
      <c r="F959" s="108" t="n"/>
      <c r="G959" s="107" t="n"/>
      <c r="H959" s="114" t="n"/>
      <c r="I959" s="114" t="n"/>
      <c r="J959" s="107" t="n"/>
      <c r="K959" s="107" t="n"/>
      <c r="L959" s="108" t="n"/>
      <c r="M959" s="108" t="n"/>
      <c r="N959" s="108" t="n"/>
      <c r="O959" s="114" t="n"/>
      <c r="P959" s="120">
        <f>IF(OR($D959="",$I959=""),"",IF(OR($J959="Tamamlandı",$J959="İptal"),"",$I959-TODAY()))</f>
        <v/>
      </c>
      <c r="Q959" s="112">
        <f>IF($D959="","",IF($E959="TANIMSIZ MÜŞTERİ","HATA",IF(OR($J959="Tamamlandı",$J959="İptal"),"KAPALI",IF(AND($C959="Görüşme",$N959=""),"SONRAKİ İŞLEM EKSİK",IF($I959="","TARİH EKSİK",IF($I959&lt;TODAY(),"GECİKMİŞ",IF($I959=TODAY(),"BUGÜN",IF($I959&lt;=TODAY()+7,"7 GÜN İÇİNDE","PLANLI"))))))))</f>
        <v/>
      </c>
      <c r="R959" s="6" t="n"/>
      <c r="S959" s="6" t="n"/>
    </row>
    <row r="960">
      <c r="A960" s="6" t="n"/>
      <c r="B960" s="112">
        <f>IF($D960="","","A"&amp;TEXT(ROW()-6,"00000"))</f>
        <v/>
      </c>
      <c r="C960" s="107" t="n"/>
      <c r="D960" s="107" t="n"/>
      <c r="E960" s="113">
        <f>IF($D960="","",IFERROR(INDEX(MUSTERILER!$C$7:$C$106,MATCH($D960,MUSTERILER!$B$7:$B$106,0)),"TANIMSIZ MÜŞTERİ"))</f>
        <v/>
      </c>
      <c r="F960" s="108" t="n"/>
      <c r="G960" s="107" t="n"/>
      <c r="H960" s="114" t="n"/>
      <c r="I960" s="114" t="n"/>
      <c r="J960" s="107" t="n"/>
      <c r="K960" s="107" t="n"/>
      <c r="L960" s="108" t="n"/>
      <c r="M960" s="108" t="n"/>
      <c r="N960" s="108" t="n"/>
      <c r="O960" s="114" t="n"/>
      <c r="P960" s="120">
        <f>IF(OR($D960="",$I960=""),"",IF(OR($J960="Tamamlandı",$J960="İptal"),"",$I960-TODAY()))</f>
        <v/>
      </c>
      <c r="Q960" s="112">
        <f>IF($D960="","",IF($E960="TANIMSIZ MÜŞTERİ","HATA",IF(OR($J960="Tamamlandı",$J960="İptal"),"KAPALI",IF(AND($C960="Görüşme",$N960=""),"SONRAKİ İŞLEM EKSİK",IF($I960="","TARİH EKSİK",IF($I960&lt;TODAY(),"GECİKMİŞ",IF($I960=TODAY(),"BUGÜN",IF($I960&lt;=TODAY()+7,"7 GÜN İÇİNDE","PLANLI"))))))))</f>
        <v/>
      </c>
      <c r="R960" s="6" t="n"/>
      <c r="S960" s="6" t="n"/>
    </row>
    <row r="961">
      <c r="A961" s="6" t="n"/>
      <c r="B961" s="112">
        <f>IF($D961="","","A"&amp;TEXT(ROW()-6,"00000"))</f>
        <v/>
      </c>
      <c r="C961" s="107" t="n"/>
      <c r="D961" s="107" t="n"/>
      <c r="E961" s="113">
        <f>IF($D961="","",IFERROR(INDEX(MUSTERILER!$C$7:$C$106,MATCH($D961,MUSTERILER!$B$7:$B$106,0)),"TANIMSIZ MÜŞTERİ"))</f>
        <v/>
      </c>
      <c r="F961" s="108" t="n"/>
      <c r="G961" s="107" t="n"/>
      <c r="H961" s="114" t="n"/>
      <c r="I961" s="114" t="n"/>
      <c r="J961" s="107" t="n"/>
      <c r="K961" s="107" t="n"/>
      <c r="L961" s="108" t="n"/>
      <c r="M961" s="108" t="n"/>
      <c r="N961" s="108" t="n"/>
      <c r="O961" s="114" t="n"/>
      <c r="P961" s="120">
        <f>IF(OR($D961="",$I961=""),"",IF(OR($J961="Tamamlandı",$J961="İptal"),"",$I961-TODAY()))</f>
        <v/>
      </c>
      <c r="Q961" s="112">
        <f>IF($D961="","",IF($E961="TANIMSIZ MÜŞTERİ","HATA",IF(OR($J961="Tamamlandı",$J961="İptal"),"KAPALI",IF(AND($C961="Görüşme",$N961=""),"SONRAKİ İŞLEM EKSİK",IF($I961="","TARİH EKSİK",IF($I961&lt;TODAY(),"GECİKMİŞ",IF($I961=TODAY(),"BUGÜN",IF($I961&lt;=TODAY()+7,"7 GÜN İÇİNDE","PLANLI"))))))))</f>
        <v/>
      </c>
      <c r="R961" s="6" t="n"/>
      <c r="S961" s="6" t="n"/>
    </row>
    <row r="962">
      <c r="A962" s="6" t="n"/>
      <c r="B962" s="112">
        <f>IF($D962="","","A"&amp;TEXT(ROW()-6,"00000"))</f>
        <v/>
      </c>
      <c r="C962" s="107" t="n"/>
      <c r="D962" s="107" t="n"/>
      <c r="E962" s="113">
        <f>IF($D962="","",IFERROR(INDEX(MUSTERILER!$C$7:$C$106,MATCH($D962,MUSTERILER!$B$7:$B$106,0)),"TANIMSIZ MÜŞTERİ"))</f>
        <v/>
      </c>
      <c r="F962" s="108" t="n"/>
      <c r="G962" s="107" t="n"/>
      <c r="H962" s="114" t="n"/>
      <c r="I962" s="114" t="n"/>
      <c r="J962" s="107" t="n"/>
      <c r="K962" s="107" t="n"/>
      <c r="L962" s="108" t="n"/>
      <c r="M962" s="108" t="n"/>
      <c r="N962" s="108" t="n"/>
      <c r="O962" s="114" t="n"/>
      <c r="P962" s="120">
        <f>IF(OR($D962="",$I962=""),"",IF(OR($J962="Tamamlandı",$J962="İptal"),"",$I962-TODAY()))</f>
        <v/>
      </c>
      <c r="Q962" s="112">
        <f>IF($D962="","",IF($E962="TANIMSIZ MÜŞTERİ","HATA",IF(OR($J962="Tamamlandı",$J962="İptal"),"KAPALI",IF(AND($C962="Görüşme",$N962=""),"SONRAKİ İŞLEM EKSİK",IF($I962="","TARİH EKSİK",IF($I962&lt;TODAY(),"GECİKMİŞ",IF($I962=TODAY(),"BUGÜN",IF($I962&lt;=TODAY()+7,"7 GÜN İÇİNDE","PLANLI"))))))))</f>
        <v/>
      </c>
      <c r="R962" s="6" t="n"/>
      <c r="S962" s="6" t="n"/>
    </row>
    <row r="963">
      <c r="A963" s="6" t="n"/>
      <c r="B963" s="112">
        <f>IF($D963="","","A"&amp;TEXT(ROW()-6,"00000"))</f>
        <v/>
      </c>
      <c r="C963" s="107" t="n"/>
      <c r="D963" s="107" t="n"/>
      <c r="E963" s="113">
        <f>IF($D963="","",IFERROR(INDEX(MUSTERILER!$C$7:$C$106,MATCH($D963,MUSTERILER!$B$7:$B$106,0)),"TANIMSIZ MÜŞTERİ"))</f>
        <v/>
      </c>
      <c r="F963" s="108" t="n"/>
      <c r="G963" s="107" t="n"/>
      <c r="H963" s="114" t="n"/>
      <c r="I963" s="114" t="n"/>
      <c r="J963" s="107" t="n"/>
      <c r="K963" s="107" t="n"/>
      <c r="L963" s="108" t="n"/>
      <c r="M963" s="108" t="n"/>
      <c r="N963" s="108" t="n"/>
      <c r="O963" s="114" t="n"/>
      <c r="P963" s="120">
        <f>IF(OR($D963="",$I963=""),"",IF(OR($J963="Tamamlandı",$J963="İptal"),"",$I963-TODAY()))</f>
        <v/>
      </c>
      <c r="Q963" s="112">
        <f>IF($D963="","",IF($E963="TANIMSIZ MÜŞTERİ","HATA",IF(OR($J963="Tamamlandı",$J963="İptal"),"KAPALI",IF(AND($C963="Görüşme",$N963=""),"SONRAKİ İŞLEM EKSİK",IF($I963="","TARİH EKSİK",IF($I963&lt;TODAY(),"GECİKMİŞ",IF($I963=TODAY(),"BUGÜN",IF($I963&lt;=TODAY()+7,"7 GÜN İÇİNDE","PLANLI"))))))))</f>
        <v/>
      </c>
      <c r="R963" s="6" t="n"/>
      <c r="S963" s="6" t="n"/>
    </row>
    <row r="964">
      <c r="A964" s="6" t="n"/>
      <c r="B964" s="112">
        <f>IF($D964="","","A"&amp;TEXT(ROW()-6,"00000"))</f>
        <v/>
      </c>
      <c r="C964" s="107" t="n"/>
      <c r="D964" s="107" t="n"/>
      <c r="E964" s="113">
        <f>IF($D964="","",IFERROR(INDEX(MUSTERILER!$C$7:$C$106,MATCH($D964,MUSTERILER!$B$7:$B$106,0)),"TANIMSIZ MÜŞTERİ"))</f>
        <v/>
      </c>
      <c r="F964" s="108" t="n"/>
      <c r="G964" s="107" t="n"/>
      <c r="H964" s="114" t="n"/>
      <c r="I964" s="114" t="n"/>
      <c r="J964" s="107" t="n"/>
      <c r="K964" s="107" t="n"/>
      <c r="L964" s="108" t="n"/>
      <c r="M964" s="108" t="n"/>
      <c r="N964" s="108" t="n"/>
      <c r="O964" s="114" t="n"/>
      <c r="P964" s="120">
        <f>IF(OR($D964="",$I964=""),"",IF(OR($J964="Tamamlandı",$J964="İptal"),"",$I964-TODAY()))</f>
        <v/>
      </c>
      <c r="Q964" s="112">
        <f>IF($D964="","",IF($E964="TANIMSIZ MÜŞTERİ","HATA",IF(OR($J964="Tamamlandı",$J964="İptal"),"KAPALI",IF(AND($C964="Görüşme",$N964=""),"SONRAKİ İŞLEM EKSİK",IF($I964="","TARİH EKSİK",IF($I964&lt;TODAY(),"GECİKMİŞ",IF($I964=TODAY(),"BUGÜN",IF($I964&lt;=TODAY()+7,"7 GÜN İÇİNDE","PLANLI"))))))))</f>
        <v/>
      </c>
      <c r="R964" s="6" t="n"/>
      <c r="S964" s="6" t="n"/>
    </row>
    <row r="965">
      <c r="A965" s="6" t="n"/>
      <c r="B965" s="112">
        <f>IF($D965="","","A"&amp;TEXT(ROW()-6,"00000"))</f>
        <v/>
      </c>
      <c r="C965" s="107" t="n"/>
      <c r="D965" s="107" t="n"/>
      <c r="E965" s="113">
        <f>IF($D965="","",IFERROR(INDEX(MUSTERILER!$C$7:$C$106,MATCH($D965,MUSTERILER!$B$7:$B$106,0)),"TANIMSIZ MÜŞTERİ"))</f>
        <v/>
      </c>
      <c r="F965" s="108" t="n"/>
      <c r="G965" s="107" t="n"/>
      <c r="H965" s="114" t="n"/>
      <c r="I965" s="114" t="n"/>
      <c r="J965" s="107" t="n"/>
      <c r="K965" s="107" t="n"/>
      <c r="L965" s="108" t="n"/>
      <c r="M965" s="108" t="n"/>
      <c r="N965" s="108" t="n"/>
      <c r="O965" s="114" t="n"/>
      <c r="P965" s="120">
        <f>IF(OR($D965="",$I965=""),"",IF(OR($J965="Tamamlandı",$J965="İptal"),"",$I965-TODAY()))</f>
        <v/>
      </c>
      <c r="Q965" s="112">
        <f>IF($D965="","",IF($E965="TANIMSIZ MÜŞTERİ","HATA",IF(OR($J965="Tamamlandı",$J965="İptal"),"KAPALI",IF(AND($C965="Görüşme",$N965=""),"SONRAKİ İŞLEM EKSİK",IF($I965="","TARİH EKSİK",IF($I965&lt;TODAY(),"GECİKMİŞ",IF($I965=TODAY(),"BUGÜN",IF($I965&lt;=TODAY()+7,"7 GÜN İÇİNDE","PLANLI"))))))))</f>
        <v/>
      </c>
      <c r="R965" s="6" t="n"/>
      <c r="S965" s="6" t="n"/>
    </row>
    <row r="966">
      <c r="A966" s="6" t="n"/>
      <c r="B966" s="112">
        <f>IF($D966="","","A"&amp;TEXT(ROW()-6,"00000"))</f>
        <v/>
      </c>
      <c r="C966" s="107" t="n"/>
      <c r="D966" s="107" t="n"/>
      <c r="E966" s="113">
        <f>IF($D966="","",IFERROR(INDEX(MUSTERILER!$C$7:$C$106,MATCH($D966,MUSTERILER!$B$7:$B$106,0)),"TANIMSIZ MÜŞTERİ"))</f>
        <v/>
      </c>
      <c r="F966" s="108" t="n"/>
      <c r="G966" s="107" t="n"/>
      <c r="H966" s="114" t="n"/>
      <c r="I966" s="114" t="n"/>
      <c r="J966" s="107" t="n"/>
      <c r="K966" s="107" t="n"/>
      <c r="L966" s="108" t="n"/>
      <c r="M966" s="108" t="n"/>
      <c r="N966" s="108" t="n"/>
      <c r="O966" s="114" t="n"/>
      <c r="P966" s="120">
        <f>IF(OR($D966="",$I966=""),"",IF(OR($J966="Tamamlandı",$J966="İptal"),"",$I966-TODAY()))</f>
        <v/>
      </c>
      <c r="Q966" s="112">
        <f>IF($D966="","",IF($E966="TANIMSIZ MÜŞTERİ","HATA",IF(OR($J966="Tamamlandı",$J966="İptal"),"KAPALI",IF(AND($C966="Görüşme",$N966=""),"SONRAKİ İŞLEM EKSİK",IF($I966="","TARİH EKSİK",IF($I966&lt;TODAY(),"GECİKMİŞ",IF($I966=TODAY(),"BUGÜN",IF($I966&lt;=TODAY()+7,"7 GÜN İÇİNDE","PLANLI"))))))))</f>
        <v/>
      </c>
      <c r="R966" s="6" t="n"/>
      <c r="S966" s="6" t="n"/>
    </row>
    <row r="967">
      <c r="A967" s="6" t="n"/>
      <c r="B967" s="112">
        <f>IF($D967="","","A"&amp;TEXT(ROW()-6,"00000"))</f>
        <v/>
      </c>
      <c r="C967" s="107" t="n"/>
      <c r="D967" s="107" t="n"/>
      <c r="E967" s="113">
        <f>IF($D967="","",IFERROR(INDEX(MUSTERILER!$C$7:$C$106,MATCH($D967,MUSTERILER!$B$7:$B$106,0)),"TANIMSIZ MÜŞTERİ"))</f>
        <v/>
      </c>
      <c r="F967" s="108" t="n"/>
      <c r="G967" s="107" t="n"/>
      <c r="H967" s="114" t="n"/>
      <c r="I967" s="114" t="n"/>
      <c r="J967" s="107" t="n"/>
      <c r="K967" s="107" t="n"/>
      <c r="L967" s="108" t="n"/>
      <c r="M967" s="108" t="n"/>
      <c r="N967" s="108" t="n"/>
      <c r="O967" s="114" t="n"/>
      <c r="P967" s="120">
        <f>IF(OR($D967="",$I967=""),"",IF(OR($J967="Tamamlandı",$J967="İptal"),"",$I967-TODAY()))</f>
        <v/>
      </c>
      <c r="Q967" s="112">
        <f>IF($D967="","",IF($E967="TANIMSIZ MÜŞTERİ","HATA",IF(OR($J967="Tamamlandı",$J967="İptal"),"KAPALI",IF(AND($C967="Görüşme",$N967=""),"SONRAKİ İŞLEM EKSİK",IF($I967="","TARİH EKSİK",IF($I967&lt;TODAY(),"GECİKMİŞ",IF($I967=TODAY(),"BUGÜN",IF($I967&lt;=TODAY()+7,"7 GÜN İÇİNDE","PLANLI"))))))))</f>
        <v/>
      </c>
      <c r="R967" s="6" t="n"/>
      <c r="S967" s="6" t="n"/>
    </row>
    <row r="968">
      <c r="A968" s="6" t="n"/>
      <c r="B968" s="112">
        <f>IF($D968="","","A"&amp;TEXT(ROW()-6,"00000"))</f>
        <v/>
      </c>
      <c r="C968" s="107" t="n"/>
      <c r="D968" s="107" t="n"/>
      <c r="E968" s="113">
        <f>IF($D968="","",IFERROR(INDEX(MUSTERILER!$C$7:$C$106,MATCH($D968,MUSTERILER!$B$7:$B$106,0)),"TANIMSIZ MÜŞTERİ"))</f>
        <v/>
      </c>
      <c r="F968" s="108" t="n"/>
      <c r="G968" s="107" t="n"/>
      <c r="H968" s="114" t="n"/>
      <c r="I968" s="114" t="n"/>
      <c r="J968" s="107" t="n"/>
      <c r="K968" s="107" t="n"/>
      <c r="L968" s="108" t="n"/>
      <c r="M968" s="108" t="n"/>
      <c r="N968" s="108" t="n"/>
      <c r="O968" s="114" t="n"/>
      <c r="P968" s="120">
        <f>IF(OR($D968="",$I968=""),"",IF(OR($J968="Tamamlandı",$J968="İptal"),"",$I968-TODAY()))</f>
        <v/>
      </c>
      <c r="Q968" s="112">
        <f>IF($D968="","",IF($E968="TANIMSIZ MÜŞTERİ","HATA",IF(OR($J968="Tamamlandı",$J968="İptal"),"KAPALI",IF(AND($C968="Görüşme",$N968=""),"SONRAKİ İŞLEM EKSİK",IF($I968="","TARİH EKSİK",IF($I968&lt;TODAY(),"GECİKMİŞ",IF($I968=TODAY(),"BUGÜN",IF($I968&lt;=TODAY()+7,"7 GÜN İÇİNDE","PLANLI"))))))))</f>
        <v/>
      </c>
      <c r="R968" s="6" t="n"/>
      <c r="S968" s="6" t="n"/>
    </row>
    <row r="969">
      <c r="A969" s="6" t="n"/>
      <c r="B969" s="112">
        <f>IF($D969="","","A"&amp;TEXT(ROW()-6,"00000"))</f>
        <v/>
      </c>
      <c r="C969" s="107" t="n"/>
      <c r="D969" s="107" t="n"/>
      <c r="E969" s="113">
        <f>IF($D969="","",IFERROR(INDEX(MUSTERILER!$C$7:$C$106,MATCH($D969,MUSTERILER!$B$7:$B$106,0)),"TANIMSIZ MÜŞTERİ"))</f>
        <v/>
      </c>
      <c r="F969" s="108" t="n"/>
      <c r="G969" s="107" t="n"/>
      <c r="H969" s="114" t="n"/>
      <c r="I969" s="114" t="n"/>
      <c r="J969" s="107" t="n"/>
      <c r="K969" s="107" t="n"/>
      <c r="L969" s="108" t="n"/>
      <c r="M969" s="108" t="n"/>
      <c r="N969" s="108" t="n"/>
      <c r="O969" s="114" t="n"/>
      <c r="P969" s="120">
        <f>IF(OR($D969="",$I969=""),"",IF(OR($J969="Tamamlandı",$J969="İptal"),"",$I969-TODAY()))</f>
        <v/>
      </c>
      <c r="Q969" s="112">
        <f>IF($D969="","",IF($E969="TANIMSIZ MÜŞTERİ","HATA",IF(OR($J969="Tamamlandı",$J969="İptal"),"KAPALI",IF(AND($C969="Görüşme",$N969=""),"SONRAKİ İŞLEM EKSİK",IF($I969="","TARİH EKSİK",IF($I969&lt;TODAY(),"GECİKMİŞ",IF($I969=TODAY(),"BUGÜN",IF($I969&lt;=TODAY()+7,"7 GÜN İÇİNDE","PLANLI"))))))))</f>
        <v/>
      </c>
      <c r="R969" s="6" t="n"/>
      <c r="S969" s="6" t="n"/>
    </row>
    <row r="970">
      <c r="A970" s="6" t="n"/>
      <c r="B970" s="112">
        <f>IF($D970="","","A"&amp;TEXT(ROW()-6,"00000"))</f>
        <v/>
      </c>
      <c r="C970" s="107" t="n"/>
      <c r="D970" s="107" t="n"/>
      <c r="E970" s="113">
        <f>IF($D970="","",IFERROR(INDEX(MUSTERILER!$C$7:$C$106,MATCH($D970,MUSTERILER!$B$7:$B$106,0)),"TANIMSIZ MÜŞTERİ"))</f>
        <v/>
      </c>
      <c r="F970" s="108" t="n"/>
      <c r="G970" s="107" t="n"/>
      <c r="H970" s="114" t="n"/>
      <c r="I970" s="114" t="n"/>
      <c r="J970" s="107" t="n"/>
      <c r="K970" s="107" t="n"/>
      <c r="L970" s="108" t="n"/>
      <c r="M970" s="108" t="n"/>
      <c r="N970" s="108" t="n"/>
      <c r="O970" s="114" t="n"/>
      <c r="P970" s="120">
        <f>IF(OR($D970="",$I970=""),"",IF(OR($J970="Tamamlandı",$J970="İptal"),"",$I970-TODAY()))</f>
        <v/>
      </c>
      <c r="Q970" s="112">
        <f>IF($D970="","",IF($E970="TANIMSIZ MÜŞTERİ","HATA",IF(OR($J970="Tamamlandı",$J970="İptal"),"KAPALI",IF(AND($C970="Görüşme",$N970=""),"SONRAKİ İŞLEM EKSİK",IF($I970="","TARİH EKSİK",IF($I970&lt;TODAY(),"GECİKMİŞ",IF($I970=TODAY(),"BUGÜN",IF($I970&lt;=TODAY()+7,"7 GÜN İÇİNDE","PLANLI"))))))))</f>
        <v/>
      </c>
      <c r="R970" s="6" t="n"/>
      <c r="S970" s="6" t="n"/>
    </row>
    <row r="971">
      <c r="A971" s="6" t="n"/>
      <c r="B971" s="112">
        <f>IF($D971="","","A"&amp;TEXT(ROW()-6,"00000"))</f>
        <v/>
      </c>
      <c r="C971" s="107" t="n"/>
      <c r="D971" s="107" t="n"/>
      <c r="E971" s="113">
        <f>IF($D971="","",IFERROR(INDEX(MUSTERILER!$C$7:$C$106,MATCH($D971,MUSTERILER!$B$7:$B$106,0)),"TANIMSIZ MÜŞTERİ"))</f>
        <v/>
      </c>
      <c r="F971" s="108" t="n"/>
      <c r="G971" s="107" t="n"/>
      <c r="H971" s="114" t="n"/>
      <c r="I971" s="114" t="n"/>
      <c r="J971" s="107" t="n"/>
      <c r="K971" s="107" t="n"/>
      <c r="L971" s="108" t="n"/>
      <c r="M971" s="108" t="n"/>
      <c r="N971" s="108" t="n"/>
      <c r="O971" s="114" t="n"/>
      <c r="P971" s="120">
        <f>IF(OR($D971="",$I971=""),"",IF(OR($J971="Tamamlandı",$J971="İptal"),"",$I971-TODAY()))</f>
        <v/>
      </c>
      <c r="Q971" s="112">
        <f>IF($D971="","",IF($E971="TANIMSIZ MÜŞTERİ","HATA",IF(OR($J971="Tamamlandı",$J971="İptal"),"KAPALI",IF(AND($C971="Görüşme",$N971=""),"SONRAKİ İŞLEM EKSİK",IF($I971="","TARİH EKSİK",IF($I971&lt;TODAY(),"GECİKMİŞ",IF($I971=TODAY(),"BUGÜN",IF($I971&lt;=TODAY()+7,"7 GÜN İÇİNDE","PLANLI"))))))))</f>
        <v/>
      </c>
      <c r="R971" s="6" t="n"/>
      <c r="S971" s="6" t="n"/>
    </row>
    <row r="972">
      <c r="A972" s="6" t="n"/>
      <c r="B972" s="112">
        <f>IF($D972="","","A"&amp;TEXT(ROW()-6,"00000"))</f>
        <v/>
      </c>
      <c r="C972" s="107" t="n"/>
      <c r="D972" s="107" t="n"/>
      <c r="E972" s="113">
        <f>IF($D972="","",IFERROR(INDEX(MUSTERILER!$C$7:$C$106,MATCH($D972,MUSTERILER!$B$7:$B$106,0)),"TANIMSIZ MÜŞTERİ"))</f>
        <v/>
      </c>
      <c r="F972" s="108" t="n"/>
      <c r="G972" s="107" t="n"/>
      <c r="H972" s="114" t="n"/>
      <c r="I972" s="114" t="n"/>
      <c r="J972" s="107" t="n"/>
      <c r="K972" s="107" t="n"/>
      <c r="L972" s="108" t="n"/>
      <c r="M972" s="108" t="n"/>
      <c r="N972" s="108" t="n"/>
      <c r="O972" s="114" t="n"/>
      <c r="P972" s="120">
        <f>IF(OR($D972="",$I972=""),"",IF(OR($J972="Tamamlandı",$J972="İptal"),"",$I972-TODAY()))</f>
        <v/>
      </c>
      <c r="Q972" s="112">
        <f>IF($D972="","",IF($E972="TANIMSIZ MÜŞTERİ","HATA",IF(OR($J972="Tamamlandı",$J972="İptal"),"KAPALI",IF(AND($C972="Görüşme",$N972=""),"SONRAKİ İŞLEM EKSİK",IF($I972="","TARİH EKSİK",IF($I972&lt;TODAY(),"GECİKMİŞ",IF($I972=TODAY(),"BUGÜN",IF($I972&lt;=TODAY()+7,"7 GÜN İÇİNDE","PLANLI"))))))))</f>
        <v/>
      </c>
      <c r="R972" s="6" t="n"/>
      <c r="S972" s="6" t="n"/>
    </row>
    <row r="973">
      <c r="A973" s="6" t="n"/>
      <c r="B973" s="112">
        <f>IF($D973="","","A"&amp;TEXT(ROW()-6,"00000"))</f>
        <v/>
      </c>
      <c r="C973" s="107" t="n"/>
      <c r="D973" s="107" t="n"/>
      <c r="E973" s="113">
        <f>IF($D973="","",IFERROR(INDEX(MUSTERILER!$C$7:$C$106,MATCH($D973,MUSTERILER!$B$7:$B$106,0)),"TANIMSIZ MÜŞTERİ"))</f>
        <v/>
      </c>
      <c r="F973" s="108" t="n"/>
      <c r="G973" s="107" t="n"/>
      <c r="H973" s="114" t="n"/>
      <c r="I973" s="114" t="n"/>
      <c r="J973" s="107" t="n"/>
      <c r="K973" s="107" t="n"/>
      <c r="L973" s="108" t="n"/>
      <c r="M973" s="108" t="n"/>
      <c r="N973" s="108" t="n"/>
      <c r="O973" s="114" t="n"/>
      <c r="P973" s="120">
        <f>IF(OR($D973="",$I973=""),"",IF(OR($J973="Tamamlandı",$J973="İptal"),"",$I973-TODAY()))</f>
        <v/>
      </c>
      <c r="Q973" s="112">
        <f>IF($D973="","",IF($E973="TANIMSIZ MÜŞTERİ","HATA",IF(OR($J973="Tamamlandı",$J973="İptal"),"KAPALI",IF(AND($C973="Görüşme",$N973=""),"SONRAKİ İŞLEM EKSİK",IF($I973="","TARİH EKSİK",IF($I973&lt;TODAY(),"GECİKMİŞ",IF($I973=TODAY(),"BUGÜN",IF($I973&lt;=TODAY()+7,"7 GÜN İÇİNDE","PLANLI"))))))))</f>
        <v/>
      </c>
      <c r="R973" s="6" t="n"/>
      <c r="S973" s="6" t="n"/>
    </row>
    <row r="974">
      <c r="A974" s="6" t="n"/>
      <c r="B974" s="112">
        <f>IF($D974="","","A"&amp;TEXT(ROW()-6,"00000"))</f>
        <v/>
      </c>
      <c r="C974" s="107" t="n"/>
      <c r="D974" s="107" t="n"/>
      <c r="E974" s="113">
        <f>IF($D974="","",IFERROR(INDEX(MUSTERILER!$C$7:$C$106,MATCH($D974,MUSTERILER!$B$7:$B$106,0)),"TANIMSIZ MÜŞTERİ"))</f>
        <v/>
      </c>
      <c r="F974" s="108" t="n"/>
      <c r="G974" s="107" t="n"/>
      <c r="H974" s="114" t="n"/>
      <c r="I974" s="114" t="n"/>
      <c r="J974" s="107" t="n"/>
      <c r="K974" s="107" t="n"/>
      <c r="L974" s="108" t="n"/>
      <c r="M974" s="108" t="n"/>
      <c r="N974" s="108" t="n"/>
      <c r="O974" s="114" t="n"/>
      <c r="P974" s="120">
        <f>IF(OR($D974="",$I974=""),"",IF(OR($J974="Tamamlandı",$J974="İptal"),"",$I974-TODAY()))</f>
        <v/>
      </c>
      <c r="Q974" s="112">
        <f>IF($D974="","",IF($E974="TANIMSIZ MÜŞTERİ","HATA",IF(OR($J974="Tamamlandı",$J974="İptal"),"KAPALI",IF(AND($C974="Görüşme",$N974=""),"SONRAKİ İŞLEM EKSİK",IF($I974="","TARİH EKSİK",IF($I974&lt;TODAY(),"GECİKMİŞ",IF($I974=TODAY(),"BUGÜN",IF($I974&lt;=TODAY()+7,"7 GÜN İÇİNDE","PLANLI"))))))))</f>
        <v/>
      </c>
      <c r="R974" s="6" t="n"/>
      <c r="S974" s="6" t="n"/>
    </row>
    <row r="975">
      <c r="A975" s="6" t="n"/>
      <c r="B975" s="112">
        <f>IF($D975="","","A"&amp;TEXT(ROW()-6,"00000"))</f>
        <v/>
      </c>
      <c r="C975" s="107" t="n"/>
      <c r="D975" s="107" t="n"/>
      <c r="E975" s="113">
        <f>IF($D975="","",IFERROR(INDEX(MUSTERILER!$C$7:$C$106,MATCH($D975,MUSTERILER!$B$7:$B$106,0)),"TANIMSIZ MÜŞTERİ"))</f>
        <v/>
      </c>
      <c r="F975" s="108" t="n"/>
      <c r="G975" s="107" t="n"/>
      <c r="H975" s="114" t="n"/>
      <c r="I975" s="114" t="n"/>
      <c r="J975" s="107" t="n"/>
      <c r="K975" s="107" t="n"/>
      <c r="L975" s="108" t="n"/>
      <c r="M975" s="108" t="n"/>
      <c r="N975" s="108" t="n"/>
      <c r="O975" s="114" t="n"/>
      <c r="P975" s="120">
        <f>IF(OR($D975="",$I975=""),"",IF(OR($J975="Tamamlandı",$J975="İptal"),"",$I975-TODAY()))</f>
        <v/>
      </c>
      <c r="Q975" s="112">
        <f>IF($D975="","",IF($E975="TANIMSIZ MÜŞTERİ","HATA",IF(OR($J975="Tamamlandı",$J975="İptal"),"KAPALI",IF(AND($C975="Görüşme",$N975=""),"SONRAKİ İŞLEM EKSİK",IF($I975="","TARİH EKSİK",IF($I975&lt;TODAY(),"GECİKMİŞ",IF($I975=TODAY(),"BUGÜN",IF($I975&lt;=TODAY()+7,"7 GÜN İÇİNDE","PLANLI"))))))))</f>
        <v/>
      </c>
      <c r="R975" s="6" t="n"/>
      <c r="S975" s="6" t="n"/>
    </row>
    <row r="976">
      <c r="A976" s="6" t="n"/>
      <c r="B976" s="112">
        <f>IF($D976="","","A"&amp;TEXT(ROW()-6,"00000"))</f>
        <v/>
      </c>
      <c r="C976" s="107" t="n"/>
      <c r="D976" s="107" t="n"/>
      <c r="E976" s="113">
        <f>IF($D976="","",IFERROR(INDEX(MUSTERILER!$C$7:$C$106,MATCH($D976,MUSTERILER!$B$7:$B$106,0)),"TANIMSIZ MÜŞTERİ"))</f>
        <v/>
      </c>
      <c r="F976" s="108" t="n"/>
      <c r="G976" s="107" t="n"/>
      <c r="H976" s="114" t="n"/>
      <c r="I976" s="114" t="n"/>
      <c r="J976" s="107" t="n"/>
      <c r="K976" s="107" t="n"/>
      <c r="L976" s="108" t="n"/>
      <c r="M976" s="108" t="n"/>
      <c r="N976" s="108" t="n"/>
      <c r="O976" s="114" t="n"/>
      <c r="P976" s="120">
        <f>IF(OR($D976="",$I976=""),"",IF(OR($J976="Tamamlandı",$J976="İptal"),"",$I976-TODAY()))</f>
        <v/>
      </c>
      <c r="Q976" s="112">
        <f>IF($D976="","",IF($E976="TANIMSIZ MÜŞTERİ","HATA",IF(OR($J976="Tamamlandı",$J976="İptal"),"KAPALI",IF(AND($C976="Görüşme",$N976=""),"SONRAKİ İŞLEM EKSİK",IF($I976="","TARİH EKSİK",IF($I976&lt;TODAY(),"GECİKMİŞ",IF($I976=TODAY(),"BUGÜN",IF($I976&lt;=TODAY()+7,"7 GÜN İÇİNDE","PLANLI"))))))))</f>
        <v/>
      </c>
      <c r="R976" s="6" t="n"/>
      <c r="S976" s="6" t="n"/>
    </row>
    <row r="977">
      <c r="A977" s="6" t="n"/>
      <c r="B977" s="112">
        <f>IF($D977="","","A"&amp;TEXT(ROW()-6,"00000"))</f>
        <v/>
      </c>
      <c r="C977" s="107" t="n"/>
      <c r="D977" s="107" t="n"/>
      <c r="E977" s="113">
        <f>IF($D977="","",IFERROR(INDEX(MUSTERILER!$C$7:$C$106,MATCH($D977,MUSTERILER!$B$7:$B$106,0)),"TANIMSIZ MÜŞTERİ"))</f>
        <v/>
      </c>
      <c r="F977" s="108" t="n"/>
      <c r="G977" s="107" t="n"/>
      <c r="H977" s="114" t="n"/>
      <c r="I977" s="114" t="n"/>
      <c r="J977" s="107" t="n"/>
      <c r="K977" s="107" t="n"/>
      <c r="L977" s="108" t="n"/>
      <c r="M977" s="108" t="n"/>
      <c r="N977" s="108" t="n"/>
      <c r="O977" s="114" t="n"/>
      <c r="P977" s="120">
        <f>IF(OR($D977="",$I977=""),"",IF(OR($J977="Tamamlandı",$J977="İptal"),"",$I977-TODAY()))</f>
        <v/>
      </c>
      <c r="Q977" s="112">
        <f>IF($D977="","",IF($E977="TANIMSIZ MÜŞTERİ","HATA",IF(OR($J977="Tamamlandı",$J977="İptal"),"KAPALI",IF(AND($C977="Görüşme",$N977=""),"SONRAKİ İŞLEM EKSİK",IF($I977="","TARİH EKSİK",IF($I977&lt;TODAY(),"GECİKMİŞ",IF($I977=TODAY(),"BUGÜN",IF($I977&lt;=TODAY()+7,"7 GÜN İÇİNDE","PLANLI"))))))))</f>
        <v/>
      </c>
      <c r="R977" s="6" t="n"/>
      <c r="S977" s="6" t="n"/>
    </row>
    <row r="978">
      <c r="A978" s="6" t="n"/>
      <c r="B978" s="112">
        <f>IF($D978="","","A"&amp;TEXT(ROW()-6,"00000"))</f>
        <v/>
      </c>
      <c r="C978" s="107" t="n"/>
      <c r="D978" s="107" t="n"/>
      <c r="E978" s="113">
        <f>IF($D978="","",IFERROR(INDEX(MUSTERILER!$C$7:$C$106,MATCH($D978,MUSTERILER!$B$7:$B$106,0)),"TANIMSIZ MÜŞTERİ"))</f>
        <v/>
      </c>
      <c r="F978" s="108" t="n"/>
      <c r="G978" s="107" t="n"/>
      <c r="H978" s="114" t="n"/>
      <c r="I978" s="114" t="n"/>
      <c r="J978" s="107" t="n"/>
      <c r="K978" s="107" t="n"/>
      <c r="L978" s="108" t="n"/>
      <c r="M978" s="108" t="n"/>
      <c r="N978" s="108" t="n"/>
      <c r="O978" s="114" t="n"/>
      <c r="P978" s="120">
        <f>IF(OR($D978="",$I978=""),"",IF(OR($J978="Tamamlandı",$J978="İptal"),"",$I978-TODAY()))</f>
        <v/>
      </c>
      <c r="Q978" s="112">
        <f>IF($D978="","",IF($E978="TANIMSIZ MÜŞTERİ","HATA",IF(OR($J978="Tamamlandı",$J978="İptal"),"KAPALI",IF(AND($C978="Görüşme",$N978=""),"SONRAKİ İŞLEM EKSİK",IF($I978="","TARİH EKSİK",IF($I978&lt;TODAY(),"GECİKMİŞ",IF($I978=TODAY(),"BUGÜN",IF($I978&lt;=TODAY()+7,"7 GÜN İÇİNDE","PLANLI"))))))))</f>
        <v/>
      </c>
      <c r="R978" s="6" t="n"/>
      <c r="S978" s="6" t="n"/>
    </row>
    <row r="979">
      <c r="A979" s="6" t="n"/>
      <c r="B979" s="112">
        <f>IF($D979="","","A"&amp;TEXT(ROW()-6,"00000"))</f>
        <v/>
      </c>
      <c r="C979" s="107" t="n"/>
      <c r="D979" s="107" t="n"/>
      <c r="E979" s="113">
        <f>IF($D979="","",IFERROR(INDEX(MUSTERILER!$C$7:$C$106,MATCH($D979,MUSTERILER!$B$7:$B$106,0)),"TANIMSIZ MÜŞTERİ"))</f>
        <v/>
      </c>
      <c r="F979" s="108" t="n"/>
      <c r="G979" s="107" t="n"/>
      <c r="H979" s="114" t="n"/>
      <c r="I979" s="114" t="n"/>
      <c r="J979" s="107" t="n"/>
      <c r="K979" s="107" t="n"/>
      <c r="L979" s="108" t="n"/>
      <c r="M979" s="108" t="n"/>
      <c r="N979" s="108" t="n"/>
      <c r="O979" s="114" t="n"/>
      <c r="P979" s="120">
        <f>IF(OR($D979="",$I979=""),"",IF(OR($J979="Tamamlandı",$J979="İptal"),"",$I979-TODAY()))</f>
        <v/>
      </c>
      <c r="Q979" s="112">
        <f>IF($D979="","",IF($E979="TANIMSIZ MÜŞTERİ","HATA",IF(OR($J979="Tamamlandı",$J979="İptal"),"KAPALI",IF(AND($C979="Görüşme",$N979=""),"SONRAKİ İŞLEM EKSİK",IF($I979="","TARİH EKSİK",IF($I979&lt;TODAY(),"GECİKMİŞ",IF($I979=TODAY(),"BUGÜN",IF($I979&lt;=TODAY()+7,"7 GÜN İÇİNDE","PLANLI"))))))))</f>
        <v/>
      </c>
      <c r="R979" s="6" t="n"/>
      <c r="S979" s="6" t="n"/>
    </row>
    <row r="980">
      <c r="A980" s="6" t="n"/>
      <c r="B980" s="112">
        <f>IF($D980="","","A"&amp;TEXT(ROW()-6,"00000"))</f>
        <v/>
      </c>
      <c r="C980" s="107" t="n"/>
      <c r="D980" s="107" t="n"/>
      <c r="E980" s="113">
        <f>IF($D980="","",IFERROR(INDEX(MUSTERILER!$C$7:$C$106,MATCH($D980,MUSTERILER!$B$7:$B$106,0)),"TANIMSIZ MÜŞTERİ"))</f>
        <v/>
      </c>
      <c r="F980" s="108" t="n"/>
      <c r="G980" s="107" t="n"/>
      <c r="H980" s="114" t="n"/>
      <c r="I980" s="114" t="n"/>
      <c r="J980" s="107" t="n"/>
      <c r="K980" s="107" t="n"/>
      <c r="L980" s="108" t="n"/>
      <c r="M980" s="108" t="n"/>
      <c r="N980" s="108" t="n"/>
      <c r="O980" s="114" t="n"/>
      <c r="P980" s="120">
        <f>IF(OR($D980="",$I980=""),"",IF(OR($J980="Tamamlandı",$J980="İptal"),"",$I980-TODAY()))</f>
        <v/>
      </c>
      <c r="Q980" s="112">
        <f>IF($D980="","",IF($E980="TANIMSIZ MÜŞTERİ","HATA",IF(OR($J980="Tamamlandı",$J980="İptal"),"KAPALI",IF(AND($C980="Görüşme",$N980=""),"SONRAKİ İŞLEM EKSİK",IF($I980="","TARİH EKSİK",IF($I980&lt;TODAY(),"GECİKMİŞ",IF($I980=TODAY(),"BUGÜN",IF($I980&lt;=TODAY()+7,"7 GÜN İÇİNDE","PLANLI"))))))))</f>
        <v/>
      </c>
      <c r="R980" s="6" t="n"/>
      <c r="S980" s="6" t="n"/>
    </row>
    <row r="981">
      <c r="A981" s="6" t="n"/>
      <c r="B981" s="112">
        <f>IF($D981="","","A"&amp;TEXT(ROW()-6,"00000"))</f>
        <v/>
      </c>
      <c r="C981" s="107" t="n"/>
      <c r="D981" s="107" t="n"/>
      <c r="E981" s="113">
        <f>IF($D981="","",IFERROR(INDEX(MUSTERILER!$C$7:$C$106,MATCH($D981,MUSTERILER!$B$7:$B$106,0)),"TANIMSIZ MÜŞTERİ"))</f>
        <v/>
      </c>
      <c r="F981" s="108" t="n"/>
      <c r="G981" s="107" t="n"/>
      <c r="H981" s="114" t="n"/>
      <c r="I981" s="114" t="n"/>
      <c r="J981" s="107" t="n"/>
      <c r="K981" s="107" t="n"/>
      <c r="L981" s="108" t="n"/>
      <c r="M981" s="108" t="n"/>
      <c r="N981" s="108" t="n"/>
      <c r="O981" s="114" t="n"/>
      <c r="P981" s="120">
        <f>IF(OR($D981="",$I981=""),"",IF(OR($J981="Tamamlandı",$J981="İptal"),"",$I981-TODAY()))</f>
        <v/>
      </c>
      <c r="Q981" s="112">
        <f>IF($D981="","",IF($E981="TANIMSIZ MÜŞTERİ","HATA",IF(OR($J981="Tamamlandı",$J981="İptal"),"KAPALI",IF(AND($C981="Görüşme",$N981=""),"SONRAKİ İŞLEM EKSİK",IF($I981="","TARİH EKSİK",IF($I981&lt;TODAY(),"GECİKMİŞ",IF($I981=TODAY(),"BUGÜN",IF($I981&lt;=TODAY()+7,"7 GÜN İÇİNDE","PLANLI"))))))))</f>
        <v/>
      </c>
      <c r="R981" s="6" t="n"/>
      <c r="S981" s="6" t="n"/>
    </row>
    <row r="982">
      <c r="A982" s="6" t="n"/>
      <c r="B982" s="112">
        <f>IF($D982="","","A"&amp;TEXT(ROW()-6,"00000"))</f>
        <v/>
      </c>
      <c r="C982" s="107" t="n"/>
      <c r="D982" s="107" t="n"/>
      <c r="E982" s="113">
        <f>IF($D982="","",IFERROR(INDEX(MUSTERILER!$C$7:$C$106,MATCH($D982,MUSTERILER!$B$7:$B$106,0)),"TANIMSIZ MÜŞTERİ"))</f>
        <v/>
      </c>
      <c r="F982" s="108" t="n"/>
      <c r="G982" s="107" t="n"/>
      <c r="H982" s="114" t="n"/>
      <c r="I982" s="114" t="n"/>
      <c r="J982" s="107" t="n"/>
      <c r="K982" s="107" t="n"/>
      <c r="L982" s="108" t="n"/>
      <c r="M982" s="108" t="n"/>
      <c r="N982" s="108" t="n"/>
      <c r="O982" s="114" t="n"/>
      <c r="P982" s="120">
        <f>IF(OR($D982="",$I982=""),"",IF(OR($J982="Tamamlandı",$J982="İptal"),"",$I982-TODAY()))</f>
        <v/>
      </c>
      <c r="Q982" s="112">
        <f>IF($D982="","",IF($E982="TANIMSIZ MÜŞTERİ","HATA",IF(OR($J982="Tamamlandı",$J982="İptal"),"KAPALI",IF(AND($C982="Görüşme",$N982=""),"SONRAKİ İŞLEM EKSİK",IF($I982="","TARİH EKSİK",IF($I982&lt;TODAY(),"GECİKMİŞ",IF($I982=TODAY(),"BUGÜN",IF($I982&lt;=TODAY()+7,"7 GÜN İÇİNDE","PLANLI"))))))))</f>
        <v/>
      </c>
      <c r="R982" s="6" t="n"/>
      <c r="S982" s="6" t="n"/>
    </row>
    <row r="983">
      <c r="A983" s="6" t="n"/>
      <c r="B983" s="112">
        <f>IF($D983="","","A"&amp;TEXT(ROW()-6,"00000"))</f>
        <v/>
      </c>
      <c r="C983" s="107" t="n"/>
      <c r="D983" s="107" t="n"/>
      <c r="E983" s="113">
        <f>IF($D983="","",IFERROR(INDEX(MUSTERILER!$C$7:$C$106,MATCH($D983,MUSTERILER!$B$7:$B$106,0)),"TANIMSIZ MÜŞTERİ"))</f>
        <v/>
      </c>
      <c r="F983" s="108" t="n"/>
      <c r="G983" s="107" t="n"/>
      <c r="H983" s="114" t="n"/>
      <c r="I983" s="114" t="n"/>
      <c r="J983" s="107" t="n"/>
      <c r="K983" s="107" t="n"/>
      <c r="L983" s="108" t="n"/>
      <c r="M983" s="108" t="n"/>
      <c r="N983" s="108" t="n"/>
      <c r="O983" s="114" t="n"/>
      <c r="P983" s="120">
        <f>IF(OR($D983="",$I983=""),"",IF(OR($J983="Tamamlandı",$J983="İptal"),"",$I983-TODAY()))</f>
        <v/>
      </c>
      <c r="Q983" s="112">
        <f>IF($D983="","",IF($E983="TANIMSIZ MÜŞTERİ","HATA",IF(OR($J983="Tamamlandı",$J983="İptal"),"KAPALI",IF(AND($C983="Görüşme",$N983=""),"SONRAKİ İŞLEM EKSİK",IF($I983="","TARİH EKSİK",IF($I983&lt;TODAY(),"GECİKMİŞ",IF($I983=TODAY(),"BUGÜN",IF($I983&lt;=TODAY()+7,"7 GÜN İÇİNDE","PLANLI"))))))))</f>
        <v/>
      </c>
      <c r="R983" s="6" t="n"/>
      <c r="S983" s="6" t="n"/>
    </row>
    <row r="984">
      <c r="A984" s="6" t="n"/>
      <c r="B984" s="112">
        <f>IF($D984="","","A"&amp;TEXT(ROW()-6,"00000"))</f>
        <v/>
      </c>
      <c r="C984" s="107" t="n"/>
      <c r="D984" s="107" t="n"/>
      <c r="E984" s="113">
        <f>IF($D984="","",IFERROR(INDEX(MUSTERILER!$C$7:$C$106,MATCH($D984,MUSTERILER!$B$7:$B$106,0)),"TANIMSIZ MÜŞTERİ"))</f>
        <v/>
      </c>
      <c r="F984" s="108" t="n"/>
      <c r="G984" s="107" t="n"/>
      <c r="H984" s="114" t="n"/>
      <c r="I984" s="114" t="n"/>
      <c r="J984" s="107" t="n"/>
      <c r="K984" s="107" t="n"/>
      <c r="L984" s="108" t="n"/>
      <c r="M984" s="108" t="n"/>
      <c r="N984" s="108" t="n"/>
      <c r="O984" s="114" t="n"/>
      <c r="P984" s="120">
        <f>IF(OR($D984="",$I984=""),"",IF(OR($J984="Tamamlandı",$J984="İptal"),"",$I984-TODAY()))</f>
        <v/>
      </c>
      <c r="Q984" s="112">
        <f>IF($D984="","",IF($E984="TANIMSIZ MÜŞTERİ","HATA",IF(OR($J984="Tamamlandı",$J984="İptal"),"KAPALI",IF(AND($C984="Görüşme",$N984=""),"SONRAKİ İŞLEM EKSİK",IF($I984="","TARİH EKSİK",IF($I984&lt;TODAY(),"GECİKMİŞ",IF($I984=TODAY(),"BUGÜN",IF($I984&lt;=TODAY()+7,"7 GÜN İÇİNDE","PLANLI"))))))))</f>
        <v/>
      </c>
      <c r="R984" s="6" t="n"/>
      <c r="S984" s="6" t="n"/>
    </row>
    <row r="985">
      <c r="A985" s="6" t="n"/>
      <c r="B985" s="112">
        <f>IF($D985="","","A"&amp;TEXT(ROW()-6,"00000"))</f>
        <v/>
      </c>
      <c r="C985" s="107" t="n"/>
      <c r="D985" s="107" t="n"/>
      <c r="E985" s="113">
        <f>IF($D985="","",IFERROR(INDEX(MUSTERILER!$C$7:$C$106,MATCH($D985,MUSTERILER!$B$7:$B$106,0)),"TANIMSIZ MÜŞTERİ"))</f>
        <v/>
      </c>
      <c r="F985" s="108" t="n"/>
      <c r="G985" s="107" t="n"/>
      <c r="H985" s="114" t="n"/>
      <c r="I985" s="114" t="n"/>
      <c r="J985" s="107" t="n"/>
      <c r="K985" s="107" t="n"/>
      <c r="L985" s="108" t="n"/>
      <c r="M985" s="108" t="n"/>
      <c r="N985" s="108" t="n"/>
      <c r="O985" s="114" t="n"/>
      <c r="P985" s="120">
        <f>IF(OR($D985="",$I985=""),"",IF(OR($J985="Tamamlandı",$J985="İptal"),"",$I985-TODAY()))</f>
        <v/>
      </c>
      <c r="Q985" s="112">
        <f>IF($D985="","",IF($E985="TANIMSIZ MÜŞTERİ","HATA",IF(OR($J985="Tamamlandı",$J985="İptal"),"KAPALI",IF(AND($C985="Görüşme",$N985=""),"SONRAKİ İŞLEM EKSİK",IF($I985="","TARİH EKSİK",IF($I985&lt;TODAY(),"GECİKMİŞ",IF($I985=TODAY(),"BUGÜN",IF($I985&lt;=TODAY()+7,"7 GÜN İÇİNDE","PLANLI"))))))))</f>
        <v/>
      </c>
      <c r="R985" s="6" t="n"/>
      <c r="S985" s="6" t="n"/>
    </row>
    <row r="986">
      <c r="A986" s="6" t="n"/>
      <c r="B986" s="112">
        <f>IF($D986="","","A"&amp;TEXT(ROW()-6,"00000"))</f>
        <v/>
      </c>
      <c r="C986" s="107" t="n"/>
      <c r="D986" s="107" t="n"/>
      <c r="E986" s="113">
        <f>IF($D986="","",IFERROR(INDEX(MUSTERILER!$C$7:$C$106,MATCH($D986,MUSTERILER!$B$7:$B$106,0)),"TANIMSIZ MÜŞTERİ"))</f>
        <v/>
      </c>
      <c r="F986" s="108" t="n"/>
      <c r="G986" s="107" t="n"/>
      <c r="H986" s="114" t="n"/>
      <c r="I986" s="114" t="n"/>
      <c r="J986" s="107" t="n"/>
      <c r="K986" s="107" t="n"/>
      <c r="L986" s="108" t="n"/>
      <c r="M986" s="108" t="n"/>
      <c r="N986" s="108" t="n"/>
      <c r="O986" s="114" t="n"/>
      <c r="P986" s="120">
        <f>IF(OR($D986="",$I986=""),"",IF(OR($J986="Tamamlandı",$J986="İptal"),"",$I986-TODAY()))</f>
        <v/>
      </c>
      <c r="Q986" s="112">
        <f>IF($D986="","",IF($E986="TANIMSIZ MÜŞTERİ","HATA",IF(OR($J986="Tamamlandı",$J986="İptal"),"KAPALI",IF(AND($C986="Görüşme",$N986=""),"SONRAKİ İŞLEM EKSİK",IF($I986="","TARİH EKSİK",IF($I986&lt;TODAY(),"GECİKMİŞ",IF($I986=TODAY(),"BUGÜN",IF($I986&lt;=TODAY()+7,"7 GÜN İÇİNDE","PLANLI"))))))))</f>
        <v/>
      </c>
      <c r="R986" s="6" t="n"/>
      <c r="S986" s="6" t="n"/>
    </row>
    <row r="987">
      <c r="A987" s="6" t="n"/>
      <c r="B987" s="112">
        <f>IF($D987="","","A"&amp;TEXT(ROW()-6,"00000"))</f>
        <v/>
      </c>
      <c r="C987" s="107" t="n"/>
      <c r="D987" s="107" t="n"/>
      <c r="E987" s="113">
        <f>IF($D987="","",IFERROR(INDEX(MUSTERILER!$C$7:$C$106,MATCH($D987,MUSTERILER!$B$7:$B$106,0)),"TANIMSIZ MÜŞTERİ"))</f>
        <v/>
      </c>
      <c r="F987" s="108" t="n"/>
      <c r="G987" s="107" t="n"/>
      <c r="H987" s="114" t="n"/>
      <c r="I987" s="114" t="n"/>
      <c r="J987" s="107" t="n"/>
      <c r="K987" s="107" t="n"/>
      <c r="L987" s="108" t="n"/>
      <c r="M987" s="108" t="n"/>
      <c r="N987" s="108" t="n"/>
      <c r="O987" s="114" t="n"/>
      <c r="P987" s="120">
        <f>IF(OR($D987="",$I987=""),"",IF(OR($J987="Tamamlandı",$J987="İptal"),"",$I987-TODAY()))</f>
        <v/>
      </c>
      <c r="Q987" s="112">
        <f>IF($D987="","",IF($E987="TANIMSIZ MÜŞTERİ","HATA",IF(OR($J987="Tamamlandı",$J987="İptal"),"KAPALI",IF(AND($C987="Görüşme",$N987=""),"SONRAKİ İŞLEM EKSİK",IF($I987="","TARİH EKSİK",IF($I987&lt;TODAY(),"GECİKMİŞ",IF($I987=TODAY(),"BUGÜN",IF($I987&lt;=TODAY()+7,"7 GÜN İÇİNDE","PLANLI"))))))))</f>
        <v/>
      </c>
      <c r="R987" s="6" t="n"/>
      <c r="S987" s="6" t="n"/>
    </row>
    <row r="988">
      <c r="A988" s="6" t="n"/>
      <c r="B988" s="112">
        <f>IF($D988="","","A"&amp;TEXT(ROW()-6,"00000"))</f>
        <v/>
      </c>
      <c r="C988" s="107" t="n"/>
      <c r="D988" s="107" t="n"/>
      <c r="E988" s="113">
        <f>IF($D988="","",IFERROR(INDEX(MUSTERILER!$C$7:$C$106,MATCH($D988,MUSTERILER!$B$7:$B$106,0)),"TANIMSIZ MÜŞTERİ"))</f>
        <v/>
      </c>
      <c r="F988" s="108" t="n"/>
      <c r="G988" s="107" t="n"/>
      <c r="H988" s="114" t="n"/>
      <c r="I988" s="114" t="n"/>
      <c r="J988" s="107" t="n"/>
      <c r="K988" s="107" t="n"/>
      <c r="L988" s="108" t="n"/>
      <c r="M988" s="108" t="n"/>
      <c r="N988" s="108" t="n"/>
      <c r="O988" s="114" t="n"/>
      <c r="P988" s="120">
        <f>IF(OR($D988="",$I988=""),"",IF(OR($J988="Tamamlandı",$J988="İptal"),"",$I988-TODAY()))</f>
        <v/>
      </c>
      <c r="Q988" s="112">
        <f>IF($D988="","",IF($E988="TANIMSIZ MÜŞTERİ","HATA",IF(OR($J988="Tamamlandı",$J988="İptal"),"KAPALI",IF(AND($C988="Görüşme",$N988=""),"SONRAKİ İŞLEM EKSİK",IF($I988="","TARİH EKSİK",IF($I988&lt;TODAY(),"GECİKMİŞ",IF($I988=TODAY(),"BUGÜN",IF($I988&lt;=TODAY()+7,"7 GÜN İÇİNDE","PLANLI"))))))))</f>
        <v/>
      </c>
      <c r="R988" s="6" t="n"/>
      <c r="S988" s="6" t="n"/>
    </row>
    <row r="989">
      <c r="A989" s="6" t="n"/>
      <c r="B989" s="112">
        <f>IF($D989="","","A"&amp;TEXT(ROW()-6,"00000"))</f>
        <v/>
      </c>
      <c r="C989" s="107" t="n"/>
      <c r="D989" s="107" t="n"/>
      <c r="E989" s="113">
        <f>IF($D989="","",IFERROR(INDEX(MUSTERILER!$C$7:$C$106,MATCH($D989,MUSTERILER!$B$7:$B$106,0)),"TANIMSIZ MÜŞTERİ"))</f>
        <v/>
      </c>
      <c r="F989" s="108" t="n"/>
      <c r="G989" s="107" t="n"/>
      <c r="H989" s="114" t="n"/>
      <c r="I989" s="114" t="n"/>
      <c r="J989" s="107" t="n"/>
      <c r="K989" s="107" t="n"/>
      <c r="L989" s="108" t="n"/>
      <c r="M989" s="108" t="n"/>
      <c r="N989" s="108" t="n"/>
      <c r="O989" s="114" t="n"/>
      <c r="P989" s="120">
        <f>IF(OR($D989="",$I989=""),"",IF(OR($J989="Tamamlandı",$J989="İptal"),"",$I989-TODAY()))</f>
        <v/>
      </c>
      <c r="Q989" s="112">
        <f>IF($D989="","",IF($E989="TANIMSIZ MÜŞTERİ","HATA",IF(OR($J989="Tamamlandı",$J989="İptal"),"KAPALI",IF(AND($C989="Görüşme",$N989=""),"SONRAKİ İŞLEM EKSİK",IF($I989="","TARİH EKSİK",IF($I989&lt;TODAY(),"GECİKMİŞ",IF($I989=TODAY(),"BUGÜN",IF($I989&lt;=TODAY()+7,"7 GÜN İÇİNDE","PLANLI"))))))))</f>
        <v/>
      </c>
      <c r="R989" s="6" t="n"/>
      <c r="S989" s="6" t="n"/>
    </row>
    <row r="990">
      <c r="A990" s="6" t="n"/>
      <c r="B990" s="112">
        <f>IF($D990="","","A"&amp;TEXT(ROW()-6,"00000"))</f>
        <v/>
      </c>
      <c r="C990" s="107" t="n"/>
      <c r="D990" s="107" t="n"/>
      <c r="E990" s="113">
        <f>IF($D990="","",IFERROR(INDEX(MUSTERILER!$C$7:$C$106,MATCH($D990,MUSTERILER!$B$7:$B$106,0)),"TANIMSIZ MÜŞTERİ"))</f>
        <v/>
      </c>
      <c r="F990" s="108" t="n"/>
      <c r="G990" s="107" t="n"/>
      <c r="H990" s="114" t="n"/>
      <c r="I990" s="114" t="n"/>
      <c r="J990" s="107" t="n"/>
      <c r="K990" s="107" t="n"/>
      <c r="L990" s="108" t="n"/>
      <c r="M990" s="108" t="n"/>
      <c r="N990" s="108" t="n"/>
      <c r="O990" s="114" t="n"/>
      <c r="P990" s="120">
        <f>IF(OR($D990="",$I990=""),"",IF(OR($J990="Tamamlandı",$J990="İptal"),"",$I990-TODAY()))</f>
        <v/>
      </c>
      <c r="Q990" s="112">
        <f>IF($D990="","",IF($E990="TANIMSIZ MÜŞTERİ","HATA",IF(OR($J990="Tamamlandı",$J990="İptal"),"KAPALI",IF(AND($C990="Görüşme",$N990=""),"SONRAKİ İŞLEM EKSİK",IF($I990="","TARİH EKSİK",IF($I990&lt;TODAY(),"GECİKMİŞ",IF($I990=TODAY(),"BUGÜN",IF($I990&lt;=TODAY()+7,"7 GÜN İÇİNDE","PLANLI"))))))))</f>
        <v/>
      </c>
      <c r="R990" s="6" t="n"/>
      <c r="S990" s="6" t="n"/>
    </row>
    <row r="991">
      <c r="A991" s="6" t="n"/>
      <c r="B991" s="112">
        <f>IF($D991="","","A"&amp;TEXT(ROW()-6,"00000"))</f>
        <v/>
      </c>
      <c r="C991" s="107" t="n"/>
      <c r="D991" s="107" t="n"/>
      <c r="E991" s="113">
        <f>IF($D991="","",IFERROR(INDEX(MUSTERILER!$C$7:$C$106,MATCH($D991,MUSTERILER!$B$7:$B$106,0)),"TANIMSIZ MÜŞTERİ"))</f>
        <v/>
      </c>
      <c r="F991" s="108" t="n"/>
      <c r="G991" s="107" t="n"/>
      <c r="H991" s="114" t="n"/>
      <c r="I991" s="114" t="n"/>
      <c r="J991" s="107" t="n"/>
      <c r="K991" s="107" t="n"/>
      <c r="L991" s="108" t="n"/>
      <c r="M991" s="108" t="n"/>
      <c r="N991" s="108" t="n"/>
      <c r="O991" s="114" t="n"/>
      <c r="P991" s="120">
        <f>IF(OR($D991="",$I991=""),"",IF(OR($J991="Tamamlandı",$J991="İptal"),"",$I991-TODAY()))</f>
        <v/>
      </c>
      <c r="Q991" s="112">
        <f>IF($D991="","",IF($E991="TANIMSIZ MÜŞTERİ","HATA",IF(OR($J991="Tamamlandı",$J991="İptal"),"KAPALI",IF(AND($C991="Görüşme",$N991=""),"SONRAKİ İŞLEM EKSİK",IF($I991="","TARİH EKSİK",IF($I991&lt;TODAY(),"GECİKMİŞ",IF($I991=TODAY(),"BUGÜN",IF($I991&lt;=TODAY()+7,"7 GÜN İÇİNDE","PLANLI"))))))))</f>
        <v/>
      </c>
      <c r="R991" s="6" t="n"/>
      <c r="S991" s="6" t="n"/>
    </row>
    <row r="992">
      <c r="A992" s="6" t="n"/>
      <c r="B992" s="112">
        <f>IF($D992="","","A"&amp;TEXT(ROW()-6,"00000"))</f>
        <v/>
      </c>
      <c r="C992" s="107" t="n"/>
      <c r="D992" s="107" t="n"/>
      <c r="E992" s="113">
        <f>IF($D992="","",IFERROR(INDEX(MUSTERILER!$C$7:$C$106,MATCH($D992,MUSTERILER!$B$7:$B$106,0)),"TANIMSIZ MÜŞTERİ"))</f>
        <v/>
      </c>
      <c r="F992" s="108" t="n"/>
      <c r="G992" s="107" t="n"/>
      <c r="H992" s="114" t="n"/>
      <c r="I992" s="114" t="n"/>
      <c r="J992" s="107" t="n"/>
      <c r="K992" s="107" t="n"/>
      <c r="L992" s="108" t="n"/>
      <c r="M992" s="108" t="n"/>
      <c r="N992" s="108" t="n"/>
      <c r="O992" s="114" t="n"/>
      <c r="P992" s="120">
        <f>IF(OR($D992="",$I992=""),"",IF(OR($J992="Tamamlandı",$J992="İptal"),"",$I992-TODAY()))</f>
        <v/>
      </c>
      <c r="Q992" s="112">
        <f>IF($D992="","",IF($E992="TANIMSIZ MÜŞTERİ","HATA",IF(OR($J992="Tamamlandı",$J992="İptal"),"KAPALI",IF(AND($C992="Görüşme",$N992=""),"SONRAKİ İŞLEM EKSİK",IF($I992="","TARİH EKSİK",IF($I992&lt;TODAY(),"GECİKMİŞ",IF($I992=TODAY(),"BUGÜN",IF($I992&lt;=TODAY()+7,"7 GÜN İÇİNDE","PLANLI"))))))))</f>
        <v/>
      </c>
      <c r="R992" s="6" t="n"/>
      <c r="S992" s="6" t="n"/>
    </row>
    <row r="993">
      <c r="A993" s="6" t="n"/>
      <c r="B993" s="112">
        <f>IF($D993="","","A"&amp;TEXT(ROW()-6,"00000"))</f>
        <v/>
      </c>
      <c r="C993" s="107" t="n"/>
      <c r="D993" s="107" t="n"/>
      <c r="E993" s="113">
        <f>IF($D993="","",IFERROR(INDEX(MUSTERILER!$C$7:$C$106,MATCH($D993,MUSTERILER!$B$7:$B$106,0)),"TANIMSIZ MÜŞTERİ"))</f>
        <v/>
      </c>
      <c r="F993" s="108" t="n"/>
      <c r="G993" s="107" t="n"/>
      <c r="H993" s="114" t="n"/>
      <c r="I993" s="114" t="n"/>
      <c r="J993" s="107" t="n"/>
      <c r="K993" s="107" t="n"/>
      <c r="L993" s="108" t="n"/>
      <c r="M993" s="108" t="n"/>
      <c r="N993" s="108" t="n"/>
      <c r="O993" s="114" t="n"/>
      <c r="P993" s="120">
        <f>IF(OR($D993="",$I993=""),"",IF(OR($J993="Tamamlandı",$J993="İptal"),"",$I993-TODAY()))</f>
        <v/>
      </c>
      <c r="Q993" s="112">
        <f>IF($D993="","",IF($E993="TANIMSIZ MÜŞTERİ","HATA",IF(OR($J993="Tamamlandı",$J993="İptal"),"KAPALI",IF(AND($C993="Görüşme",$N993=""),"SONRAKİ İŞLEM EKSİK",IF($I993="","TARİH EKSİK",IF($I993&lt;TODAY(),"GECİKMİŞ",IF($I993=TODAY(),"BUGÜN",IF($I993&lt;=TODAY()+7,"7 GÜN İÇİNDE","PLANLI"))))))))</f>
        <v/>
      </c>
      <c r="R993" s="6" t="n"/>
      <c r="S993" s="6" t="n"/>
    </row>
    <row r="994">
      <c r="A994" s="6" t="n"/>
      <c r="B994" s="112">
        <f>IF($D994="","","A"&amp;TEXT(ROW()-6,"00000"))</f>
        <v/>
      </c>
      <c r="C994" s="107" t="n"/>
      <c r="D994" s="107" t="n"/>
      <c r="E994" s="113">
        <f>IF($D994="","",IFERROR(INDEX(MUSTERILER!$C$7:$C$106,MATCH($D994,MUSTERILER!$B$7:$B$106,0)),"TANIMSIZ MÜŞTERİ"))</f>
        <v/>
      </c>
      <c r="F994" s="108" t="n"/>
      <c r="G994" s="107" t="n"/>
      <c r="H994" s="114" t="n"/>
      <c r="I994" s="114" t="n"/>
      <c r="J994" s="107" t="n"/>
      <c r="K994" s="107" t="n"/>
      <c r="L994" s="108" t="n"/>
      <c r="M994" s="108" t="n"/>
      <c r="N994" s="108" t="n"/>
      <c r="O994" s="114" t="n"/>
      <c r="P994" s="120">
        <f>IF(OR($D994="",$I994=""),"",IF(OR($J994="Tamamlandı",$J994="İptal"),"",$I994-TODAY()))</f>
        <v/>
      </c>
      <c r="Q994" s="112">
        <f>IF($D994="","",IF($E994="TANIMSIZ MÜŞTERİ","HATA",IF(OR($J994="Tamamlandı",$J994="İptal"),"KAPALI",IF(AND($C994="Görüşme",$N994=""),"SONRAKİ İŞLEM EKSİK",IF($I994="","TARİH EKSİK",IF($I994&lt;TODAY(),"GECİKMİŞ",IF($I994=TODAY(),"BUGÜN",IF($I994&lt;=TODAY()+7,"7 GÜN İÇİNDE","PLANLI"))))))))</f>
        <v/>
      </c>
      <c r="R994" s="6" t="n"/>
      <c r="S994" s="6" t="n"/>
    </row>
    <row r="995">
      <c r="A995" s="6" t="n"/>
      <c r="B995" s="112">
        <f>IF($D995="","","A"&amp;TEXT(ROW()-6,"00000"))</f>
        <v/>
      </c>
      <c r="C995" s="107" t="n"/>
      <c r="D995" s="107" t="n"/>
      <c r="E995" s="113">
        <f>IF($D995="","",IFERROR(INDEX(MUSTERILER!$C$7:$C$106,MATCH($D995,MUSTERILER!$B$7:$B$106,0)),"TANIMSIZ MÜŞTERİ"))</f>
        <v/>
      </c>
      <c r="F995" s="108" t="n"/>
      <c r="G995" s="107" t="n"/>
      <c r="H995" s="114" t="n"/>
      <c r="I995" s="114" t="n"/>
      <c r="J995" s="107" t="n"/>
      <c r="K995" s="107" t="n"/>
      <c r="L995" s="108" t="n"/>
      <c r="M995" s="108" t="n"/>
      <c r="N995" s="108" t="n"/>
      <c r="O995" s="114" t="n"/>
      <c r="P995" s="120">
        <f>IF(OR($D995="",$I995=""),"",IF(OR($J995="Tamamlandı",$J995="İptal"),"",$I995-TODAY()))</f>
        <v/>
      </c>
      <c r="Q995" s="112">
        <f>IF($D995="","",IF($E995="TANIMSIZ MÜŞTERİ","HATA",IF(OR($J995="Tamamlandı",$J995="İptal"),"KAPALI",IF(AND($C995="Görüşme",$N995=""),"SONRAKİ İŞLEM EKSİK",IF($I995="","TARİH EKSİK",IF($I995&lt;TODAY(),"GECİKMİŞ",IF($I995=TODAY(),"BUGÜN",IF($I995&lt;=TODAY()+7,"7 GÜN İÇİNDE","PLANLI"))))))))</f>
        <v/>
      </c>
      <c r="R995" s="6" t="n"/>
      <c r="S995" s="6" t="n"/>
    </row>
    <row r="996">
      <c r="A996" s="6" t="n"/>
      <c r="B996" s="112">
        <f>IF($D996="","","A"&amp;TEXT(ROW()-6,"00000"))</f>
        <v/>
      </c>
      <c r="C996" s="107" t="n"/>
      <c r="D996" s="107" t="n"/>
      <c r="E996" s="113">
        <f>IF($D996="","",IFERROR(INDEX(MUSTERILER!$C$7:$C$106,MATCH($D996,MUSTERILER!$B$7:$B$106,0)),"TANIMSIZ MÜŞTERİ"))</f>
        <v/>
      </c>
      <c r="F996" s="108" t="n"/>
      <c r="G996" s="107" t="n"/>
      <c r="H996" s="114" t="n"/>
      <c r="I996" s="114" t="n"/>
      <c r="J996" s="107" t="n"/>
      <c r="K996" s="107" t="n"/>
      <c r="L996" s="108" t="n"/>
      <c r="M996" s="108" t="n"/>
      <c r="N996" s="108" t="n"/>
      <c r="O996" s="114" t="n"/>
      <c r="P996" s="120">
        <f>IF(OR($D996="",$I996=""),"",IF(OR($J996="Tamamlandı",$J996="İptal"),"",$I996-TODAY()))</f>
        <v/>
      </c>
      <c r="Q996" s="112">
        <f>IF($D996="","",IF($E996="TANIMSIZ MÜŞTERİ","HATA",IF(OR($J996="Tamamlandı",$J996="İptal"),"KAPALI",IF(AND($C996="Görüşme",$N996=""),"SONRAKİ İŞLEM EKSİK",IF($I996="","TARİH EKSİK",IF($I996&lt;TODAY(),"GECİKMİŞ",IF($I996=TODAY(),"BUGÜN",IF($I996&lt;=TODAY()+7,"7 GÜN İÇİNDE","PLANLI"))))))))</f>
        <v/>
      </c>
      <c r="R996" s="6" t="n"/>
      <c r="S996" s="6" t="n"/>
    </row>
    <row r="997">
      <c r="A997" s="6" t="n"/>
      <c r="B997" s="112">
        <f>IF($D997="","","A"&amp;TEXT(ROW()-6,"00000"))</f>
        <v/>
      </c>
      <c r="C997" s="107" t="n"/>
      <c r="D997" s="107" t="n"/>
      <c r="E997" s="113">
        <f>IF($D997="","",IFERROR(INDEX(MUSTERILER!$C$7:$C$106,MATCH($D997,MUSTERILER!$B$7:$B$106,0)),"TANIMSIZ MÜŞTERİ"))</f>
        <v/>
      </c>
      <c r="F997" s="108" t="n"/>
      <c r="G997" s="107" t="n"/>
      <c r="H997" s="114" t="n"/>
      <c r="I997" s="114" t="n"/>
      <c r="J997" s="107" t="n"/>
      <c r="K997" s="107" t="n"/>
      <c r="L997" s="108" t="n"/>
      <c r="M997" s="108" t="n"/>
      <c r="N997" s="108" t="n"/>
      <c r="O997" s="114" t="n"/>
      <c r="P997" s="120">
        <f>IF(OR($D997="",$I997=""),"",IF(OR($J997="Tamamlandı",$J997="İptal"),"",$I997-TODAY()))</f>
        <v/>
      </c>
      <c r="Q997" s="112">
        <f>IF($D997="","",IF($E997="TANIMSIZ MÜŞTERİ","HATA",IF(OR($J997="Tamamlandı",$J997="İptal"),"KAPALI",IF(AND($C997="Görüşme",$N997=""),"SONRAKİ İŞLEM EKSİK",IF($I997="","TARİH EKSİK",IF($I997&lt;TODAY(),"GECİKMİŞ",IF($I997=TODAY(),"BUGÜN",IF($I997&lt;=TODAY()+7,"7 GÜN İÇİNDE","PLANLI"))))))))</f>
        <v/>
      </c>
      <c r="R997" s="6" t="n"/>
      <c r="S997" s="6" t="n"/>
    </row>
    <row r="998">
      <c r="A998" s="6" t="n"/>
      <c r="B998" s="112">
        <f>IF($D998="","","A"&amp;TEXT(ROW()-6,"00000"))</f>
        <v/>
      </c>
      <c r="C998" s="107" t="n"/>
      <c r="D998" s="107" t="n"/>
      <c r="E998" s="113">
        <f>IF($D998="","",IFERROR(INDEX(MUSTERILER!$C$7:$C$106,MATCH($D998,MUSTERILER!$B$7:$B$106,0)),"TANIMSIZ MÜŞTERİ"))</f>
        <v/>
      </c>
      <c r="F998" s="108" t="n"/>
      <c r="G998" s="107" t="n"/>
      <c r="H998" s="114" t="n"/>
      <c r="I998" s="114" t="n"/>
      <c r="J998" s="107" t="n"/>
      <c r="K998" s="107" t="n"/>
      <c r="L998" s="108" t="n"/>
      <c r="M998" s="108" t="n"/>
      <c r="N998" s="108" t="n"/>
      <c r="O998" s="114" t="n"/>
      <c r="P998" s="120">
        <f>IF(OR($D998="",$I998=""),"",IF(OR($J998="Tamamlandı",$J998="İptal"),"",$I998-TODAY()))</f>
        <v/>
      </c>
      <c r="Q998" s="112">
        <f>IF($D998="","",IF($E998="TANIMSIZ MÜŞTERİ","HATA",IF(OR($J998="Tamamlandı",$J998="İptal"),"KAPALI",IF(AND($C998="Görüşme",$N998=""),"SONRAKİ İŞLEM EKSİK",IF($I998="","TARİH EKSİK",IF($I998&lt;TODAY(),"GECİKMİŞ",IF($I998=TODAY(),"BUGÜN",IF($I998&lt;=TODAY()+7,"7 GÜN İÇİNDE","PLANLI"))))))))</f>
        <v/>
      </c>
      <c r="R998" s="6" t="n"/>
      <c r="S998" s="6" t="n"/>
    </row>
    <row r="999">
      <c r="A999" s="6" t="n"/>
      <c r="B999" s="112">
        <f>IF($D999="","","A"&amp;TEXT(ROW()-6,"00000"))</f>
        <v/>
      </c>
      <c r="C999" s="107" t="n"/>
      <c r="D999" s="107" t="n"/>
      <c r="E999" s="113">
        <f>IF($D999="","",IFERROR(INDEX(MUSTERILER!$C$7:$C$106,MATCH($D999,MUSTERILER!$B$7:$B$106,0)),"TANIMSIZ MÜŞTERİ"))</f>
        <v/>
      </c>
      <c r="F999" s="108" t="n"/>
      <c r="G999" s="107" t="n"/>
      <c r="H999" s="114" t="n"/>
      <c r="I999" s="114" t="n"/>
      <c r="J999" s="107" t="n"/>
      <c r="K999" s="107" t="n"/>
      <c r="L999" s="108" t="n"/>
      <c r="M999" s="108" t="n"/>
      <c r="N999" s="108" t="n"/>
      <c r="O999" s="114" t="n"/>
      <c r="P999" s="120">
        <f>IF(OR($D999="",$I999=""),"",IF(OR($J999="Tamamlandı",$J999="İptal"),"",$I999-TODAY()))</f>
        <v/>
      </c>
      <c r="Q999" s="112">
        <f>IF($D999="","",IF($E999="TANIMSIZ MÜŞTERİ","HATA",IF(OR($J999="Tamamlandı",$J999="İptal"),"KAPALI",IF(AND($C999="Görüşme",$N999=""),"SONRAKİ İŞLEM EKSİK",IF($I999="","TARİH EKSİK",IF($I999&lt;TODAY(),"GECİKMİŞ",IF($I999=TODAY(),"BUGÜN",IF($I999&lt;=TODAY()+7,"7 GÜN İÇİNDE","PLANLI"))))))))</f>
        <v/>
      </c>
      <c r="R999" s="6" t="n"/>
      <c r="S999" s="6" t="n"/>
    </row>
    <row r="1000">
      <c r="A1000" s="6" t="n"/>
      <c r="B1000" s="112">
        <f>IF($D1000="","","A"&amp;TEXT(ROW()-6,"00000"))</f>
        <v/>
      </c>
      <c r="C1000" s="107" t="n"/>
      <c r="D1000" s="107" t="n"/>
      <c r="E1000" s="113">
        <f>IF($D1000="","",IFERROR(INDEX(MUSTERILER!$C$7:$C$106,MATCH($D1000,MUSTERILER!$B$7:$B$106,0)),"TANIMSIZ MÜŞTERİ"))</f>
        <v/>
      </c>
      <c r="F1000" s="108" t="n"/>
      <c r="G1000" s="107" t="n"/>
      <c r="H1000" s="114" t="n"/>
      <c r="I1000" s="114" t="n"/>
      <c r="J1000" s="107" t="n"/>
      <c r="K1000" s="107" t="n"/>
      <c r="L1000" s="108" t="n"/>
      <c r="M1000" s="108" t="n"/>
      <c r="N1000" s="108" t="n"/>
      <c r="O1000" s="114" t="n"/>
      <c r="P1000" s="120">
        <f>IF(OR($D1000="",$I1000=""),"",IF(OR($J1000="Tamamlandı",$J1000="İptal"),"",$I1000-TODAY()))</f>
        <v/>
      </c>
      <c r="Q1000" s="112">
        <f>IF($D1000="","",IF($E1000="TANIMSIZ MÜŞTERİ","HATA",IF(OR($J1000="Tamamlandı",$J1000="İptal"),"KAPALI",IF(AND($C1000="Görüşme",$N1000=""),"SONRAKİ İŞLEM EKSİK",IF($I1000="","TARİH EKSİK",IF($I1000&lt;TODAY(),"GECİKMİŞ",IF($I1000=TODAY(),"BUGÜN",IF($I1000&lt;=TODAY()+7,"7 GÜN İÇİNDE","PLANLI"))))))))</f>
        <v/>
      </c>
      <c r="R1000" s="6" t="n"/>
      <c r="S1000" s="6" t="n"/>
    </row>
    <row r="1001">
      <c r="A1001" s="6" t="n"/>
      <c r="B1001" s="112">
        <f>IF($D1001="","","A"&amp;TEXT(ROW()-6,"00000"))</f>
        <v/>
      </c>
      <c r="C1001" s="107" t="n"/>
      <c r="D1001" s="107" t="n"/>
      <c r="E1001" s="113">
        <f>IF($D1001="","",IFERROR(INDEX(MUSTERILER!$C$7:$C$106,MATCH($D1001,MUSTERILER!$B$7:$B$106,0)),"TANIMSIZ MÜŞTERİ"))</f>
        <v/>
      </c>
      <c r="F1001" s="108" t="n"/>
      <c r="G1001" s="107" t="n"/>
      <c r="H1001" s="114" t="n"/>
      <c r="I1001" s="114" t="n"/>
      <c r="J1001" s="107" t="n"/>
      <c r="K1001" s="107" t="n"/>
      <c r="L1001" s="108" t="n"/>
      <c r="M1001" s="108" t="n"/>
      <c r="N1001" s="108" t="n"/>
      <c r="O1001" s="114" t="n"/>
      <c r="P1001" s="120">
        <f>IF(OR($D1001="",$I1001=""),"",IF(OR($J1001="Tamamlandı",$J1001="İptal"),"",$I1001-TODAY()))</f>
        <v/>
      </c>
      <c r="Q1001" s="112">
        <f>IF($D1001="","",IF($E1001="TANIMSIZ MÜŞTERİ","HATA",IF(OR($J1001="Tamamlandı",$J1001="İptal"),"KAPALI",IF(AND($C1001="Görüşme",$N1001=""),"SONRAKİ İŞLEM EKSİK",IF($I1001="","TARİH EKSİK",IF($I1001&lt;TODAY(),"GECİKMİŞ",IF($I1001=TODAY(),"BUGÜN",IF($I1001&lt;=TODAY()+7,"7 GÜN İÇİNDE","PLANLI"))))))))</f>
        <v/>
      </c>
      <c r="R1001" s="6" t="n"/>
      <c r="S1001" s="6" t="n"/>
    </row>
    <row r="1002">
      <c r="A1002" s="6" t="n"/>
      <c r="B1002" s="112">
        <f>IF($D1002="","","A"&amp;TEXT(ROW()-6,"00000"))</f>
        <v/>
      </c>
      <c r="C1002" s="107" t="n"/>
      <c r="D1002" s="107" t="n"/>
      <c r="E1002" s="113">
        <f>IF($D1002="","",IFERROR(INDEX(MUSTERILER!$C$7:$C$106,MATCH($D1002,MUSTERILER!$B$7:$B$106,0)),"TANIMSIZ MÜŞTERİ"))</f>
        <v/>
      </c>
      <c r="F1002" s="108" t="n"/>
      <c r="G1002" s="107" t="n"/>
      <c r="H1002" s="114" t="n"/>
      <c r="I1002" s="114" t="n"/>
      <c r="J1002" s="107" t="n"/>
      <c r="K1002" s="107" t="n"/>
      <c r="L1002" s="108" t="n"/>
      <c r="M1002" s="108" t="n"/>
      <c r="N1002" s="108" t="n"/>
      <c r="O1002" s="114" t="n"/>
      <c r="P1002" s="120">
        <f>IF(OR($D1002="",$I1002=""),"",IF(OR($J1002="Tamamlandı",$J1002="İptal"),"",$I1002-TODAY()))</f>
        <v/>
      </c>
      <c r="Q1002" s="112">
        <f>IF($D1002="","",IF($E1002="TANIMSIZ MÜŞTERİ","HATA",IF(OR($J1002="Tamamlandı",$J1002="İptal"),"KAPALI",IF(AND($C1002="Görüşme",$N1002=""),"SONRAKİ İŞLEM EKSİK",IF($I1002="","TARİH EKSİK",IF($I1002&lt;TODAY(),"GECİKMİŞ",IF($I1002=TODAY(),"BUGÜN",IF($I1002&lt;=TODAY()+7,"7 GÜN İÇİNDE","PLANLI"))))))))</f>
        <v/>
      </c>
      <c r="R1002" s="6" t="n"/>
      <c r="S1002" s="6" t="n"/>
    </row>
    <row r="1003">
      <c r="A1003" s="6" t="n"/>
      <c r="B1003" s="112">
        <f>IF($D1003="","","A"&amp;TEXT(ROW()-6,"00000"))</f>
        <v/>
      </c>
      <c r="C1003" s="107" t="n"/>
      <c r="D1003" s="107" t="n"/>
      <c r="E1003" s="113">
        <f>IF($D1003="","",IFERROR(INDEX(MUSTERILER!$C$7:$C$106,MATCH($D1003,MUSTERILER!$B$7:$B$106,0)),"TANIMSIZ MÜŞTERİ"))</f>
        <v/>
      </c>
      <c r="F1003" s="108" t="n"/>
      <c r="G1003" s="107" t="n"/>
      <c r="H1003" s="114" t="n"/>
      <c r="I1003" s="114" t="n"/>
      <c r="J1003" s="107" t="n"/>
      <c r="K1003" s="107" t="n"/>
      <c r="L1003" s="108" t="n"/>
      <c r="M1003" s="108" t="n"/>
      <c r="N1003" s="108" t="n"/>
      <c r="O1003" s="114" t="n"/>
      <c r="P1003" s="120">
        <f>IF(OR($D1003="",$I1003=""),"",IF(OR($J1003="Tamamlandı",$J1003="İptal"),"",$I1003-TODAY()))</f>
        <v/>
      </c>
      <c r="Q1003" s="112">
        <f>IF($D1003="","",IF($E1003="TANIMSIZ MÜŞTERİ","HATA",IF(OR($J1003="Tamamlandı",$J1003="İptal"),"KAPALI",IF(AND($C1003="Görüşme",$N1003=""),"SONRAKİ İŞLEM EKSİK",IF($I1003="","TARİH EKSİK",IF($I1003&lt;TODAY(),"GECİKMİŞ",IF($I1003=TODAY(),"BUGÜN",IF($I1003&lt;=TODAY()+7,"7 GÜN İÇİNDE","PLANLI"))))))))</f>
        <v/>
      </c>
      <c r="R1003" s="6" t="n"/>
      <c r="S1003" s="6" t="n"/>
    </row>
    <row r="1004">
      <c r="A1004" s="6" t="n"/>
      <c r="B1004" s="112">
        <f>IF($D1004="","","A"&amp;TEXT(ROW()-6,"00000"))</f>
        <v/>
      </c>
      <c r="C1004" s="107" t="n"/>
      <c r="D1004" s="107" t="n"/>
      <c r="E1004" s="113">
        <f>IF($D1004="","",IFERROR(INDEX(MUSTERILER!$C$7:$C$106,MATCH($D1004,MUSTERILER!$B$7:$B$106,0)),"TANIMSIZ MÜŞTERİ"))</f>
        <v/>
      </c>
      <c r="F1004" s="108" t="n"/>
      <c r="G1004" s="107" t="n"/>
      <c r="H1004" s="114" t="n"/>
      <c r="I1004" s="114" t="n"/>
      <c r="J1004" s="107" t="n"/>
      <c r="K1004" s="107" t="n"/>
      <c r="L1004" s="108" t="n"/>
      <c r="M1004" s="108" t="n"/>
      <c r="N1004" s="108" t="n"/>
      <c r="O1004" s="114" t="n"/>
      <c r="P1004" s="120">
        <f>IF(OR($D1004="",$I1004=""),"",IF(OR($J1004="Tamamlandı",$J1004="İptal"),"",$I1004-TODAY()))</f>
        <v/>
      </c>
      <c r="Q1004" s="112">
        <f>IF($D1004="","",IF($E1004="TANIMSIZ MÜŞTERİ","HATA",IF(OR($J1004="Tamamlandı",$J1004="İptal"),"KAPALI",IF(AND($C1004="Görüşme",$N1004=""),"SONRAKİ İŞLEM EKSİK",IF($I1004="","TARİH EKSİK",IF($I1004&lt;TODAY(),"GECİKMİŞ",IF($I1004=TODAY(),"BUGÜN",IF($I1004&lt;=TODAY()+7,"7 GÜN İÇİNDE","PLANLI"))))))))</f>
        <v/>
      </c>
      <c r="R1004" s="6" t="n"/>
      <c r="S1004" s="6" t="n"/>
    </row>
    <row r="1005">
      <c r="A1005" s="6" t="n"/>
      <c r="B1005" s="112">
        <f>IF($D1005="","","A"&amp;TEXT(ROW()-6,"00000"))</f>
        <v/>
      </c>
      <c r="C1005" s="107" t="n"/>
      <c r="D1005" s="107" t="n"/>
      <c r="E1005" s="113">
        <f>IF($D1005="","",IFERROR(INDEX(MUSTERILER!$C$7:$C$106,MATCH($D1005,MUSTERILER!$B$7:$B$106,0)),"TANIMSIZ MÜŞTERİ"))</f>
        <v/>
      </c>
      <c r="F1005" s="108" t="n"/>
      <c r="G1005" s="107" t="n"/>
      <c r="H1005" s="114" t="n"/>
      <c r="I1005" s="114" t="n"/>
      <c r="J1005" s="107" t="n"/>
      <c r="K1005" s="107" t="n"/>
      <c r="L1005" s="108" t="n"/>
      <c r="M1005" s="108" t="n"/>
      <c r="N1005" s="108" t="n"/>
      <c r="O1005" s="114" t="n"/>
      <c r="P1005" s="120">
        <f>IF(OR($D1005="",$I1005=""),"",IF(OR($J1005="Tamamlandı",$J1005="İptal"),"",$I1005-TODAY()))</f>
        <v/>
      </c>
      <c r="Q1005" s="112">
        <f>IF($D1005="","",IF($E1005="TANIMSIZ MÜŞTERİ","HATA",IF(OR($J1005="Tamamlandı",$J1005="İptal"),"KAPALI",IF(AND($C1005="Görüşme",$N1005=""),"SONRAKİ İŞLEM EKSİK",IF($I1005="","TARİH EKSİK",IF($I1005&lt;TODAY(),"GECİKMİŞ",IF($I1005=TODAY(),"BUGÜN",IF($I1005&lt;=TODAY()+7,"7 GÜN İÇİNDE","PLANLI"))))))))</f>
        <v/>
      </c>
      <c r="R1005" s="6" t="n"/>
      <c r="S1005" s="6" t="n"/>
    </row>
    <row r="1006">
      <c r="A1006" s="6" t="n"/>
      <c r="B1006" s="112">
        <f>IF($D1006="","","A"&amp;TEXT(ROW()-6,"00000"))</f>
        <v/>
      </c>
      <c r="C1006" s="107" t="n"/>
      <c r="D1006" s="107" t="n"/>
      <c r="E1006" s="113">
        <f>IF($D1006="","",IFERROR(INDEX(MUSTERILER!$C$7:$C$106,MATCH($D1006,MUSTERILER!$B$7:$B$106,0)),"TANIMSIZ MÜŞTERİ"))</f>
        <v/>
      </c>
      <c r="F1006" s="108" t="n"/>
      <c r="G1006" s="107" t="n"/>
      <c r="H1006" s="114" t="n"/>
      <c r="I1006" s="114" t="n"/>
      <c r="J1006" s="107" t="n"/>
      <c r="K1006" s="107" t="n"/>
      <c r="L1006" s="108" t="n"/>
      <c r="M1006" s="108" t="n"/>
      <c r="N1006" s="108" t="n"/>
      <c r="O1006" s="114" t="n"/>
      <c r="P1006" s="120">
        <f>IF(OR($D1006="",$I1006=""),"",IF(OR($J1006="Tamamlandı",$J1006="İptal"),"",$I1006-TODAY()))</f>
        <v/>
      </c>
      <c r="Q1006" s="112">
        <f>IF($D1006="","",IF($E1006="TANIMSIZ MÜŞTERİ","HATA",IF(OR($J1006="Tamamlandı",$J1006="İptal"),"KAPALI",IF(AND($C1006="Görüşme",$N1006=""),"SONRAKİ İŞLEM EKSİK",IF($I1006="","TARİH EKSİK",IF($I1006&lt;TODAY(),"GECİKMİŞ",IF($I1006=TODAY(),"BUGÜN",IF($I1006&lt;=TODAY()+7,"7 GÜN İÇİNDE","PLANLI"))))))))</f>
        <v/>
      </c>
      <c r="R1006" s="6" t="n"/>
      <c r="S1006" s="6" t="n"/>
    </row>
    <row r="1007">
      <c r="A1007" s="6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6" t="n"/>
      <c r="S1007" s="6" t="n"/>
    </row>
    <row r="1008">
      <c r="A1008" s="6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6" t="n"/>
      <c r="S10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Q1006"/>
  <mergeCells count="2">
    <mergeCell ref="A2:R2"/>
    <mergeCell ref="A1:R1"/>
  </mergeCells>
  <conditionalFormatting sqref="Q7:Q1006">
    <cfRule type="expression" priority="1" dxfId="5" stopIfTrue="1">
      <formula>EXACT($Q7,"GECİKMİŞ")</formula>
    </cfRule>
    <cfRule type="expression" priority="2" dxfId="4" stopIfTrue="1">
      <formula>EXACT($Q7,"BUGÜN")</formula>
    </cfRule>
    <cfRule type="expression" priority="3" dxfId="7" stopIfTrue="1">
      <formula>EXACT($Q7,"7 GÜN İÇİNDE")</formula>
    </cfRule>
    <cfRule type="expression" priority="4" dxfId="6" stopIfTrue="1">
      <formula>EXACT($Q7,"PLANLI")</formula>
    </cfRule>
    <cfRule type="expression" priority="5" dxfId="3" stopIfTrue="1">
      <formula>EXACT($Q7,"KAPALI")</formula>
    </cfRule>
    <cfRule type="expression" priority="6" dxfId="5" stopIfTrue="1">
      <formula>EXACT($Q7,"HATA")</formula>
    </cfRule>
    <cfRule type="expression" priority="7" dxfId="4" stopIfTrue="1">
      <formula>EXACT($Q7,"TARİH EKSİK")</formula>
    </cfRule>
    <cfRule type="expression" priority="8" dxfId="4" stopIfTrue="1">
      <formula>EXACT($Q7,"SONRAKİ İŞLEM EKSİK")</formula>
    </cfRule>
  </conditionalFormatting>
  <conditionalFormatting sqref="P7:P1006">
    <cfRule type="cellIs" priority="9" operator="lessThan" dxfId="8">
      <formula>0</formula>
    </cfRule>
  </conditionalFormatting>
  <dataValidations count="3">
    <dataValidation sqref="C7:C1006" showDropDown="0" showInputMessage="0" showErrorMessage="1" allowBlank="1" errorTitle="Geçersiz tür" error="İş veya Görüşme seçin." type="list">
      <formula1>"İş,Görüşme"</formula1>
    </dataValidation>
    <dataValidation sqref="J7:J1006" showDropDown="0" showInputMessage="0" showErrorMessage="1" allowBlank="1" errorTitle="Geçersiz durum" error="Listeden seçin." type="list">
      <formula1>"Planlandı,Devam Ediyor,Beklemede,Tamamlandı,İptal"</formula1>
    </dataValidation>
    <dataValidation sqref="K7:K1006" showDropDown="0" showInputMessage="0" showErrorMessage="1" allowBlank="1" errorTitle="Geçersiz öncelik" error="Listeden seçin." type="list">
      <formula1>"Yüksek,Orta,Düşük"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AD108"/>
  <sheetViews>
    <sheetView showGridLines="0" tabSelected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4" customWidth="1" min="4" max="4"/>
    <col width="15" customWidth="1" min="5" max="5"/>
    <col width="15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3" customWidth="1" min="15" max="15"/>
    <col width="17" customWidth="1" min="16" max="16"/>
    <col width="34" customWidth="1" min="17" max="17"/>
    <col width="11" customWidth="1" min="18" max="18"/>
    <col width="13" customWidth="1" min="19" max="19"/>
    <col width="13" customWidth="1" min="20" max="20"/>
    <col width="12" customWidth="1" min="21" max="21"/>
    <col width="2.4" customWidth="1" min="22" max="22"/>
    <col hidden="1" width="2.4" customWidth="1" min="23" max="23"/>
    <col hidden="1" width="12" customWidth="1" min="24" max="24"/>
    <col hidden="1" width="12" customWidth="1" min="25" max="25"/>
    <col hidden="1" width="12" customWidth="1" min="26" max="26"/>
    <col hidden="1" width="12" customWidth="1" min="27" max="27"/>
    <col hidden="1" width="12" customWidth="1" min="28" max="28"/>
    <col hidden="1" width="12" customWidth="1" min="29" max="29"/>
    <col hidden="1" width="12" customWidth="1" min="30" max="30"/>
  </cols>
  <sheetData>
    <row r="1" ht="38" customHeight="1">
      <c r="A1" s="1" t="inlineStr">
        <is>
          <t>NECATİBEY OFİS YÖNETİM SİSTEMİ   │   MÜŞTERİ 360  │  CARİ, YAŞLANDIRMA VE TAHAKKUK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45" t="n"/>
      <c r="W1" s="45" t="n"/>
      <c r="X1" s="3" t="n"/>
      <c r="Y1" s="3" t="n"/>
      <c r="Z1" s="3" t="n"/>
      <c r="AA1" s="3" t="n"/>
      <c r="AB1" s="3" t="n"/>
      <c r="AC1" s="3" t="n"/>
      <c r="AD1" s="3" t="n"/>
    </row>
    <row r="2" ht="22" customHeight="1">
      <c r="A2" s="4" t="inlineStr">
        <is>
          <t>Bu ekrana veri girilmez │ Tüm değerler müşteri, ücret ve tahsilat kayıtlarından hesaplanır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46" t="n"/>
      <c r="W2" s="46" t="n"/>
      <c r="X2" s="3" t="n"/>
      <c r="Y2" s="3" t="n"/>
      <c r="Z2" s="3" t="n"/>
      <c r="AA2" s="3" t="n"/>
      <c r="AB2" s="3" t="n"/>
      <c r="AC2" s="3" t="n"/>
      <c r="AD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3" t="n"/>
      <c r="Y3" s="3" t="n"/>
      <c r="Z3" s="3" t="n"/>
      <c r="AA3" s="3" t="n"/>
      <c r="AB3" s="3" t="n"/>
      <c r="AC3" s="3" t="n"/>
      <c r="AD3" s="3" t="n"/>
    </row>
    <row r="4" ht="20" customHeight="1">
      <c r="A4" s="6" t="n"/>
      <c r="B4" s="47">
        <f>HYPERLINK("#PANO!A1","←  PANO")</f>
        <v/>
      </c>
      <c r="C4" s="6" t="n"/>
      <c r="D4" s="98">
        <f>HYPERLINK("#TAHSILAT!A1","Tahsilat")</f>
        <v/>
      </c>
      <c r="E4" s="6" t="n"/>
      <c r="F4" s="98">
        <f>HYPERLINK("#MUSTERILER!A1","Müşteriler")</f>
        <v/>
      </c>
      <c r="G4" s="6" t="n"/>
      <c r="H4" s="99" t="inlineStr">
        <is>
          <t>Sarı hücreler veri girişidir. Beyaz hücreler sistem tarafından hesaplanır ve kilitlidir. Yaşlandırma en eski borçtan kapatma esasına göre hesaplanır.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3" t="n"/>
      <c r="Y4" s="3" t="n"/>
      <c r="Z4" s="3" t="n"/>
      <c r="AA4" s="3" t="n"/>
      <c r="AB4" s="3" t="n"/>
      <c r="AC4" s="3" t="n"/>
      <c r="AD4" s="3" t="n"/>
    </row>
    <row r="5" ht="26" customHeight="1">
      <c r="A5" s="6" t="n"/>
      <c r="B5" s="100" t="n"/>
      <c r="C5" s="101" t="inlineStr">
        <is>
          <t>TOPLAM  │  Portföy</t>
        </is>
      </c>
      <c r="D5" s="100" t="n"/>
      <c r="E5" s="103">
        <f>SUM(E7:E106)</f>
        <v/>
      </c>
      <c r="F5" s="103">
        <f>SUM(F7:F106)</f>
        <v/>
      </c>
      <c r="G5" s="103">
        <f>SUM(G7:G106)</f>
        <v/>
      </c>
      <c r="H5" s="103">
        <f>SUM(H7:H106)</f>
        <v/>
      </c>
      <c r="I5" s="103">
        <f>SUM(I7:I106)</f>
        <v/>
      </c>
      <c r="J5" s="103">
        <f>SUM(J7:J106)</f>
        <v/>
      </c>
      <c r="K5" s="103">
        <f>SUM(K7:K106)</f>
        <v/>
      </c>
      <c r="L5" s="103">
        <f>SUM(L7:L106)</f>
        <v/>
      </c>
      <c r="M5" s="103">
        <f>SUM(M7:M106)</f>
        <v/>
      </c>
      <c r="N5" s="121">
        <f>IFERROR($H$5/$G$5,0)</f>
        <v/>
      </c>
      <c r="O5" s="100" t="n"/>
      <c r="P5" s="100" t="n"/>
      <c r="Q5" s="100" t="n"/>
      <c r="R5" s="100" t="n"/>
      <c r="S5" s="100" t="n"/>
      <c r="T5" s="100" t="n"/>
      <c r="U5" s="100" t="n"/>
      <c r="V5" s="6" t="n"/>
      <c r="W5" s="6" t="n"/>
      <c r="X5" s="3" t="n"/>
      <c r="Y5" s="3" t="n"/>
      <c r="Z5" s="3" t="n"/>
      <c r="AA5" s="3" t="n"/>
      <c r="AB5" s="3" t="n"/>
      <c r="AC5" s="3" t="n"/>
      <c r="AD5" s="3" t="n"/>
    </row>
    <row r="6" ht="40" customHeight="1">
      <c r="A6" s="6" t="n"/>
      <c r="B6" s="104" t="inlineStr">
        <is>
          <t>Müşteri No</t>
        </is>
      </c>
      <c r="C6" s="105" t="inlineStr">
        <is>
          <t>Müşteri</t>
        </is>
      </c>
      <c r="D6" s="106" t="inlineStr">
        <is>
          <t>Haftalık Ücret</t>
        </is>
      </c>
      <c r="E6" s="106" t="inlineStr">
        <is>
          <t>Devir Alacağı</t>
        </is>
      </c>
      <c r="F6" s="106" t="inlineStr">
        <is>
          <t>Yeni Tahakkuk</t>
        </is>
      </c>
      <c r="G6" s="106" t="inlineStr">
        <is>
          <t>Toplam Borç</t>
        </is>
      </c>
      <c r="H6" s="106" t="inlineStr">
        <is>
          <t>Toplam Tahsilat</t>
        </is>
      </c>
      <c r="I6" s="106" t="inlineStr">
        <is>
          <t>Cari Bakiye</t>
        </is>
      </c>
      <c r="J6" s="106" t="inlineStr">
        <is>
          <t>0–7 Gün</t>
        </is>
      </c>
      <c r="K6" s="106" t="inlineStr">
        <is>
          <t>8–14 Gün</t>
        </is>
      </c>
      <c r="L6" s="106" t="inlineStr">
        <is>
          <t>15–28 Gün</t>
        </is>
      </c>
      <c r="M6" s="106" t="inlineStr">
        <is>
          <t>29+ Gün</t>
        </is>
      </c>
      <c r="N6" s="104" t="inlineStr">
        <is>
          <t>Tahsilat Oranı</t>
        </is>
      </c>
      <c r="O6" s="104" t="inlineStr">
        <is>
          <t>Son Tahsilat</t>
        </is>
      </c>
      <c r="P6" s="104" t="inlineStr">
        <is>
          <t>Borç Durumu</t>
        </is>
      </c>
      <c r="Q6" s="105" t="inlineStr">
        <is>
          <t>Önerilen İşlem</t>
        </is>
      </c>
      <c r="R6" s="104" t="inlineStr">
        <is>
          <t>Açık İş</t>
        </is>
      </c>
      <c r="S6" s="104" t="inlineStr">
        <is>
          <t>Devir Tarihi</t>
        </is>
      </c>
      <c r="T6" s="104" t="inlineStr">
        <is>
          <t>Devir Yaşı (gün)</t>
        </is>
      </c>
      <c r="U6" s="104" t="inlineStr">
        <is>
          <t>Kontrol</t>
        </is>
      </c>
      <c r="V6" s="6" t="n"/>
      <c r="W6" s="6" t="n"/>
      <c r="X6" s="3" t="n"/>
      <c r="Y6" s="3" t="n"/>
      <c r="Z6" s="3" t="n"/>
      <c r="AA6" s="3" t="n"/>
      <c r="AB6" s="3" t="n"/>
      <c r="AC6" s="3" t="n"/>
      <c r="AD6" s="3" t="n"/>
    </row>
    <row r="7">
      <c r="A7" s="6" t="n"/>
      <c r="B7" s="112">
        <f>IF(MUSTERILER!$B7="","",MUSTERILER!$B7)</f>
        <v/>
      </c>
      <c r="C7" s="113">
        <f>IF(MUSTERILER!$B7="","",MUSTERILER!$C7)</f>
        <v/>
      </c>
      <c r="D7" s="116">
        <f>IF($B7="","",SUMIFS(UCRETLER!$F$7:$F$406,UCRETLER!$B$7:$B$406,$B7,UCRETLER!$G$7:$G$406,"Aktif"))</f>
        <v/>
      </c>
      <c r="E7" s="116">
        <f>IF($B7="","",SUMIFS(MUSTERILER!$J$7:$J$106,MUSTERILER!$B$7:$B$106,$B7))</f>
        <v/>
      </c>
      <c r="F7" s="116">
        <f>IF($B7="","",SUMIFS(UCRETLER!$H$7:$H$406,UCRETLER!$B$7:$B$406,$B7))</f>
        <v/>
      </c>
      <c r="G7" s="116">
        <f>IF($B7="","",$E7+$F7)</f>
        <v/>
      </c>
      <c r="H7" s="116">
        <f>IF($B7="","",SUMIFS(TAHSILAT!$F$7:$F$1506,TAHSILAT!$C$7:$C$1506,$B7))</f>
        <v/>
      </c>
      <c r="I7" s="116">
        <f>IF($B7="","",MAX(0,$G7-$H7))</f>
        <v/>
      </c>
      <c r="J7" s="116">
        <f>IF($B7="","",MAX(0,$I7-$K7-$L7-$M7))</f>
        <v/>
      </c>
      <c r="K7" s="116">
        <f>IF($B7="","",($AB7-$AC7)+IF(AND($AA7&gt;0,$S7&lt;&gt;"",$T7&gt;=8,$T7&lt;15),$AA7,0))</f>
        <v/>
      </c>
      <c r="L7" s="116">
        <f>IF($B7="","",($AC7-$AD7)+IF(AND($AA7&gt;0,$S7&lt;&gt;"",$T7&gt;=15,$T7&lt;29),$AA7,0))</f>
        <v/>
      </c>
      <c r="M7" s="116">
        <f>IF($B7="","",$AD7+IF(AND($AA7&gt;0,OR($S7="",$T7&gt;=29)),$AA7,0))</f>
        <v/>
      </c>
      <c r="N7" s="122">
        <f>IF($B7="","",IFERROR($H7/$G7,0))</f>
        <v/>
      </c>
      <c r="O7" s="123">
        <f>IF($B7="","",IFERROR(LOOKUP(2,1/(TAHSILAT!$C$7:$C$1506=$B7),TAHSILAT!$E$7:$E$1506),""))</f>
        <v/>
      </c>
      <c r="P7" s="112">
        <f>IF($B7="","",IF($M7&gt;0,"KRİTİK",IF($L7&gt;0,"YÜKSEK",IF($K7&gt;0,"ORTA",IF($I7&gt;0,"İZLE","TEMİZ")))))</f>
        <v/>
      </c>
      <c r="Q7" s="113">
        <f>IF($B7="","",IF($P7="KRİTİK","Acil tahsilat görüşmesi ve cari mutabakat",IF($P7="YÜKSEK","Bu hafta tahsilat takibi",IF($P7="ORTA","Hatırlatma mesajı gönder",IF($P7="İZLE","Normal takip","Aksiyon gerekmiyor")))))</f>
        <v/>
      </c>
      <c r="R7" s="120">
        <f>IF($B7="","",COUNTIFS(AKTIVITE!$D$7:$D$1006,$B7,AKTIVITE!$J$7:$J$1006,"&lt;&gt;Tamamlandı"))</f>
        <v/>
      </c>
      <c r="S7" s="123">
        <f>IF($B7="","",IF(MUSTERILER!$K7="","",MUSTERILER!$K7))</f>
        <v/>
      </c>
      <c r="T7" s="120">
        <f>IF(OR($B7="",$S7=""),"",TODAY()-$S7)</f>
        <v/>
      </c>
      <c r="U7" s="112">
        <f>IF($B7="","",IF(ABS($I7-($J7+$K7+$L7+$M7))&lt;0.01,"UYGUN","İNCELE"))</f>
        <v/>
      </c>
      <c r="V7" s="6" t="n"/>
      <c r="W7" s="6">
        <f>IF($B7="",0,SUMIFS(UCRETLER!$I$7:$I$406,UCRETLER!$B$7:$B$406,$B7))</f>
        <v/>
      </c>
      <c r="X7" s="3">
        <f>IF($B7="",0,SUMIFS(UCRETLER!$J$7:$J$406,UCRETLER!$B$7:$B$406,$B7))</f>
        <v/>
      </c>
      <c r="Y7" s="3">
        <f>IF($B7="",0,SUMIFS(UCRETLER!$K$7:$K$406,UCRETLER!$B$7:$B$406,$B7))</f>
        <v/>
      </c>
      <c r="Z7" s="3">
        <f>IF($B7="",0,MAX(0,$H7-$E7))</f>
        <v/>
      </c>
      <c r="AA7" s="3">
        <f>IF($B7="",0,MAX(0,$E7-$H7))</f>
        <v/>
      </c>
      <c r="AB7" s="3">
        <f>IF($B7="",0,MAX(0,$W7-$Z7))</f>
        <v/>
      </c>
      <c r="AC7" s="3">
        <f>IF($B7="",0,MAX(0,$X7-$Z7))</f>
        <v/>
      </c>
      <c r="AD7" s="3">
        <f>IF($B7="",0,MAX(0,$Y7-$Z7))</f>
        <v/>
      </c>
    </row>
    <row r="8">
      <c r="A8" s="6" t="n"/>
      <c r="B8" s="112">
        <f>IF(MUSTERILER!$B8="","",MUSTERILER!$B8)</f>
        <v/>
      </c>
      <c r="C8" s="113">
        <f>IF(MUSTERILER!$B8="","",MUSTERILER!$C8)</f>
        <v/>
      </c>
      <c r="D8" s="116">
        <f>IF($B8="","",SUMIFS(UCRETLER!$F$7:$F$406,UCRETLER!$B$7:$B$406,$B8,UCRETLER!$G$7:$G$406,"Aktif"))</f>
        <v/>
      </c>
      <c r="E8" s="116">
        <f>IF($B8="","",SUMIFS(MUSTERILER!$J$7:$J$106,MUSTERILER!$B$7:$B$106,$B8))</f>
        <v/>
      </c>
      <c r="F8" s="116">
        <f>IF($B8="","",SUMIFS(UCRETLER!$H$7:$H$406,UCRETLER!$B$7:$B$406,$B8))</f>
        <v/>
      </c>
      <c r="G8" s="116">
        <f>IF($B8="","",$E8+$F8)</f>
        <v/>
      </c>
      <c r="H8" s="116">
        <f>IF($B8="","",SUMIFS(TAHSILAT!$F$7:$F$1506,TAHSILAT!$C$7:$C$1506,$B8))</f>
        <v/>
      </c>
      <c r="I8" s="116">
        <f>IF($B8="","",MAX(0,$G8-$H8))</f>
        <v/>
      </c>
      <c r="J8" s="116">
        <f>IF($B8="","",MAX(0,$I8-$K8-$L8-$M8))</f>
        <v/>
      </c>
      <c r="K8" s="116">
        <f>IF($B8="","",($AB8-$AC8)+IF(AND($AA8&gt;0,$S8&lt;&gt;"",$T8&gt;=8,$T8&lt;15),$AA8,0))</f>
        <v/>
      </c>
      <c r="L8" s="116">
        <f>IF($B8="","",($AC8-$AD8)+IF(AND($AA8&gt;0,$S8&lt;&gt;"",$T8&gt;=15,$T8&lt;29),$AA8,0))</f>
        <v/>
      </c>
      <c r="M8" s="116">
        <f>IF($B8="","",$AD8+IF(AND($AA8&gt;0,OR($S8="",$T8&gt;=29)),$AA8,0))</f>
        <v/>
      </c>
      <c r="N8" s="122">
        <f>IF($B8="","",IFERROR($H8/$G8,0))</f>
        <v/>
      </c>
      <c r="O8" s="123">
        <f>IF($B8="","",IFERROR(LOOKUP(2,1/(TAHSILAT!$C$7:$C$1506=$B8),TAHSILAT!$E$7:$E$1506),""))</f>
        <v/>
      </c>
      <c r="P8" s="112">
        <f>IF($B8="","",IF($M8&gt;0,"KRİTİK",IF($L8&gt;0,"YÜKSEK",IF($K8&gt;0,"ORTA",IF($I8&gt;0,"İZLE","TEMİZ")))))</f>
        <v/>
      </c>
      <c r="Q8" s="113">
        <f>IF($B8="","",IF($P8="KRİTİK","Acil tahsilat görüşmesi ve cari mutabakat",IF($P8="YÜKSEK","Bu hafta tahsilat takibi",IF($P8="ORTA","Hatırlatma mesajı gönder",IF($P8="İZLE","Normal takip","Aksiyon gerekmiyor")))))</f>
        <v/>
      </c>
      <c r="R8" s="120">
        <f>IF($B8="","",COUNTIFS(AKTIVITE!$D$7:$D$1006,$B8,AKTIVITE!$J$7:$J$1006,"&lt;&gt;Tamamlandı"))</f>
        <v/>
      </c>
      <c r="S8" s="123">
        <f>IF($B8="","",IF(MUSTERILER!$K8="","",MUSTERILER!$K8))</f>
        <v/>
      </c>
      <c r="T8" s="120">
        <f>IF(OR($B8="",$S8=""),"",TODAY()-$S8)</f>
        <v/>
      </c>
      <c r="U8" s="112">
        <f>IF($B8="","",IF(ABS($I8-($J8+$K8+$L8+$M8))&lt;0.01,"UYGUN","İNCELE"))</f>
        <v/>
      </c>
      <c r="V8" s="6" t="n"/>
      <c r="W8" s="6">
        <f>IF($B8="",0,SUMIFS(UCRETLER!$I$7:$I$406,UCRETLER!$B$7:$B$406,$B8))</f>
        <v/>
      </c>
      <c r="X8" s="3">
        <f>IF($B8="",0,SUMIFS(UCRETLER!$J$7:$J$406,UCRETLER!$B$7:$B$406,$B8))</f>
        <v/>
      </c>
      <c r="Y8" s="3">
        <f>IF($B8="",0,SUMIFS(UCRETLER!$K$7:$K$406,UCRETLER!$B$7:$B$406,$B8))</f>
        <v/>
      </c>
      <c r="Z8" s="3">
        <f>IF($B8="",0,MAX(0,$H8-$E8))</f>
        <v/>
      </c>
      <c r="AA8" s="3">
        <f>IF($B8="",0,MAX(0,$E8-$H8))</f>
        <v/>
      </c>
      <c r="AB8" s="3">
        <f>IF($B8="",0,MAX(0,$W8-$Z8))</f>
        <v/>
      </c>
      <c r="AC8" s="3">
        <f>IF($B8="",0,MAX(0,$X8-$Z8))</f>
        <v/>
      </c>
      <c r="AD8" s="3">
        <f>IF($B8="",0,MAX(0,$Y8-$Z8))</f>
        <v/>
      </c>
    </row>
    <row r="9">
      <c r="A9" s="6" t="n"/>
      <c r="B9" s="112">
        <f>IF(MUSTERILER!$B9="","",MUSTERILER!$B9)</f>
        <v/>
      </c>
      <c r="C9" s="113">
        <f>IF(MUSTERILER!$B9="","",MUSTERILER!$C9)</f>
        <v/>
      </c>
      <c r="D9" s="116">
        <f>IF($B9="","",SUMIFS(UCRETLER!$F$7:$F$406,UCRETLER!$B$7:$B$406,$B9,UCRETLER!$G$7:$G$406,"Aktif"))</f>
        <v/>
      </c>
      <c r="E9" s="116">
        <f>IF($B9="","",SUMIFS(MUSTERILER!$J$7:$J$106,MUSTERILER!$B$7:$B$106,$B9))</f>
        <v/>
      </c>
      <c r="F9" s="116">
        <f>IF($B9="","",SUMIFS(UCRETLER!$H$7:$H$406,UCRETLER!$B$7:$B$406,$B9))</f>
        <v/>
      </c>
      <c r="G9" s="116">
        <f>IF($B9="","",$E9+$F9)</f>
        <v/>
      </c>
      <c r="H9" s="116">
        <f>IF($B9="","",SUMIFS(TAHSILAT!$F$7:$F$1506,TAHSILAT!$C$7:$C$1506,$B9))</f>
        <v/>
      </c>
      <c r="I9" s="116">
        <f>IF($B9="","",MAX(0,$G9-$H9))</f>
        <v/>
      </c>
      <c r="J9" s="116">
        <f>IF($B9="","",MAX(0,$I9-$K9-$L9-$M9))</f>
        <v/>
      </c>
      <c r="K9" s="116">
        <f>IF($B9="","",($AB9-$AC9)+IF(AND($AA9&gt;0,$S9&lt;&gt;"",$T9&gt;=8,$T9&lt;15),$AA9,0))</f>
        <v/>
      </c>
      <c r="L9" s="116">
        <f>IF($B9="","",($AC9-$AD9)+IF(AND($AA9&gt;0,$S9&lt;&gt;"",$T9&gt;=15,$T9&lt;29),$AA9,0))</f>
        <v/>
      </c>
      <c r="M9" s="116">
        <f>IF($B9="","",$AD9+IF(AND($AA9&gt;0,OR($S9="",$T9&gt;=29)),$AA9,0))</f>
        <v/>
      </c>
      <c r="N9" s="122">
        <f>IF($B9="","",IFERROR($H9/$G9,0))</f>
        <v/>
      </c>
      <c r="O9" s="123">
        <f>IF($B9="","",IFERROR(LOOKUP(2,1/(TAHSILAT!$C$7:$C$1506=$B9),TAHSILAT!$E$7:$E$1506),""))</f>
        <v/>
      </c>
      <c r="P9" s="112">
        <f>IF($B9="","",IF($M9&gt;0,"KRİTİK",IF($L9&gt;0,"YÜKSEK",IF($K9&gt;0,"ORTA",IF($I9&gt;0,"İZLE","TEMİZ")))))</f>
        <v/>
      </c>
      <c r="Q9" s="113">
        <f>IF($B9="","",IF($P9="KRİTİK","Acil tahsilat görüşmesi ve cari mutabakat",IF($P9="YÜKSEK","Bu hafta tahsilat takibi",IF($P9="ORTA","Hatırlatma mesajı gönder",IF($P9="İZLE","Normal takip","Aksiyon gerekmiyor")))))</f>
        <v/>
      </c>
      <c r="R9" s="120">
        <f>IF($B9="","",COUNTIFS(AKTIVITE!$D$7:$D$1006,$B9,AKTIVITE!$J$7:$J$1006,"&lt;&gt;Tamamlandı"))</f>
        <v/>
      </c>
      <c r="S9" s="123">
        <f>IF($B9="","",IF(MUSTERILER!$K9="","",MUSTERILER!$K9))</f>
        <v/>
      </c>
      <c r="T9" s="120">
        <f>IF(OR($B9="",$S9=""),"",TODAY()-$S9)</f>
        <v/>
      </c>
      <c r="U9" s="112">
        <f>IF($B9="","",IF(ABS($I9-($J9+$K9+$L9+$M9))&lt;0.01,"UYGUN","İNCELE"))</f>
        <v/>
      </c>
      <c r="V9" s="6" t="n"/>
      <c r="W9" s="6">
        <f>IF($B9="",0,SUMIFS(UCRETLER!$I$7:$I$406,UCRETLER!$B$7:$B$406,$B9))</f>
        <v/>
      </c>
      <c r="X9" s="3">
        <f>IF($B9="",0,SUMIFS(UCRETLER!$J$7:$J$406,UCRETLER!$B$7:$B$406,$B9))</f>
        <v/>
      </c>
      <c r="Y9" s="3">
        <f>IF($B9="",0,SUMIFS(UCRETLER!$K$7:$K$406,UCRETLER!$B$7:$B$406,$B9))</f>
        <v/>
      </c>
      <c r="Z9" s="3">
        <f>IF($B9="",0,MAX(0,$H9-$E9))</f>
        <v/>
      </c>
      <c r="AA9" s="3">
        <f>IF($B9="",0,MAX(0,$E9-$H9))</f>
        <v/>
      </c>
      <c r="AB9" s="3">
        <f>IF($B9="",0,MAX(0,$W9-$Z9))</f>
        <v/>
      </c>
      <c r="AC9" s="3">
        <f>IF($B9="",0,MAX(0,$X9-$Z9))</f>
        <v/>
      </c>
      <c r="AD9" s="3">
        <f>IF($B9="",0,MAX(0,$Y9-$Z9))</f>
        <v/>
      </c>
    </row>
    <row r="10">
      <c r="A10" s="6" t="n"/>
      <c r="B10" s="112">
        <f>IF(MUSTERILER!$B10="","",MUSTERILER!$B10)</f>
        <v/>
      </c>
      <c r="C10" s="113">
        <f>IF(MUSTERILER!$B10="","",MUSTERILER!$C10)</f>
        <v/>
      </c>
      <c r="D10" s="116">
        <f>IF($B10="","",SUMIFS(UCRETLER!$F$7:$F$406,UCRETLER!$B$7:$B$406,$B10,UCRETLER!$G$7:$G$406,"Aktif"))</f>
        <v/>
      </c>
      <c r="E10" s="116">
        <f>IF($B10="","",SUMIFS(MUSTERILER!$J$7:$J$106,MUSTERILER!$B$7:$B$106,$B10))</f>
        <v/>
      </c>
      <c r="F10" s="116">
        <f>IF($B10="","",SUMIFS(UCRETLER!$H$7:$H$406,UCRETLER!$B$7:$B$406,$B10))</f>
        <v/>
      </c>
      <c r="G10" s="116">
        <f>IF($B10="","",$E10+$F10)</f>
        <v/>
      </c>
      <c r="H10" s="116">
        <f>IF($B10="","",SUMIFS(TAHSILAT!$F$7:$F$1506,TAHSILAT!$C$7:$C$1506,$B10))</f>
        <v/>
      </c>
      <c r="I10" s="116">
        <f>IF($B10="","",MAX(0,$G10-$H10))</f>
        <v/>
      </c>
      <c r="J10" s="116">
        <f>IF($B10="","",MAX(0,$I10-$K10-$L10-$M10))</f>
        <v/>
      </c>
      <c r="K10" s="116">
        <f>IF($B10="","",($AB10-$AC10)+IF(AND($AA10&gt;0,$S10&lt;&gt;"",$T10&gt;=8,$T10&lt;15),$AA10,0))</f>
        <v/>
      </c>
      <c r="L10" s="116">
        <f>IF($B10="","",($AC10-$AD10)+IF(AND($AA10&gt;0,$S10&lt;&gt;"",$T10&gt;=15,$T10&lt;29),$AA10,0))</f>
        <v/>
      </c>
      <c r="M10" s="116">
        <f>IF($B10="","",$AD10+IF(AND($AA10&gt;0,OR($S10="",$T10&gt;=29)),$AA10,0))</f>
        <v/>
      </c>
      <c r="N10" s="122">
        <f>IF($B10="","",IFERROR($H10/$G10,0))</f>
        <v/>
      </c>
      <c r="O10" s="123">
        <f>IF($B10="","",IFERROR(LOOKUP(2,1/(TAHSILAT!$C$7:$C$1506=$B10),TAHSILAT!$E$7:$E$1506),""))</f>
        <v/>
      </c>
      <c r="P10" s="112">
        <f>IF($B10="","",IF($M10&gt;0,"KRİTİK",IF($L10&gt;0,"YÜKSEK",IF($K10&gt;0,"ORTA",IF($I10&gt;0,"İZLE","TEMİZ")))))</f>
        <v/>
      </c>
      <c r="Q10" s="113">
        <f>IF($B10="","",IF($P10="KRİTİK","Acil tahsilat görüşmesi ve cari mutabakat",IF($P10="YÜKSEK","Bu hafta tahsilat takibi",IF($P10="ORTA","Hatırlatma mesajı gönder",IF($P10="İZLE","Normal takip","Aksiyon gerekmiyor")))))</f>
        <v/>
      </c>
      <c r="R10" s="120">
        <f>IF($B10="","",COUNTIFS(AKTIVITE!$D$7:$D$1006,$B10,AKTIVITE!$J$7:$J$1006,"&lt;&gt;Tamamlandı"))</f>
        <v/>
      </c>
      <c r="S10" s="123">
        <f>IF($B10="","",IF(MUSTERILER!$K10="","",MUSTERILER!$K10))</f>
        <v/>
      </c>
      <c r="T10" s="120">
        <f>IF(OR($B10="",$S10=""),"",TODAY()-$S10)</f>
        <v/>
      </c>
      <c r="U10" s="112">
        <f>IF($B10="","",IF(ABS($I10-($J10+$K10+$L10+$M10))&lt;0.01,"UYGUN","İNCELE"))</f>
        <v/>
      </c>
      <c r="V10" s="6" t="n"/>
      <c r="W10" s="6">
        <f>IF($B10="",0,SUMIFS(UCRETLER!$I$7:$I$406,UCRETLER!$B$7:$B$406,$B10))</f>
        <v/>
      </c>
      <c r="X10" s="3">
        <f>IF($B10="",0,SUMIFS(UCRETLER!$J$7:$J$406,UCRETLER!$B$7:$B$406,$B10))</f>
        <v/>
      </c>
      <c r="Y10" s="3">
        <f>IF($B10="",0,SUMIFS(UCRETLER!$K$7:$K$406,UCRETLER!$B$7:$B$406,$B10))</f>
        <v/>
      </c>
      <c r="Z10" s="3">
        <f>IF($B10="",0,MAX(0,$H10-$E10))</f>
        <v/>
      </c>
      <c r="AA10" s="3">
        <f>IF($B10="",0,MAX(0,$E10-$H10))</f>
        <v/>
      </c>
      <c r="AB10" s="3">
        <f>IF($B10="",0,MAX(0,$W10-$Z10))</f>
        <v/>
      </c>
      <c r="AC10" s="3">
        <f>IF($B10="",0,MAX(0,$X10-$Z10))</f>
        <v/>
      </c>
      <c r="AD10" s="3">
        <f>IF($B10="",0,MAX(0,$Y10-$Z10))</f>
        <v/>
      </c>
    </row>
    <row r="11">
      <c r="A11" s="6" t="n"/>
      <c r="B11" s="112">
        <f>IF(MUSTERILER!$B11="","",MUSTERILER!$B11)</f>
        <v/>
      </c>
      <c r="C11" s="113">
        <f>IF(MUSTERILER!$B11="","",MUSTERILER!$C11)</f>
        <v/>
      </c>
      <c r="D11" s="116">
        <f>IF($B11="","",SUMIFS(UCRETLER!$F$7:$F$406,UCRETLER!$B$7:$B$406,$B11,UCRETLER!$G$7:$G$406,"Aktif"))</f>
        <v/>
      </c>
      <c r="E11" s="116">
        <f>IF($B11="","",SUMIFS(MUSTERILER!$J$7:$J$106,MUSTERILER!$B$7:$B$106,$B11))</f>
        <v/>
      </c>
      <c r="F11" s="116">
        <f>IF($B11="","",SUMIFS(UCRETLER!$H$7:$H$406,UCRETLER!$B$7:$B$406,$B11))</f>
        <v/>
      </c>
      <c r="G11" s="116">
        <f>IF($B11="","",$E11+$F11)</f>
        <v/>
      </c>
      <c r="H11" s="116">
        <f>IF($B11="","",SUMIFS(TAHSILAT!$F$7:$F$1506,TAHSILAT!$C$7:$C$1506,$B11))</f>
        <v/>
      </c>
      <c r="I11" s="116">
        <f>IF($B11="","",MAX(0,$G11-$H11))</f>
        <v/>
      </c>
      <c r="J11" s="116">
        <f>IF($B11="","",MAX(0,$I11-$K11-$L11-$M11))</f>
        <v/>
      </c>
      <c r="K11" s="116">
        <f>IF($B11="","",($AB11-$AC11)+IF(AND($AA11&gt;0,$S11&lt;&gt;"",$T11&gt;=8,$T11&lt;15),$AA11,0))</f>
        <v/>
      </c>
      <c r="L11" s="116">
        <f>IF($B11="","",($AC11-$AD11)+IF(AND($AA11&gt;0,$S11&lt;&gt;"",$T11&gt;=15,$T11&lt;29),$AA11,0))</f>
        <v/>
      </c>
      <c r="M11" s="116">
        <f>IF($B11="","",$AD11+IF(AND($AA11&gt;0,OR($S11="",$T11&gt;=29)),$AA11,0))</f>
        <v/>
      </c>
      <c r="N11" s="122">
        <f>IF($B11="","",IFERROR($H11/$G11,0))</f>
        <v/>
      </c>
      <c r="O11" s="123">
        <f>IF($B11="","",IFERROR(LOOKUP(2,1/(TAHSILAT!$C$7:$C$1506=$B11),TAHSILAT!$E$7:$E$1506),""))</f>
        <v/>
      </c>
      <c r="P11" s="112">
        <f>IF($B11="","",IF($M11&gt;0,"KRİTİK",IF($L11&gt;0,"YÜKSEK",IF($K11&gt;0,"ORTA",IF($I11&gt;0,"İZLE","TEMİZ")))))</f>
        <v/>
      </c>
      <c r="Q11" s="113">
        <f>IF($B11="","",IF($P11="KRİTİK","Acil tahsilat görüşmesi ve cari mutabakat",IF($P11="YÜKSEK","Bu hafta tahsilat takibi",IF($P11="ORTA","Hatırlatma mesajı gönder",IF($P11="İZLE","Normal takip","Aksiyon gerekmiyor")))))</f>
        <v/>
      </c>
      <c r="R11" s="120">
        <f>IF($B11="","",COUNTIFS(AKTIVITE!$D$7:$D$1006,$B11,AKTIVITE!$J$7:$J$1006,"&lt;&gt;Tamamlandı"))</f>
        <v/>
      </c>
      <c r="S11" s="123">
        <f>IF($B11="","",IF(MUSTERILER!$K11="","",MUSTERILER!$K11))</f>
        <v/>
      </c>
      <c r="T11" s="120">
        <f>IF(OR($B11="",$S11=""),"",TODAY()-$S11)</f>
        <v/>
      </c>
      <c r="U11" s="112">
        <f>IF($B11="","",IF(ABS($I11-($J11+$K11+$L11+$M11))&lt;0.01,"UYGUN","İNCELE"))</f>
        <v/>
      </c>
      <c r="V11" s="6" t="n"/>
      <c r="W11" s="6">
        <f>IF($B11="",0,SUMIFS(UCRETLER!$I$7:$I$406,UCRETLER!$B$7:$B$406,$B11))</f>
        <v/>
      </c>
      <c r="X11" s="3">
        <f>IF($B11="",0,SUMIFS(UCRETLER!$J$7:$J$406,UCRETLER!$B$7:$B$406,$B11))</f>
        <v/>
      </c>
      <c r="Y11" s="3">
        <f>IF($B11="",0,SUMIFS(UCRETLER!$K$7:$K$406,UCRETLER!$B$7:$B$406,$B11))</f>
        <v/>
      </c>
      <c r="Z11" s="3">
        <f>IF($B11="",0,MAX(0,$H11-$E11))</f>
        <v/>
      </c>
      <c r="AA11" s="3">
        <f>IF($B11="",0,MAX(0,$E11-$H11))</f>
        <v/>
      </c>
      <c r="AB11" s="3">
        <f>IF($B11="",0,MAX(0,$W11-$Z11))</f>
        <v/>
      </c>
      <c r="AC11" s="3">
        <f>IF($B11="",0,MAX(0,$X11-$Z11))</f>
        <v/>
      </c>
      <c r="AD11" s="3">
        <f>IF($B11="",0,MAX(0,$Y11-$Z11))</f>
        <v/>
      </c>
    </row>
    <row r="12">
      <c r="A12" s="6" t="n"/>
      <c r="B12" s="112">
        <f>IF(MUSTERILER!$B12="","",MUSTERILER!$B12)</f>
        <v/>
      </c>
      <c r="C12" s="113">
        <f>IF(MUSTERILER!$B12="","",MUSTERILER!$C12)</f>
        <v/>
      </c>
      <c r="D12" s="116">
        <f>IF($B12="","",SUMIFS(UCRETLER!$F$7:$F$406,UCRETLER!$B$7:$B$406,$B12,UCRETLER!$G$7:$G$406,"Aktif"))</f>
        <v/>
      </c>
      <c r="E12" s="116">
        <f>IF($B12="","",SUMIFS(MUSTERILER!$J$7:$J$106,MUSTERILER!$B$7:$B$106,$B12))</f>
        <v/>
      </c>
      <c r="F12" s="116">
        <f>IF($B12="","",SUMIFS(UCRETLER!$H$7:$H$406,UCRETLER!$B$7:$B$406,$B12))</f>
        <v/>
      </c>
      <c r="G12" s="116">
        <f>IF($B12="","",$E12+$F12)</f>
        <v/>
      </c>
      <c r="H12" s="116">
        <f>IF($B12="","",SUMIFS(TAHSILAT!$F$7:$F$1506,TAHSILAT!$C$7:$C$1506,$B12))</f>
        <v/>
      </c>
      <c r="I12" s="116">
        <f>IF($B12="","",MAX(0,$G12-$H12))</f>
        <v/>
      </c>
      <c r="J12" s="116">
        <f>IF($B12="","",MAX(0,$I12-$K12-$L12-$M12))</f>
        <v/>
      </c>
      <c r="K12" s="116">
        <f>IF($B12="","",($AB12-$AC12)+IF(AND($AA12&gt;0,$S12&lt;&gt;"",$T12&gt;=8,$T12&lt;15),$AA12,0))</f>
        <v/>
      </c>
      <c r="L12" s="116">
        <f>IF($B12="","",($AC12-$AD12)+IF(AND($AA12&gt;0,$S12&lt;&gt;"",$T12&gt;=15,$T12&lt;29),$AA12,0))</f>
        <v/>
      </c>
      <c r="M12" s="116">
        <f>IF($B12="","",$AD12+IF(AND($AA12&gt;0,OR($S12="",$T12&gt;=29)),$AA12,0))</f>
        <v/>
      </c>
      <c r="N12" s="122">
        <f>IF($B12="","",IFERROR($H12/$G12,0))</f>
        <v/>
      </c>
      <c r="O12" s="123">
        <f>IF($B12="","",IFERROR(LOOKUP(2,1/(TAHSILAT!$C$7:$C$1506=$B12),TAHSILAT!$E$7:$E$1506),""))</f>
        <v/>
      </c>
      <c r="P12" s="112">
        <f>IF($B12="","",IF($M12&gt;0,"KRİTİK",IF($L12&gt;0,"YÜKSEK",IF($K12&gt;0,"ORTA",IF($I12&gt;0,"İZLE","TEMİZ")))))</f>
        <v/>
      </c>
      <c r="Q12" s="113">
        <f>IF($B12="","",IF($P12="KRİTİK","Acil tahsilat görüşmesi ve cari mutabakat",IF($P12="YÜKSEK","Bu hafta tahsilat takibi",IF($P12="ORTA","Hatırlatma mesajı gönder",IF($P12="İZLE","Normal takip","Aksiyon gerekmiyor")))))</f>
        <v/>
      </c>
      <c r="R12" s="120">
        <f>IF($B12="","",COUNTIFS(AKTIVITE!$D$7:$D$1006,$B12,AKTIVITE!$J$7:$J$1006,"&lt;&gt;Tamamlandı"))</f>
        <v/>
      </c>
      <c r="S12" s="123">
        <f>IF($B12="","",IF(MUSTERILER!$K12="","",MUSTERILER!$K12))</f>
        <v/>
      </c>
      <c r="T12" s="120">
        <f>IF(OR($B12="",$S12=""),"",TODAY()-$S12)</f>
        <v/>
      </c>
      <c r="U12" s="112">
        <f>IF($B12="","",IF(ABS($I12-($J12+$K12+$L12+$M12))&lt;0.01,"UYGUN","İNCELE"))</f>
        <v/>
      </c>
      <c r="V12" s="6" t="n"/>
      <c r="W12" s="6">
        <f>IF($B12="",0,SUMIFS(UCRETLER!$I$7:$I$406,UCRETLER!$B$7:$B$406,$B12))</f>
        <v/>
      </c>
      <c r="X12" s="3">
        <f>IF($B12="",0,SUMIFS(UCRETLER!$J$7:$J$406,UCRETLER!$B$7:$B$406,$B12))</f>
        <v/>
      </c>
      <c r="Y12" s="3">
        <f>IF($B12="",0,SUMIFS(UCRETLER!$K$7:$K$406,UCRETLER!$B$7:$B$406,$B12))</f>
        <v/>
      </c>
      <c r="Z12" s="3">
        <f>IF($B12="",0,MAX(0,$H12-$E12))</f>
        <v/>
      </c>
      <c r="AA12" s="3">
        <f>IF($B12="",0,MAX(0,$E12-$H12))</f>
        <v/>
      </c>
      <c r="AB12" s="3">
        <f>IF($B12="",0,MAX(0,$W12-$Z12))</f>
        <v/>
      </c>
      <c r="AC12" s="3">
        <f>IF($B12="",0,MAX(0,$X12-$Z12))</f>
        <v/>
      </c>
      <c r="AD12" s="3">
        <f>IF($B12="",0,MAX(0,$Y12-$Z12))</f>
        <v/>
      </c>
    </row>
    <row r="13">
      <c r="A13" s="6" t="n"/>
      <c r="B13" s="112">
        <f>IF(MUSTERILER!$B13="","",MUSTERILER!$B13)</f>
        <v/>
      </c>
      <c r="C13" s="113">
        <f>IF(MUSTERILER!$B13="","",MUSTERILER!$C13)</f>
        <v/>
      </c>
      <c r="D13" s="116">
        <f>IF($B13="","",SUMIFS(UCRETLER!$F$7:$F$406,UCRETLER!$B$7:$B$406,$B13,UCRETLER!$G$7:$G$406,"Aktif"))</f>
        <v/>
      </c>
      <c r="E13" s="116">
        <f>IF($B13="","",SUMIFS(MUSTERILER!$J$7:$J$106,MUSTERILER!$B$7:$B$106,$B13))</f>
        <v/>
      </c>
      <c r="F13" s="116">
        <f>IF($B13="","",SUMIFS(UCRETLER!$H$7:$H$406,UCRETLER!$B$7:$B$406,$B13))</f>
        <v/>
      </c>
      <c r="G13" s="116">
        <f>IF($B13="","",$E13+$F13)</f>
        <v/>
      </c>
      <c r="H13" s="116">
        <f>IF($B13="","",SUMIFS(TAHSILAT!$F$7:$F$1506,TAHSILAT!$C$7:$C$1506,$B13))</f>
        <v/>
      </c>
      <c r="I13" s="116">
        <f>IF($B13="","",MAX(0,$G13-$H13))</f>
        <v/>
      </c>
      <c r="J13" s="116">
        <f>IF($B13="","",MAX(0,$I13-$K13-$L13-$M13))</f>
        <v/>
      </c>
      <c r="K13" s="116">
        <f>IF($B13="","",($AB13-$AC13)+IF(AND($AA13&gt;0,$S13&lt;&gt;"",$T13&gt;=8,$T13&lt;15),$AA13,0))</f>
        <v/>
      </c>
      <c r="L13" s="116">
        <f>IF($B13="","",($AC13-$AD13)+IF(AND($AA13&gt;0,$S13&lt;&gt;"",$T13&gt;=15,$T13&lt;29),$AA13,0))</f>
        <v/>
      </c>
      <c r="M13" s="116">
        <f>IF($B13="","",$AD13+IF(AND($AA13&gt;0,OR($S13="",$T13&gt;=29)),$AA13,0))</f>
        <v/>
      </c>
      <c r="N13" s="122">
        <f>IF($B13="","",IFERROR($H13/$G13,0))</f>
        <v/>
      </c>
      <c r="O13" s="123">
        <f>IF($B13="","",IFERROR(LOOKUP(2,1/(TAHSILAT!$C$7:$C$1506=$B13),TAHSILAT!$E$7:$E$1506),""))</f>
        <v/>
      </c>
      <c r="P13" s="112">
        <f>IF($B13="","",IF($M13&gt;0,"KRİTİK",IF($L13&gt;0,"YÜKSEK",IF($K13&gt;0,"ORTA",IF($I13&gt;0,"İZLE","TEMİZ")))))</f>
        <v/>
      </c>
      <c r="Q13" s="113">
        <f>IF($B13="","",IF($P13="KRİTİK","Acil tahsilat görüşmesi ve cari mutabakat",IF($P13="YÜKSEK","Bu hafta tahsilat takibi",IF($P13="ORTA","Hatırlatma mesajı gönder",IF($P13="İZLE","Normal takip","Aksiyon gerekmiyor")))))</f>
        <v/>
      </c>
      <c r="R13" s="120">
        <f>IF($B13="","",COUNTIFS(AKTIVITE!$D$7:$D$1006,$B13,AKTIVITE!$J$7:$J$1006,"&lt;&gt;Tamamlandı"))</f>
        <v/>
      </c>
      <c r="S13" s="123">
        <f>IF($B13="","",IF(MUSTERILER!$K13="","",MUSTERILER!$K13))</f>
        <v/>
      </c>
      <c r="T13" s="120">
        <f>IF(OR($B13="",$S13=""),"",TODAY()-$S13)</f>
        <v/>
      </c>
      <c r="U13" s="112">
        <f>IF($B13="","",IF(ABS($I13-($J13+$K13+$L13+$M13))&lt;0.01,"UYGUN","İNCELE"))</f>
        <v/>
      </c>
      <c r="V13" s="6" t="n"/>
      <c r="W13" s="6">
        <f>IF($B13="",0,SUMIFS(UCRETLER!$I$7:$I$406,UCRETLER!$B$7:$B$406,$B13))</f>
        <v/>
      </c>
      <c r="X13" s="3">
        <f>IF($B13="",0,SUMIFS(UCRETLER!$J$7:$J$406,UCRETLER!$B$7:$B$406,$B13))</f>
        <v/>
      </c>
      <c r="Y13" s="3">
        <f>IF($B13="",0,SUMIFS(UCRETLER!$K$7:$K$406,UCRETLER!$B$7:$B$406,$B13))</f>
        <v/>
      </c>
      <c r="Z13" s="3">
        <f>IF($B13="",0,MAX(0,$H13-$E13))</f>
        <v/>
      </c>
      <c r="AA13" s="3">
        <f>IF($B13="",0,MAX(0,$E13-$H13))</f>
        <v/>
      </c>
      <c r="AB13" s="3">
        <f>IF($B13="",0,MAX(0,$W13-$Z13))</f>
        <v/>
      </c>
      <c r="AC13" s="3">
        <f>IF($B13="",0,MAX(0,$X13-$Z13))</f>
        <v/>
      </c>
      <c r="AD13" s="3">
        <f>IF($B13="",0,MAX(0,$Y13-$Z13))</f>
        <v/>
      </c>
    </row>
    <row r="14">
      <c r="A14" s="6" t="n"/>
      <c r="B14" s="112">
        <f>IF(MUSTERILER!$B14="","",MUSTERILER!$B14)</f>
        <v/>
      </c>
      <c r="C14" s="113">
        <f>IF(MUSTERILER!$B14="","",MUSTERILER!$C14)</f>
        <v/>
      </c>
      <c r="D14" s="116">
        <f>IF($B14="","",SUMIFS(UCRETLER!$F$7:$F$406,UCRETLER!$B$7:$B$406,$B14,UCRETLER!$G$7:$G$406,"Aktif"))</f>
        <v/>
      </c>
      <c r="E14" s="116">
        <f>IF($B14="","",SUMIFS(MUSTERILER!$J$7:$J$106,MUSTERILER!$B$7:$B$106,$B14))</f>
        <v/>
      </c>
      <c r="F14" s="116">
        <f>IF($B14="","",SUMIFS(UCRETLER!$H$7:$H$406,UCRETLER!$B$7:$B$406,$B14))</f>
        <v/>
      </c>
      <c r="G14" s="116">
        <f>IF($B14="","",$E14+$F14)</f>
        <v/>
      </c>
      <c r="H14" s="116">
        <f>IF($B14="","",SUMIFS(TAHSILAT!$F$7:$F$1506,TAHSILAT!$C$7:$C$1506,$B14))</f>
        <v/>
      </c>
      <c r="I14" s="116">
        <f>IF($B14="","",MAX(0,$G14-$H14))</f>
        <v/>
      </c>
      <c r="J14" s="116">
        <f>IF($B14="","",MAX(0,$I14-$K14-$L14-$M14))</f>
        <v/>
      </c>
      <c r="K14" s="116">
        <f>IF($B14="","",($AB14-$AC14)+IF(AND($AA14&gt;0,$S14&lt;&gt;"",$T14&gt;=8,$T14&lt;15),$AA14,0))</f>
        <v/>
      </c>
      <c r="L14" s="116">
        <f>IF($B14="","",($AC14-$AD14)+IF(AND($AA14&gt;0,$S14&lt;&gt;"",$T14&gt;=15,$T14&lt;29),$AA14,0))</f>
        <v/>
      </c>
      <c r="M14" s="116">
        <f>IF($B14="","",$AD14+IF(AND($AA14&gt;0,OR($S14="",$T14&gt;=29)),$AA14,0))</f>
        <v/>
      </c>
      <c r="N14" s="122">
        <f>IF($B14="","",IFERROR($H14/$G14,0))</f>
        <v/>
      </c>
      <c r="O14" s="123">
        <f>IF($B14="","",IFERROR(LOOKUP(2,1/(TAHSILAT!$C$7:$C$1506=$B14),TAHSILAT!$E$7:$E$1506),""))</f>
        <v/>
      </c>
      <c r="P14" s="112">
        <f>IF($B14="","",IF($M14&gt;0,"KRİTİK",IF($L14&gt;0,"YÜKSEK",IF($K14&gt;0,"ORTA",IF($I14&gt;0,"İZLE","TEMİZ")))))</f>
        <v/>
      </c>
      <c r="Q14" s="113">
        <f>IF($B14="","",IF($P14="KRİTİK","Acil tahsilat görüşmesi ve cari mutabakat",IF($P14="YÜKSEK","Bu hafta tahsilat takibi",IF($P14="ORTA","Hatırlatma mesajı gönder",IF($P14="İZLE","Normal takip","Aksiyon gerekmiyor")))))</f>
        <v/>
      </c>
      <c r="R14" s="120">
        <f>IF($B14="","",COUNTIFS(AKTIVITE!$D$7:$D$1006,$B14,AKTIVITE!$J$7:$J$1006,"&lt;&gt;Tamamlandı"))</f>
        <v/>
      </c>
      <c r="S14" s="123">
        <f>IF($B14="","",IF(MUSTERILER!$K14="","",MUSTERILER!$K14))</f>
        <v/>
      </c>
      <c r="T14" s="120">
        <f>IF(OR($B14="",$S14=""),"",TODAY()-$S14)</f>
        <v/>
      </c>
      <c r="U14" s="112">
        <f>IF($B14="","",IF(ABS($I14-($J14+$K14+$L14+$M14))&lt;0.01,"UYGUN","İNCELE"))</f>
        <v/>
      </c>
      <c r="V14" s="6" t="n"/>
      <c r="W14" s="6">
        <f>IF($B14="",0,SUMIFS(UCRETLER!$I$7:$I$406,UCRETLER!$B$7:$B$406,$B14))</f>
        <v/>
      </c>
      <c r="X14" s="3">
        <f>IF($B14="",0,SUMIFS(UCRETLER!$J$7:$J$406,UCRETLER!$B$7:$B$406,$B14))</f>
        <v/>
      </c>
      <c r="Y14" s="3">
        <f>IF($B14="",0,SUMIFS(UCRETLER!$K$7:$K$406,UCRETLER!$B$7:$B$406,$B14))</f>
        <v/>
      </c>
      <c r="Z14" s="3">
        <f>IF($B14="",0,MAX(0,$H14-$E14))</f>
        <v/>
      </c>
      <c r="AA14" s="3">
        <f>IF($B14="",0,MAX(0,$E14-$H14))</f>
        <v/>
      </c>
      <c r="AB14" s="3">
        <f>IF($B14="",0,MAX(0,$W14-$Z14))</f>
        <v/>
      </c>
      <c r="AC14" s="3">
        <f>IF($B14="",0,MAX(0,$X14-$Z14))</f>
        <v/>
      </c>
      <c r="AD14" s="3">
        <f>IF($B14="",0,MAX(0,$Y14-$Z14))</f>
        <v/>
      </c>
    </row>
    <row r="15">
      <c r="A15" s="6" t="n"/>
      <c r="B15" s="112">
        <f>IF(MUSTERILER!$B15="","",MUSTERILER!$B15)</f>
        <v/>
      </c>
      <c r="C15" s="113">
        <f>IF(MUSTERILER!$B15="","",MUSTERILER!$C15)</f>
        <v/>
      </c>
      <c r="D15" s="116">
        <f>IF($B15="","",SUMIFS(UCRETLER!$F$7:$F$406,UCRETLER!$B$7:$B$406,$B15,UCRETLER!$G$7:$G$406,"Aktif"))</f>
        <v/>
      </c>
      <c r="E15" s="116">
        <f>IF($B15="","",SUMIFS(MUSTERILER!$J$7:$J$106,MUSTERILER!$B$7:$B$106,$B15))</f>
        <v/>
      </c>
      <c r="F15" s="116">
        <f>IF($B15="","",SUMIFS(UCRETLER!$H$7:$H$406,UCRETLER!$B$7:$B$406,$B15))</f>
        <v/>
      </c>
      <c r="G15" s="116">
        <f>IF($B15="","",$E15+$F15)</f>
        <v/>
      </c>
      <c r="H15" s="116">
        <f>IF($B15="","",SUMIFS(TAHSILAT!$F$7:$F$1506,TAHSILAT!$C$7:$C$1506,$B15))</f>
        <v/>
      </c>
      <c r="I15" s="116">
        <f>IF($B15="","",MAX(0,$G15-$H15))</f>
        <v/>
      </c>
      <c r="J15" s="116">
        <f>IF($B15="","",MAX(0,$I15-$K15-$L15-$M15))</f>
        <v/>
      </c>
      <c r="K15" s="116">
        <f>IF($B15="","",($AB15-$AC15)+IF(AND($AA15&gt;0,$S15&lt;&gt;"",$T15&gt;=8,$T15&lt;15),$AA15,0))</f>
        <v/>
      </c>
      <c r="L15" s="116">
        <f>IF($B15="","",($AC15-$AD15)+IF(AND($AA15&gt;0,$S15&lt;&gt;"",$T15&gt;=15,$T15&lt;29),$AA15,0))</f>
        <v/>
      </c>
      <c r="M15" s="116">
        <f>IF($B15="","",$AD15+IF(AND($AA15&gt;0,OR($S15="",$T15&gt;=29)),$AA15,0))</f>
        <v/>
      </c>
      <c r="N15" s="122">
        <f>IF($B15="","",IFERROR($H15/$G15,0))</f>
        <v/>
      </c>
      <c r="O15" s="123">
        <f>IF($B15="","",IFERROR(LOOKUP(2,1/(TAHSILAT!$C$7:$C$1506=$B15),TAHSILAT!$E$7:$E$1506),""))</f>
        <v/>
      </c>
      <c r="P15" s="112">
        <f>IF($B15="","",IF($M15&gt;0,"KRİTİK",IF($L15&gt;0,"YÜKSEK",IF($K15&gt;0,"ORTA",IF($I15&gt;0,"İZLE","TEMİZ")))))</f>
        <v/>
      </c>
      <c r="Q15" s="113">
        <f>IF($B15="","",IF($P15="KRİTİK","Acil tahsilat görüşmesi ve cari mutabakat",IF($P15="YÜKSEK","Bu hafta tahsilat takibi",IF($P15="ORTA","Hatırlatma mesajı gönder",IF($P15="İZLE","Normal takip","Aksiyon gerekmiyor")))))</f>
        <v/>
      </c>
      <c r="R15" s="120">
        <f>IF($B15="","",COUNTIFS(AKTIVITE!$D$7:$D$1006,$B15,AKTIVITE!$J$7:$J$1006,"&lt;&gt;Tamamlandı"))</f>
        <v/>
      </c>
      <c r="S15" s="123">
        <f>IF($B15="","",IF(MUSTERILER!$K15="","",MUSTERILER!$K15))</f>
        <v/>
      </c>
      <c r="T15" s="120">
        <f>IF(OR($B15="",$S15=""),"",TODAY()-$S15)</f>
        <v/>
      </c>
      <c r="U15" s="112">
        <f>IF($B15="","",IF(ABS($I15-($J15+$K15+$L15+$M15))&lt;0.01,"UYGUN","İNCELE"))</f>
        <v/>
      </c>
      <c r="V15" s="6" t="n"/>
      <c r="W15" s="6">
        <f>IF($B15="",0,SUMIFS(UCRETLER!$I$7:$I$406,UCRETLER!$B$7:$B$406,$B15))</f>
        <v/>
      </c>
      <c r="X15" s="3">
        <f>IF($B15="",0,SUMIFS(UCRETLER!$J$7:$J$406,UCRETLER!$B$7:$B$406,$B15))</f>
        <v/>
      </c>
      <c r="Y15" s="3">
        <f>IF($B15="",0,SUMIFS(UCRETLER!$K$7:$K$406,UCRETLER!$B$7:$B$406,$B15))</f>
        <v/>
      </c>
      <c r="Z15" s="3">
        <f>IF($B15="",0,MAX(0,$H15-$E15))</f>
        <v/>
      </c>
      <c r="AA15" s="3">
        <f>IF($B15="",0,MAX(0,$E15-$H15))</f>
        <v/>
      </c>
      <c r="AB15" s="3">
        <f>IF($B15="",0,MAX(0,$W15-$Z15))</f>
        <v/>
      </c>
      <c r="AC15" s="3">
        <f>IF($B15="",0,MAX(0,$X15-$Z15))</f>
        <v/>
      </c>
      <c r="AD15" s="3">
        <f>IF($B15="",0,MAX(0,$Y15-$Z15))</f>
        <v/>
      </c>
    </row>
    <row r="16">
      <c r="A16" s="6" t="n"/>
      <c r="B16" s="112">
        <f>IF(MUSTERILER!$B16="","",MUSTERILER!$B16)</f>
        <v/>
      </c>
      <c r="C16" s="113">
        <f>IF(MUSTERILER!$B16="","",MUSTERILER!$C16)</f>
        <v/>
      </c>
      <c r="D16" s="116">
        <f>IF($B16="","",SUMIFS(UCRETLER!$F$7:$F$406,UCRETLER!$B$7:$B$406,$B16,UCRETLER!$G$7:$G$406,"Aktif"))</f>
        <v/>
      </c>
      <c r="E16" s="116">
        <f>IF($B16="","",SUMIFS(MUSTERILER!$J$7:$J$106,MUSTERILER!$B$7:$B$106,$B16))</f>
        <v/>
      </c>
      <c r="F16" s="116">
        <f>IF($B16="","",SUMIFS(UCRETLER!$H$7:$H$406,UCRETLER!$B$7:$B$406,$B16))</f>
        <v/>
      </c>
      <c r="G16" s="116">
        <f>IF($B16="","",$E16+$F16)</f>
        <v/>
      </c>
      <c r="H16" s="116">
        <f>IF($B16="","",SUMIFS(TAHSILAT!$F$7:$F$1506,TAHSILAT!$C$7:$C$1506,$B16))</f>
        <v/>
      </c>
      <c r="I16" s="116">
        <f>IF($B16="","",MAX(0,$G16-$H16))</f>
        <v/>
      </c>
      <c r="J16" s="116">
        <f>IF($B16="","",MAX(0,$I16-$K16-$L16-$M16))</f>
        <v/>
      </c>
      <c r="K16" s="116">
        <f>IF($B16="","",($AB16-$AC16)+IF(AND($AA16&gt;0,$S16&lt;&gt;"",$T16&gt;=8,$T16&lt;15),$AA16,0))</f>
        <v/>
      </c>
      <c r="L16" s="116">
        <f>IF($B16="","",($AC16-$AD16)+IF(AND($AA16&gt;0,$S16&lt;&gt;"",$T16&gt;=15,$T16&lt;29),$AA16,0))</f>
        <v/>
      </c>
      <c r="M16" s="116">
        <f>IF($B16="","",$AD16+IF(AND($AA16&gt;0,OR($S16="",$T16&gt;=29)),$AA16,0))</f>
        <v/>
      </c>
      <c r="N16" s="122">
        <f>IF($B16="","",IFERROR($H16/$G16,0))</f>
        <v/>
      </c>
      <c r="O16" s="123">
        <f>IF($B16="","",IFERROR(LOOKUP(2,1/(TAHSILAT!$C$7:$C$1506=$B16),TAHSILAT!$E$7:$E$1506),""))</f>
        <v/>
      </c>
      <c r="P16" s="112">
        <f>IF($B16="","",IF($M16&gt;0,"KRİTİK",IF($L16&gt;0,"YÜKSEK",IF($K16&gt;0,"ORTA",IF($I16&gt;0,"İZLE","TEMİZ")))))</f>
        <v/>
      </c>
      <c r="Q16" s="113">
        <f>IF($B16="","",IF($P16="KRİTİK","Acil tahsilat görüşmesi ve cari mutabakat",IF($P16="YÜKSEK","Bu hafta tahsilat takibi",IF($P16="ORTA","Hatırlatma mesajı gönder",IF($P16="İZLE","Normal takip","Aksiyon gerekmiyor")))))</f>
        <v/>
      </c>
      <c r="R16" s="120">
        <f>IF($B16="","",COUNTIFS(AKTIVITE!$D$7:$D$1006,$B16,AKTIVITE!$J$7:$J$1006,"&lt;&gt;Tamamlandı"))</f>
        <v/>
      </c>
      <c r="S16" s="123">
        <f>IF($B16="","",IF(MUSTERILER!$K16="","",MUSTERILER!$K16))</f>
        <v/>
      </c>
      <c r="T16" s="120">
        <f>IF(OR($B16="",$S16=""),"",TODAY()-$S16)</f>
        <v/>
      </c>
      <c r="U16" s="112">
        <f>IF($B16="","",IF(ABS($I16-($J16+$K16+$L16+$M16))&lt;0.01,"UYGUN","İNCELE"))</f>
        <v/>
      </c>
      <c r="V16" s="6" t="n"/>
      <c r="W16" s="6">
        <f>IF($B16="",0,SUMIFS(UCRETLER!$I$7:$I$406,UCRETLER!$B$7:$B$406,$B16))</f>
        <v/>
      </c>
      <c r="X16" s="3">
        <f>IF($B16="",0,SUMIFS(UCRETLER!$J$7:$J$406,UCRETLER!$B$7:$B$406,$B16))</f>
        <v/>
      </c>
      <c r="Y16" s="3">
        <f>IF($B16="",0,SUMIFS(UCRETLER!$K$7:$K$406,UCRETLER!$B$7:$B$406,$B16))</f>
        <v/>
      </c>
      <c r="Z16" s="3">
        <f>IF($B16="",0,MAX(0,$H16-$E16))</f>
        <v/>
      </c>
      <c r="AA16" s="3">
        <f>IF($B16="",0,MAX(0,$E16-$H16))</f>
        <v/>
      </c>
      <c r="AB16" s="3">
        <f>IF($B16="",0,MAX(0,$W16-$Z16))</f>
        <v/>
      </c>
      <c r="AC16" s="3">
        <f>IF($B16="",0,MAX(0,$X16-$Z16))</f>
        <v/>
      </c>
      <c r="AD16" s="3">
        <f>IF($B16="",0,MAX(0,$Y16-$Z16))</f>
        <v/>
      </c>
    </row>
    <row r="17">
      <c r="A17" s="6" t="n"/>
      <c r="B17" s="112">
        <f>IF(MUSTERILER!$B17="","",MUSTERILER!$B17)</f>
        <v/>
      </c>
      <c r="C17" s="113">
        <f>IF(MUSTERILER!$B17="","",MUSTERILER!$C17)</f>
        <v/>
      </c>
      <c r="D17" s="116">
        <f>IF($B17="","",SUMIFS(UCRETLER!$F$7:$F$406,UCRETLER!$B$7:$B$406,$B17,UCRETLER!$G$7:$G$406,"Aktif"))</f>
        <v/>
      </c>
      <c r="E17" s="116">
        <f>IF($B17="","",SUMIFS(MUSTERILER!$J$7:$J$106,MUSTERILER!$B$7:$B$106,$B17))</f>
        <v/>
      </c>
      <c r="F17" s="116">
        <f>IF($B17="","",SUMIFS(UCRETLER!$H$7:$H$406,UCRETLER!$B$7:$B$406,$B17))</f>
        <v/>
      </c>
      <c r="G17" s="116">
        <f>IF($B17="","",$E17+$F17)</f>
        <v/>
      </c>
      <c r="H17" s="116">
        <f>IF($B17="","",SUMIFS(TAHSILAT!$F$7:$F$1506,TAHSILAT!$C$7:$C$1506,$B17))</f>
        <v/>
      </c>
      <c r="I17" s="116">
        <f>IF($B17="","",MAX(0,$G17-$H17))</f>
        <v/>
      </c>
      <c r="J17" s="116">
        <f>IF($B17="","",MAX(0,$I17-$K17-$L17-$M17))</f>
        <v/>
      </c>
      <c r="K17" s="116">
        <f>IF($B17="","",($AB17-$AC17)+IF(AND($AA17&gt;0,$S17&lt;&gt;"",$T17&gt;=8,$T17&lt;15),$AA17,0))</f>
        <v/>
      </c>
      <c r="L17" s="116">
        <f>IF($B17="","",($AC17-$AD17)+IF(AND($AA17&gt;0,$S17&lt;&gt;"",$T17&gt;=15,$T17&lt;29),$AA17,0))</f>
        <v/>
      </c>
      <c r="M17" s="116">
        <f>IF($B17="","",$AD17+IF(AND($AA17&gt;0,OR($S17="",$T17&gt;=29)),$AA17,0))</f>
        <v/>
      </c>
      <c r="N17" s="122">
        <f>IF($B17="","",IFERROR($H17/$G17,0))</f>
        <v/>
      </c>
      <c r="O17" s="123">
        <f>IF($B17="","",IFERROR(LOOKUP(2,1/(TAHSILAT!$C$7:$C$1506=$B17),TAHSILAT!$E$7:$E$1506),""))</f>
        <v/>
      </c>
      <c r="P17" s="112">
        <f>IF($B17="","",IF($M17&gt;0,"KRİTİK",IF($L17&gt;0,"YÜKSEK",IF($K17&gt;0,"ORTA",IF($I17&gt;0,"İZLE","TEMİZ")))))</f>
        <v/>
      </c>
      <c r="Q17" s="113">
        <f>IF($B17="","",IF($P17="KRİTİK","Acil tahsilat görüşmesi ve cari mutabakat",IF($P17="YÜKSEK","Bu hafta tahsilat takibi",IF($P17="ORTA","Hatırlatma mesajı gönder",IF($P17="İZLE","Normal takip","Aksiyon gerekmiyor")))))</f>
        <v/>
      </c>
      <c r="R17" s="120">
        <f>IF($B17="","",COUNTIFS(AKTIVITE!$D$7:$D$1006,$B17,AKTIVITE!$J$7:$J$1006,"&lt;&gt;Tamamlandı"))</f>
        <v/>
      </c>
      <c r="S17" s="123">
        <f>IF($B17="","",IF(MUSTERILER!$K17="","",MUSTERILER!$K17))</f>
        <v/>
      </c>
      <c r="T17" s="120">
        <f>IF(OR($B17="",$S17=""),"",TODAY()-$S17)</f>
        <v/>
      </c>
      <c r="U17" s="112">
        <f>IF($B17="","",IF(ABS($I17-($J17+$K17+$L17+$M17))&lt;0.01,"UYGUN","İNCELE"))</f>
        <v/>
      </c>
      <c r="V17" s="6" t="n"/>
      <c r="W17" s="6">
        <f>IF($B17="",0,SUMIFS(UCRETLER!$I$7:$I$406,UCRETLER!$B$7:$B$406,$B17))</f>
        <v/>
      </c>
      <c r="X17" s="3">
        <f>IF($B17="",0,SUMIFS(UCRETLER!$J$7:$J$406,UCRETLER!$B$7:$B$406,$B17))</f>
        <v/>
      </c>
      <c r="Y17" s="3">
        <f>IF($B17="",0,SUMIFS(UCRETLER!$K$7:$K$406,UCRETLER!$B$7:$B$406,$B17))</f>
        <v/>
      </c>
      <c r="Z17" s="3">
        <f>IF($B17="",0,MAX(0,$H17-$E17))</f>
        <v/>
      </c>
      <c r="AA17" s="3">
        <f>IF($B17="",0,MAX(0,$E17-$H17))</f>
        <v/>
      </c>
      <c r="AB17" s="3">
        <f>IF($B17="",0,MAX(0,$W17-$Z17))</f>
        <v/>
      </c>
      <c r="AC17" s="3">
        <f>IF($B17="",0,MAX(0,$X17-$Z17))</f>
        <v/>
      </c>
      <c r="AD17" s="3">
        <f>IF($B17="",0,MAX(0,$Y17-$Z17))</f>
        <v/>
      </c>
    </row>
    <row r="18">
      <c r="A18" s="6" t="n"/>
      <c r="B18" s="112">
        <f>IF(MUSTERILER!$B18="","",MUSTERILER!$B18)</f>
        <v/>
      </c>
      <c r="C18" s="113">
        <f>IF(MUSTERILER!$B18="","",MUSTERILER!$C18)</f>
        <v/>
      </c>
      <c r="D18" s="116">
        <f>IF($B18="","",SUMIFS(UCRETLER!$F$7:$F$406,UCRETLER!$B$7:$B$406,$B18,UCRETLER!$G$7:$G$406,"Aktif"))</f>
        <v/>
      </c>
      <c r="E18" s="116">
        <f>IF($B18="","",SUMIFS(MUSTERILER!$J$7:$J$106,MUSTERILER!$B$7:$B$106,$B18))</f>
        <v/>
      </c>
      <c r="F18" s="116">
        <f>IF($B18="","",SUMIFS(UCRETLER!$H$7:$H$406,UCRETLER!$B$7:$B$406,$B18))</f>
        <v/>
      </c>
      <c r="G18" s="116">
        <f>IF($B18="","",$E18+$F18)</f>
        <v/>
      </c>
      <c r="H18" s="116">
        <f>IF($B18="","",SUMIFS(TAHSILAT!$F$7:$F$1506,TAHSILAT!$C$7:$C$1506,$B18))</f>
        <v/>
      </c>
      <c r="I18" s="116">
        <f>IF($B18="","",MAX(0,$G18-$H18))</f>
        <v/>
      </c>
      <c r="J18" s="116">
        <f>IF($B18="","",MAX(0,$I18-$K18-$L18-$M18))</f>
        <v/>
      </c>
      <c r="K18" s="116">
        <f>IF($B18="","",($AB18-$AC18)+IF(AND($AA18&gt;0,$S18&lt;&gt;"",$T18&gt;=8,$T18&lt;15),$AA18,0))</f>
        <v/>
      </c>
      <c r="L18" s="116">
        <f>IF($B18="","",($AC18-$AD18)+IF(AND($AA18&gt;0,$S18&lt;&gt;"",$T18&gt;=15,$T18&lt;29),$AA18,0))</f>
        <v/>
      </c>
      <c r="M18" s="116">
        <f>IF($B18="","",$AD18+IF(AND($AA18&gt;0,OR($S18="",$T18&gt;=29)),$AA18,0))</f>
        <v/>
      </c>
      <c r="N18" s="122">
        <f>IF($B18="","",IFERROR($H18/$G18,0))</f>
        <v/>
      </c>
      <c r="O18" s="123">
        <f>IF($B18="","",IFERROR(LOOKUP(2,1/(TAHSILAT!$C$7:$C$1506=$B18),TAHSILAT!$E$7:$E$1506),""))</f>
        <v/>
      </c>
      <c r="P18" s="112">
        <f>IF($B18="","",IF($M18&gt;0,"KRİTİK",IF($L18&gt;0,"YÜKSEK",IF($K18&gt;0,"ORTA",IF($I18&gt;0,"İZLE","TEMİZ")))))</f>
        <v/>
      </c>
      <c r="Q18" s="113">
        <f>IF($B18="","",IF($P18="KRİTİK","Acil tahsilat görüşmesi ve cari mutabakat",IF($P18="YÜKSEK","Bu hafta tahsilat takibi",IF($P18="ORTA","Hatırlatma mesajı gönder",IF($P18="İZLE","Normal takip","Aksiyon gerekmiyor")))))</f>
        <v/>
      </c>
      <c r="R18" s="120">
        <f>IF($B18="","",COUNTIFS(AKTIVITE!$D$7:$D$1006,$B18,AKTIVITE!$J$7:$J$1006,"&lt;&gt;Tamamlandı"))</f>
        <v/>
      </c>
      <c r="S18" s="123">
        <f>IF($B18="","",IF(MUSTERILER!$K18="","",MUSTERILER!$K18))</f>
        <v/>
      </c>
      <c r="T18" s="120">
        <f>IF(OR($B18="",$S18=""),"",TODAY()-$S18)</f>
        <v/>
      </c>
      <c r="U18" s="112">
        <f>IF($B18="","",IF(ABS($I18-($J18+$K18+$L18+$M18))&lt;0.01,"UYGUN","İNCELE"))</f>
        <v/>
      </c>
      <c r="V18" s="6" t="n"/>
      <c r="W18" s="6">
        <f>IF($B18="",0,SUMIFS(UCRETLER!$I$7:$I$406,UCRETLER!$B$7:$B$406,$B18))</f>
        <v/>
      </c>
      <c r="X18" s="3">
        <f>IF($B18="",0,SUMIFS(UCRETLER!$J$7:$J$406,UCRETLER!$B$7:$B$406,$B18))</f>
        <v/>
      </c>
      <c r="Y18" s="3">
        <f>IF($B18="",0,SUMIFS(UCRETLER!$K$7:$K$406,UCRETLER!$B$7:$B$406,$B18))</f>
        <v/>
      </c>
      <c r="Z18" s="3">
        <f>IF($B18="",0,MAX(0,$H18-$E18))</f>
        <v/>
      </c>
      <c r="AA18" s="3">
        <f>IF($B18="",0,MAX(0,$E18-$H18))</f>
        <v/>
      </c>
      <c r="AB18" s="3">
        <f>IF($B18="",0,MAX(0,$W18-$Z18))</f>
        <v/>
      </c>
      <c r="AC18" s="3">
        <f>IF($B18="",0,MAX(0,$X18-$Z18))</f>
        <v/>
      </c>
      <c r="AD18" s="3">
        <f>IF($B18="",0,MAX(0,$Y18-$Z18))</f>
        <v/>
      </c>
    </row>
    <row r="19">
      <c r="A19" s="6" t="n"/>
      <c r="B19" s="112">
        <f>IF(MUSTERILER!$B19="","",MUSTERILER!$B19)</f>
        <v/>
      </c>
      <c r="C19" s="113">
        <f>IF(MUSTERILER!$B19="","",MUSTERILER!$C19)</f>
        <v/>
      </c>
      <c r="D19" s="116">
        <f>IF($B19="","",SUMIFS(UCRETLER!$F$7:$F$406,UCRETLER!$B$7:$B$406,$B19,UCRETLER!$G$7:$G$406,"Aktif"))</f>
        <v/>
      </c>
      <c r="E19" s="116">
        <f>IF($B19="","",SUMIFS(MUSTERILER!$J$7:$J$106,MUSTERILER!$B$7:$B$106,$B19))</f>
        <v/>
      </c>
      <c r="F19" s="116">
        <f>IF($B19="","",SUMIFS(UCRETLER!$H$7:$H$406,UCRETLER!$B$7:$B$406,$B19))</f>
        <v/>
      </c>
      <c r="G19" s="116">
        <f>IF($B19="","",$E19+$F19)</f>
        <v/>
      </c>
      <c r="H19" s="116">
        <f>IF($B19="","",SUMIFS(TAHSILAT!$F$7:$F$1506,TAHSILAT!$C$7:$C$1506,$B19))</f>
        <v/>
      </c>
      <c r="I19" s="116">
        <f>IF($B19="","",MAX(0,$G19-$H19))</f>
        <v/>
      </c>
      <c r="J19" s="116">
        <f>IF($B19="","",MAX(0,$I19-$K19-$L19-$M19))</f>
        <v/>
      </c>
      <c r="K19" s="116">
        <f>IF($B19="","",($AB19-$AC19)+IF(AND($AA19&gt;0,$S19&lt;&gt;"",$T19&gt;=8,$T19&lt;15),$AA19,0))</f>
        <v/>
      </c>
      <c r="L19" s="116">
        <f>IF($B19="","",($AC19-$AD19)+IF(AND($AA19&gt;0,$S19&lt;&gt;"",$T19&gt;=15,$T19&lt;29),$AA19,0))</f>
        <v/>
      </c>
      <c r="M19" s="116">
        <f>IF($B19="","",$AD19+IF(AND($AA19&gt;0,OR($S19="",$T19&gt;=29)),$AA19,0))</f>
        <v/>
      </c>
      <c r="N19" s="122">
        <f>IF($B19="","",IFERROR($H19/$G19,0))</f>
        <v/>
      </c>
      <c r="O19" s="123">
        <f>IF($B19="","",IFERROR(LOOKUP(2,1/(TAHSILAT!$C$7:$C$1506=$B19),TAHSILAT!$E$7:$E$1506),""))</f>
        <v/>
      </c>
      <c r="P19" s="112">
        <f>IF($B19="","",IF($M19&gt;0,"KRİTİK",IF($L19&gt;0,"YÜKSEK",IF($K19&gt;0,"ORTA",IF($I19&gt;0,"İZLE","TEMİZ")))))</f>
        <v/>
      </c>
      <c r="Q19" s="113">
        <f>IF($B19="","",IF($P19="KRİTİK","Acil tahsilat görüşmesi ve cari mutabakat",IF($P19="YÜKSEK","Bu hafta tahsilat takibi",IF($P19="ORTA","Hatırlatma mesajı gönder",IF($P19="İZLE","Normal takip","Aksiyon gerekmiyor")))))</f>
        <v/>
      </c>
      <c r="R19" s="120">
        <f>IF($B19="","",COUNTIFS(AKTIVITE!$D$7:$D$1006,$B19,AKTIVITE!$J$7:$J$1006,"&lt;&gt;Tamamlandı"))</f>
        <v/>
      </c>
      <c r="S19" s="123">
        <f>IF($B19="","",IF(MUSTERILER!$K19="","",MUSTERILER!$K19))</f>
        <v/>
      </c>
      <c r="T19" s="120">
        <f>IF(OR($B19="",$S19=""),"",TODAY()-$S19)</f>
        <v/>
      </c>
      <c r="U19" s="112">
        <f>IF($B19="","",IF(ABS($I19-($J19+$K19+$L19+$M19))&lt;0.01,"UYGUN","İNCELE"))</f>
        <v/>
      </c>
      <c r="V19" s="6" t="n"/>
      <c r="W19" s="6">
        <f>IF($B19="",0,SUMIFS(UCRETLER!$I$7:$I$406,UCRETLER!$B$7:$B$406,$B19))</f>
        <v/>
      </c>
      <c r="X19" s="3">
        <f>IF($B19="",0,SUMIFS(UCRETLER!$J$7:$J$406,UCRETLER!$B$7:$B$406,$B19))</f>
        <v/>
      </c>
      <c r="Y19" s="3">
        <f>IF($B19="",0,SUMIFS(UCRETLER!$K$7:$K$406,UCRETLER!$B$7:$B$406,$B19))</f>
        <v/>
      </c>
      <c r="Z19" s="3">
        <f>IF($B19="",0,MAX(0,$H19-$E19))</f>
        <v/>
      </c>
      <c r="AA19" s="3">
        <f>IF($B19="",0,MAX(0,$E19-$H19))</f>
        <v/>
      </c>
      <c r="AB19" s="3">
        <f>IF($B19="",0,MAX(0,$W19-$Z19))</f>
        <v/>
      </c>
      <c r="AC19" s="3">
        <f>IF($B19="",0,MAX(0,$X19-$Z19))</f>
        <v/>
      </c>
      <c r="AD19" s="3">
        <f>IF($B19="",0,MAX(0,$Y19-$Z19))</f>
        <v/>
      </c>
    </row>
    <row r="20">
      <c r="A20" s="6" t="n"/>
      <c r="B20" s="112">
        <f>IF(MUSTERILER!$B20="","",MUSTERILER!$B20)</f>
        <v/>
      </c>
      <c r="C20" s="113">
        <f>IF(MUSTERILER!$B20="","",MUSTERILER!$C20)</f>
        <v/>
      </c>
      <c r="D20" s="116">
        <f>IF($B20="","",SUMIFS(UCRETLER!$F$7:$F$406,UCRETLER!$B$7:$B$406,$B20,UCRETLER!$G$7:$G$406,"Aktif"))</f>
        <v/>
      </c>
      <c r="E20" s="116">
        <f>IF($B20="","",SUMIFS(MUSTERILER!$J$7:$J$106,MUSTERILER!$B$7:$B$106,$B20))</f>
        <v/>
      </c>
      <c r="F20" s="116">
        <f>IF($B20="","",SUMIFS(UCRETLER!$H$7:$H$406,UCRETLER!$B$7:$B$406,$B20))</f>
        <v/>
      </c>
      <c r="G20" s="116">
        <f>IF($B20="","",$E20+$F20)</f>
        <v/>
      </c>
      <c r="H20" s="116">
        <f>IF($B20="","",SUMIFS(TAHSILAT!$F$7:$F$1506,TAHSILAT!$C$7:$C$1506,$B20))</f>
        <v/>
      </c>
      <c r="I20" s="116">
        <f>IF($B20="","",MAX(0,$G20-$H20))</f>
        <v/>
      </c>
      <c r="J20" s="116">
        <f>IF($B20="","",MAX(0,$I20-$K20-$L20-$M20))</f>
        <v/>
      </c>
      <c r="K20" s="116">
        <f>IF($B20="","",($AB20-$AC20)+IF(AND($AA20&gt;0,$S20&lt;&gt;"",$T20&gt;=8,$T20&lt;15),$AA20,0))</f>
        <v/>
      </c>
      <c r="L20" s="116">
        <f>IF($B20="","",($AC20-$AD20)+IF(AND($AA20&gt;0,$S20&lt;&gt;"",$T20&gt;=15,$T20&lt;29),$AA20,0))</f>
        <v/>
      </c>
      <c r="M20" s="116">
        <f>IF($B20="","",$AD20+IF(AND($AA20&gt;0,OR($S20="",$T20&gt;=29)),$AA20,0))</f>
        <v/>
      </c>
      <c r="N20" s="122">
        <f>IF($B20="","",IFERROR($H20/$G20,0))</f>
        <v/>
      </c>
      <c r="O20" s="123">
        <f>IF($B20="","",IFERROR(LOOKUP(2,1/(TAHSILAT!$C$7:$C$1506=$B20),TAHSILAT!$E$7:$E$1506),""))</f>
        <v/>
      </c>
      <c r="P20" s="112">
        <f>IF($B20="","",IF($M20&gt;0,"KRİTİK",IF($L20&gt;0,"YÜKSEK",IF($K20&gt;0,"ORTA",IF($I20&gt;0,"İZLE","TEMİZ")))))</f>
        <v/>
      </c>
      <c r="Q20" s="113">
        <f>IF($B20="","",IF($P20="KRİTİK","Acil tahsilat görüşmesi ve cari mutabakat",IF($P20="YÜKSEK","Bu hafta tahsilat takibi",IF($P20="ORTA","Hatırlatma mesajı gönder",IF($P20="İZLE","Normal takip","Aksiyon gerekmiyor")))))</f>
        <v/>
      </c>
      <c r="R20" s="120">
        <f>IF($B20="","",COUNTIFS(AKTIVITE!$D$7:$D$1006,$B20,AKTIVITE!$J$7:$J$1006,"&lt;&gt;Tamamlandı"))</f>
        <v/>
      </c>
      <c r="S20" s="123">
        <f>IF($B20="","",IF(MUSTERILER!$K20="","",MUSTERILER!$K20))</f>
        <v/>
      </c>
      <c r="T20" s="120">
        <f>IF(OR($B20="",$S20=""),"",TODAY()-$S20)</f>
        <v/>
      </c>
      <c r="U20" s="112">
        <f>IF($B20="","",IF(ABS($I20-($J20+$K20+$L20+$M20))&lt;0.01,"UYGUN","İNCELE"))</f>
        <v/>
      </c>
      <c r="V20" s="6" t="n"/>
      <c r="W20" s="6">
        <f>IF($B20="",0,SUMIFS(UCRETLER!$I$7:$I$406,UCRETLER!$B$7:$B$406,$B20))</f>
        <v/>
      </c>
      <c r="X20" s="3">
        <f>IF($B20="",0,SUMIFS(UCRETLER!$J$7:$J$406,UCRETLER!$B$7:$B$406,$B20))</f>
        <v/>
      </c>
      <c r="Y20" s="3">
        <f>IF($B20="",0,SUMIFS(UCRETLER!$K$7:$K$406,UCRETLER!$B$7:$B$406,$B20))</f>
        <v/>
      </c>
      <c r="Z20" s="3">
        <f>IF($B20="",0,MAX(0,$H20-$E20))</f>
        <v/>
      </c>
      <c r="AA20" s="3">
        <f>IF($B20="",0,MAX(0,$E20-$H20))</f>
        <v/>
      </c>
      <c r="AB20" s="3">
        <f>IF($B20="",0,MAX(0,$W20-$Z20))</f>
        <v/>
      </c>
      <c r="AC20" s="3">
        <f>IF($B20="",0,MAX(0,$X20-$Z20))</f>
        <v/>
      </c>
      <c r="AD20" s="3">
        <f>IF($B20="",0,MAX(0,$Y20-$Z20))</f>
        <v/>
      </c>
    </row>
    <row r="21">
      <c r="A21" s="6" t="n"/>
      <c r="B21" s="112">
        <f>IF(MUSTERILER!$B21="","",MUSTERILER!$B21)</f>
        <v/>
      </c>
      <c r="C21" s="113">
        <f>IF(MUSTERILER!$B21="","",MUSTERILER!$C21)</f>
        <v/>
      </c>
      <c r="D21" s="116">
        <f>IF($B21="","",SUMIFS(UCRETLER!$F$7:$F$406,UCRETLER!$B$7:$B$406,$B21,UCRETLER!$G$7:$G$406,"Aktif"))</f>
        <v/>
      </c>
      <c r="E21" s="116">
        <f>IF($B21="","",SUMIFS(MUSTERILER!$J$7:$J$106,MUSTERILER!$B$7:$B$106,$B21))</f>
        <v/>
      </c>
      <c r="F21" s="116">
        <f>IF($B21="","",SUMIFS(UCRETLER!$H$7:$H$406,UCRETLER!$B$7:$B$406,$B21))</f>
        <v/>
      </c>
      <c r="G21" s="116">
        <f>IF($B21="","",$E21+$F21)</f>
        <v/>
      </c>
      <c r="H21" s="116">
        <f>IF($B21="","",SUMIFS(TAHSILAT!$F$7:$F$1506,TAHSILAT!$C$7:$C$1506,$B21))</f>
        <v/>
      </c>
      <c r="I21" s="116">
        <f>IF($B21="","",MAX(0,$G21-$H21))</f>
        <v/>
      </c>
      <c r="J21" s="116">
        <f>IF($B21="","",MAX(0,$I21-$K21-$L21-$M21))</f>
        <v/>
      </c>
      <c r="K21" s="116">
        <f>IF($B21="","",($AB21-$AC21)+IF(AND($AA21&gt;0,$S21&lt;&gt;"",$T21&gt;=8,$T21&lt;15),$AA21,0))</f>
        <v/>
      </c>
      <c r="L21" s="116">
        <f>IF($B21="","",($AC21-$AD21)+IF(AND($AA21&gt;0,$S21&lt;&gt;"",$T21&gt;=15,$T21&lt;29),$AA21,0))</f>
        <v/>
      </c>
      <c r="M21" s="116">
        <f>IF($B21="","",$AD21+IF(AND($AA21&gt;0,OR($S21="",$T21&gt;=29)),$AA21,0))</f>
        <v/>
      </c>
      <c r="N21" s="122">
        <f>IF($B21="","",IFERROR($H21/$G21,0))</f>
        <v/>
      </c>
      <c r="O21" s="123">
        <f>IF($B21="","",IFERROR(LOOKUP(2,1/(TAHSILAT!$C$7:$C$1506=$B21),TAHSILAT!$E$7:$E$1506),""))</f>
        <v/>
      </c>
      <c r="P21" s="112">
        <f>IF($B21="","",IF($M21&gt;0,"KRİTİK",IF($L21&gt;0,"YÜKSEK",IF($K21&gt;0,"ORTA",IF($I21&gt;0,"İZLE","TEMİZ")))))</f>
        <v/>
      </c>
      <c r="Q21" s="113">
        <f>IF($B21="","",IF($P21="KRİTİK","Acil tahsilat görüşmesi ve cari mutabakat",IF($P21="YÜKSEK","Bu hafta tahsilat takibi",IF($P21="ORTA","Hatırlatma mesajı gönder",IF($P21="İZLE","Normal takip","Aksiyon gerekmiyor")))))</f>
        <v/>
      </c>
      <c r="R21" s="120">
        <f>IF($B21="","",COUNTIFS(AKTIVITE!$D$7:$D$1006,$B21,AKTIVITE!$J$7:$J$1006,"&lt;&gt;Tamamlandı"))</f>
        <v/>
      </c>
      <c r="S21" s="123">
        <f>IF($B21="","",IF(MUSTERILER!$K21="","",MUSTERILER!$K21))</f>
        <v/>
      </c>
      <c r="T21" s="120">
        <f>IF(OR($B21="",$S21=""),"",TODAY()-$S21)</f>
        <v/>
      </c>
      <c r="U21" s="112">
        <f>IF($B21="","",IF(ABS($I21-($J21+$K21+$L21+$M21))&lt;0.01,"UYGUN","İNCELE"))</f>
        <v/>
      </c>
      <c r="V21" s="6" t="n"/>
      <c r="W21" s="6">
        <f>IF($B21="",0,SUMIFS(UCRETLER!$I$7:$I$406,UCRETLER!$B$7:$B$406,$B21))</f>
        <v/>
      </c>
      <c r="X21" s="3">
        <f>IF($B21="",0,SUMIFS(UCRETLER!$J$7:$J$406,UCRETLER!$B$7:$B$406,$B21))</f>
        <v/>
      </c>
      <c r="Y21" s="3">
        <f>IF($B21="",0,SUMIFS(UCRETLER!$K$7:$K$406,UCRETLER!$B$7:$B$406,$B21))</f>
        <v/>
      </c>
      <c r="Z21" s="3">
        <f>IF($B21="",0,MAX(0,$H21-$E21))</f>
        <v/>
      </c>
      <c r="AA21" s="3">
        <f>IF($B21="",0,MAX(0,$E21-$H21))</f>
        <v/>
      </c>
      <c r="AB21" s="3">
        <f>IF($B21="",0,MAX(0,$W21-$Z21))</f>
        <v/>
      </c>
      <c r="AC21" s="3">
        <f>IF($B21="",0,MAX(0,$X21-$Z21))</f>
        <v/>
      </c>
      <c r="AD21" s="3">
        <f>IF($B21="",0,MAX(0,$Y21-$Z21))</f>
        <v/>
      </c>
    </row>
    <row r="22">
      <c r="A22" s="6" t="n"/>
      <c r="B22" s="112">
        <f>IF(MUSTERILER!$B22="","",MUSTERILER!$B22)</f>
        <v/>
      </c>
      <c r="C22" s="113">
        <f>IF(MUSTERILER!$B22="","",MUSTERILER!$C22)</f>
        <v/>
      </c>
      <c r="D22" s="116">
        <f>IF($B22="","",SUMIFS(UCRETLER!$F$7:$F$406,UCRETLER!$B$7:$B$406,$B22,UCRETLER!$G$7:$G$406,"Aktif"))</f>
        <v/>
      </c>
      <c r="E22" s="116">
        <f>IF($B22="","",SUMIFS(MUSTERILER!$J$7:$J$106,MUSTERILER!$B$7:$B$106,$B22))</f>
        <v/>
      </c>
      <c r="F22" s="116">
        <f>IF($B22="","",SUMIFS(UCRETLER!$H$7:$H$406,UCRETLER!$B$7:$B$406,$B22))</f>
        <v/>
      </c>
      <c r="G22" s="116">
        <f>IF($B22="","",$E22+$F22)</f>
        <v/>
      </c>
      <c r="H22" s="116">
        <f>IF($B22="","",SUMIFS(TAHSILAT!$F$7:$F$1506,TAHSILAT!$C$7:$C$1506,$B22))</f>
        <v/>
      </c>
      <c r="I22" s="116">
        <f>IF($B22="","",MAX(0,$G22-$H22))</f>
        <v/>
      </c>
      <c r="J22" s="116">
        <f>IF($B22="","",MAX(0,$I22-$K22-$L22-$M22))</f>
        <v/>
      </c>
      <c r="K22" s="116">
        <f>IF($B22="","",($AB22-$AC22)+IF(AND($AA22&gt;0,$S22&lt;&gt;"",$T22&gt;=8,$T22&lt;15),$AA22,0))</f>
        <v/>
      </c>
      <c r="L22" s="116">
        <f>IF($B22="","",($AC22-$AD22)+IF(AND($AA22&gt;0,$S22&lt;&gt;"",$T22&gt;=15,$T22&lt;29),$AA22,0))</f>
        <v/>
      </c>
      <c r="M22" s="116">
        <f>IF($B22="","",$AD22+IF(AND($AA22&gt;0,OR($S22="",$T22&gt;=29)),$AA22,0))</f>
        <v/>
      </c>
      <c r="N22" s="122">
        <f>IF($B22="","",IFERROR($H22/$G22,0))</f>
        <v/>
      </c>
      <c r="O22" s="123">
        <f>IF($B22="","",IFERROR(LOOKUP(2,1/(TAHSILAT!$C$7:$C$1506=$B22),TAHSILAT!$E$7:$E$1506),""))</f>
        <v/>
      </c>
      <c r="P22" s="112">
        <f>IF($B22="","",IF($M22&gt;0,"KRİTİK",IF($L22&gt;0,"YÜKSEK",IF($K22&gt;0,"ORTA",IF($I22&gt;0,"İZLE","TEMİZ")))))</f>
        <v/>
      </c>
      <c r="Q22" s="113">
        <f>IF($B22="","",IF($P22="KRİTİK","Acil tahsilat görüşmesi ve cari mutabakat",IF($P22="YÜKSEK","Bu hafta tahsilat takibi",IF($P22="ORTA","Hatırlatma mesajı gönder",IF($P22="İZLE","Normal takip","Aksiyon gerekmiyor")))))</f>
        <v/>
      </c>
      <c r="R22" s="120">
        <f>IF($B22="","",COUNTIFS(AKTIVITE!$D$7:$D$1006,$B22,AKTIVITE!$J$7:$J$1006,"&lt;&gt;Tamamlandı"))</f>
        <v/>
      </c>
      <c r="S22" s="123">
        <f>IF($B22="","",IF(MUSTERILER!$K22="","",MUSTERILER!$K22))</f>
        <v/>
      </c>
      <c r="T22" s="120">
        <f>IF(OR($B22="",$S22=""),"",TODAY()-$S22)</f>
        <v/>
      </c>
      <c r="U22" s="112">
        <f>IF($B22="","",IF(ABS($I22-($J22+$K22+$L22+$M22))&lt;0.01,"UYGUN","İNCELE"))</f>
        <v/>
      </c>
      <c r="V22" s="6" t="n"/>
      <c r="W22" s="6">
        <f>IF($B22="",0,SUMIFS(UCRETLER!$I$7:$I$406,UCRETLER!$B$7:$B$406,$B22))</f>
        <v/>
      </c>
      <c r="X22" s="3">
        <f>IF($B22="",0,SUMIFS(UCRETLER!$J$7:$J$406,UCRETLER!$B$7:$B$406,$B22))</f>
        <v/>
      </c>
      <c r="Y22" s="3">
        <f>IF($B22="",0,SUMIFS(UCRETLER!$K$7:$K$406,UCRETLER!$B$7:$B$406,$B22))</f>
        <v/>
      </c>
      <c r="Z22" s="3">
        <f>IF($B22="",0,MAX(0,$H22-$E22))</f>
        <v/>
      </c>
      <c r="AA22" s="3">
        <f>IF($B22="",0,MAX(0,$E22-$H22))</f>
        <v/>
      </c>
      <c r="AB22" s="3">
        <f>IF($B22="",0,MAX(0,$W22-$Z22))</f>
        <v/>
      </c>
      <c r="AC22" s="3">
        <f>IF($B22="",0,MAX(0,$X22-$Z22))</f>
        <v/>
      </c>
      <c r="AD22" s="3">
        <f>IF($B22="",0,MAX(0,$Y22-$Z22))</f>
        <v/>
      </c>
    </row>
    <row r="23">
      <c r="A23" s="6" t="n"/>
      <c r="B23" s="112">
        <f>IF(MUSTERILER!$B23="","",MUSTERILER!$B23)</f>
        <v/>
      </c>
      <c r="C23" s="113">
        <f>IF(MUSTERILER!$B23="","",MUSTERILER!$C23)</f>
        <v/>
      </c>
      <c r="D23" s="116">
        <f>IF($B23="","",SUMIFS(UCRETLER!$F$7:$F$406,UCRETLER!$B$7:$B$406,$B23,UCRETLER!$G$7:$G$406,"Aktif"))</f>
        <v/>
      </c>
      <c r="E23" s="116">
        <f>IF($B23="","",SUMIFS(MUSTERILER!$J$7:$J$106,MUSTERILER!$B$7:$B$106,$B23))</f>
        <v/>
      </c>
      <c r="F23" s="116">
        <f>IF($B23="","",SUMIFS(UCRETLER!$H$7:$H$406,UCRETLER!$B$7:$B$406,$B23))</f>
        <v/>
      </c>
      <c r="G23" s="116">
        <f>IF($B23="","",$E23+$F23)</f>
        <v/>
      </c>
      <c r="H23" s="116">
        <f>IF($B23="","",SUMIFS(TAHSILAT!$F$7:$F$1506,TAHSILAT!$C$7:$C$1506,$B23))</f>
        <v/>
      </c>
      <c r="I23" s="116">
        <f>IF($B23="","",MAX(0,$G23-$H23))</f>
        <v/>
      </c>
      <c r="J23" s="116">
        <f>IF($B23="","",MAX(0,$I23-$K23-$L23-$M23))</f>
        <v/>
      </c>
      <c r="K23" s="116">
        <f>IF($B23="","",($AB23-$AC23)+IF(AND($AA23&gt;0,$S23&lt;&gt;"",$T23&gt;=8,$T23&lt;15),$AA23,0))</f>
        <v/>
      </c>
      <c r="L23" s="116">
        <f>IF($B23="","",($AC23-$AD23)+IF(AND($AA23&gt;0,$S23&lt;&gt;"",$T23&gt;=15,$T23&lt;29),$AA23,0))</f>
        <v/>
      </c>
      <c r="M23" s="116">
        <f>IF($B23="","",$AD23+IF(AND($AA23&gt;0,OR($S23="",$T23&gt;=29)),$AA23,0))</f>
        <v/>
      </c>
      <c r="N23" s="122">
        <f>IF($B23="","",IFERROR($H23/$G23,0))</f>
        <v/>
      </c>
      <c r="O23" s="123">
        <f>IF($B23="","",IFERROR(LOOKUP(2,1/(TAHSILAT!$C$7:$C$1506=$B23),TAHSILAT!$E$7:$E$1506),""))</f>
        <v/>
      </c>
      <c r="P23" s="112">
        <f>IF($B23="","",IF($M23&gt;0,"KRİTİK",IF($L23&gt;0,"YÜKSEK",IF($K23&gt;0,"ORTA",IF($I23&gt;0,"İZLE","TEMİZ")))))</f>
        <v/>
      </c>
      <c r="Q23" s="113">
        <f>IF($B23="","",IF($P23="KRİTİK","Acil tahsilat görüşmesi ve cari mutabakat",IF($P23="YÜKSEK","Bu hafta tahsilat takibi",IF($P23="ORTA","Hatırlatma mesajı gönder",IF($P23="İZLE","Normal takip","Aksiyon gerekmiyor")))))</f>
        <v/>
      </c>
      <c r="R23" s="120">
        <f>IF($B23="","",COUNTIFS(AKTIVITE!$D$7:$D$1006,$B23,AKTIVITE!$J$7:$J$1006,"&lt;&gt;Tamamlandı"))</f>
        <v/>
      </c>
      <c r="S23" s="123">
        <f>IF($B23="","",IF(MUSTERILER!$K23="","",MUSTERILER!$K23))</f>
        <v/>
      </c>
      <c r="T23" s="120">
        <f>IF(OR($B23="",$S23=""),"",TODAY()-$S23)</f>
        <v/>
      </c>
      <c r="U23" s="112">
        <f>IF($B23="","",IF(ABS($I23-($J23+$K23+$L23+$M23))&lt;0.01,"UYGUN","İNCELE"))</f>
        <v/>
      </c>
      <c r="V23" s="6" t="n"/>
      <c r="W23" s="6">
        <f>IF($B23="",0,SUMIFS(UCRETLER!$I$7:$I$406,UCRETLER!$B$7:$B$406,$B23))</f>
        <v/>
      </c>
      <c r="X23" s="3">
        <f>IF($B23="",0,SUMIFS(UCRETLER!$J$7:$J$406,UCRETLER!$B$7:$B$406,$B23))</f>
        <v/>
      </c>
      <c r="Y23" s="3">
        <f>IF($B23="",0,SUMIFS(UCRETLER!$K$7:$K$406,UCRETLER!$B$7:$B$406,$B23))</f>
        <v/>
      </c>
      <c r="Z23" s="3">
        <f>IF($B23="",0,MAX(0,$H23-$E23))</f>
        <v/>
      </c>
      <c r="AA23" s="3">
        <f>IF($B23="",0,MAX(0,$E23-$H23))</f>
        <v/>
      </c>
      <c r="AB23" s="3">
        <f>IF($B23="",0,MAX(0,$W23-$Z23))</f>
        <v/>
      </c>
      <c r="AC23" s="3">
        <f>IF($B23="",0,MAX(0,$X23-$Z23))</f>
        <v/>
      </c>
      <c r="AD23" s="3">
        <f>IF($B23="",0,MAX(0,$Y23-$Z23))</f>
        <v/>
      </c>
    </row>
    <row r="24">
      <c r="A24" s="6" t="n"/>
      <c r="B24" s="112">
        <f>IF(MUSTERILER!$B24="","",MUSTERILER!$B24)</f>
        <v/>
      </c>
      <c r="C24" s="113">
        <f>IF(MUSTERILER!$B24="","",MUSTERILER!$C24)</f>
        <v/>
      </c>
      <c r="D24" s="116">
        <f>IF($B24="","",SUMIFS(UCRETLER!$F$7:$F$406,UCRETLER!$B$7:$B$406,$B24,UCRETLER!$G$7:$G$406,"Aktif"))</f>
        <v/>
      </c>
      <c r="E24" s="116">
        <f>IF($B24="","",SUMIFS(MUSTERILER!$J$7:$J$106,MUSTERILER!$B$7:$B$106,$B24))</f>
        <v/>
      </c>
      <c r="F24" s="116">
        <f>IF($B24="","",SUMIFS(UCRETLER!$H$7:$H$406,UCRETLER!$B$7:$B$406,$B24))</f>
        <v/>
      </c>
      <c r="G24" s="116">
        <f>IF($B24="","",$E24+$F24)</f>
        <v/>
      </c>
      <c r="H24" s="116">
        <f>IF($B24="","",SUMIFS(TAHSILAT!$F$7:$F$1506,TAHSILAT!$C$7:$C$1506,$B24))</f>
        <v/>
      </c>
      <c r="I24" s="116">
        <f>IF($B24="","",MAX(0,$G24-$H24))</f>
        <v/>
      </c>
      <c r="J24" s="116">
        <f>IF($B24="","",MAX(0,$I24-$K24-$L24-$M24))</f>
        <v/>
      </c>
      <c r="K24" s="116">
        <f>IF($B24="","",($AB24-$AC24)+IF(AND($AA24&gt;0,$S24&lt;&gt;"",$T24&gt;=8,$T24&lt;15),$AA24,0))</f>
        <v/>
      </c>
      <c r="L24" s="116">
        <f>IF($B24="","",($AC24-$AD24)+IF(AND($AA24&gt;0,$S24&lt;&gt;"",$T24&gt;=15,$T24&lt;29),$AA24,0))</f>
        <v/>
      </c>
      <c r="M24" s="116">
        <f>IF($B24="","",$AD24+IF(AND($AA24&gt;0,OR($S24="",$T24&gt;=29)),$AA24,0))</f>
        <v/>
      </c>
      <c r="N24" s="122">
        <f>IF($B24="","",IFERROR($H24/$G24,0))</f>
        <v/>
      </c>
      <c r="O24" s="123">
        <f>IF($B24="","",IFERROR(LOOKUP(2,1/(TAHSILAT!$C$7:$C$1506=$B24),TAHSILAT!$E$7:$E$1506),""))</f>
        <v/>
      </c>
      <c r="P24" s="112">
        <f>IF($B24="","",IF($M24&gt;0,"KRİTİK",IF($L24&gt;0,"YÜKSEK",IF($K24&gt;0,"ORTA",IF($I24&gt;0,"İZLE","TEMİZ")))))</f>
        <v/>
      </c>
      <c r="Q24" s="113">
        <f>IF($B24="","",IF($P24="KRİTİK","Acil tahsilat görüşmesi ve cari mutabakat",IF($P24="YÜKSEK","Bu hafta tahsilat takibi",IF($P24="ORTA","Hatırlatma mesajı gönder",IF($P24="İZLE","Normal takip","Aksiyon gerekmiyor")))))</f>
        <v/>
      </c>
      <c r="R24" s="120">
        <f>IF($B24="","",COUNTIFS(AKTIVITE!$D$7:$D$1006,$B24,AKTIVITE!$J$7:$J$1006,"&lt;&gt;Tamamlandı"))</f>
        <v/>
      </c>
      <c r="S24" s="123">
        <f>IF($B24="","",IF(MUSTERILER!$K24="","",MUSTERILER!$K24))</f>
        <v/>
      </c>
      <c r="T24" s="120">
        <f>IF(OR($B24="",$S24=""),"",TODAY()-$S24)</f>
        <v/>
      </c>
      <c r="U24" s="112">
        <f>IF($B24="","",IF(ABS($I24-($J24+$K24+$L24+$M24))&lt;0.01,"UYGUN","İNCELE"))</f>
        <v/>
      </c>
      <c r="V24" s="6" t="n"/>
      <c r="W24" s="6">
        <f>IF($B24="",0,SUMIFS(UCRETLER!$I$7:$I$406,UCRETLER!$B$7:$B$406,$B24))</f>
        <v/>
      </c>
      <c r="X24" s="3">
        <f>IF($B24="",0,SUMIFS(UCRETLER!$J$7:$J$406,UCRETLER!$B$7:$B$406,$B24))</f>
        <v/>
      </c>
      <c r="Y24" s="3">
        <f>IF($B24="",0,SUMIFS(UCRETLER!$K$7:$K$406,UCRETLER!$B$7:$B$406,$B24))</f>
        <v/>
      </c>
      <c r="Z24" s="3">
        <f>IF($B24="",0,MAX(0,$H24-$E24))</f>
        <v/>
      </c>
      <c r="AA24" s="3">
        <f>IF($B24="",0,MAX(0,$E24-$H24))</f>
        <v/>
      </c>
      <c r="AB24" s="3">
        <f>IF($B24="",0,MAX(0,$W24-$Z24))</f>
        <v/>
      </c>
      <c r="AC24" s="3">
        <f>IF($B24="",0,MAX(0,$X24-$Z24))</f>
        <v/>
      </c>
      <c r="AD24" s="3">
        <f>IF($B24="",0,MAX(0,$Y24-$Z24))</f>
        <v/>
      </c>
    </row>
    <row r="25">
      <c r="A25" s="6" t="n"/>
      <c r="B25" s="112">
        <f>IF(MUSTERILER!$B25="","",MUSTERILER!$B25)</f>
        <v/>
      </c>
      <c r="C25" s="113">
        <f>IF(MUSTERILER!$B25="","",MUSTERILER!$C25)</f>
        <v/>
      </c>
      <c r="D25" s="116">
        <f>IF($B25="","",SUMIFS(UCRETLER!$F$7:$F$406,UCRETLER!$B$7:$B$406,$B25,UCRETLER!$G$7:$G$406,"Aktif"))</f>
        <v/>
      </c>
      <c r="E25" s="116">
        <f>IF($B25="","",SUMIFS(MUSTERILER!$J$7:$J$106,MUSTERILER!$B$7:$B$106,$B25))</f>
        <v/>
      </c>
      <c r="F25" s="116">
        <f>IF($B25="","",SUMIFS(UCRETLER!$H$7:$H$406,UCRETLER!$B$7:$B$406,$B25))</f>
        <v/>
      </c>
      <c r="G25" s="116">
        <f>IF($B25="","",$E25+$F25)</f>
        <v/>
      </c>
      <c r="H25" s="116">
        <f>IF($B25="","",SUMIFS(TAHSILAT!$F$7:$F$1506,TAHSILAT!$C$7:$C$1506,$B25))</f>
        <v/>
      </c>
      <c r="I25" s="116">
        <f>IF($B25="","",MAX(0,$G25-$H25))</f>
        <v/>
      </c>
      <c r="J25" s="116">
        <f>IF($B25="","",MAX(0,$I25-$K25-$L25-$M25))</f>
        <v/>
      </c>
      <c r="K25" s="116">
        <f>IF($B25="","",($AB25-$AC25)+IF(AND($AA25&gt;0,$S25&lt;&gt;"",$T25&gt;=8,$T25&lt;15),$AA25,0))</f>
        <v/>
      </c>
      <c r="L25" s="116">
        <f>IF($B25="","",($AC25-$AD25)+IF(AND($AA25&gt;0,$S25&lt;&gt;"",$T25&gt;=15,$T25&lt;29),$AA25,0))</f>
        <v/>
      </c>
      <c r="M25" s="116">
        <f>IF($B25="","",$AD25+IF(AND($AA25&gt;0,OR($S25="",$T25&gt;=29)),$AA25,0))</f>
        <v/>
      </c>
      <c r="N25" s="122">
        <f>IF($B25="","",IFERROR($H25/$G25,0))</f>
        <v/>
      </c>
      <c r="O25" s="123">
        <f>IF($B25="","",IFERROR(LOOKUP(2,1/(TAHSILAT!$C$7:$C$1506=$B25),TAHSILAT!$E$7:$E$1506),""))</f>
        <v/>
      </c>
      <c r="P25" s="112">
        <f>IF($B25="","",IF($M25&gt;0,"KRİTİK",IF($L25&gt;0,"YÜKSEK",IF($K25&gt;0,"ORTA",IF($I25&gt;0,"İZLE","TEMİZ")))))</f>
        <v/>
      </c>
      <c r="Q25" s="113">
        <f>IF($B25="","",IF($P25="KRİTİK","Acil tahsilat görüşmesi ve cari mutabakat",IF($P25="YÜKSEK","Bu hafta tahsilat takibi",IF($P25="ORTA","Hatırlatma mesajı gönder",IF($P25="İZLE","Normal takip","Aksiyon gerekmiyor")))))</f>
        <v/>
      </c>
      <c r="R25" s="120">
        <f>IF($B25="","",COUNTIFS(AKTIVITE!$D$7:$D$1006,$B25,AKTIVITE!$J$7:$J$1006,"&lt;&gt;Tamamlandı"))</f>
        <v/>
      </c>
      <c r="S25" s="123">
        <f>IF($B25="","",IF(MUSTERILER!$K25="","",MUSTERILER!$K25))</f>
        <v/>
      </c>
      <c r="T25" s="120">
        <f>IF(OR($B25="",$S25=""),"",TODAY()-$S25)</f>
        <v/>
      </c>
      <c r="U25" s="112">
        <f>IF($B25="","",IF(ABS($I25-($J25+$K25+$L25+$M25))&lt;0.01,"UYGUN","İNCELE"))</f>
        <v/>
      </c>
      <c r="V25" s="6" t="n"/>
      <c r="W25" s="6">
        <f>IF($B25="",0,SUMIFS(UCRETLER!$I$7:$I$406,UCRETLER!$B$7:$B$406,$B25))</f>
        <v/>
      </c>
      <c r="X25" s="3">
        <f>IF($B25="",0,SUMIFS(UCRETLER!$J$7:$J$406,UCRETLER!$B$7:$B$406,$B25))</f>
        <v/>
      </c>
      <c r="Y25" s="3">
        <f>IF($B25="",0,SUMIFS(UCRETLER!$K$7:$K$406,UCRETLER!$B$7:$B$406,$B25))</f>
        <v/>
      </c>
      <c r="Z25" s="3">
        <f>IF($B25="",0,MAX(0,$H25-$E25))</f>
        <v/>
      </c>
      <c r="AA25" s="3">
        <f>IF($B25="",0,MAX(0,$E25-$H25))</f>
        <v/>
      </c>
      <c r="AB25" s="3">
        <f>IF($B25="",0,MAX(0,$W25-$Z25))</f>
        <v/>
      </c>
      <c r="AC25" s="3">
        <f>IF($B25="",0,MAX(0,$X25-$Z25))</f>
        <v/>
      </c>
      <c r="AD25" s="3">
        <f>IF($B25="",0,MAX(0,$Y25-$Z25))</f>
        <v/>
      </c>
    </row>
    <row r="26">
      <c r="A26" s="6" t="n"/>
      <c r="B26" s="112">
        <f>IF(MUSTERILER!$B26="","",MUSTERILER!$B26)</f>
        <v/>
      </c>
      <c r="C26" s="113">
        <f>IF(MUSTERILER!$B26="","",MUSTERILER!$C26)</f>
        <v/>
      </c>
      <c r="D26" s="116">
        <f>IF($B26="","",SUMIFS(UCRETLER!$F$7:$F$406,UCRETLER!$B$7:$B$406,$B26,UCRETLER!$G$7:$G$406,"Aktif"))</f>
        <v/>
      </c>
      <c r="E26" s="116">
        <f>IF($B26="","",SUMIFS(MUSTERILER!$J$7:$J$106,MUSTERILER!$B$7:$B$106,$B26))</f>
        <v/>
      </c>
      <c r="F26" s="116">
        <f>IF($B26="","",SUMIFS(UCRETLER!$H$7:$H$406,UCRETLER!$B$7:$B$406,$B26))</f>
        <v/>
      </c>
      <c r="G26" s="116">
        <f>IF($B26="","",$E26+$F26)</f>
        <v/>
      </c>
      <c r="H26" s="116">
        <f>IF($B26="","",SUMIFS(TAHSILAT!$F$7:$F$1506,TAHSILAT!$C$7:$C$1506,$B26))</f>
        <v/>
      </c>
      <c r="I26" s="116">
        <f>IF($B26="","",MAX(0,$G26-$H26))</f>
        <v/>
      </c>
      <c r="J26" s="116">
        <f>IF($B26="","",MAX(0,$I26-$K26-$L26-$M26))</f>
        <v/>
      </c>
      <c r="K26" s="116">
        <f>IF($B26="","",($AB26-$AC26)+IF(AND($AA26&gt;0,$S26&lt;&gt;"",$T26&gt;=8,$T26&lt;15),$AA26,0))</f>
        <v/>
      </c>
      <c r="L26" s="116">
        <f>IF($B26="","",($AC26-$AD26)+IF(AND($AA26&gt;0,$S26&lt;&gt;"",$T26&gt;=15,$T26&lt;29),$AA26,0))</f>
        <v/>
      </c>
      <c r="M26" s="116">
        <f>IF($B26="","",$AD26+IF(AND($AA26&gt;0,OR($S26="",$T26&gt;=29)),$AA26,0))</f>
        <v/>
      </c>
      <c r="N26" s="122">
        <f>IF($B26="","",IFERROR($H26/$G26,0))</f>
        <v/>
      </c>
      <c r="O26" s="123">
        <f>IF($B26="","",IFERROR(LOOKUP(2,1/(TAHSILAT!$C$7:$C$1506=$B26),TAHSILAT!$E$7:$E$1506),""))</f>
        <v/>
      </c>
      <c r="P26" s="112">
        <f>IF($B26="","",IF($M26&gt;0,"KRİTİK",IF($L26&gt;0,"YÜKSEK",IF($K26&gt;0,"ORTA",IF($I26&gt;0,"İZLE","TEMİZ")))))</f>
        <v/>
      </c>
      <c r="Q26" s="113">
        <f>IF($B26="","",IF($P26="KRİTİK","Acil tahsilat görüşmesi ve cari mutabakat",IF($P26="YÜKSEK","Bu hafta tahsilat takibi",IF($P26="ORTA","Hatırlatma mesajı gönder",IF($P26="İZLE","Normal takip","Aksiyon gerekmiyor")))))</f>
        <v/>
      </c>
      <c r="R26" s="120">
        <f>IF($B26="","",COUNTIFS(AKTIVITE!$D$7:$D$1006,$B26,AKTIVITE!$J$7:$J$1006,"&lt;&gt;Tamamlandı"))</f>
        <v/>
      </c>
      <c r="S26" s="123">
        <f>IF($B26="","",IF(MUSTERILER!$K26="","",MUSTERILER!$K26))</f>
        <v/>
      </c>
      <c r="T26" s="120">
        <f>IF(OR($B26="",$S26=""),"",TODAY()-$S26)</f>
        <v/>
      </c>
      <c r="U26" s="112">
        <f>IF($B26="","",IF(ABS($I26-($J26+$K26+$L26+$M26))&lt;0.01,"UYGUN","İNCELE"))</f>
        <v/>
      </c>
      <c r="V26" s="6" t="n"/>
      <c r="W26" s="6">
        <f>IF($B26="",0,SUMIFS(UCRETLER!$I$7:$I$406,UCRETLER!$B$7:$B$406,$B26))</f>
        <v/>
      </c>
      <c r="X26" s="3">
        <f>IF($B26="",0,SUMIFS(UCRETLER!$J$7:$J$406,UCRETLER!$B$7:$B$406,$B26))</f>
        <v/>
      </c>
      <c r="Y26" s="3">
        <f>IF($B26="",0,SUMIFS(UCRETLER!$K$7:$K$406,UCRETLER!$B$7:$B$406,$B26))</f>
        <v/>
      </c>
      <c r="Z26" s="3">
        <f>IF($B26="",0,MAX(0,$H26-$E26))</f>
        <v/>
      </c>
      <c r="AA26" s="3">
        <f>IF($B26="",0,MAX(0,$E26-$H26))</f>
        <v/>
      </c>
      <c r="AB26" s="3">
        <f>IF($B26="",0,MAX(0,$W26-$Z26))</f>
        <v/>
      </c>
      <c r="AC26" s="3">
        <f>IF($B26="",0,MAX(0,$X26-$Z26))</f>
        <v/>
      </c>
      <c r="AD26" s="3">
        <f>IF($B26="",0,MAX(0,$Y26-$Z26))</f>
        <v/>
      </c>
    </row>
    <row r="27">
      <c r="A27" s="6" t="n"/>
      <c r="B27" s="112">
        <f>IF(MUSTERILER!$B27="","",MUSTERILER!$B27)</f>
        <v/>
      </c>
      <c r="C27" s="113">
        <f>IF(MUSTERILER!$B27="","",MUSTERILER!$C27)</f>
        <v/>
      </c>
      <c r="D27" s="116">
        <f>IF($B27="","",SUMIFS(UCRETLER!$F$7:$F$406,UCRETLER!$B$7:$B$406,$B27,UCRETLER!$G$7:$G$406,"Aktif"))</f>
        <v/>
      </c>
      <c r="E27" s="116">
        <f>IF($B27="","",SUMIFS(MUSTERILER!$J$7:$J$106,MUSTERILER!$B$7:$B$106,$B27))</f>
        <v/>
      </c>
      <c r="F27" s="116">
        <f>IF($B27="","",SUMIFS(UCRETLER!$H$7:$H$406,UCRETLER!$B$7:$B$406,$B27))</f>
        <v/>
      </c>
      <c r="G27" s="116">
        <f>IF($B27="","",$E27+$F27)</f>
        <v/>
      </c>
      <c r="H27" s="116">
        <f>IF($B27="","",SUMIFS(TAHSILAT!$F$7:$F$1506,TAHSILAT!$C$7:$C$1506,$B27))</f>
        <v/>
      </c>
      <c r="I27" s="116">
        <f>IF($B27="","",MAX(0,$G27-$H27))</f>
        <v/>
      </c>
      <c r="J27" s="116">
        <f>IF($B27="","",MAX(0,$I27-$K27-$L27-$M27))</f>
        <v/>
      </c>
      <c r="K27" s="116">
        <f>IF($B27="","",($AB27-$AC27)+IF(AND($AA27&gt;0,$S27&lt;&gt;"",$T27&gt;=8,$T27&lt;15),$AA27,0))</f>
        <v/>
      </c>
      <c r="L27" s="116">
        <f>IF($B27="","",($AC27-$AD27)+IF(AND($AA27&gt;0,$S27&lt;&gt;"",$T27&gt;=15,$T27&lt;29),$AA27,0))</f>
        <v/>
      </c>
      <c r="M27" s="116">
        <f>IF($B27="","",$AD27+IF(AND($AA27&gt;0,OR($S27="",$T27&gt;=29)),$AA27,0))</f>
        <v/>
      </c>
      <c r="N27" s="122">
        <f>IF($B27="","",IFERROR($H27/$G27,0))</f>
        <v/>
      </c>
      <c r="O27" s="123">
        <f>IF($B27="","",IFERROR(LOOKUP(2,1/(TAHSILAT!$C$7:$C$1506=$B27),TAHSILAT!$E$7:$E$1506),""))</f>
        <v/>
      </c>
      <c r="P27" s="112">
        <f>IF($B27="","",IF($M27&gt;0,"KRİTİK",IF($L27&gt;0,"YÜKSEK",IF($K27&gt;0,"ORTA",IF($I27&gt;0,"İZLE","TEMİZ")))))</f>
        <v/>
      </c>
      <c r="Q27" s="113">
        <f>IF($B27="","",IF($P27="KRİTİK","Acil tahsilat görüşmesi ve cari mutabakat",IF($P27="YÜKSEK","Bu hafta tahsilat takibi",IF($P27="ORTA","Hatırlatma mesajı gönder",IF($P27="İZLE","Normal takip","Aksiyon gerekmiyor")))))</f>
        <v/>
      </c>
      <c r="R27" s="120">
        <f>IF($B27="","",COUNTIFS(AKTIVITE!$D$7:$D$1006,$B27,AKTIVITE!$J$7:$J$1006,"&lt;&gt;Tamamlandı"))</f>
        <v/>
      </c>
      <c r="S27" s="123">
        <f>IF($B27="","",IF(MUSTERILER!$K27="","",MUSTERILER!$K27))</f>
        <v/>
      </c>
      <c r="T27" s="120">
        <f>IF(OR($B27="",$S27=""),"",TODAY()-$S27)</f>
        <v/>
      </c>
      <c r="U27" s="112">
        <f>IF($B27="","",IF(ABS($I27-($J27+$K27+$L27+$M27))&lt;0.01,"UYGUN","İNCELE"))</f>
        <v/>
      </c>
      <c r="V27" s="6" t="n"/>
      <c r="W27" s="6">
        <f>IF($B27="",0,SUMIFS(UCRETLER!$I$7:$I$406,UCRETLER!$B$7:$B$406,$B27))</f>
        <v/>
      </c>
      <c r="X27" s="3">
        <f>IF($B27="",0,SUMIFS(UCRETLER!$J$7:$J$406,UCRETLER!$B$7:$B$406,$B27))</f>
        <v/>
      </c>
      <c r="Y27" s="3">
        <f>IF($B27="",0,SUMIFS(UCRETLER!$K$7:$K$406,UCRETLER!$B$7:$B$406,$B27))</f>
        <v/>
      </c>
      <c r="Z27" s="3">
        <f>IF($B27="",0,MAX(0,$H27-$E27))</f>
        <v/>
      </c>
      <c r="AA27" s="3">
        <f>IF($B27="",0,MAX(0,$E27-$H27))</f>
        <v/>
      </c>
      <c r="AB27" s="3">
        <f>IF($B27="",0,MAX(0,$W27-$Z27))</f>
        <v/>
      </c>
      <c r="AC27" s="3">
        <f>IF($B27="",0,MAX(0,$X27-$Z27))</f>
        <v/>
      </c>
      <c r="AD27" s="3">
        <f>IF($B27="",0,MAX(0,$Y27-$Z27))</f>
        <v/>
      </c>
    </row>
    <row r="28">
      <c r="A28" s="6" t="n"/>
      <c r="B28" s="112">
        <f>IF(MUSTERILER!$B28="","",MUSTERILER!$B28)</f>
        <v/>
      </c>
      <c r="C28" s="113">
        <f>IF(MUSTERILER!$B28="","",MUSTERILER!$C28)</f>
        <v/>
      </c>
      <c r="D28" s="116">
        <f>IF($B28="","",SUMIFS(UCRETLER!$F$7:$F$406,UCRETLER!$B$7:$B$406,$B28,UCRETLER!$G$7:$G$406,"Aktif"))</f>
        <v/>
      </c>
      <c r="E28" s="116">
        <f>IF($B28="","",SUMIFS(MUSTERILER!$J$7:$J$106,MUSTERILER!$B$7:$B$106,$B28))</f>
        <v/>
      </c>
      <c r="F28" s="116">
        <f>IF($B28="","",SUMIFS(UCRETLER!$H$7:$H$406,UCRETLER!$B$7:$B$406,$B28))</f>
        <v/>
      </c>
      <c r="G28" s="116">
        <f>IF($B28="","",$E28+$F28)</f>
        <v/>
      </c>
      <c r="H28" s="116">
        <f>IF($B28="","",SUMIFS(TAHSILAT!$F$7:$F$1506,TAHSILAT!$C$7:$C$1506,$B28))</f>
        <v/>
      </c>
      <c r="I28" s="116">
        <f>IF($B28="","",MAX(0,$G28-$H28))</f>
        <v/>
      </c>
      <c r="J28" s="116">
        <f>IF($B28="","",MAX(0,$I28-$K28-$L28-$M28))</f>
        <v/>
      </c>
      <c r="K28" s="116">
        <f>IF($B28="","",($AB28-$AC28)+IF(AND($AA28&gt;0,$S28&lt;&gt;"",$T28&gt;=8,$T28&lt;15),$AA28,0))</f>
        <v/>
      </c>
      <c r="L28" s="116">
        <f>IF($B28="","",($AC28-$AD28)+IF(AND($AA28&gt;0,$S28&lt;&gt;"",$T28&gt;=15,$T28&lt;29),$AA28,0))</f>
        <v/>
      </c>
      <c r="M28" s="116">
        <f>IF($B28="","",$AD28+IF(AND($AA28&gt;0,OR($S28="",$T28&gt;=29)),$AA28,0))</f>
        <v/>
      </c>
      <c r="N28" s="122">
        <f>IF($B28="","",IFERROR($H28/$G28,0))</f>
        <v/>
      </c>
      <c r="O28" s="123">
        <f>IF($B28="","",IFERROR(LOOKUP(2,1/(TAHSILAT!$C$7:$C$1506=$B28),TAHSILAT!$E$7:$E$1506),""))</f>
        <v/>
      </c>
      <c r="P28" s="112">
        <f>IF($B28="","",IF($M28&gt;0,"KRİTİK",IF($L28&gt;0,"YÜKSEK",IF($K28&gt;0,"ORTA",IF($I28&gt;0,"İZLE","TEMİZ")))))</f>
        <v/>
      </c>
      <c r="Q28" s="113">
        <f>IF($B28="","",IF($P28="KRİTİK","Acil tahsilat görüşmesi ve cari mutabakat",IF($P28="YÜKSEK","Bu hafta tahsilat takibi",IF($P28="ORTA","Hatırlatma mesajı gönder",IF($P28="İZLE","Normal takip","Aksiyon gerekmiyor")))))</f>
        <v/>
      </c>
      <c r="R28" s="120">
        <f>IF($B28="","",COUNTIFS(AKTIVITE!$D$7:$D$1006,$B28,AKTIVITE!$J$7:$J$1006,"&lt;&gt;Tamamlandı"))</f>
        <v/>
      </c>
      <c r="S28" s="123">
        <f>IF($B28="","",IF(MUSTERILER!$K28="","",MUSTERILER!$K28))</f>
        <v/>
      </c>
      <c r="T28" s="120">
        <f>IF(OR($B28="",$S28=""),"",TODAY()-$S28)</f>
        <v/>
      </c>
      <c r="U28" s="112">
        <f>IF($B28="","",IF(ABS($I28-($J28+$K28+$L28+$M28))&lt;0.01,"UYGUN","İNCELE"))</f>
        <v/>
      </c>
      <c r="V28" s="6" t="n"/>
      <c r="W28" s="6">
        <f>IF($B28="",0,SUMIFS(UCRETLER!$I$7:$I$406,UCRETLER!$B$7:$B$406,$B28))</f>
        <v/>
      </c>
      <c r="X28" s="3">
        <f>IF($B28="",0,SUMIFS(UCRETLER!$J$7:$J$406,UCRETLER!$B$7:$B$406,$B28))</f>
        <v/>
      </c>
      <c r="Y28" s="3">
        <f>IF($B28="",0,SUMIFS(UCRETLER!$K$7:$K$406,UCRETLER!$B$7:$B$406,$B28))</f>
        <v/>
      </c>
      <c r="Z28" s="3">
        <f>IF($B28="",0,MAX(0,$H28-$E28))</f>
        <v/>
      </c>
      <c r="AA28" s="3">
        <f>IF($B28="",0,MAX(0,$E28-$H28))</f>
        <v/>
      </c>
      <c r="AB28" s="3">
        <f>IF($B28="",0,MAX(0,$W28-$Z28))</f>
        <v/>
      </c>
      <c r="AC28" s="3">
        <f>IF($B28="",0,MAX(0,$X28-$Z28))</f>
        <v/>
      </c>
      <c r="AD28" s="3">
        <f>IF($B28="",0,MAX(0,$Y28-$Z28))</f>
        <v/>
      </c>
    </row>
    <row r="29">
      <c r="A29" s="6" t="n"/>
      <c r="B29" s="112">
        <f>IF(MUSTERILER!$B29="","",MUSTERILER!$B29)</f>
        <v/>
      </c>
      <c r="C29" s="113">
        <f>IF(MUSTERILER!$B29="","",MUSTERILER!$C29)</f>
        <v/>
      </c>
      <c r="D29" s="116">
        <f>IF($B29="","",SUMIFS(UCRETLER!$F$7:$F$406,UCRETLER!$B$7:$B$406,$B29,UCRETLER!$G$7:$G$406,"Aktif"))</f>
        <v/>
      </c>
      <c r="E29" s="116">
        <f>IF($B29="","",SUMIFS(MUSTERILER!$J$7:$J$106,MUSTERILER!$B$7:$B$106,$B29))</f>
        <v/>
      </c>
      <c r="F29" s="116">
        <f>IF($B29="","",SUMIFS(UCRETLER!$H$7:$H$406,UCRETLER!$B$7:$B$406,$B29))</f>
        <v/>
      </c>
      <c r="G29" s="116">
        <f>IF($B29="","",$E29+$F29)</f>
        <v/>
      </c>
      <c r="H29" s="116">
        <f>IF($B29="","",SUMIFS(TAHSILAT!$F$7:$F$1506,TAHSILAT!$C$7:$C$1506,$B29))</f>
        <v/>
      </c>
      <c r="I29" s="116">
        <f>IF($B29="","",MAX(0,$G29-$H29))</f>
        <v/>
      </c>
      <c r="J29" s="116">
        <f>IF($B29="","",MAX(0,$I29-$K29-$L29-$M29))</f>
        <v/>
      </c>
      <c r="K29" s="116">
        <f>IF($B29="","",($AB29-$AC29)+IF(AND($AA29&gt;0,$S29&lt;&gt;"",$T29&gt;=8,$T29&lt;15),$AA29,0))</f>
        <v/>
      </c>
      <c r="L29" s="116">
        <f>IF($B29="","",($AC29-$AD29)+IF(AND($AA29&gt;0,$S29&lt;&gt;"",$T29&gt;=15,$T29&lt;29),$AA29,0))</f>
        <v/>
      </c>
      <c r="M29" s="116">
        <f>IF($B29="","",$AD29+IF(AND($AA29&gt;0,OR($S29="",$T29&gt;=29)),$AA29,0))</f>
        <v/>
      </c>
      <c r="N29" s="122">
        <f>IF($B29="","",IFERROR($H29/$G29,0))</f>
        <v/>
      </c>
      <c r="O29" s="123">
        <f>IF($B29="","",IFERROR(LOOKUP(2,1/(TAHSILAT!$C$7:$C$1506=$B29),TAHSILAT!$E$7:$E$1506),""))</f>
        <v/>
      </c>
      <c r="P29" s="112">
        <f>IF($B29="","",IF($M29&gt;0,"KRİTİK",IF($L29&gt;0,"YÜKSEK",IF($K29&gt;0,"ORTA",IF($I29&gt;0,"İZLE","TEMİZ")))))</f>
        <v/>
      </c>
      <c r="Q29" s="113">
        <f>IF($B29="","",IF($P29="KRİTİK","Acil tahsilat görüşmesi ve cari mutabakat",IF($P29="YÜKSEK","Bu hafta tahsilat takibi",IF($P29="ORTA","Hatırlatma mesajı gönder",IF($P29="İZLE","Normal takip","Aksiyon gerekmiyor")))))</f>
        <v/>
      </c>
      <c r="R29" s="120">
        <f>IF($B29="","",COUNTIFS(AKTIVITE!$D$7:$D$1006,$B29,AKTIVITE!$J$7:$J$1006,"&lt;&gt;Tamamlandı"))</f>
        <v/>
      </c>
      <c r="S29" s="123">
        <f>IF($B29="","",IF(MUSTERILER!$K29="","",MUSTERILER!$K29))</f>
        <v/>
      </c>
      <c r="T29" s="120">
        <f>IF(OR($B29="",$S29=""),"",TODAY()-$S29)</f>
        <v/>
      </c>
      <c r="U29" s="112">
        <f>IF($B29="","",IF(ABS($I29-($J29+$K29+$L29+$M29))&lt;0.01,"UYGUN","İNCELE"))</f>
        <v/>
      </c>
      <c r="V29" s="6" t="n"/>
      <c r="W29" s="6">
        <f>IF($B29="",0,SUMIFS(UCRETLER!$I$7:$I$406,UCRETLER!$B$7:$B$406,$B29))</f>
        <v/>
      </c>
      <c r="X29" s="3">
        <f>IF($B29="",0,SUMIFS(UCRETLER!$J$7:$J$406,UCRETLER!$B$7:$B$406,$B29))</f>
        <v/>
      </c>
      <c r="Y29" s="3">
        <f>IF($B29="",0,SUMIFS(UCRETLER!$K$7:$K$406,UCRETLER!$B$7:$B$406,$B29))</f>
        <v/>
      </c>
      <c r="Z29" s="3">
        <f>IF($B29="",0,MAX(0,$H29-$E29))</f>
        <v/>
      </c>
      <c r="AA29" s="3">
        <f>IF($B29="",0,MAX(0,$E29-$H29))</f>
        <v/>
      </c>
      <c r="AB29" s="3">
        <f>IF($B29="",0,MAX(0,$W29-$Z29))</f>
        <v/>
      </c>
      <c r="AC29" s="3">
        <f>IF($B29="",0,MAX(0,$X29-$Z29))</f>
        <v/>
      </c>
      <c r="AD29" s="3">
        <f>IF($B29="",0,MAX(0,$Y29-$Z29))</f>
        <v/>
      </c>
    </row>
    <row r="30">
      <c r="A30" s="6" t="n"/>
      <c r="B30" s="112">
        <f>IF(MUSTERILER!$B30="","",MUSTERILER!$B30)</f>
        <v/>
      </c>
      <c r="C30" s="113">
        <f>IF(MUSTERILER!$B30="","",MUSTERILER!$C30)</f>
        <v/>
      </c>
      <c r="D30" s="116">
        <f>IF($B30="","",SUMIFS(UCRETLER!$F$7:$F$406,UCRETLER!$B$7:$B$406,$B30,UCRETLER!$G$7:$G$406,"Aktif"))</f>
        <v/>
      </c>
      <c r="E30" s="116">
        <f>IF($B30="","",SUMIFS(MUSTERILER!$J$7:$J$106,MUSTERILER!$B$7:$B$106,$B30))</f>
        <v/>
      </c>
      <c r="F30" s="116">
        <f>IF($B30="","",SUMIFS(UCRETLER!$H$7:$H$406,UCRETLER!$B$7:$B$406,$B30))</f>
        <v/>
      </c>
      <c r="G30" s="116">
        <f>IF($B30="","",$E30+$F30)</f>
        <v/>
      </c>
      <c r="H30" s="116">
        <f>IF($B30="","",SUMIFS(TAHSILAT!$F$7:$F$1506,TAHSILAT!$C$7:$C$1506,$B30))</f>
        <v/>
      </c>
      <c r="I30" s="116">
        <f>IF($B30="","",MAX(0,$G30-$H30))</f>
        <v/>
      </c>
      <c r="J30" s="116">
        <f>IF($B30="","",MAX(0,$I30-$K30-$L30-$M30))</f>
        <v/>
      </c>
      <c r="K30" s="116">
        <f>IF($B30="","",($AB30-$AC30)+IF(AND($AA30&gt;0,$S30&lt;&gt;"",$T30&gt;=8,$T30&lt;15),$AA30,0))</f>
        <v/>
      </c>
      <c r="L30" s="116">
        <f>IF($B30="","",($AC30-$AD30)+IF(AND($AA30&gt;0,$S30&lt;&gt;"",$T30&gt;=15,$T30&lt;29),$AA30,0))</f>
        <v/>
      </c>
      <c r="M30" s="116">
        <f>IF($B30="","",$AD30+IF(AND($AA30&gt;0,OR($S30="",$T30&gt;=29)),$AA30,0))</f>
        <v/>
      </c>
      <c r="N30" s="122">
        <f>IF($B30="","",IFERROR($H30/$G30,0))</f>
        <v/>
      </c>
      <c r="O30" s="123">
        <f>IF($B30="","",IFERROR(LOOKUP(2,1/(TAHSILAT!$C$7:$C$1506=$B30),TAHSILAT!$E$7:$E$1506),""))</f>
        <v/>
      </c>
      <c r="P30" s="112">
        <f>IF($B30="","",IF($M30&gt;0,"KRİTİK",IF($L30&gt;0,"YÜKSEK",IF($K30&gt;0,"ORTA",IF($I30&gt;0,"İZLE","TEMİZ")))))</f>
        <v/>
      </c>
      <c r="Q30" s="113">
        <f>IF($B30="","",IF($P30="KRİTİK","Acil tahsilat görüşmesi ve cari mutabakat",IF($P30="YÜKSEK","Bu hafta tahsilat takibi",IF($P30="ORTA","Hatırlatma mesajı gönder",IF($P30="İZLE","Normal takip","Aksiyon gerekmiyor")))))</f>
        <v/>
      </c>
      <c r="R30" s="120">
        <f>IF($B30="","",COUNTIFS(AKTIVITE!$D$7:$D$1006,$B30,AKTIVITE!$J$7:$J$1006,"&lt;&gt;Tamamlandı"))</f>
        <v/>
      </c>
      <c r="S30" s="123">
        <f>IF($B30="","",IF(MUSTERILER!$K30="","",MUSTERILER!$K30))</f>
        <v/>
      </c>
      <c r="T30" s="120">
        <f>IF(OR($B30="",$S30=""),"",TODAY()-$S30)</f>
        <v/>
      </c>
      <c r="U30" s="112">
        <f>IF($B30="","",IF(ABS($I30-($J30+$K30+$L30+$M30))&lt;0.01,"UYGUN","İNCELE"))</f>
        <v/>
      </c>
      <c r="V30" s="6" t="n"/>
      <c r="W30" s="6">
        <f>IF($B30="",0,SUMIFS(UCRETLER!$I$7:$I$406,UCRETLER!$B$7:$B$406,$B30))</f>
        <v/>
      </c>
      <c r="X30" s="3">
        <f>IF($B30="",0,SUMIFS(UCRETLER!$J$7:$J$406,UCRETLER!$B$7:$B$406,$B30))</f>
        <v/>
      </c>
      <c r="Y30" s="3">
        <f>IF($B30="",0,SUMIFS(UCRETLER!$K$7:$K$406,UCRETLER!$B$7:$B$406,$B30))</f>
        <v/>
      </c>
      <c r="Z30" s="3">
        <f>IF($B30="",0,MAX(0,$H30-$E30))</f>
        <v/>
      </c>
      <c r="AA30" s="3">
        <f>IF($B30="",0,MAX(0,$E30-$H30))</f>
        <v/>
      </c>
      <c r="AB30" s="3">
        <f>IF($B30="",0,MAX(0,$W30-$Z30))</f>
        <v/>
      </c>
      <c r="AC30" s="3">
        <f>IF($B30="",0,MAX(0,$X30-$Z30))</f>
        <v/>
      </c>
      <c r="AD30" s="3">
        <f>IF($B30="",0,MAX(0,$Y30-$Z30))</f>
        <v/>
      </c>
    </row>
    <row r="31">
      <c r="A31" s="6" t="n"/>
      <c r="B31" s="112">
        <f>IF(MUSTERILER!$B31="","",MUSTERILER!$B31)</f>
        <v/>
      </c>
      <c r="C31" s="113">
        <f>IF(MUSTERILER!$B31="","",MUSTERILER!$C31)</f>
        <v/>
      </c>
      <c r="D31" s="116">
        <f>IF($B31="","",SUMIFS(UCRETLER!$F$7:$F$406,UCRETLER!$B$7:$B$406,$B31,UCRETLER!$G$7:$G$406,"Aktif"))</f>
        <v/>
      </c>
      <c r="E31" s="116">
        <f>IF($B31="","",SUMIFS(MUSTERILER!$J$7:$J$106,MUSTERILER!$B$7:$B$106,$B31))</f>
        <v/>
      </c>
      <c r="F31" s="116">
        <f>IF($B31="","",SUMIFS(UCRETLER!$H$7:$H$406,UCRETLER!$B$7:$B$406,$B31))</f>
        <v/>
      </c>
      <c r="G31" s="116">
        <f>IF($B31="","",$E31+$F31)</f>
        <v/>
      </c>
      <c r="H31" s="116">
        <f>IF($B31="","",SUMIFS(TAHSILAT!$F$7:$F$1506,TAHSILAT!$C$7:$C$1506,$B31))</f>
        <v/>
      </c>
      <c r="I31" s="116">
        <f>IF($B31="","",MAX(0,$G31-$H31))</f>
        <v/>
      </c>
      <c r="J31" s="116">
        <f>IF($B31="","",MAX(0,$I31-$K31-$L31-$M31))</f>
        <v/>
      </c>
      <c r="K31" s="116">
        <f>IF($B31="","",($AB31-$AC31)+IF(AND($AA31&gt;0,$S31&lt;&gt;"",$T31&gt;=8,$T31&lt;15),$AA31,0))</f>
        <v/>
      </c>
      <c r="L31" s="116">
        <f>IF($B31="","",($AC31-$AD31)+IF(AND($AA31&gt;0,$S31&lt;&gt;"",$T31&gt;=15,$T31&lt;29),$AA31,0))</f>
        <v/>
      </c>
      <c r="M31" s="116">
        <f>IF($B31="","",$AD31+IF(AND($AA31&gt;0,OR($S31="",$T31&gt;=29)),$AA31,0))</f>
        <v/>
      </c>
      <c r="N31" s="122">
        <f>IF($B31="","",IFERROR($H31/$G31,0))</f>
        <v/>
      </c>
      <c r="O31" s="123">
        <f>IF($B31="","",IFERROR(LOOKUP(2,1/(TAHSILAT!$C$7:$C$1506=$B31),TAHSILAT!$E$7:$E$1506),""))</f>
        <v/>
      </c>
      <c r="P31" s="112">
        <f>IF($B31="","",IF($M31&gt;0,"KRİTİK",IF($L31&gt;0,"YÜKSEK",IF($K31&gt;0,"ORTA",IF($I31&gt;0,"İZLE","TEMİZ")))))</f>
        <v/>
      </c>
      <c r="Q31" s="113">
        <f>IF($B31="","",IF($P31="KRİTİK","Acil tahsilat görüşmesi ve cari mutabakat",IF($P31="YÜKSEK","Bu hafta tahsilat takibi",IF($P31="ORTA","Hatırlatma mesajı gönder",IF($P31="İZLE","Normal takip","Aksiyon gerekmiyor")))))</f>
        <v/>
      </c>
      <c r="R31" s="120">
        <f>IF($B31="","",COUNTIFS(AKTIVITE!$D$7:$D$1006,$B31,AKTIVITE!$J$7:$J$1006,"&lt;&gt;Tamamlandı"))</f>
        <v/>
      </c>
      <c r="S31" s="123">
        <f>IF($B31="","",IF(MUSTERILER!$K31="","",MUSTERILER!$K31))</f>
        <v/>
      </c>
      <c r="T31" s="120">
        <f>IF(OR($B31="",$S31=""),"",TODAY()-$S31)</f>
        <v/>
      </c>
      <c r="U31" s="112">
        <f>IF($B31="","",IF(ABS($I31-($J31+$K31+$L31+$M31))&lt;0.01,"UYGUN","İNCELE"))</f>
        <v/>
      </c>
      <c r="V31" s="6" t="n"/>
      <c r="W31" s="6">
        <f>IF($B31="",0,SUMIFS(UCRETLER!$I$7:$I$406,UCRETLER!$B$7:$B$406,$B31))</f>
        <v/>
      </c>
      <c r="X31" s="3">
        <f>IF($B31="",0,SUMIFS(UCRETLER!$J$7:$J$406,UCRETLER!$B$7:$B$406,$B31))</f>
        <v/>
      </c>
      <c r="Y31" s="3">
        <f>IF($B31="",0,SUMIFS(UCRETLER!$K$7:$K$406,UCRETLER!$B$7:$B$406,$B31))</f>
        <v/>
      </c>
      <c r="Z31" s="3">
        <f>IF($B31="",0,MAX(0,$H31-$E31))</f>
        <v/>
      </c>
      <c r="AA31" s="3">
        <f>IF($B31="",0,MAX(0,$E31-$H31))</f>
        <v/>
      </c>
      <c r="AB31" s="3">
        <f>IF($B31="",0,MAX(0,$W31-$Z31))</f>
        <v/>
      </c>
      <c r="AC31" s="3">
        <f>IF($B31="",0,MAX(0,$X31-$Z31))</f>
        <v/>
      </c>
      <c r="AD31" s="3">
        <f>IF($B31="",0,MAX(0,$Y31-$Z31))</f>
        <v/>
      </c>
    </row>
    <row r="32">
      <c r="A32" s="6" t="n"/>
      <c r="B32" s="112">
        <f>IF(MUSTERILER!$B32="","",MUSTERILER!$B32)</f>
        <v/>
      </c>
      <c r="C32" s="113">
        <f>IF(MUSTERILER!$B32="","",MUSTERILER!$C32)</f>
        <v/>
      </c>
      <c r="D32" s="116">
        <f>IF($B32="","",SUMIFS(UCRETLER!$F$7:$F$406,UCRETLER!$B$7:$B$406,$B32,UCRETLER!$G$7:$G$406,"Aktif"))</f>
        <v/>
      </c>
      <c r="E32" s="116">
        <f>IF($B32="","",SUMIFS(MUSTERILER!$J$7:$J$106,MUSTERILER!$B$7:$B$106,$B32))</f>
        <v/>
      </c>
      <c r="F32" s="116">
        <f>IF($B32="","",SUMIFS(UCRETLER!$H$7:$H$406,UCRETLER!$B$7:$B$406,$B32))</f>
        <v/>
      </c>
      <c r="G32" s="116">
        <f>IF($B32="","",$E32+$F32)</f>
        <v/>
      </c>
      <c r="H32" s="116">
        <f>IF($B32="","",SUMIFS(TAHSILAT!$F$7:$F$1506,TAHSILAT!$C$7:$C$1506,$B32))</f>
        <v/>
      </c>
      <c r="I32" s="116">
        <f>IF($B32="","",MAX(0,$G32-$H32))</f>
        <v/>
      </c>
      <c r="J32" s="116">
        <f>IF($B32="","",MAX(0,$I32-$K32-$L32-$M32))</f>
        <v/>
      </c>
      <c r="K32" s="116">
        <f>IF($B32="","",($AB32-$AC32)+IF(AND($AA32&gt;0,$S32&lt;&gt;"",$T32&gt;=8,$T32&lt;15),$AA32,0))</f>
        <v/>
      </c>
      <c r="L32" s="116">
        <f>IF($B32="","",($AC32-$AD32)+IF(AND($AA32&gt;0,$S32&lt;&gt;"",$T32&gt;=15,$T32&lt;29),$AA32,0))</f>
        <v/>
      </c>
      <c r="M32" s="116">
        <f>IF($B32="","",$AD32+IF(AND($AA32&gt;0,OR($S32="",$T32&gt;=29)),$AA32,0))</f>
        <v/>
      </c>
      <c r="N32" s="122">
        <f>IF($B32="","",IFERROR($H32/$G32,0))</f>
        <v/>
      </c>
      <c r="O32" s="123">
        <f>IF($B32="","",IFERROR(LOOKUP(2,1/(TAHSILAT!$C$7:$C$1506=$B32),TAHSILAT!$E$7:$E$1506),""))</f>
        <v/>
      </c>
      <c r="P32" s="112">
        <f>IF($B32="","",IF($M32&gt;0,"KRİTİK",IF($L32&gt;0,"YÜKSEK",IF($K32&gt;0,"ORTA",IF($I32&gt;0,"İZLE","TEMİZ")))))</f>
        <v/>
      </c>
      <c r="Q32" s="113">
        <f>IF($B32="","",IF($P32="KRİTİK","Acil tahsilat görüşmesi ve cari mutabakat",IF($P32="YÜKSEK","Bu hafta tahsilat takibi",IF($P32="ORTA","Hatırlatma mesajı gönder",IF($P32="İZLE","Normal takip","Aksiyon gerekmiyor")))))</f>
        <v/>
      </c>
      <c r="R32" s="120">
        <f>IF($B32="","",COUNTIFS(AKTIVITE!$D$7:$D$1006,$B32,AKTIVITE!$J$7:$J$1006,"&lt;&gt;Tamamlandı"))</f>
        <v/>
      </c>
      <c r="S32" s="123">
        <f>IF($B32="","",IF(MUSTERILER!$K32="","",MUSTERILER!$K32))</f>
        <v/>
      </c>
      <c r="T32" s="120">
        <f>IF(OR($B32="",$S32=""),"",TODAY()-$S32)</f>
        <v/>
      </c>
      <c r="U32" s="112">
        <f>IF($B32="","",IF(ABS($I32-($J32+$K32+$L32+$M32))&lt;0.01,"UYGUN","İNCELE"))</f>
        <v/>
      </c>
      <c r="V32" s="6" t="n"/>
      <c r="W32" s="6">
        <f>IF($B32="",0,SUMIFS(UCRETLER!$I$7:$I$406,UCRETLER!$B$7:$B$406,$B32))</f>
        <v/>
      </c>
      <c r="X32" s="3">
        <f>IF($B32="",0,SUMIFS(UCRETLER!$J$7:$J$406,UCRETLER!$B$7:$B$406,$B32))</f>
        <v/>
      </c>
      <c r="Y32" s="3">
        <f>IF($B32="",0,SUMIFS(UCRETLER!$K$7:$K$406,UCRETLER!$B$7:$B$406,$B32))</f>
        <v/>
      </c>
      <c r="Z32" s="3">
        <f>IF($B32="",0,MAX(0,$H32-$E32))</f>
        <v/>
      </c>
      <c r="AA32" s="3">
        <f>IF($B32="",0,MAX(0,$E32-$H32))</f>
        <v/>
      </c>
      <c r="AB32" s="3">
        <f>IF($B32="",0,MAX(0,$W32-$Z32))</f>
        <v/>
      </c>
      <c r="AC32" s="3">
        <f>IF($B32="",0,MAX(0,$X32-$Z32))</f>
        <v/>
      </c>
      <c r="AD32" s="3">
        <f>IF($B32="",0,MAX(0,$Y32-$Z32))</f>
        <v/>
      </c>
    </row>
    <row r="33">
      <c r="A33" s="6" t="n"/>
      <c r="B33" s="112">
        <f>IF(MUSTERILER!$B33="","",MUSTERILER!$B33)</f>
        <v/>
      </c>
      <c r="C33" s="113">
        <f>IF(MUSTERILER!$B33="","",MUSTERILER!$C33)</f>
        <v/>
      </c>
      <c r="D33" s="116">
        <f>IF($B33="","",SUMIFS(UCRETLER!$F$7:$F$406,UCRETLER!$B$7:$B$406,$B33,UCRETLER!$G$7:$G$406,"Aktif"))</f>
        <v/>
      </c>
      <c r="E33" s="116">
        <f>IF($B33="","",SUMIFS(MUSTERILER!$J$7:$J$106,MUSTERILER!$B$7:$B$106,$B33))</f>
        <v/>
      </c>
      <c r="F33" s="116">
        <f>IF($B33="","",SUMIFS(UCRETLER!$H$7:$H$406,UCRETLER!$B$7:$B$406,$B33))</f>
        <v/>
      </c>
      <c r="G33" s="116">
        <f>IF($B33="","",$E33+$F33)</f>
        <v/>
      </c>
      <c r="H33" s="116">
        <f>IF($B33="","",SUMIFS(TAHSILAT!$F$7:$F$1506,TAHSILAT!$C$7:$C$1506,$B33))</f>
        <v/>
      </c>
      <c r="I33" s="116">
        <f>IF($B33="","",MAX(0,$G33-$H33))</f>
        <v/>
      </c>
      <c r="J33" s="116">
        <f>IF($B33="","",MAX(0,$I33-$K33-$L33-$M33))</f>
        <v/>
      </c>
      <c r="K33" s="116">
        <f>IF($B33="","",($AB33-$AC33)+IF(AND($AA33&gt;0,$S33&lt;&gt;"",$T33&gt;=8,$T33&lt;15),$AA33,0))</f>
        <v/>
      </c>
      <c r="L33" s="116">
        <f>IF($B33="","",($AC33-$AD33)+IF(AND($AA33&gt;0,$S33&lt;&gt;"",$T33&gt;=15,$T33&lt;29),$AA33,0))</f>
        <v/>
      </c>
      <c r="M33" s="116">
        <f>IF($B33="","",$AD33+IF(AND($AA33&gt;0,OR($S33="",$T33&gt;=29)),$AA33,0))</f>
        <v/>
      </c>
      <c r="N33" s="122">
        <f>IF($B33="","",IFERROR($H33/$G33,0))</f>
        <v/>
      </c>
      <c r="O33" s="123">
        <f>IF($B33="","",IFERROR(LOOKUP(2,1/(TAHSILAT!$C$7:$C$1506=$B33),TAHSILAT!$E$7:$E$1506),""))</f>
        <v/>
      </c>
      <c r="P33" s="112">
        <f>IF($B33="","",IF($M33&gt;0,"KRİTİK",IF($L33&gt;0,"YÜKSEK",IF($K33&gt;0,"ORTA",IF($I33&gt;0,"İZLE","TEMİZ")))))</f>
        <v/>
      </c>
      <c r="Q33" s="113">
        <f>IF($B33="","",IF($P33="KRİTİK","Acil tahsilat görüşmesi ve cari mutabakat",IF($P33="YÜKSEK","Bu hafta tahsilat takibi",IF($P33="ORTA","Hatırlatma mesajı gönder",IF($P33="İZLE","Normal takip","Aksiyon gerekmiyor")))))</f>
        <v/>
      </c>
      <c r="R33" s="120">
        <f>IF($B33="","",COUNTIFS(AKTIVITE!$D$7:$D$1006,$B33,AKTIVITE!$J$7:$J$1006,"&lt;&gt;Tamamlandı"))</f>
        <v/>
      </c>
      <c r="S33" s="123">
        <f>IF($B33="","",IF(MUSTERILER!$K33="","",MUSTERILER!$K33))</f>
        <v/>
      </c>
      <c r="T33" s="120">
        <f>IF(OR($B33="",$S33=""),"",TODAY()-$S33)</f>
        <v/>
      </c>
      <c r="U33" s="112">
        <f>IF($B33="","",IF(ABS($I33-($J33+$K33+$L33+$M33))&lt;0.01,"UYGUN","İNCELE"))</f>
        <v/>
      </c>
      <c r="V33" s="6" t="n"/>
      <c r="W33" s="6">
        <f>IF($B33="",0,SUMIFS(UCRETLER!$I$7:$I$406,UCRETLER!$B$7:$B$406,$B33))</f>
        <v/>
      </c>
      <c r="X33" s="3">
        <f>IF($B33="",0,SUMIFS(UCRETLER!$J$7:$J$406,UCRETLER!$B$7:$B$406,$B33))</f>
        <v/>
      </c>
      <c r="Y33" s="3">
        <f>IF($B33="",0,SUMIFS(UCRETLER!$K$7:$K$406,UCRETLER!$B$7:$B$406,$B33))</f>
        <v/>
      </c>
      <c r="Z33" s="3">
        <f>IF($B33="",0,MAX(0,$H33-$E33))</f>
        <v/>
      </c>
      <c r="AA33" s="3">
        <f>IF($B33="",0,MAX(0,$E33-$H33))</f>
        <v/>
      </c>
      <c r="AB33" s="3">
        <f>IF($B33="",0,MAX(0,$W33-$Z33))</f>
        <v/>
      </c>
      <c r="AC33" s="3">
        <f>IF($B33="",0,MAX(0,$X33-$Z33))</f>
        <v/>
      </c>
      <c r="AD33" s="3">
        <f>IF($B33="",0,MAX(0,$Y33-$Z33))</f>
        <v/>
      </c>
    </row>
    <row r="34">
      <c r="A34" s="6" t="n"/>
      <c r="B34" s="112">
        <f>IF(MUSTERILER!$B34="","",MUSTERILER!$B34)</f>
        <v/>
      </c>
      <c r="C34" s="113">
        <f>IF(MUSTERILER!$B34="","",MUSTERILER!$C34)</f>
        <v/>
      </c>
      <c r="D34" s="116">
        <f>IF($B34="","",SUMIFS(UCRETLER!$F$7:$F$406,UCRETLER!$B$7:$B$406,$B34,UCRETLER!$G$7:$G$406,"Aktif"))</f>
        <v/>
      </c>
      <c r="E34" s="116">
        <f>IF($B34="","",SUMIFS(MUSTERILER!$J$7:$J$106,MUSTERILER!$B$7:$B$106,$B34))</f>
        <v/>
      </c>
      <c r="F34" s="116">
        <f>IF($B34="","",SUMIFS(UCRETLER!$H$7:$H$406,UCRETLER!$B$7:$B$406,$B34))</f>
        <v/>
      </c>
      <c r="G34" s="116">
        <f>IF($B34="","",$E34+$F34)</f>
        <v/>
      </c>
      <c r="H34" s="116">
        <f>IF($B34="","",SUMIFS(TAHSILAT!$F$7:$F$1506,TAHSILAT!$C$7:$C$1506,$B34))</f>
        <v/>
      </c>
      <c r="I34" s="116">
        <f>IF($B34="","",MAX(0,$G34-$H34))</f>
        <v/>
      </c>
      <c r="J34" s="116">
        <f>IF($B34="","",MAX(0,$I34-$K34-$L34-$M34))</f>
        <v/>
      </c>
      <c r="K34" s="116">
        <f>IF($B34="","",($AB34-$AC34)+IF(AND($AA34&gt;0,$S34&lt;&gt;"",$T34&gt;=8,$T34&lt;15),$AA34,0))</f>
        <v/>
      </c>
      <c r="L34" s="116">
        <f>IF($B34="","",($AC34-$AD34)+IF(AND($AA34&gt;0,$S34&lt;&gt;"",$T34&gt;=15,$T34&lt;29),$AA34,0))</f>
        <v/>
      </c>
      <c r="M34" s="116">
        <f>IF($B34="","",$AD34+IF(AND($AA34&gt;0,OR($S34="",$T34&gt;=29)),$AA34,0))</f>
        <v/>
      </c>
      <c r="N34" s="122">
        <f>IF($B34="","",IFERROR($H34/$G34,0))</f>
        <v/>
      </c>
      <c r="O34" s="123">
        <f>IF($B34="","",IFERROR(LOOKUP(2,1/(TAHSILAT!$C$7:$C$1506=$B34),TAHSILAT!$E$7:$E$1506),""))</f>
        <v/>
      </c>
      <c r="P34" s="112">
        <f>IF($B34="","",IF($M34&gt;0,"KRİTİK",IF($L34&gt;0,"YÜKSEK",IF($K34&gt;0,"ORTA",IF($I34&gt;0,"İZLE","TEMİZ")))))</f>
        <v/>
      </c>
      <c r="Q34" s="113">
        <f>IF($B34="","",IF($P34="KRİTİK","Acil tahsilat görüşmesi ve cari mutabakat",IF($P34="YÜKSEK","Bu hafta tahsilat takibi",IF($P34="ORTA","Hatırlatma mesajı gönder",IF($P34="İZLE","Normal takip","Aksiyon gerekmiyor")))))</f>
        <v/>
      </c>
      <c r="R34" s="120">
        <f>IF($B34="","",COUNTIFS(AKTIVITE!$D$7:$D$1006,$B34,AKTIVITE!$J$7:$J$1006,"&lt;&gt;Tamamlandı"))</f>
        <v/>
      </c>
      <c r="S34" s="123">
        <f>IF($B34="","",IF(MUSTERILER!$K34="","",MUSTERILER!$K34))</f>
        <v/>
      </c>
      <c r="T34" s="120">
        <f>IF(OR($B34="",$S34=""),"",TODAY()-$S34)</f>
        <v/>
      </c>
      <c r="U34" s="112">
        <f>IF($B34="","",IF(ABS($I34-($J34+$K34+$L34+$M34))&lt;0.01,"UYGUN","İNCELE"))</f>
        <v/>
      </c>
      <c r="V34" s="6" t="n"/>
      <c r="W34" s="6">
        <f>IF($B34="",0,SUMIFS(UCRETLER!$I$7:$I$406,UCRETLER!$B$7:$B$406,$B34))</f>
        <v/>
      </c>
      <c r="X34" s="3">
        <f>IF($B34="",0,SUMIFS(UCRETLER!$J$7:$J$406,UCRETLER!$B$7:$B$406,$B34))</f>
        <v/>
      </c>
      <c r="Y34" s="3">
        <f>IF($B34="",0,SUMIFS(UCRETLER!$K$7:$K$406,UCRETLER!$B$7:$B$406,$B34))</f>
        <v/>
      </c>
      <c r="Z34" s="3">
        <f>IF($B34="",0,MAX(0,$H34-$E34))</f>
        <v/>
      </c>
      <c r="AA34" s="3">
        <f>IF($B34="",0,MAX(0,$E34-$H34))</f>
        <v/>
      </c>
      <c r="AB34" s="3">
        <f>IF($B34="",0,MAX(0,$W34-$Z34))</f>
        <v/>
      </c>
      <c r="AC34" s="3">
        <f>IF($B34="",0,MAX(0,$X34-$Z34))</f>
        <v/>
      </c>
      <c r="AD34" s="3">
        <f>IF($B34="",0,MAX(0,$Y34-$Z34))</f>
        <v/>
      </c>
    </row>
    <row r="35">
      <c r="A35" s="6" t="n"/>
      <c r="B35" s="112">
        <f>IF(MUSTERILER!$B35="","",MUSTERILER!$B35)</f>
        <v/>
      </c>
      <c r="C35" s="113">
        <f>IF(MUSTERILER!$B35="","",MUSTERILER!$C35)</f>
        <v/>
      </c>
      <c r="D35" s="116">
        <f>IF($B35="","",SUMIFS(UCRETLER!$F$7:$F$406,UCRETLER!$B$7:$B$406,$B35,UCRETLER!$G$7:$G$406,"Aktif"))</f>
        <v/>
      </c>
      <c r="E35" s="116">
        <f>IF($B35="","",SUMIFS(MUSTERILER!$J$7:$J$106,MUSTERILER!$B$7:$B$106,$B35))</f>
        <v/>
      </c>
      <c r="F35" s="116">
        <f>IF($B35="","",SUMIFS(UCRETLER!$H$7:$H$406,UCRETLER!$B$7:$B$406,$B35))</f>
        <v/>
      </c>
      <c r="G35" s="116">
        <f>IF($B35="","",$E35+$F35)</f>
        <v/>
      </c>
      <c r="H35" s="116">
        <f>IF($B35="","",SUMIFS(TAHSILAT!$F$7:$F$1506,TAHSILAT!$C$7:$C$1506,$B35))</f>
        <v/>
      </c>
      <c r="I35" s="116">
        <f>IF($B35="","",MAX(0,$G35-$H35))</f>
        <v/>
      </c>
      <c r="J35" s="116">
        <f>IF($B35="","",MAX(0,$I35-$K35-$L35-$M35))</f>
        <v/>
      </c>
      <c r="K35" s="116">
        <f>IF($B35="","",($AB35-$AC35)+IF(AND($AA35&gt;0,$S35&lt;&gt;"",$T35&gt;=8,$T35&lt;15),$AA35,0))</f>
        <v/>
      </c>
      <c r="L35" s="116">
        <f>IF($B35="","",($AC35-$AD35)+IF(AND($AA35&gt;0,$S35&lt;&gt;"",$T35&gt;=15,$T35&lt;29),$AA35,0))</f>
        <v/>
      </c>
      <c r="M35" s="116">
        <f>IF($B35="","",$AD35+IF(AND($AA35&gt;0,OR($S35="",$T35&gt;=29)),$AA35,0))</f>
        <v/>
      </c>
      <c r="N35" s="122">
        <f>IF($B35="","",IFERROR($H35/$G35,0))</f>
        <v/>
      </c>
      <c r="O35" s="123">
        <f>IF($B35="","",IFERROR(LOOKUP(2,1/(TAHSILAT!$C$7:$C$1506=$B35),TAHSILAT!$E$7:$E$1506),""))</f>
        <v/>
      </c>
      <c r="P35" s="112">
        <f>IF($B35="","",IF($M35&gt;0,"KRİTİK",IF($L35&gt;0,"YÜKSEK",IF($K35&gt;0,"ORTA",IF($I35&gt;0,"İZLE","TEMİZ")))))</f>
        <v/>
      </c>
      <c r="Q35" s="113">
        <f>IF($B35="","",IF($P35="KRİTİK","Acil tahsilat görüşmesi ve cari mutabakat",IF($P35="YÜKSEK","Bu hafta tahsilat takibi",IF($P35="ORTA","Hatırlatma mesajı gönder",IF($P35="İZLE","Normal takip","Aksiyon gerekmiyor")))))</f>
        <v/>
      </c>
      <c r="R35" s="120">
        <f>IF($B35="","",COUNTIFS(AKTIVITE!$D$7:$D$1006,$B35,AKTIVITE!$J$7:$J$1006,"&lt;&gt;Tamamlandı"))</f>
        <v/>
      </c>
      <c r="S35" s="123">
        <f>IF($B35="","",IF(MUSTERILER!$K35="","",MUSTERILER!$K35))</f>
        <v/>
      </c>
      <c r="T35" s="120">
        <f>IF(OR($B35="",$S35=""),"",TODAY()-$S35)</f>
        <v/>
      </c>
      <c r="U35" s="112">
        <f>IF($B35="","",IF(ABS($I35-($J35+$K35+$L35+$M35))&lt;0.01,"UYGUN","İNCELE"))</f>
        <v/>
      </c>
      <c r="V35" s="6" t="n"/>
      <c r="W35" s="6">
        <f>IF($B35="",0,SUMIFS(UCRETLER!$I$7:$I$406,UCRETLER!$B$7:$B$406,$B35))</f>
        <v/>
      </c>
      <c r="X35" s="3">
        <f>IF($B35="",0,SUMIFS(UCRETLER!$J$7:$J$406,UCRETLER!$B$7:$B$406,$B35))</f>
        <v/>
      </c>
      <c r="Y35" s="3">
        <f>IF($B35="",0,SUMIFS(UCRETLER!$K$7:$K$406,UCRETLER!$B$7:$B$406,$B35))</f>
        <v/>
      </c>
      <c r="Z35" s="3">
        <f>IF($B35="",0,MAX(0,$H35-$E35))</f>
        <v/>
      </c>
      <c r="AA35" s="3">
        <f>IF($B35="",0,MAX(0,$E35-$H35))</f>
        <v/>
      </c>
      <c r="AB35" s="3">
        <f>IF($B35="",0,MAX(0,$W35-$Z35))</f>
        <v/>
      </c>
      <c r="AC35" s="3">
        <f>IF($B35="",0,MAX(0,$X35-$Z35))</f>
        <v/>
      </c>
      <c r="AD35" s="3">
        <f>IF($B35="",0,MAX(0,$Y35-$Z35))</f>
        <v/>
      </c>
    </row>
    <row r="36">
      <c r="A36" s="6" t="n"/>
      <c r="B36" s="112">
        <f>IF(MUSTERILER!$B36="","",MUSTERILER!$B36)</f>
        <v/>
      </c>
      <c r="C36" s="113">
        <f>IF(MUSTERILER!$B36="","",MUSTERILER!$C36)</f>
        <v/>
      </c>
      <c r="D36" s="116">
        <f>IF($B36="","",SUMIFS(UCRETLER!$F$7:$F$406,UCRETLER!$B$7:$B$406,$B36,UCRETLER!$G$7:$G$406,"Aktif"))</f>
        <v/>
      </c>
      <c r="E36" s="116">
        <f>IF($B36="","",SUMIFS(MUSTERILER!$J$7:$J$106,MUSTERILER!$B$7:$B$106,$B36))</f>
        <v/>
      </c>
      <c r="F36" s="116">
        <f>IF($B36="","",SUMIFS(UCRETLER!$H$7:$H$406,UCRETLER!$B$7:$B$406,$B36))</f>
        <v/>
      </c>
      <c r="G36" s="116">
        <f>IF($B36="","",$E36+$F36)</f>
        <v/>
      </c>
      <c r="H36" s="116">
        <f>IF($B36="","",SUMIFS(TAHSILAT!$F$7:$F$1506,TAHSILAT!$C$7:$C$1506,$B36))</f>
        <v/>
      </c>
      <c r="I36" s="116">
        <f>IF($B36="","",MAX(0,$G36-$H36))</f>
        <v/>
      </c>
      <c r="J36" s="116">
        <f>IF($B36="","",MAX(0,$I36-$K36-$L36-$M36))</f>
        <v/>
      </c>
      <c r="K36" s="116">
        <f>IF($B36="","",($AB36-$AC36)+IF(AND($AA36&gt;0,$S36&lt;&gt;"",$T36&gt;=8,$T36&lt;15),$AA36,0))</f>
        <v/>
      </c>
      <c r="L36" s="116">
        <f>IF($B36="","",($AC36-$AD36)+IF(AND($AA36&gt;0,$S36&lt;&gt;"",$T36&gt;=15,$T36&lt;29),$AA36,0))</f>
        <v/>
      </c>
      <c r="M36" s="116">
        <f>IF($B36="","",$AD36+IF(AND($AA36&gt;0,OR($S36="",$T36&gt;=29)),$AA36,0))</f>
        <v/>
      </c>
      <c r="N36" s="122">
        <f>IF($B36="","",IFERROR($H36/$G36,0))</f>
        <v/>
      </c>
      <c r="O36" s="123">
        <f>IF($B36="","",IFERROR(LOOKUP(2,1/(TAHSILAT!$C$7:$C$1506=$B36),TAHSILAT!$E$7:$E$1506),""))</f>
        <v/>
      </c>
      <c r="P36" s="112">
        <f>IF($B36="","",IF($M36&gt;0,"KRİTİK",IF($L36&gt;0,"YÜKSEK",IF($K36&gt;0,"ORTA",IF($I36&gt;0,"İZLE","TEMİZ")))))</f>
        <v/>
      </c>
      <c r="Q36" s="113">
        <f>IF($B36="","",IF($P36="KRİTİK","Acil tahsilat görüşmesi ve cari mutabakat",IF($P36="YÜKSEK","Bu hafta tahsilat takibi",IF($P36="ORTA","Hatırlatma mesajı gönder",IF($P36="İZLE","Normal takip","Aksiyon gerekmiyor")))))</f>
        <v/>
      </c>
      <c r="R36" s="120">
        <f>IF($B36="","",COUNTIFS(AKTIVITE!$D$7:$D$1006,$B36,AKTIVITE!$J$7:$J$1006,"&lt;&gt;Tamamlandı"))</f>
        <v/>
      </c>
      <c r="S36" s="123">
        <f>IF($B36="","",IF(MUSTERILER!$K36="","",MUSTERILER!$K36))</f>
        <v/>
      </c>
      <c r="T36" s="120">
        <f>IF(OR($B36="",$S36=""),"",TODAY()-$S36)</f>
        <v/>
      </c>
      <c r="U36" s="112">
        <f>IF($B36="","",IF(ABS($I36-($J36+$K36+$L36+$M36))&lt;0.01,"UYGUN","İNCELE"))</f>
        <v/>
      </c>
      <c r="V36" s="6" t="n"/>
      <c r="W36" s="6">
        <f>IF($B36="",0,SUMIFS(UCRETLER!$I$7:$I$406,UCRETLER!$B$7:$B$406,$B36))</f>
        <v/>
      </c>
      <c r="X36" s="3">
        <f>IF($B36="",0,SUMIFS(UCRETLER!$J$7:$J$406,UCRETLER!$B$7:$B$406,$B36))</f>
        <v/>
      </c>
      <c r="Y36" s="3">
        <f>IF($B36="",0,SUMIFS(UCRETLER!$K$7:$K$406,UCRETLER!$B$7:$B$406,$B36))</f>
        <v/>
      </c>
      <c r="Z36" s="3">
        <f>IF($B36="",0,MAX(0,$H36-$E36))</f>
        <v/>
      </c>
      <c r="AA36" s="3">
        <f>IF($B36="",0,MAX(0,$E36-$H36))</f>
        <v/>
      </c>
      <c r="AB36" s="3">
        <f>IF($B36="",0,MAX(0,$W36-$Z36))</f>
        <v/>
      </c>
      <c r="AC36" s="3">
        <f>IF($B36="",0,MAX(0,$X36-$Z36))</f>
        <v/>
      </c>
      <c r="AD36" s="3">
        <f>IF($B36="",0,MAX(0,$Y36-$Z36))</f>
        <v/>
      </c>
    </row>
    <row r="37">
      <c r="A37" s="6" t="n"/>
      <c r="B37" s="112">
        <f>IF(MUSTERILER!$B37="","",MUSTERILER!$B37)</f>
        <v/>
      </c>
      <c r="C37" s="113">
        <f>IF(MUSTERILER!$B37="","",MUSTERILER!$C37)</f>
        <v/>
      </c>
      <c r="D37" s="116">
        <f>IF($B37="","",SUMIFS(UCRETLER!$F$7:$F$406,UCRETLER!$B$7:$B$406,$B37,UCRETLER!$G$7:$G$406,"Aktif"))</f>
        <v/>
      </c>
      <c r="E37" s="116">
        <f>IF($B37="","",SUMIFS(MUSTERILER!$J$7:$J$106,MUSTERILER!$B$7:$B$106,$B37))</f>
        <v/>
      </c>
      <c r="F37" s="116">
        <f>IF($B37="","",SUMIFS(UCRETLER!$H$7:$H$406,UCRETLER!$B$7:$B$406,$B37))</f>
        <v/>
      </c>
      <c r="G37" s="116">
        <f>IF($B37="","",$E37+$F37)</f>
        <v/>
      </c>
      <c r="H37" s="116">
        <f>IF($B37="","",SUMIFS(TAHSILAT!$F$7:$F$1506,TAHSILAT!$C$7:$C$1506,$B37))</f>
        <v/>
      </c>
      <c r="I37" s="116">
        <f>IF($B37="","",MAX(0,$G37-$H37))</f>
        <v/>
      </c>
      <c r="J37" s="116">
        <f>IF($B37="","",MAX(0,$I37-$K37-$L37-$M37))</f>
        <v/>
      </c>
      <c r="K37" s="116">
        <f>IF($B37="","",($AB37-$AC37)+IF(AND($AA37&gt;0,$S37&lt;&gt;"",$T37&gt;=8,$T37&lt;15),$AA37,0))</f>
        <v/>
      </c>
      <c r="L37" s="116">
        <f>IF($B37="","",($AC37-$AD37)+IF(AND($AA37&gt;0,$S37&lt;&gt;"",$T37&gt;=15,$T37&lt;29),$AA37,0))</f>
        <v/>
      </c>
      <c r="M37" s="116">
        <f>IF($B37="","",$AD37+IF(AND($AA37&gt;0,OR($S37="",$T37&gt;=29)),$AA37,0))</f>
        <v/>
      </c>
      <c r="N37" s="122">
        <f>IF($B37="","",IFERROR($H37/$G37,0))</f>
        <v/>
      </c>
      <c r="O37" s="123">
        <f>IF($B37="","",IFERROR(LOOKUP(2,1/(TAHSILAT!$C$7:$C$1506=$B37),TAHSILAT!$E$7:$E$1506),""))</f>
        <v/>
      </c>
      <c r="P37" s="112">
        <f>IF($B37="","",IF($M37&gt;0,"KRİTİK",IF($L37&gt;0,"YÜKSEK",IF($K37&gt;0,"ORTA",IF($I37&gt;0,"İZLE","TEMİZ")))))</f>
        <v/>
      </c>
      <c r="Q37" s="113">
        <f>IF($B37="","",IF($P37="KRİTİK","Acil tahsilat görüşmesi ve cari mutabakat",IF($P37="YÜKSEK","Bu hafta tahsilat takibi",IF($P37="ORTA","Hatırlatma mesajı gönder",IF($P37="İZLE","Normal takip","Aksiyon gerekmiyor")))))</f>
        <v/>
      </c>
      <c r="R37" s="120">
        <f>IF($B37="","",COUNTIFS(AKTIVITE!$D$7:$D$1006,$B37,AKTIVITE!$J$7:$J$1006,"&lt;&gt;Tamamlandı"))</f>
        <v/>
      </c>
      <c r="S37" s="123">
        <f>IF($B37="","",IF(MUSTERILER!$K37="","",MUSTERILER!$K37))</f>
        <v/>
      </c>
      <c r="T37" s="120">
        <f>IF(OR($B37="",$S37=""),"",TODAY()-$S37)</f>
        <v/>
      </c>
      <c r="U37" s="112">
        <f>IF($B37="","",IF(ABS($I37-($J37+$K37+$L37+$M37))&lt;0.01,"UYGUN","İNCELE"))</f>
        <v/>
      </c>
      <c r="V37" s="6" t="n"/>
      <c r="W37" s="6">
        <f>IF($B37="",0,SUMIFS(UCRETLER!$I$7:$I$406,UCRETLER!$B$7:$B$406,$B37))</f>
        <v/>
      </c>
      <c r="X37" s="3">
        <f>IF($B37="",0,SUMIFS(UCRETLER!$J$7:$J$406,UCRETLER!$B$7:$B$406,$B37))</f>
        <v/>
      </c>
      <c r="Y37" s="3">
        <f>IF($B37="",0,SUMIFS(UCRETLER!$K$7:$K$406,UCRETLER!$B$7:$B$406,$B37))</f>
        <v/>
      </c>
      <c r="Z37" s="3">
        <f>IF($B37="",0,MAX(0,$H37-$E37))</f>
        <v/>
      </c>
      <c r="AA37" s="3">
        <f>IF($B37="",0,MAX(0,$E37-$H37))</f>
        <v/>
      </c>
      <c r="AB37" s="3">
        <f>IF($B37="",0,MAX(0,$W37-$Z37))</f>
        <v/>
      </c>
      <c r="AC37" s="3">
        <f>IF($B37="",0,MAX(0,$X37-$Z37))</f>
        <v/>
      </c>
      <c r="AD37" s="3">
        <f>IF($B37="",0,MAX(0,$Y37-$Z37))</f>
        <v/>
      </c>
    </row>
    <row r="38">
      <c r="A38" s="6" t="n"/>
      <c r="B38" s="112">
        <f>IF(MUSTERILER!$B38="","",MUSTERILER!$B38)</f>
        <v/>
      </c>
      <c r="C38" s="113">
        <f>IF(MUSTERILER!$B38="","",MUSTERILER!$C38)</f>
        <v/>
      </c>
      <c r="D38" s="116">
        <f>IF($B38="","",SUMIFS(UCRETLER!$F$7:$F$406,UCRETLER!$B$7:$B$406,$B38,UCRETLER!$G$7:$G$406,"Aktif"))</f>
        <v/>
      </c>
      <c r="E38" s="116">
        <f>IF($B38="","",SUMIFS(MUSTERILER!$J$7:$J$106,MUSTERILER!$B$7:$B$106,$B38))</f>
        <v/>
      </c>
      <c r="F38" s="116">
        <f>IF($B38="","",SUMIFS(UCRETLER!$H$7:$H$406,UCRETLER!$B$7:$B$406,$B38))</f>
        <v/>
      </c>
      <c r="G38" s="116">
        <f>IF($B38="","",$E38+$F38)</f>
        <v/>
      </c>
      <c r="H38" s="116">
        <f>IF($B38="","",SUMIFS(TAHSILAT!$F$7:$F$1506,TAHSILAT!$C$7:$C$1506,$B38))</f>
        <v/>
      </c>
      <c r="I38" s="116">
        <f>IF($B38="","",MAX(0,$G38-$H38))</f>
        <v/>
      </c>
      <c r="J38" s="116">
        <f>IF($B38="","",MAX(0,$I38-$K38-$L38-$M38))</f>
        <v/>
      </c>
      <c r="K38" s="116">
        <f>IF($B38="","",($AB38-$AC38)+IF(AND($AA38&gt;0,$S38&lt;&gt;"",$T38&gt;=8,$T38&lt;15),$AA38,0))</f>
        <v/>
      </c>
      <c r="L38" s="116">
        <f>IF($B38="","",($AC38-$AD38)+IF(AND($AA38&gt;0,$S38&lt;&gt;"",$T38&gt;=15,$T38&lt;29),$AA38,0))</f>
        <v/>
      </c>
      <c r="M38" s="116">
        <f>IF($B38="","",$AD38+IF(AND($AA38&gt;0,OR($S38="",$T38&gt;=29)),$AA38,0))</f>
        <v/>
      </c>
      <c r="N38" s="122">
        <f>IF($B38="","",IFERROR($H38/$G38,0))</f>
        <v/>
      </c>
      <c r="O38" s="123">
        <f>IF($B38="","",IFERROR(LOOKUP(2,1/(TAHSILAT!$C$7:$C$1506=$B38),TAHSILAT!$E$7:$E$1506),""))</f>
        <v/>
      </c>
      <c r="P38" s="112">
        <f>IF($B38="","",IF($M38&gt;0,"KRİTİK",IF($L38&gt;0,"YÜKSEK",IF($K38&gt;0,"ORTA",IF($I38&gt;0,"İZLE","TEMİZ")))))</f>
        <v/>
      </c>
      <c r="Q38" s="113">
        <f>IF($B38="","",IF($P38="KRİTİK","Acil tahsilat görüşmesi ve cari mutabakat",IF($P38="YÜKSEK","Bu hafta tahsilat takibi",IF($P38="ORTA","Hatırlatma mesajı gönder",IF($P38="İZLE","Normal takip","Aksiyon gerekmiyor")))))</f>
        <v/>
      </c>
      <c r="R38" s="120">
        <f>IF($B38="","",COUNTIFS(AKTIVITE!$D$7:$D$1006,$B38,AKTIVITE!$J$7:$J$1006,"&lt;&gt;Tamamlandı"))</f>
        <v/>
      </c>
      <c r="S38" s="123">
        <f>IF($B38="","",IF(MUSTERILER!$K38="","",MUSTERILER!$K38))</f>
        <v/>
      </c>
      <c r="T38" s="120">
        <f>IF(OR($B38="",$S38=""),"",TODAY()-$S38)</f>
        <v/>
      </c>
      <c r="U38" s="112">
        <f>IF($B38="","",IF(ABS($I38-($J38+$K38+$L38+$M38))&lt;0.01,"UYGUN","İNCELE"))</f>
        <v/>
      </c>
      <c r="V38" s="6" t="n"/>
      <c r="W38" s="6">
        <f>IF($B38="",0,SUMIFS(UCRETLER!$I$7:$I$406,UCRETLER!$B$7:$B$406,$B38))</f>
        <v/>
      </c>
      <c r="X38" s="3">
        <f>IF($B38="",0,SUMIFS(UCRETLER!$J$7:$J$406,UCRETLER!$B$7:$B$406,$B38))</f>
        <v/>
      </c>
      <c r="Y38" s="3">
        <f>IF($B38="",0,SUMIFS(UCRETLER!$K$7:$K$406,UCRETLER!$B$7:$B$406,$B38))</f>
        <v/>
      </c>
      <c r="Z38" s="3">
        <f>IF($B38="",0,MAX(0,$H38-$E38))</f>
        <v/>
      </c>
      <c r="AA38" s="3">
        <f>IF($B38="",0,MAX(0,$E38-$H38))</f>
        <v/>
      </c>
      <c r="AB38" s="3">
        <f>IF($B38="",0,MAX(0,$W38-$Z38))</f>
        <v/>
      </c>
      <c r="AC38" s="3">
        <f>IF($B38="",0,MAX(0,$X38-$Z38))</f>
        <v/>
      </c>
      <c r="AD38" s="3">
        <f>IF($B38="",0,MAX(0,$Y38-$Z38))</f>
        <v/>
      </c>
    </row>
    <row r="39">
      <c r="A39" s="6" t="n"/>
      <c r="B39" s="112">
        <f>IF(MUSTERILER!$B39="","",MUSTERILER!$B39)</f>
        <v/>
      </c>
      <c r="C39" s="113">
        <f>IF(MUSTERILER!$B39="","",MUSTERILER!$C39)</f>
        <v/>
      </c>
      <c r="D39" s="116">
        <f>IF($B39="","",SUMIFS(UCRETLER!$F$7:$F$406,UCRETLER!$B$7:$B$406,$B39,UCRETLER!$G$7:$G$406,"Aktif"))</f>
        <v/>
      </c>
      <c r="E39" s="116">
        <f>IF($B39="","",SUMIFS(MUSTERILER!$J$7:$J$106,MUSTERILER!$B$7:$B$106,$B39))</f>
        <v/>
      </c>
      <c r="F39" s="116">
        <f>IF($B39="","",SUMIFS(UCRETLER!$H$7:$H$406,UCRETLER!$B$7:$B$406,$B39))</f>
        <v/>
      </c>
      <c r="G39" s="116">
        <f>IF($B39="","",$E39+$F39)</f>
        <v/>
      </c>
      <c r="H39" s="116">
        <f>IF($B39="","",SUMIFS(TAHSILAT!$F$7:$F$1506,TAHSILAT!$C$7:$C$1506,$B39))</f>
        <v/>
      </c>
      <c r="I39" s="116">
        <f>IF($B39="","",MAX(0,$G39-$H39))</f>
        <v/>
      </c>
      <c r="J39" s="116">
        <f>IF($B39="","",MAX(0,$I39-$K39-$L39-$M39))</f>
        <v/>
      </c>
      <c r="K39" s="116">
        <f>IF($B39="","",($AB39-$AC39)+IF(AND($AA39&gt;0,$S39&lt;&gt;"",$T39&gt;=8,$T39&lt;15),$AA39,0))</f>
        <v/>
      </c>
      <c r="L39" s="116">
        <f>IF($B39="","",($AC39-$AD39)+IF(AND($AA39&gt;0,$S39&lt;&gt;"",$T39&gt;=15,$T39&lt;29),$AA39,0))</f>
        <v/>
      </c>
      <c r="M39" s="116">
        <f>IF($B39="","",$AD39+IF(AND($AA39&gt;0,OR($S39="",$T39&gt;=29)),$AA39,0))</f>
        <v/>
      </c>
      <c r="N39" s="122">
        <f>IF($B39="","",IFERROR($H39/$G39,0))</f>
        <v/>
      </c>
      <c r="O39" s="123">
        <f>IF($B39="","",IFERROR(LOOKUP(2,1/(TAHSILAT!$C$7:$C$1506=$B39),TAHSILAT!$E$7:$E$1506),""))</f>
        <v/>
      </c>
      <c r="P39" s="112">
        <f>IF($B39="","",IF($M39&gt;0,"KRİTİK",IF($L39&gt;0,"YÜKSEK",IF($K39&gt;0,"ORTA",IF($I39&gt;0,"İZLE","TEMİZ")))))</f>
        <v/>
      </c>
      <c r="Q39" s="113">
        <f>IF($B39="","",IF($P39="KRİTİK","Acil tahsilat görüşmesi ve cari mutabakat",IF($P39="YÜKSEK","Bu hafta tahsilat takibi",IF($P39="ORTA","Hatırlatma mesajı gönder",IF($P39="İZLE","Normal takip","Aksiyon gerekmiyor")))))</f>
        <v/>
      </c>
      <c r="R39" s="120">
        <f>IF($B39="","",COUNTIFS(AKTIVITE!$D$7:$D$1006,$B39,AKTIVITE!$J$7:$J$1006,"&lt;&gt;Tamamlandı"))</f>
        <v/>
      </c>
      <c r="S39" s="123">
        <f>IF($B39="","",IF(MUSTERILER!$K39="","",MUSTERILER!$K39))</f>
        <v/>
      </c>
      <c r="T39" s="120">
        <f>IF(OR($B39="",$S39=""),"",TODAY()-$S39)</f>
        <v/>
      </c>
      <c r="U39" s="112">
        <f>IF($B39="","",IF(ABS($I39-($J39+$K39+$L39+$M39))&lt;0.01,"UYGUN","İNCELE"))</f>
        <v/>
      </c>
      <c r="V39" s="6" t="n"/>
      <c r="W39" s="6">
        <f>IF($B39="",0,SUMIFS(UCRETLER!$I$7:$I$406,UCRETLER!$B$7:$B$406,$B39))</f>
        <v/>
      </c>
      <c r="X39" s="3">
        <f>IF($B39="",0,SUMIFS(UCRETLER!$J$7:$J$406,UCRETLER!$B$7:$B$406,$B39))</f>
        <v/>
      </c>
      <c r="Y39" s="3">
        <f>IF($B39="",0,SUMIFS(UCRETLER!$K$7:$K$406,UCRETLER!$B$7:$B$406,$B39))</f>
        <v/>
      </c>
      <c r="Z39" s="3">
        <f>IF($B39="",0,MAX(0,$H39-$E39))</f>
        <v/>
      </c>
      <c r="AA39" s="3">
        <f>IF($B39="",0,MAX(0,$E39-$H39))</f>
        <v/>
      </c>
      <c r="AB39" s="3">
        <f>IF($B39="",0,MAX(0,$W39-$Z39))</f>
        <v/>
      </c>
      <c r="AC39" s="3">
        <f>IF($B39="",0,MAX(0,$X39-$Z39))</f>
        <v/>
      </c>
      <c r="AD39" s="3">
        <f>IF($B39="",0,MAX(0,$Y39-$Z39))</f>
        <v/>
      </c>
    </row>
    <row r="40">
      <c r="A40" s="6" t="n"/>
      <c r="B40" s="112">
        <f>IF(MUSTERILER!$B40="","",MUSTERILER!$B40)</f>
        <v/>
      </c>
      <c r="C40" s="113">
        <f>IF(MUSTERILER!$B40="","",MUSTERILER!$C40)</f>
        <v/>
      </c>
      <c r="D40" s="116">
        <f>IF($B40="","",SUMIFS(UCRETLER!$F$7:$F$406,UCRETLER!$B$7:$B$406,$B40,UCRETLER!$G$7:$G$406,"Aktif"))</f>
        <v/>
      </c>
      <c r="E40" s="116">
        <f>IF($B40="","",SUMIFS(MUSTERILER!$J$7:$J$106,MUSTERILER!$B$7:$B$106,$B40))</f>
        <v/>
      </c>
      <c r="F40" s="116">
        <f>IF($B40="","",SUMIFS(UCRETLER!$H$7:$H$406,UCRETLER!$B$7:$B$406,$B40))</f>
        <v/>
      </c>
      <c r="G40" s="116">
        <f>IF($B40="","",$E40+$F40)</f>
        <v/>
      </c>
      <c r="H40" s="116">
        <f>IF($B40="","",SUMIFS(TAHSILAT!$F$7:$F$1506,TAHSILAT!$C$7:$C$1506,$B40))</f>
        <v/>
      </c>
      <c r="I40" s="116">
        <f>IF($B40="","",MAX(0,$G40-$H40))</f>
        <v/>
      </c>
      <c r="J40" s="116">
        <f>IF($B40="","",MAX(0,$I40-$K40-$L40-$M40))</f>
        <v/>
      </c>
      <c r="K40" s="116">
        <f>IF($B40="","",($AB40-$AC40)+IF(AND($AA40&gt;0,$S40&lt;&gt;"",$T40&gt;=8,$T40&lt;15),$AA40,0))</f>
        <v/>
      </c>
      <c r="L40" s="116">
        <f>IF($B40="","",($AC40-$AD40)+IF(AND($AA40&gt;0,$S40&lt;&gt;"",$T40&gt;=15,$T40&lt;29),$AA40,0))</f>
        <v/>
      </c>
      <c r="M40" s="116">
        <f>IF($B40="","",$AD40+IF(AND($AA40&gt;0,OR($S40="",$T40&gt;=29)),$AA40,0))</f>
        <v/>
      </c>
      <c r="N40" s="122">
        <f>IF($B40="","",IFERROR($H40/$G40,0))</f>
        <v/>
      </c>
      <c r="O40" s="123">
        <f>IF($B40="","",IFERROR(LOOKUP(2,1/(TAHSILAT!$C$7:$C$1506=$B40),TAHSILAT!$E$7:$E$1506),""))</f>
        <v/>
      </c>
      <c r="P40" s="112">
        <f>IF($B40="","",IF($M40&gt;0,"KRİTİK",IF($L40&gt;0,"YÜKSEK",IF($K40&gt;0,"ORTA",IF($I40&gt;0,"İZLE","TEMİZ")))))</f>
        <v/>
      </c>
      <c r="Q40" s="113">
        <f>IF($B40="","",IF($P40="KRİTİK","Acil tahsilat görüşmesi ve cari mutabakat",IF($P40="YÜKSEK","Bu hafta tahsilat takibi",IF($P40="ORTA","Hatırlatma mesajı gönder",IF($P40="İZLE","Normal takip","Aksiyon gerekmiyor")))))</f>
        <v/>
      </c>
      <c r="R40" s="120">
        <f>IF($B40="","",COUNTIFS(AKTIVITE!$D$7:$D$1006,$B40,AKTIVITE!$J$7:$J$1006,"&lt;&gt;Tamamlandı"))</f>
        <v/>
      </c>
      <c r="S40" s="123">
        <f>IF($B40="","",IF(MUSTERILER!$K40="","",MUSTERILER!$K40))</f>
        <v/>
      </c>
      <c r="T40" s="120">
        <f>IF(OR($B40="",$S40=""),"",TODAY()-$S40)</f>
        <v/>
      </c>
      <c r="U40" s="112">
        <f>IF($B40="","",IF(ABS($I40-($J40+$K40+$L40+$M40))&lt;0.01,"UYGUN","İNCELE"))</f>
        <v/>
      </c>
      <c r="V40" s="6" t="n"/>
      <c r="W40" s="6">
        <f>IF($B40="",0,SUMIFS(UCRETLER!$I$7:$I$406,UCRETLER!$B$7:$B$406,$B40))</f>
        <v/>
      </c>
      <c r="X40" s="3">
        <f>IF($B40="",0,SUMIFS(UCRETLER!$J$7:$J$406,UCRETLER!$B$7:$B$406,$B40))</f>
        <v/>
      </c>
      <c r="Y40" s="3">
        <f>IF($B40="",0,SUMIFS(UCRETLER!$K$7:$K$406,UCRETLER!$B$7:$B$406,$B40))</f>
        <v/>
      </c>
      <c r="Z40" s="3">
        <f>IF($B40="",0,MAX(0,$H40-$E40))</f>
        <v/>
      </c>
      <c r="AA40" s="3">
        <f>IF($B40="",0,MAX(0,$E40-$H40))</f>
        <v/>
      </c>
      <c r="AB40" s="3">
        <f>IF($B40="",0,MAX(0,$W40-$Z40))</f>
        <v/>
      </c>
      <c r="AC40" s="3">
        <f>IF($B40="",0,MAX(0,$X40-$Z40))</f>
        <v/>
      </c>
      <c r="AD40" s="3">
        <f>IF($B40="",0,MAX(0,$Y40-$Z40))</f>
        <v/>
      </c>
    </row>
    <row r="41">
      <c r="A41" s="6" t="n"/>
      <c r="B41" s="112">
        <f>IF(MUSTERILER!$B41="","",MUSTERILER!$B41)</f>
        <v/>
      </c>
      <c r="C41" s="113">
        <f>IF(MUSTERILER!$B41="","",MUSTERILER!$C41)</f>
        <v/>
      </c>
      <c r="D41" s="116">
        <f>IF($B41="","",SUMIFS(UCRETLER!$F$7:$F$406,UCRETLER!$B$7:$B$406,$B41,UCRETLER!$G$7:$G$406,"Aktif"))</f>
        <v/>
      </c>
      <c r="E41" s="116">
        <f>IF($B41="","",SUMIFS(MUSTERILER!$J$7:$J$106,MUSTERILER!$B$7:$B$106,$B41))</f>
        <v/>
      </c>
      <c r="F41" s="116">
        <f>IF($B41="","",SUMIFS(UCRETLER!$H$7:$H$406,UCRETLER!$B$7:$B$406,$B41))</f>
        <v/>
      </c>
      <c r="G41" s="116">
        <f>IF($B41="","",$E41+$F41)</f>
        <v/>
      </c>
      <c r="H41" s="116">
        <f>IF($B41="","",SUMIFS(TAHSILAT!$F$7:$F$1506,TAHSILAT!$C$7:$C$1506,$B41))</f>
        <v/>
      </c>
      <c r="I41" s="116">
        <f>IF($B41="","",MAX(0,$G41-$H41))</f>
        <v/>
      </c>
      <c r="J41" s="116">
        <f>IF($B41="","",MAX(0,$I41-$K41-$L41-$M41))</f>
        <v/>
      </c>
      <c r="K41" s="116">
        <f>IF($B41="","",($AB41-$AC41)+IF(AND($AA41&gt;0,$S41&lt;&gt;"",$T41&gt;=8,$T41&lt;15),$AA41,0))</f>
        <v/>
      </c>
      <c r="L41" s="116">
        <f>IF($B41="","",($AC41-$AD41)+IF(AND($AA41&gt;0,$S41&lt;&gt;"",$T41&gt;=15,$T41&lt;29),$AA41,0))</f>
        <v/>
      </c>
      <c r="M41" s="116">
        <f>IF($B41="","",$AD41+IF(AND($AA41&gt;0,OR($S41="",$T41&gt;=29)),$AA41,0))</f>
        <v/>
      </c>
      <c r="N41" s="122">
        <f>IF($B41="","",IFERROR($H41/$G41,0))</f>
        <v/>
      </c>
      <c r="O41" s="123">
        <f>IF($B41="","",IFERROR(LOOKUP(2,1/(TAHSILAT!$C$7:$C$1506=$B41),TAHSILAT!$E$7:$E$1506),""))</f>
        <v/>
      </c>
      <c r="P41" s="112">
        <f>IF($B41="","",IF($M41&gt;0,"KRİTİK",IF($L41&gt;0,"YÜKSEK",IF($K41&gt;0,"ORTA",IF($I41&gt;0,"İZLE","TEMİZ")))))</f>
        <v/>
      </c>
      <c r="Q41" s="113">
        <f>IF($B41="","",IF($P41="KRİTİK","Acil tahsilat görüşmesi ve cari mutabakat",IF($P41="YÜKSEK","Bu hafta tahsilat takibi",IF($P41="ORTA","Hatırlatma mesajı gönder",IF($P41="İZLE","Normal takip","Aksiyon gerekmiyor")))))</f>
        <v/>
      </c>
      <c r="R41" s="120">
        <f>IF($B41="","",COUNTIFS(AKTIVITE!$D$7:$D$1006,$B41,AKTIVITE!$J$7:$J$1006,"&lt;&gt;Tamamlandı"))</f>
        <v/>
      </c>
      <c r="S41" s="123">
        <f>IF($B41="","",IF(MUSTERILER!$K41="","",MUSTERILER!$K41))</f>
        <v/>
      </c>
      <c r="T41" s="120">
        <f>IF(OR($B41="",$S41=""),"",TODAY()-$S41)</f>
        <v/>
      </c>
      <c r="U41" s="112">
        <f>IF($B41="","",IF(ABS($I41-($J41+$K41+$L41+$M41))&lt;0.01,"UYGUN","İNCELE"))</f>
        <v/>
      </c>
      <c r="V41" s="6" t="n"/>
      <c r="W41" s="6">
        <f>IF($B41="",0,SUMIFS(UCRETLER!$I$7:$I$406,UCRETLER!$B$7:$B$406,$B41))</f>
        <v/>
      </c>
      <c r="X41" s="3">
        <f>IF($B41="",0,SUMIFS(UCRETLER!$J$7:$J$406,UCRETLER!$B$7:$B$406,$B41))</f>
        <v/>
      </c>
      <c r="Y41" s="3">
        <f>IF($B41="",0,SUMIFS(UCRETLER!$K$7:$K$406,UCRETLER!$B$7:$B$406,$B41))</f>
        <v/>
      </c>
      <c r="Z41" s="3">
        <f>IF($B41="",0,MAX(0,$H41-$E41))</f>
        <v/>
      </c>
      <c r="AA41" s="3">
        <f>IF($B41="",0,MAX(0,$E41-$H41))</f>
        <v/>
      </c>
      <c r="AB41" s="3">
        <f>IF($B41="",0,MAX(0,$W41-$Z41))</f>
        <v/>
      </c>
      <c r="AC41" s="3">
        <f>IF($B41="",0,MAX(0,$X41-$Z41))</f>
        <v/>
      </c>
      <c r="AD41" s="3">
        <f>IF($B41="",0,MAX(0,$Y41-$Z41))</f>
        <v/>
      </c>
    </row>
    <row r="42">
      <c r="A42" s="6" t="n"/>
      <c r="B42" s="112">
        <f>IF(MUSTERILER!$B42="","",MUSTERILER!$B42)</f>
        <v/>
      </c>
      <c r="C42" s="113">
        <f>IF(MUSTERILER!$B42="","",MUSTERILER!$C42)</f>
        <v/>
      </c>
      <c r="D42" s="116">
        <f>IF($B42="","",SUMIFS(UCRETLER!$F$7:$F$406,UCRETLER!$B$7:$B$406,$B42,UCRETLER!$G$7:$G$406,"Aktif"))</f>
        <v/>
      </c>
      <c r="E42" s="116">
        <f>IF($B42="","",SUMIFS(MUSTERILER!$J$7:$J$106,MUSTERILER!$B$7:$B$106,$B42))</f>
        <v/>
      </c>
      <c r="F42" s="116">
        <f>IF($B42="","",SUMIFS(UCRETLER!$H$7:$H$406,UCRETLER!$B$7:$B$406,$B42))</f>
        <v/>
      </c>
      <c r="G42" s="116">
        <f>IF($B42="","",$E42+$F42)</f>
        <v/>
      </c>
      <c r="H42" s="116">
        <f>IF($B42="","",SUMIFS(TAHSILAT!$F$7:$F$1506,TAHSILAT!$C$7:$C$1506,$B42))</f>
        <v/>
      </c>
      <c r="I42" s="116">
        <f>IF($B42="","",MAX(0,$G42-$H42))</f>
        <v/>
      </c>
      <c r="J42" s="116">
        <f>IF($B42="","",MAX(0,$I42-$K42-$L42-$M42))</f>
        <v/>
      </c>
      <c r="K42" s="116">
        <f>IF($B42="","",($AB42-$AC42)+IF(AND($AA42&gt;0,$S42&lt;&gt;"",$T42&gt;=8,$T42&lt;15),$AA42,0))</f>
        <v/>
      </c>
      <c r="L42" s="116">
        <f>IF($B42="","",($AC42-$AD42)+IF(AND($AA42&gt;0,$S42&lt;&gt;"",$T42&gt;=15,$T42&lt;29),$AA42,0))</f>
        <v/>
      </c>
      <c r="M42" s="116">
        <f>IF($B42="","",$AD42+IF(AND($AA42&gt;0,OR($S42="",$T42&gt;=29)),$AA42,0))</f>
        <v/>
      </c>
      <c r="N42" s="122">
        <f>IF($B42="","",IFERROR($H42/$G42,0))</f>
        <v/>
      </c>
      <c r="O42" s="123">
        <f>IF($B42="","",IFERROR(LOOKUP(2,1/(TAHSILAT!$C$7:$C$1506=$B42),TAHSILAT!$E$7:$E$1506),""))</f>
        <v/>
      </c>
      <c r="P42" s="112">
        <f>IF($B42="","",IF($M42&gt;0,"KRİTİK",IF($L42&gt;0,"YÜKSEK",IF($K42&gt;0,"ORTA",IF($I42&gt;0,"İZLE","TEMİZ")))))</f>
        <v/>
      </c>
      <c r="Q42" s="113">
        <f>IF($B42="","",IF($P42="KRİTİK","Acil tahsilat görüşmesi ve cari mutabakat",IF($P42="YÜKSEK","Bu hafta tahsilat takibi",IF($P42="ORTA","Hatırlatma mesajı gönder",IF($P42="İZLE","Normal takip","Aksiyon gerekmiyor")))))</f>
        <v/>
      </c>
      <c r="R42" s="120">
        <f>IF($B42="","",COUNTIFS(AKTIVITE!$D$7:$D$1006,$B42,AKTIVITE!$J$7:$J$1006,"&lt;&gt;Tamamlandı"))</f>
        <v/>
      </c>
      <c r="S42" s="123">
        <f>IF($B42="","",IF(MUSTERILER!$K42="","",MUSTERILER!$K42))</f>
        <v/>
      </c>
      <c r="T42" s="120">
        <f>IF(OR($B42="",$S42=""),"",TODAY()-$S42)</f>
        <v/>
      </c>
      <c r="U42" s="112">
        <f>IF($B42="","",IF(ABS($I42-($J42+$K42+$L42+$M42))&lt;0.01,"UYGUN","İNCELE"))</f>
        <v/>
      </c>
      <c r="V42" s="6" t="n"/>
      <c r="W42" s="6">
        <f>IF($B42="",0,SUMIFS(UCRETLER!$I$7:$I$406,UCRETLER!$B$7:$B$406,$B42))</f>
        <v/>
      </c>
      <c r="X42" s="3">
        <f>IF($B42="",0,SUMIFS(UCRETLER!$J$7:$J$406,UCRETLER!$B$7:$B$406,$B42))</f>
        <v/>
      </c>
      <c r="Y42" s="3">
        <f>IF($B42="",0,SUMIFS(UCRETLER!$K$7:$K$406,UCRETLER!$B$7:$B$406,$B42))</f>
        <v/>
      </c>
      <c r="Z42" s="3">
        <f>IF($B42="",0,MAX(0,$H42-$E42))</f>
        <v/>
      </c>
      <c r="AA42" s="3">
        <f>IF($B42="",0,MAX(0,$E42-$H42))</f>
        <v/>
      </c>
      <c r="AB42" s="3">
        <f>IF($B42="",0,MAX(0,$W42-$Z42))</f>
        <v/>
      </c>
      <c r="AC42" s="3">
        <f>IF($B42="",0,MAX(0,$X42-$Z42))</f>
        <v/>
      </c>
      <c r="AD42" s="3">
        <f>IF($B42="",0,MAX(0,$Y42-$Z42))</f>
        <v/>
      </c>
    </row>
    <row r="43">
      <c r="A43" s="6" t="n"/>
      <c r="B43" s="112">
        <f>IF(MUSTERILER!$B43="","",MUSTERILER!$B43)</f>
        <v/>
      </c>
      <c r="C43" s="113">
        <f>IF(MUSTERILER!$B43="","",MUSTERILER!$C43)</f>
        <v/>
      </c>
      <c r="D43" s="116">
        <f>IF($B43="","",SUMIFS(UCRETLER!$F$7:$F$406,UCRETLER!$B$7:$B$406,$B43,UCRETLER!$G$7:$G$406,"Aktif"))</f>
        <v/>
      </c>
      <c r="E43" s="116">
        <f>IF($B43="","",SUMIFS(MUSTERILER!$J$7:$J$106,MUSTERILER!$B$7:$B$106,$B43))</f>
        <v/>
      </c>
      <c r="F43" s="116">
        <f>IF($B43="","",SUMIFS(UCRETLER!$H$7:$H$406,UCRETLER!$B$7:$B$406,$B43))</f>
        <v/>
      </c>
      <c r="G43" s="116">
        <f>IF($B43="","",$E43+$F43)</f>
        <v/>
      </c>
      <c r="H43" s="116">
        <f>IF($B43="","",SUMIFS(TAHSILAT!$F$7:$F$1506,TAHSILAT!$C$7:$C$1506,$B43))</f>
        <v/>
      </c>
      <c r="I43" s="116">
        <f>IF($B43="","",MAX(0,$G43-$H43))</f>
        <v/>
      </c>
      <c r="J43" s="116">
        <f>IF($B43="","",MAX(0,$I43-$K43-$L43-$M43))</f>
        <v/>
      </c>
      <c r="K43" s="116">
        <f>IF($B43="","",($AB43-$AC43)+IF(AND($AA43&gt;0,$S43&lt;&gt;"",$T43&gt;=8,$T43&lt;15),$AA43,0))</f>
        <v/>
      </c>
      <c r="L43" s="116">
        <f>IF($B43="","",($AC43-$AD43)+IF(AND($AA43&gt;0,$S43&lt;&gt;"",$T43&gt;=15,$T43&lt;29),$AA43,0))</f>
        <v/>
      </c>
      <c r="M43" s="116">
        <f>IF($B43="","",$AD43+IF(AND($AA43&gt;0,OR($S43="",$T43&gt;=29)),$AA43,0))</f>
        <v/>
      </c>
      <c r="N43" s="122">
        <f>IF($B43="","",IFERROR($H43/$G43,0))</f>
        <v/>
      </c>
      <c r="O43" s="123">
        <f>IF($B43="","",IFERROR(LOOKUP(2,1/(TAHSILAT!$C$7:$C$1506=$B43),TAHSILAT!$E$7:$E$1506),""))</f>
        <v/>
      </c>
      <c r="P43" s="112">
        <f>IF($B43="","",IF($M43&gt;0,"KRİTİK",IF($L43&gt;0,"YÜKSEK",IF($K43&gt;0,"ORTA",IF($I43&gt;0,"İZLE","TEMİZ")))))</f>
        <v/>
      </c>
      <c r="Q43" s="113">
        <f>IF($B43="","",IF($P43="KRİTİK","Acil tahsilat görüşmesi ve cari mutabakat",IF($P43="YÜKSEK","Bu hafta tahsilat takibi",IF($P43="ORTA","Hatırlatma mesajı gönder",IF($P43="İZLE","Normal takip","Aksiyon gerekmiyor")))))</f>
        <v/>
      </c>
      <c r="R43" s="120">
        <f>IF($B43="","",COUNTIFS(AKTIVITE!$D$7:$D$1006,$B43,AKTIVITE!$J$7:$J$1006,"&lt;&gt;Tamamlandı"))</f>
        <v/>
      </c>
      <c r="S43" s="123">
        <f>IF($B43="","",IF(MUSTERILER!$K43="","",MUSTERILER!$K43))</f>
        <v/>
      </c>
      <c r="T43" s="120">
        <f>IF(OR($B43="",$S43=""),"",TODAY()-$S43)</f>
        <v/>
      </c>
      <c r="U43" s="112">
        <f>IF($B43="","",IF(ABS($I43-($J43+$K43+$L43+$M43))&lt;0.01,"UYGUN","İNCELE"))</f>
        <v/>
      </c>
      <c r="V43" s="6" t="n"/>
      <c r="W43" s="6">
        <f>IF($B43="",0,SUMIFS(UCRETLER!$I$7:$I$406,UCRETLER!$B$7:$B$406,$B43))</f>
        <v/>
      </c>
      <c r="X43" s="3">
        <f>IF($B43="",0,SUMIFS(UCRETLER!$J$7:$J$406,UCRETLER!$B$7:$B$406,$B43))</f>
        <v/>
      </c>
      <c r="Y43" s="3">
        <f>IF($B43="",0,SUMIFS(UCRETLER!$K$7:$K$406,UCRETLER!$B$7:$B$406,$B43))</f>
        <v/>
      </c>
      <c r="Z43" s="3">
        <f>IF($B43="",0,MAX(0,$H43-$E43))</f>
        <v/>
      </c>
      <c r="AA43" s="3">
        <f>IF($B43="",0,MAX(0,$E43-$H43))</f>
        <v/>
      </c>
      <c r="AB43" s="3">
        <f>IF($B43="",0,MAX(0,$W43-$Z43))</f>
        <v/>
      </c>
      <c r="AC43" s="3">
        <f>IF($B43="",0,MAX(0,$X43-$Z43))</f>
        <v/>
      </c>
      <c r="AD43" s="3">
        <f>IF($B43="",0,MAX(0,$Y43-$Z43))</f>
        <v/>
      </c>
    </row>
    <row r="44">
      <c r="A44" s="6" t="n"/>
      <c r="B44" s="112">
        <f>IF(MUSTERILER!$B44="","",MUSTERILER!$B44)</f>
        <v/>
      </c>
      <c r="C44" s="113">
        <f>IF(MUSTERILER!$B44="","",MUSTERILER!$C44)</f>
        <v/>
      </c>
      <c r="D44" s="116">
        <f>IF($B44="","",SUMIFS(UCRETLER!$F$7:$F$406,UCRETLER!$B$7:$B$406,$B44,UCRETLER!$G$7:$G$406,"Aktif"))</f>
        <v/>
      </c>
      <c r="E44" s="116">
        <f>IF($B44="","",SUMIFS(MUSTERILER!$J$7:$J$106,MUSTERILER!$B$7:$B$106,$B44))</f>
        <v/>
      </c>
      <c r="F44" s="116">
        <f>IF($B44="","",SUMIFS(UCRETLER!$H$7:$H$406,UCRETLER!$B$7:$B$406,$B44))</f>
        <v/>
      </c>
      <c r="G44" s="116">
        <f>IF($B44="","",$E44+$F44)</f>
        <v/>
      </c>
      <c r="H44" s="116">
        <f>IF($B44="","",SUMIFS(TAHSILAT!$F$7:$F$1506,TAHSILAT!$C$7:$C$1506,$B44))</f>
        <v/>
      </c>
      <c r="I44" s="116">
        <f>IF($B44="","",MAX(0,$G44-$H44))</f>
        <v/>
      </c>
      <c r="J44" s="116">
        <f>IF($B44="","",MAX(0,$I44-$K44-$L44-$M44))</f>
        <v/>
      </c>
      <c r="K44" s="116">
        <f>IF($B44="","",($AB44-$AC44)+IF(AND($AA44&gt;0,$S44&lt;&gt;"",$T44&gt;=8,$T44&lt;15),$AA44,0))</f>
        <v/>
      </c>
      <c r="L44" s="116">
        <f>IF($B44="","",($AC44-$AD44)+IF(AND($AA44&gt;0,$S44&lt;&gt;"",$T44&gt;=15,$T44&lt;29),$AA44,0))</f>
        <v/>
      </c>
      <c r="M44" s="116">
        <f>IF($B44="","",$AD44+IF(AND($AA44&gt;0,OR($S44="",$T44&gt;=29)),$AA44,0))</f>
        <v/>
      </c>
      <c r="N44" s="122">
        <f>IF($B44="","",IFERROR($H44/$G44,0))</f>
        <v/>
      </c>
      <c r="O44" s="123">
        <f>IF($B44="","",IFERROR(LOOKUP(2,1/(TAHSILAT!$C$7:$C$1506=$B44),TAHSILAT!$E$7:$E$1506),""))</f>
        <v/>
      </c>
      <c r="P44" s="112">
        <f>IF($B44="","",IF($M44&gt;0,"KRİTİK",IF($L44&gt;0,"YÜKSEK",IF($K44&gt;0,"ORTA",IF($I44&gt;0,"İZLE","TEMİZ")))))</f>
        <v/>
      </c>
      <c r="Q44" s="113">
        <f>IF($B44="","",IF($P44="KRİTİK","Acil tahsilat görüşmesi ve cari mutabakat",IF($P44="YÜKSEK","Bu hafta tahsilat takibi",IF($P44="ORTA","Hatırlatma mesajı gönder",IF($P44="İZLE","Normal takip","Aksiyon gerekmiyor")))))</f>
        <v/>
      </c>
      <c r="R44" s="120">
        <f>IF($B44="","",COUNTIFS(AKTIVITE!$D$7:$D$1006,$B44,AKTIVITE!$J$7:$J$1006,"&lt;&gt;Tamamlandı"))</f>
        <v/>
      </c>
      <c r="S44" s="123">
        <f>IF($B44="","",IF(MUSTERILER!$K44="","",MUSTERILER!$K44))</f>
        <v/>
      </c>
      <c r="T44" s="120">
        <f>IF(OR($B44="",$S44=""),"",TODAY()-$S44)</f>
        <v/>
      </c>
      <c r="U44" s="112">
        <f>IF($B44="","",IF(ABS($I44-($J44+$K44+$L44+$M44))&lt;0.01,"UYGUN","İNCELE"))</f>
        <v/>
      </c>
      <c r="V44" s="6" t="n"/>
      <c r="W44" s="6">
        <f>IF($B44="",0,SUMIFS(UCRETLER!$I$7:$I$406,UCRETLER!$B$7:$B$406,$B44))</f>
        <v/>
      </c>
      <c r="X44" s="3">
        <f>IF($B44="",0,SUMIFS(UCRETLER!$J$7:$J$406,UCRETLER!$B$7:$B$406,$B44))</f>
        <v/>
      </c>
      <c r="Y44" s="3">
        <f>IF($B44="",0,SUMIFS(UCRETLER!$K$7:$K$406,UCRETLER!$B$7:$B$406,$B44))</f>
        <v/>
      </c>
      <c r="Z44" s="3">
        <f>IF($B44="",0,MAX(0,$H44-$E44))</f>
        <v/>
      </c>
      <c r="AA44" s="3">
        <f>IF($B44="",0,MAX(0,$E44-$H44))</f>
        <v/>
      </c>
      <c r="AB44" s="3">
        <f>IF($B44="",0,MAX(0,$W44-$Z44))</f>
        <v/>
      </c>
      <c r="AC44" s="3">
        <f>IF($B44="",0,MAX(0,$X44-$Z44))</f>
        <v/>
      </c>
      <c r="AD44" s="3">
        <f>IF($B44="",0,MAX(0,$Y44-$Z44))</f>
        <v/>
      </c>
    </row>
    <row r="45">
      <c r="A45" s="6" t="n"/>
      <c r="B45" s="112">
        <f>IF(MUSTERILER!$B45="","",MUSTERILER!$B45)</f>
        <v/>
      </c>
      <c r="C45" s="113">
        <f>IF(MUSTERILER!$B45="","",MUSTERILER!$C45)</f>
        <v/>
      </c>
      <c r="D45" s="116">
        <f>IF($B45="","",SUMIFS(UCRETLER!$F$7:$F$406,UCRETLER!$B$7:$B$406,$B45,UCRETLER!$G$7:$G$406,"Aktif"))</f>
        <v/>
      </c>
      <c r="E45" s="116">
        <f>IF($B45="","",SUMIFS(MUSTERILER!$J$7:$J$106,MUSTERILER!$B$7:$B$106,$B45))</f>
        <v/>
      </c>
      <c r="F45" s="116">
        <f>IF($B45="","",SUMIFS(UCRETLER!$H$7:$H$406,UCRETLER!$B$7:$B$406,$B45))</f>
        <v/>
      </c>
      <c r="G45" s="116">
        <f>IF($B45="","",$E45+$F45)</f>
        <v/>
      </c>
      <c r="H45" s="116">
        <f>IF($B45="","",SUMIFS(TAHSILAT!$F$7:$F$1506,TAHSILAT!$C$7:$C$1506,$B45))</f>
        <v/>
      </c>
      <c r="I45" s="116">
        <f>IF($B45="","",MAX(0,$G45-$H45))</f>
        <v/>
      </c>
      <c r="J45" s="116">
        <f>IF($B45="","",MAX(0,$I45-$K45-$L45-$M45))</f>
        <v/>
      </c>
      <c r="K45" s="116">
        <f>IF($B45="","",($AB45-$AC45)+IF(AND($AA45&gt;0,$S45&lt;&gt;"",$T45&gt;=8,$T45&lt;15),$AA45,0))</f>
        <v/>
      </c>
      <c r="L45" s="116">
        <f>IF($B45="","",($AC45-$AD45)+IF(AND($AA45&gt;0,$S45&lt;&gt;"",$T45&gt;=15,$T45&lt;29),$AA45,0))</f>
        <v/>
      </c>
      <c r="M45" s="116">
        <f>IF($B45="","",$AD45+IF(AND($AA45&gt;0,OR($S45="",$T45&gt;=29)),$AA45,0))</f>
        <v/>
      </c>
      <c r="N45" s="122">
        <f>IF($B45="","",IFERROR($H45/$G45,0))</f>
        <v/>
      </c>
      <c r="O45" s="123">
        <f>IF($B45="","",IFERROR(LOOKUP(2,1/(TAHSILAT!$C$7:$C$1506=$B45),TAHSILAT!$E$7:$E$1506),""))</f>
        <v/>
      </c>
      <c r="P45" s="112">
        <f>IF($B45="","",IF($M45&gt;0,"KRİTİK",IF($L45&gt;0,"YÜKSEK",IF($K45&gt;0,"ORTA",IF($I45&gt;0,"İZLE","TEMİZ")))))</f>
        <v/>
      </c>
      <c r="Q45" s="113">
        <f>IF($B45="","",IF($P45="KRİTİK","Acil tahsilat görüşmesi ve cari mutabakat",IF($P45="YÜKSEK","Bu hafta tahsilat takibi",IF($P45="ORTA","Hatırlatma mesajı gönder",IF($P45="İZLE","Normal takip","Aksiyon gerekmiyor")))))</f>
        <v/>
      </c>
      <c r="R45" s="120">
        <f>IF($B45="","",COUNTIFS(AKTIVITE!$D$7:$D$1006,$B45,AKTIVITE!$J$7:$J$1006,"&lt;&gt;Tamamlandı"))</f>
        <v/>
      </c>
      <c r="S45" s="123">
        <f>IF($B45="","",IF(MUSTERILER!$K45="","",MUSTERILER!$K45))</f>
        <v/>
      </c>
      <c r="T45" s="120">
        <f>IF(OR($B45="",$S45=""),"",TODAY()-$S45)</f>
        <v/>
      </c>
      <c r="U45" s="112">
        <f>IF($B45="","",IF(ABS($I45-($J45+$K45+$L45+$M45))&lt;0.01,"UYGUN","İNCELE"))</f>
        <v/>
      </c>
      <c r="V45" s="6" t="n"/>
      <c r="W45" s="6">
        <f>IF($B45="",0,SUMIFS(UCRETLER!$I$7:$I$406,UCRETLER!$B$7:$B$406,$B45))</f>
        <v/>
      </c>
      <c r="X45" s="3">
        <f>IF($B45="",0,SUMIFS(UCRETLER!$J$7:$J$406,UCRETLER!$B$7:$B$406,$B45))</f>
        <v/>
      </c>
      <c r="Y45" s="3">
        <f>IF($B45="",0,SUMIFS(UCRETLER!$K$7:$K$406,UCRETLER!$B$7:$B$406,$B45))</f>
        <v/>
      </c>
      <c r="Z45" s="3">
        <f>IF($B45="",0,MAX(0,$H45-$E45))</f>
        <v/>
      </c>
      <c r="AA45" s="3">
        <f>IF($B45="",0,MAX(0,$E45-$H45))</f>
        <v/>
      </c>
      <c r="AB45" s="3">
        <f>IF($B45="",0,MAX(0,$W45-$Z45))</f>
        <v/>
      </c>
      <c r="AC45" s="3">
        <f>IF($B45="",0,MAX(0,$X45-$Z45))</f>
        <v/>
      </c>
      <c r="AD45" s="3">
        <f>IF($B45="",0,MAX(0,$Y45-$Z45))</f>
        <v/>
      </c>
    </row>
    <row r="46">
      <c r="A46" s="6" t="n"/>
      <c r="B46" s="112">
        <f>IF(MUSTERILER!$B46="","",MUSTERILER!$B46)</f>
        <v/>
      </c>
      <c r="C46" s="113">
        <f>IF(MUSTERILER!$B46="","",MUSTERILER!$C46)</f>
        <v/>
      </c>
      <c r="D46" s="116">
        <f>IF($B46="","",SUMIFS(UCRETLER!$F$7:$F$406,UCRETLER!$B$7:$B$406,$B46,UCRETLER!$G$7:$G$406,"Aktif"))</f>
        <v/>
      </c>
      <c r="E46" s="116">
        <f>IF($B46="","",SUMIFS(MUSTERILER!$J$7:$J$106,MUSTERILER!$B$7:$B$106,$B46))</f>
        <v/>
      </c>
      <c r="F46" s="116">
        <f>IF($B46="","",SUMIFS(UCRETLER!$H$7:$H$406,UCRETLER!$B$7:$B$406,$B46))</f>
        <v/>
      </c>
      <c r="G46" s="116">
        <f>IF($B46="","",$E46+$F46)</f>
        <v/>
      </c>
      <c r="H46" s="116">
        <f>IF($B46="","",SUMIFS(TAHSILAT!$F$7:$F$1506,TAHSILAT!$C$7:$C$1506,$B46))</f>
        <v/>
      </c>
      <c r="I46" s="116">
        <f>IF($B46="","",MAX(0,$G46-$H46))</f>
        <v/>
      </c>
      <c r="J46" s="116">
        <f>IF($B46="","",MAX(0,$I46-$K46-$L46-$M46))</f>
        <v/>
      </c>
      <c r="K46" s="116">
        <f>IF($B46="","",($AB46-$AC46)+IF(AND($AA46&gt;0,$S46&lt;&gt;"",$T46&gt;=8,$T46&lt;15),$AA46,0))</f>
        <v/>
      </c>
      <c r="L46" s="116">
        <f>IF($B46="","",($AC46-$AD46)+IF(AND($AA46&gt;0,$S46&lt;&gt;"",$T46&gt;=15,$T46&lt;29),$AA46,0))</f>
        <v/>
      </c>
      <c r="M46" s="116">
        <f>IF($B46="","",$AD46+IF(AND($AA46&gt;0,OR($S46="",$T46&gt;=29)),$AA46,0))</f>
        <v/>
      </c>
      <c r="N46" s="122">
        <f>IF($B46="","",IFERROR($H46/$G46,0))</f>
        <v/>
      </c>
      <c r="O46" s="123">
        <f>IF($B46="","",IFERROR(LOOKUP(2,1/(TAHSILAT!$C$7:$C$1506=$B46),TAHSILAT!$E$7:$E$1506),""))</f>
        <v/>
      </c>
      <c r="P46" s="112">
        <f>IF($B46="","",IF($M46&gt;0,"KRİTİK",IF($L46&gt;0,"YÜKSEK",IF($K46&gt;0,"ORTA",IF($I46&gt;0,"İZLE","TEMİZ")))))</f>
        <v/>
      </c>
      <c r="Q46" s="113">
        <f>IF($B46="","",IF($P46="KRİTİK","Acil tahsilat görüşmesi ve cari mutabakat",IF($P46="YÜKSEK","Bu hafta tahsilat takibi",IF($P46="ORTA","Hatırlatma mesajı gönder",IF($P46="İZLE","Normal takip","Aksiyon gerekmiyor")))))</f>
        <v/>
      </c>
      <c r="R46" s="120">
        <f>IF($B46="","",COUNTIFS(AKTIVITE!$D$7:$D$1006,$B46,AKTIVITE!$J$7:$J$1006,"&lt;&gt;Tamamlandı"))</f>
        <v/>
      </c>
      <c r="S46" s="123">
        <f>IF($B46="","",IF(MUSTERILER!$K46="","",MUSTERILER!$K46))</f>
        <v/>
      </c>
      <c r="T46" s="120">
        <f>IF(OR($B46="",$S46=""),"",TODAY()-$S46)</f>
        <v/>
      </c>
      <c r="U46" s="112">
        <f>IF($B46="","",IF(ABS($I46-($J46+$K46+$L46+$M46))&lt;0.01,"UYGUN","İNCELE"))</f>
        <v/>
      </c>
      <c r="V46" s="6" t="n"/>
      <c r="W46" s="6">
        <f>IF($B46="",0,SUMIFS(UCRETLER!$I$7:$I$406,UCRETLER!$B$7:$B$406,$B46))</f>
        <v/>
      </c>
      <c r="X46" s="3">
        <f>IF($B46="",0,SUMIFS(UCRETLER!$J$7:$J$406,UCRETLER!$B$7:$B$406,$B46))</f>
        <v/>
      </c>
      <c r="Y46" s="3">
        <f>IF($B46="",0,SUMIFS(UCRETLER!$K$7:$K$406,UCRETLER!$B$7:$B$406,$B46))</f>
        <v/>
      </c>
      <c r="Z46" s="3">
        <f>IF($B46="",0,MAX(0,$H46-$E46))</f>
        <v/>
      </c>
      <c r="AA46" s="3">
        <f>IF($B46="",0,MAX(0,$E46-$H46))</f>
        <v/>
      </c>
      <c r="AB46" s="3">
        <f>IF($B46="",0,MAX(0,$W46-$Z46))</f>
        <v/>
      </c>
      <c r="AC46" s="3">
        <f>IF($B46="",0,MAX(0,$X46-$Z46))</f>
        <v/>
      </c>
      <c r="AD46" s="3">
        <f>IF($B46="",0,MAX(0,$Y46-$Z46))</f>
        <v/>
      </c>
    </row>
    <row r="47">
      <c r="A47" s="6" t="n"/>
      <c r="B47" s="112">
        <f>IF(MUSTERILER!$B47="","",MUSTERILER!$B47)</f>
        <v/>
      </c>
      <c r="C47" s="113">
        <f>IF(MUSTERILER!$B47="","",MUSTERILER!$C47)</f>
        <v/>
      </c>
      <c r="D47" s="116">
        <f>IF($B47="","",SUMIFS(UCRETLER!$F$7:$F$406,UCRETLER!$B$7:$B$406,$B47,UCRETLER!$G$7:$G$406,"Aktif"))</f>
        <v/>
      </c>
      <c r="E47" s="116">
        <f>IF($B47="","",SUMIFS(MUSTERILER!$J$7:$J$106,MUSTERILER!$B$7:$B$106,$B47))</f>
        <v/>
      </c>
      <c r="F47" s="116">
        <f>IF($B47="","",SUMIFS(UCRETLER!$H$7:$H$406,UCRETLER!$B$7:$B$406,$B47))</f>
        <v/>
      </c>
      <c r="G47" s="116">
        <f>IF($B47="","",$E47+$F47)</f>
        <v/>
      </c>
      <c r="H47" s="116">
        <f>IF($B47="","",SUMIFS(TAHSILAT!$F$7:$F$1506,TAHSILAT!$C$7:$C$1506,$B47))</f>
        <v/>
      </c>
      <c r="I47" s="116">
        <f>IF($B47="","",MAX(0,$G47-$H47))</f>
        <v/>
      </c>
      <c r="J47" s="116">
        <f>IF($B47="","",MAX(0,$I47-$K47-$L47-$M47))</f>
        <v/>
      </c>
      <c r="K47" s="116">
        <f>IF($B47="","",($AB47-$AC47)+IF(AND($AA47&gt;0,$S47&lt;&gt;"",$T47&gt;=8,$T47&lt;15),$AA47,0))</f>
        <v/>
      </c>
      <c r="L47" s="116">
        <f>IF($B47="","",($AC47-$AD47)+IF(AND($AA47&gt;0,$S47&lt;&gt;"",$T47&gt;=15,$T47&lt;29),$AA47,0))</f>
        <v/>
      </c>
      <c r="M47" s="116">
        <f>IF($B47="","",$AD47+IF(AND($AA47&gt;0,OR($S47="",$T47&gt;=29)),$AA47,0))</f>
        <v/>
      </c>
      <c r="N47" s="122">
        <f>IF($B47="","",IFERROR($H47/$G47,0))</f>
        <v/>
      </c>
      <c r="O47" s="123">
        <f>IF($B47="","",IFERROR(LOOKUP(2,1/(TAHSILAT!$C$7:$C$1506=$B47),TAHSILAT!$E$7:$E$1506),""))</f>
        <v/>
      </c>
      <c r="P47" s="112">
        <f>IF($B47="","",IF($M47&gt;0,"KRİTİK",IF($L47&gt;0,"YÜKSEK",IF($K47&gt;0,"ORTA",IF($I47&gt;0,"İZLE","TEMİZ")))))</f>
        <v/>
      </c>
      <c r="Q47" s="113">
        <f>IF($B47="","",IF($P47="KRİTİK","Acil tahsilat görüşmesi ve cari mutabakat",IF($P47="YÜKSEK","Bu hafta tahsilat takibi",IF($P47="ORTA","Hatırlatma mesajı gönder",IF($P47="İZLE","Normal takip","Aksiyon gerekmiyor")))))</f>
        <v/>
      </c>
      <c r="R47" s="120">
        <f>IF($B47="","",COUNTIFS(AKTIVITE!$D$7:$D$1006,$B47,AKTIVITE!$J$7:$J$1006,"&lt;&gt;Tamamlandı"))</f>
        <v/>
      </c>
      <c r="S47" s="123">
        <f>IF($B47="","",IF(MUSTERILER!$K47="","",MUSTERILER!$K47))</f>
        <v/>
      </c>
      <c r="T47" s="120">
        <f>IF(OR($B47="",$S47=""),"",TODAY()-$S47)</f>
        <v/>
      </c>
      <c r="U47" s="112">
        <f>IF($B47="","",IF(ABS($I47-($J47+$K47+$L47+$M47))&lt;0.01,"UYGUN","İNCELE"))</f>
        <v/>
      </c>
      <c r="V47" s="6" t="n"/>
      <c r="W47" s="6">
        <f>IF($B47="",0,SUMIFS(UCRETLER!$I$7:$I$406,UCRETLER!$B$7:$B$406,$B47))</f>
        <v/>
      </c>
      <c r="X47" s="3">
        <f>IF($B47="",0,SUMIFS(UCRETLER!$J$7:$J$406,UCRETLER!$B$7:$B$406,$B47))</f>
        <v/>
      </c>
      <c r="Y47" s="3">
        <f>IF($B47="",0,SUMIFS(UCRETLER!$K$7:$K$406,UCRETLER!$B$7:$B$406,$B47))</f>
        <v/>
      </c>
      <c r="Z47" s="3">
        <f>IF($B47="",0,MAX(0,$H47-$E47))</f>
        <v/>
      </c>
      <c r="AA47" s="3">
        <f>IF($B47="",0,MAX(0,$E47-$H47))</f>
        <v/>
      </c>
      <c r="AB47" s="3">
        <f>IF($B47="",0,MAX(0,$W47-$Z47))</f>
        <v/>
      </c>
      <c r="AC47" s="3">
        <f>IF($B47="",0,MAX(0,$X47-$Z47))</f>
        <v/>
      </c>
      <c r="AD47" s="3">
        <f>IF($B47="",0,MAX(0,$Y47-$Z47))</f>
        <v/>
      </c>
    </row>
    <row r="48">
      <c r="A48" s="6" t="n"/>
      <c r="B48" s="112">
        <f>IF(MUSTERILER!$B48="","",MUSTERILER!$B48)</f>
        <v/>
      </c>
      <c r="C48" s="113">
        <f>IF(MUSTERILER!$B48="","",MUSTERILER!$C48)</f>
        <v/>
      </c>
      <c r="D48" s="116">
        <f>IF($B48="","",SUMIFS(UCRETLER!$F$7:$F$406,UCRETLER!$B$7:$B$406,$B48,UCRETLER!$G$7:$G$406,"Aktif"))</f>
        <v/>
      </c>
      <c r="E48" s="116">
        <f>IF($B48="","",SUMIFS(MUSTERILER!$J$7:$J$106,MUSTERILER!$B$7:$B$106,$B48))</f>
        <v/>
      </c>
      <c r="F48" s="116">
        <f>IF($B48="","",SUMIFS(UCRETLER!$H$7:$H$406,UCRETLER!$B$7:$B$406,$B48))</f>
        <v/>
      </c>
      <c r="G48" s="116">
        <f>IF($B48="","",$E48+$F48)</f>
        <v/>
      </c>
      <c r="H48" s="116">
        <f>IF($B48="","",SUMIFS(TAHSILAT!$F$7:$F$1506,TAHSILAT!$C$7:$C$1506,$B48))</f>
        <v/>
      </c>
      <c r="I48" s="116">
        <f>IF($B48="","",MAX(0,$G48-$H48))</f>
        <v/>
      </c>
      <c r="J48" s="116">
        <f>IF($B48="","",MAX(0,$I48-$K48-$L48-$M48))</f>
        <v/>
      </c>
      <c r="K48" s="116">
        <f>IF($B48="","",($AB48-$AC48)+IF(AND($AA48&gt;0,$S48&lt;&gt;"",$T48&gt;=8,$T48&lt;15),$AA48,0))</f>
        <v/>
      </c>
      <c r="L48" s="116">
        <f>IF($B48="","",($AC48-$AD48)+IF(AND($AA48&gt;0,$S48&lt;&gt;"",$T48&gt;=15,$T48&lt;29),$AA48,0))</f>
        <v/>
      </c>
      <c r="M48" s="116">
        <f>IF($B48="","",$AD48+IF(AND($AA48&gt;0,OR($S48="",$T48&gt;=29)),$AA48,0))</f>
        <v/>
      </c>
      <c r="N48" s="122">
        <f>IF($B48="","",IFERROR($H48/$G48,0))</f>
        <v/>
      </c>
      <c r="O48" s="123">
        <f>IF($B48="","",IFERROR(LOOKUP(2,1/(TAHSILAT!$C$7:$C$1506=$B48),TAHSILAT!$E$7:$E$1506),""))</f>
        <v/>
      </c>
      <c r="P48" s="112">
        <f>IF($B48="","",IF($M48&gt;0,"KRİTİK",IF($L48&gt;0,"YÜKSEK",IF($K48&gt;0,"ORTA",IF($I48&gt;0,"İZLE","TEMİZ")))))</f>
        <v/>
      </c>
      <c r="Q48" s="113">
        <f>IF($B48="","",IF($P48="KRİTİK","Acil tahsilat görüşmesi ve cari mutabakat",IF($P48="YÜKSEK","Bu hafta tahsilat takibi",IF($P48="ORTA","Hatırlatma mesajı gönder",IF($P48="İZLE","Normal takip","Aksiyon gerekmiyor")))))</f>
        <v/>
      </c>
      <c r="R48" s="120">
        <f>IF($B48="","",COUNTIFS(AKTIVITE!$D$7:$D$1006,$B48,AKTIVITE!$J$7:$J$1006,"&lt;&gt;Tamamlandı"))</f>
        <v/>
      </c>
      <c r="S48" s="123">
        <f>IF($B48="","",IF(MUSTERILER!$K48="","",MUSTERILER!$K48))</f>
        <v/>
      </c>
      <c r="T48" s="120">
        <f>IF(OR($B48="",$S48=""),"",TODAY()-$S48)</f>
        <v/>
      </c>
      <c r="U48" s="112">
        <f>IF($B48="","",IF(ABS($I48-($J48+$K48+$L48+$M48))&lt;0.01,"UYGUN","İNCELE"))</f>
        <v/>
      </c>
      <c r="V48" s="6" t="n"/>
      <c r="W48" s="6">
        <f>IF($B48="",0,SUMIFS(UCRETLER!$I$7:$I$406,UCRETLER!$B$7:$B$406,$B48))</f>
        <v/>
      </c>
      <c r="X48" s="3">
        <f>IF($B48="",0,SUMIFS(UCRETLER!$J$7:$J$406,UCRETLER!$B$7:$B$406,$B48))</f>
        <v/>
      </c>
      <c r="Y48" s="3">
        <f>IF($B48="",0,SUMIFS(UCRETLER!$K$7:$K$406,UCRETLER!$B$7:$B$406,$B48))</f>
        <v/>
      </c>
      <c r="Z48" s="3">
        <f>IF($B48="",0,MAX(0,$H48-$E48))</f>
        <v/>
      </c>
      <c r="AA48" s="3">
        <f>IF($B48="",0,MAX(0,$E48-$H48))</f>
        <v/>
      </c>
      <c r="AB48" s="3">
        <f>IF($B48="",0,MAX(0,$W48-$Z48))</f>
        <v/>
      </c>
      <c r="AC48" s="3">
        <f>IF($B48="",0,MAX(0,$X48-$Z48))</f>
        <v/>
      </c>
      <c r="AD48" s="3">
        <f>IF($B48="",0,MAX(0,$Y48-$Z48))</f>
        <v/>
      </c>
    </row>
    <row r="49">
      <c r="A49" s="6" t="n"/>
      <c r="B49" s="112">
        <f>IF(MUSTERILER!$B49="","",MUSTERILER!$B49)</f>
        <v/>
      </c>
      <c r="C49" s="113">
        <f>IF(MUSTERILER!$B49="","",MUSTERILER!$C49)</f>
        <v/>
      </c>
      <c r="D49" s="116">
        <f>IF($B49="","",SUMIFS(UCRETLER!$F$7:$F$406,UCRETLER!$B$7:$B$406,$B49,UCRETLER!$G$7:$G$406,"Aktif"))</f>
        <v/>
      </c>
      <c r="E49" s="116">
        <f>IF($B49="","",SUMIFS(MUSTERILER!$J$7:$J$106,MUSTERILER!$B$7:$B$106,$B49))</f>
        <v/>
      </c>
      <c r="F49" s="116">
        <f>IF($B49="","",SUMIFS(UCRETLER!$H$7:$H$406,UCRETLER!$B$7:$B$406,$B49))</f>
        <v/>
      </c>
      <c r="G49" s="116">
        <f>IF($B49="","",$E49+$F49)</f>
        <v/>
      </c>
      <c r="H49" s="116">
        <f>IF($B49="","",SUMIFS(TAHSILAT!$F$7:$F$1506,TAHSILAT!$C$7:$C$1506,$B49))</f>
        <v/>
      </c>
      <c r="I49" s="116">
        <f>IF($B49="","",MAX(0,$G49-$H49))</f>
        <v/>
      </c>
      <c r="J49" s="116">
        <f>IF($B49="","",MAX(0,$I49-$K49-$L49-$M49))</f>
        <v/>
      </c>
      <c r="K49" s="116">
        <f>IF($B49="","",($AB49-$AC49)+IF(AND($AA49&gt;0,$S49&lt;&gt;"",$T49&gt;=8,$T49&lt;15),$AA49,0))</f>
        <v/>
      </c>
      <c r="L49" s="116">
        <f>IF($B49="","",($AC49-$AD49)+IF(AND($AA49&gt;0,$S49&lt;&gt;"",$T49&gt;=15,$T49&lt;29),$AA49,0))</f>
        <v/>
      </c>
      <c r="M49" s="116">
        <f>IF($B49="","",$AD49+IF(AND($AA49&gt;0,OR($S49="",$T49&gt;=29)),$AA49,0))</f>
        <v/>
      </c>
      <c r="N49" s="122">
        <f>IF($B49="","",IFERROR($H49/$G49,0))</f>
        <v/>
      </c>
      <c r="O49" s="123">
        <f>IF($B49="","",IFERROR(LOOKUP(2,1/(TAHSILAT!$C$7:$C$1506=$B49),TAHSILAT!$E$7:$E$1506),""))</f>
        <v/>
      </c>
      <c r="P49" s="112">
        <f>IF($B49="","",IF($M49&gt;0,"KRİTİK",IF($L49&gt;0,"YÜKSEK",IF($K49&gt;0,"ORTA",IF($I49&gt;0,"İZLE","TEMİZ")))))</f>
        <v/>
      </c>
      <c r="Q49" s="113">
        <f>IF($B49="","",IF($P49="KRİTİK","Acil tahsilat görüşmesi ve cari mutabakat",IF($P49="YÜKSEK","Bu hafta tahsilat takibi",IF($P49="ORTA","Hatırlatma mesajı gönder",IF($P49="İZLE","Normal takip","Aksiyon gerekmiyor")))))</f>
        <v/>
      </c>
      <c r="R49" s="120">
        <f>IF($B49="","",COUNTIFS(AKTIVITE!$D$7:$D$1006,$B49,AKTIVITE!$J$7:$J$1006,"&lt;&gt;Tamamlandı"))</f>
        <v/>
      </c>
      <c r="S49" s="123">
        <f>IF($B49="","",IF(MUSTERILER!$K49="","",MUSTERILER!$K49))</f>
        <v/>
      </c>
      <c r="T49" s="120">
        <f>IF(OR($B49="",$S49=""),"",TODAY()-$S49)</f>
        <v/>
      </c>
      <c r="U49" s="112">
        <f>IF($B49="","",IF(ABS($I49-($J49+$K49+$L49+$M49))&lt;0.01,"UYGUN","İNCELE"))</f>
        <v/>
      </c>
      <c r="V49" s="6" t="n"/>
      <c r="W49" s="6">
        <f>IF($B49="",0,SUMIFS(UCRETLER!$I$7:$I$406,UCRETLER!$B$7:$B$406,$B49))</f>
        <v/>
      </c>
      <c r="X49" s="3">
        <f>IF($B49="",0,SUMIFS(UCRETLER!$J$7:$J$406,UCRETLER!$B$7:$B$406,$B49))</f>
        <v/>
      </c>
      <c r="Y49" s="3">
        <f>IF($B49="",0,SUMIFS(UCRETLER!$K$7:$K$406,UCRETLER!$B$7:$B$406,$B49))</f>
        <v/>
      </c>
      <c r="Z49" s="3">
        <f>IF($B49="",0,MAX(0,$H49-$E49))</f>
        <v/>
      </c>
      <c r="AA49" s="3">
        <f>IF($B49="",0,MAX(0,$E49-$H49))</f>
        <v/>
      </c>
      <c r="AB49" s="3">
        <f>IF($B49="",0,MAX(0,$W49-$Z49))</f>
        <v/>
      </c>
      <c r="AC49" s="3">
        <f>IF($B49="",0,MAX(0,$X49-$Z49))</f>
        <v/>
      </c>
      <c r="AD49" s="3">
        <f>IF($B49="",0,MAX(0,$Y49-$Z49))</f>
        <v/>
      </c>
    </row>
    <row r="50">
      <c r="A50" s="6" t="n"/>
      <c r="B50" s="112">
        <f>IF(MUSTERILER!$B50="","",MUSTERILER!$B50)</f>
        <v/>
      </c>
      <c r="C50" s="113">
        <f>IF(MUSTERILER!$B50="","",MUSTERILER!$C50)</f>
        <v/>
      </c>
      <c r="D50" s="116">
        <f>IF($B50="","",SUMIFS(UCRETLER!$F$7:$F$406,UCRETLER!$B$7:$B$406,$B50,UCRETLER!$G$7:$G$406,"Aktif"))</f>
        <v/>
      </c>
      <c r="E50" s="116">
        <f>IF($B50="","",SUMIFS(MUSTERILER!$J$7:$J$106,MUSTERILER!$B$7:$B$106,$B50))</f>
        <v/>
      </c>
      <c r="F50" s="116">
        <f>IF($B50="","",SUMIFS(UCRETLER!$H$7:$H$406,UCRETLER!$B$7:$B$406,$B50))</f>
        <v/>
      </c>
      <c r="G50" s="116">
        <f>IF($B50="","",$E50+$F50)</f>
        <v/>
      </c>
      <c r="H50" s="116">
        <f>IF($B50="","",SUMIFS(TAHSILAT!$F$7:$F$1506,TAHSILAT!$C$7:$C$1506,$B50))</f>
        <v/>
      </c>
      <c r="I50" s="116">
        <f>IF($B50="","",MAX(0,$G50-$H50))</f>
        <v/>
      </c>
      <c r="J50" s="116">
        <f>IF($B50="","",MAX(0,$I50-$K50-$L50-$M50))</f>
        <v/>
      </c>
      <c r="K50" s="116">
        <f>IF($B50="","",($AB50-$AC50)+IF(AND($AA50&gt;0,$S50&lt;&gt;"",$T50&gt;=8,$T50&lt;15),$AA50,0))</f>
        <v/>
      </c>
      <c r="L50" s="116">
        <f>IF($B50="","",($AC50-$AD50)+IF(AND($AA50&gt;0,$S50&lt;&gt;"",$T50&gt;=15,$T50&lt;29),$AA50,0))</f>
        <v/>
      </c>
      <c r="M50" s="116">
        <f>IF($B50="","",$AD50+IF(AND($AA50&gt;0,OR($S50="",$T50&gt;=29)),$AA50,0))</f>
        <v/>
      </c>
      <c r="N50" s="122">
        <f>IF($B50="","",IFERROR($H50/$G50,0))</f>
        <v/>
      </c>
      <c r="O50" s="123">
        <f>IF($B50="","",IFERROR(LOOKUP(2,1/(TAHSILAT!$C$7:$C$1506=$B50),TAHSILAT!$E$7:$E$1506),""))</f>
        <v/>
      </c>
      <c r="P50" s="112">
        <f>IF($B50="","",IF($M50&gt;0,"KRİTİK",IF($L50&gt;0,"YÜKSEK",IF($K50&gt;0,"ORTA",IF($I50&gt;0,"İZLE","TEMİZ")))))</f>
        <v/>
      </c>
      <c r="Q50" s="113">
        <f>IF($B50="","",IF($P50="KRİTİK","Acil tahsilat görüşmesi ve cari mutabakat",IF($P50="YÜKSEK","Bu hafta tahsilat takibi",IF($P50="ORTA","Hatırlatma mesajı gönder",IF($P50="İZLE","Normal takip","Aksiyon gerekmiyor")))))</f>
        <v/>
      </c>
      <c r="R50" s="120">
        <f>IF($B50="","",COUNTIFS(AKTIVITE!$D$7:$D$1006,$B50,AKTIVITE!$J$7:$J$1006,"&lt;&gt;Tamamlandı"))</f>
        <v/>
      </c>
      <c r="S50" s="123">
        <f>IF($B50="","",IF(MUSTERILER!$K50="","",MUSTERILER!$K50))</f>
        <v/>
      </c>
      <c r="T50" s="120">
        <f>IF(OR($B50="",$S50=""),"",TODAY()-$S50)</f>
        <v/>
      </c>
      <c r="U50" s="112">
        <f>IF($B50="","",IF(ABS($I50-($J50+$K50+$L50+$M50))&lt;0.01,"UYGUN","İNCELE"))</f>
        <v/>
      </c>
      <c r="V50" s="6" t="n"/>
      <c r="W50" s="6">
        <f>IF($B50="",0,SUMIFS(UCRETLER!$I$7:$I$406,UCRETLER!$B$7:$B$406,$B50))</f>
        <v/>
      </c>
      <c r="X50" s="3">
        <f>IF($B50="",0,SUMIFS(UCRETLER!$J$7:$J$406,UCRETLER!$B$7:$B$406,$B50))</f>
        <v/>
      </c>
      <c r="Y50" s="3">
        <f>IF($B50="",0,SUMIFS(UCRETLER!$K$7:$K$406,UCRETLER!$B$7:$B$406,$B50))</f>
        <v/>
      </c>
      <c r="Z50" s="3">
        <f>IF($B50="",0,MAX(0,$H50-$E50))</f>
        <v/>
      </c>
      <c r="AA50" s="3">
        <f>IF($B50="",0,MAX(0,$E50-$H50))</f>
        <v/>
      </c>
      <c r="AB50" s="3">
        <f>IF($B50="",0,MAX(0,$W50-$Z50))</f>
        <v/>
      </c>
      <c r="AC50" s="3">
        <f>IF($B50="",0,MAX(0,$X50-$Z50))</f>
        <v/>
      </c>
      <c r="AD50" s="3">
        <f>IF($B50="",0,MAX(0,$Y50-$Z50))</f>
        <v/>
      </c>
    </row>
    <row r="51">
      <c r="A51" s="6" t="n"/>
      <c r="B51" s="112">
        <f>IF(MUSTERILER!$B51="","",MUSTERILER!$B51)</f>
        <v/>
      </c>
      <c r="C51" s="113">
        <f>IF(MUSTERILER!$B51="","",MUSTERILER!$C51)</f>
        <v/>
      </c>
      <c r="D51" s="116">
        <f>IF($B51="","",SUMIFS(UCRETLER!$F$7:$F$406,UCRETLER!$B$7:$B$406,$B51,UCRETLER!$G$7:$G$406,"Aktif"))</f>
        <v/>
      </c>
      <c r="E51" s="116">
        <f>IF($B51="","",SUMIFS(MUSTERILER!$J$7:$J$106,MUSTERILER!$B$7:$B$106,$B51))</f>
        <v/>
      </c>
      <c r="F51" s="116">
        <f>IF($B51="","",SUMIFS(UCRETLER!$H$7:$H$406,UCRETLER!$B$7:$B$406,$B51))</f>
        <v/>
      </c>
      <c r="G51" s="116">
        <f>IF($B51="","",$E51+$F51)</f>
        <v/>
      </c>
      <c r="H51" s="116">
        <f>IF($B51="","",SUMIFS(TAHSILAT!$F$7:$F$1506,TAHSILAT!$C$7:$C$1506,$B51))</f>
        <v/>
      </c>
      <c r="I51" s="116">
        <f>IF($B51="","",MAX(0,$G51-$H51))</f>
        <v/>
      </c>
      <c r="J51" s="116">
        <f>IF($B51="","",MAX(0,$I51-$K51-$L51-$M51))</f>
        <v/>
      </c>
      <c r="K51" s="116">
        <f>IF($B51="","",($AB51-$AC51)+IF(AND($AA51&gt;0,$S51&lt;&gt;"",$T51&gt;=8,$T51&lt;15),$AA51,0))</f>
        <v/>
      </c>
      <c r="L51" s="116">
        <f>IF($B51="","",($AC51-$AD51)+IF(AND($AA51&gt;0,$S51&lt;&gt;"",$T51&gt;=15,$T51&lt;29),$AA51,0))</f>
        <v/>
      </c>
      <c r="M51" s="116">
        <f>IF($B51="","",$AD51+IF(AND($AA51&gt;0,OR($S51="",$T51&gt;=29)),$AA51,0))</f>
        <v/>
      </c>
      <c r="N51" s="122">
        <f>IF($B51="","",IFERROR($H51/$G51,0))</f>
        <v/>
      </c>
      <c r="O51" s="123">
        <f>IF($B51="","",IFERROR(LOOKUP(2,1/(TAHSILAT!$C$7:$C$1506=$B51),TAHSILAT!$E$7:$E$1506),""))</f>
        <v/>
      </c>
      <c r="P51" s="112">
        <f>IF($B51="","",IF($M51&gt;0,"KRİTİK",IF($L51&gt;0,"YÜKSEK",IF($K51&gt;0,"ORTA",IF($I51&gt;0,"İZLE","TEMİZ")))))</f>
        <v/>
      </c>
      <c r="Q51" s="113">
        <f>IF($B51="","",IF($P51="KRİTİK","Acil tahsilat görüşmesi ve cari mutabakat",IF($P51="YÜKSEK","Bu hafta tahsilat takibi",IF($P51="ORTA","Hatırlatma mesajı gönder",IF($P51="İZLE","Normal takip","Aksiyon gerekmiyor")))))</f>
        <v/>
      </c>
      <c r="R51" s="120">
        <f>IF($B51="","",COUNTIFS(AKTIVITE!$D$7:$D$1006,$B51,AKTIVITE!$J$7:$J$1006,"&lt;&gt;Tamamlandı"))</f>
        <v/>
      </c>
      <c r="S51" s="123">
        <f>IF($B51="","",IF(MUSTERILER!$K51="","",MUSTERILER!$K51))</f>
        <v/>
      </c>
      <c r="T51" s="120">
        <f>IF(OR($B51="",$S51=""),"",TODAY()-$S51)</f>
        <v/>
      </c>
      <c r="U51" s="112">
        <f>IF($B51="","",IF(ABS($I51-($J51+$K51+$L51+$M51))&lt;0.01,"UYGUN","İNCELE"))</f>
        <v/>
      </c>
      <c r="V51" s="6" t="n"/>
      <c r="W51" s="6">
        <f>IF($B51="",0,SUMIFS(UCRETLER!$I$7:$I$406,UCRETLER!$B$7:$B$406,$B51))</f>
        <v/>
      </c>
      <c r="X51" s="3">
        <f>IF($B51="",0,SUMIFS(UCRETLER!$J$7:$J$406,UCRETLER!$B$7:$B$406,$B51))</f>
        <v/>
      </c>
      <c r="Y51" s="3">
        <f>IF($B51="",0,SUMIFS(UCRETLER!$K$7:$K$406,UCRETLER!$B$7:$B$406,$B51))</f>
        <v/>
      </c>
      <c r="Z51" s="3">
        <f>IF($B51="",0,MAX(0,$H51-$E51))</f>
        <v/>
      </c>
      <c r="AA51" s="3">
        <f>IF($B51="",0,MAX(0,$E51-$H51))</f>
        <v/>
      </c>
      <c r="AB51" s="3">
        <f>IF($B51="",0,MAX(0,$W51-$Z51))</f>
        <v/>
      </c>
      <c r="AC51" s="3">
        <f>IF($B51="",0,MAX(0,$X51-$Z51))</f>
        <v/>
      </c>
      <c r="AD51" s="3">
        <f>IF($B51="",0,MAX(0,$Y51-$Z51))</f>
        <v/>
      </c>
    </row>
    <row r="52">
      <c r="A52" s="6" t="n"/>
      <c r="B52" s="112">
        <f>IF(MUSTERILER!$B52="","",MUSTERILER!$B52)</f>
        <v/>
      </c>
      <c r="C52" s="113">
        <f>IF(MUSTERILER!$B52="","",MUSTERILER!$C52)</f>
        <v/>
      </c>
      <c r="D52" s="116">
        <f>IF($B52="","",SUMIFS(UCRETLER!$F$7:$F$406,UCRETLER!$B$7:$B$406,$B52,UCRETLER!$G$7:$G$406,"Aktif"))</f>
        <v/>
      </c>
      <c r="E52" s="116">
        <f>IF($B52="","",SUMIFS(MUSTERILER!$J$7:$J$106,MUSTERILER!$B$7:$B$106,$B52))</f>
        <v/>
      </c>
      <c r="F52" s="116">
        <f>IF($B52="","",SUMIFS(UCRETLER!$H$7:$H$406,UCRETLER!$B$7:$B$406,$B52))</f>
        <v/>
      </c>
      <c r="G52" s="116">
        <f>IF($B52="","",$E52+$F52)</f>
        <v/>
      </c>
      <c r="H52" s="116">
        <f>IF($B52="","",SUMIFS(TAHSILAT!$F$7:$F$1506,TAHSILAT!$C$7:$C$1506,$B52))</f>
        <v/>
      </c>
      <c r="I52" s="116">
        <f>IF($B52="","",MAX(0,$G52-$H52))</f>
        <v/>
      </c>
      <c r="J52" s="116">
        <f>IF($B52="","",MAX(0,$I52-$K52-$L52-$M52))</f>
        <v/>
      </c>
      <c r="K52" s="116">
        <f>IF($B52="","",($AB52-$AC52)+IF(AND($AA52&gt;0,$S52&lt;&gt;"",$T52&gt;=8,$T52&lt;15),$AA52,0))</f>
        <v/>
      </c>
      <c r="L52" s="116">
        <f>IF($B52="","",($AC52-$AD52)+IF(AND($AA52&gt;0,$S52&lt;&gt;"",$T52&gt;=15,$T52&lt;29),$AA52,0))</f>
        <v/>
      </c>
      <c r="M52" s="116">
        <f>IF($B52="","",$AD52+IF(AND($AA52&gt;0,OR($S52="",$T52&gt;=29)),$AA52,0))</f>
        <v/>
      </c>
      <c r="N52" s="122">
        <f>IF($B52="","",IFERROR($H52/$G52,0))</f>
        <v/>
      </c>
      <c r="O52" s="123">
        <f>IF($B52="","",IFERROR(LOOKUP(2,1/(TAHSILAT!$C$7:$C$1506=$B52),TAHSILAT!$E$7:$E$1506),""))</f>
        <v/>
      </c>
      <c r="P52" s="112">
        <f>IF($B52="","",IF($M52&gt;0,"KRİTİK",IF($L52&gt;0,"YÜKSEK",IF($K52&gt;0,"ORTA",IF($I52&gt;0,"İZLE","TEMİZ")))))</f>
        <v/>
      </c>
      <c r="Q52" s="113">
        <f>IF($B52="","",IF($P52="KRİTİK","Acil tahsilat görüşmesi ve cari mutabakat",IF($P52="YÜKSEK","Bu hafta tahsilat takibi",IF($P52="ORTA","Hatırlatma mesajı gönder",IF($P52="İZLE","Normal takip","Aksiyon gerekmiyor")))))</f>
        <v/>
      </c>
      <c r="R52" s="120">
        <f>IF($B52="","",COUNTIFS(AKTIVITE!$D$7:$D$1006,$B52,AKTIVITE!$J$7:$J$1006,"&lt;&gt;Tamamlandı"))</f>
        <v/>
      </c>
      <c r="S52" s="123">
        <f>IF($B52="","",IF(MUSTERILER!$K52="","",MUSTERILER!$K52))</f>
        <v/>
      </c>
      <c r="T52" s="120">
        <f>IF(OR($B52="",$S52=""),"",TODAY()-$S52)</f>
        <v/>
      </c>
      <c r="U52" s="112">
        <f>IF($B52="","",IF(ABS($I52-($J52+$K52+$L52+$M52))&lt;0.01,"UYGUN","İNCELE"))</f>
        <v/>
      </c>
      <c r="V52" s="6" t="n"/>
      <c r="W52" s="6">
        <f>IF($B52="",0,SUMIFS(UCRETLER!$I$7:$I$406,UCRETLER!$B$7:$B$406,$B52))</f>
        <v/>
      </c>
      <c r="X52" s="3">
        <f>IF($B52="",0,SUMIFS(UCRETLER!$J$7:$J$406,UCRETLER!$B$7:$B$406,$B52))</f>
        <v/>
      </c>
      <c r="Y52" s="3">
        <f>IF($B52="",0,SUMIFS(UCRETLER!$K$7:$K$406,UCRETLER!$B$7:$B$406,$B52))</f>
        <v/>
      </c>
      <c r="Z52" s="3">
        <f>IF($B52="",0,MAX(0,$H52-$E52))</f>
        <v/>
      </c>
      <c r="AA52" s="3">
        <f>IF($B52="",0,MAX(0,$E52-$H52))</f>
        <v/>
      </c>
      <c r="AB52" s="3">
        <f>IF($B52="",0,MAX(0,$W52-$Z52))</f>
        <v/>
      </c>
      <c r="AC52" s="3">
        <f>IF($B52="",0,MAX(0,$X52-$Z52))</f>
        <v/>
      </c>
      <c r="AD52" s="3">
        <f>IF($B52="",0,MAX(0,$Y52-$Z52))</f>
        <v/>
      </c>
    </row>
    <row r="53">
      <c r="A53" s="6" t="n"/>
      <c r="B53" s="112">
        <f>IF(MUSTERILER!$B53="","",MUSTERILER!$B53)</f>
        <v/>
      </c>
      <c r="C53" s="113">
        <f>IF(MUSTERILER!$B53="","",MUSTERILER!$C53)</f>
        <v/>
      </c>
      <c r="D53" s="116">
        <f>IF($B53="","",SUMIFS(UCRETLER!$F$7:$F$406,UCRETLER!$B$7:$B$406,$B53,UCRETLER!$G$7:$G$406,"Aktif"))</f>
        <v/>
      </c>
      <c r="E53" s="116">
        <f>IF($B53="","",SUMIFS(MUSTERILER!$J$7:$J$106,MUSTERILER!$B$7:$B$106,$B53))</f>
        <v/>
      </c>
      <c r="F53" s="116">
        <f>IF($B53="","",SUMIFS(UCRETLER!$H$7:$H$406,UCRETLER!$B$7:$B$406,$B53))</f>
        <v/>
      </c>
      <c r="G53" s="116">
        <f>IF($B53="","",$E53+$F53)</f>
        <v/>
      </c>
      <c r="H53" s="116">
        <f>IF($B53="","",SUMIFS(TAHSILAT!$F$7:$F$1506,TAHSILAT!$C$7:$C$1506,$B53))</f>
        <v/>
      </c>
      <c r="I53" s="116">
        <f>IF($B53="","",MAX(0,$G53-$H53))</f>
        <v/>
      </c>
      <c r="J53" s="116">
        <f>IF($B53="","",MAX(0,$I53-$K53-$L53-$M53))</f>
        <v/>
      </c>
      <c r="K53" s="116">
        <f>IF($B53="","",($AB53-$AC53)+IF(AND($AA53&gt;0,$S53&lt;&gt;"",$T53&gt;=8,$T53&lt;15),$AA53,0))</f>
        <v/>
      </c>
      <c r="L53" s="116">
        <f>IF($B53="","",($AC53-$AD53)+IF(AND($AA53&gt;0,$S53&lt;&gt;"",$T53&gt;=15,$T53&lt;29),$AA53,0))</f>
        <v/>
      </c>
      <c r="M53" s="116">
        <f>IF($B53="","",$AD53+IF(AND($AA53&gt;0,OR($S53="",$T53&gt;=29)),$AA53,0))</f>
        <v/>
      </c>
      <c r="N53" s="122">
        <f>IF($B53="","",IFERROR($H53/$G53,0))</f>
        <v/>
      </c>
      <c r="O53" s="123">
        <f>IF($B53="","",IFERROR(LOOKUP(2,1/(TAHSILAT!$C$7:$C$1506=$B53),TAHSILAT!$E$7:$E$1506),""))</f>
        <v/>
      </c>
      <c r="P53" s="112">
        <f>IF($B53="","",IF($M53&gt;0,"KRİTİK",IF($L53&gt;0,"YÜKSEK",IF($K53&gt;0,"ORTA",IF($I53&gt;0,"İZLE","TEMİZ")))))</f>
        <v/>
      </c>
      <c r="Q53" s="113">
        <f>IF($B53="","",IF($P53="KRİTİK","Acil tahsilat görüşmesi ve cari mutabakat",IF($P53="YÜKSEK","Bu hafta tahsilat takibi",IF($P53="ORTA","Hatırlatma mesajı gönder",IF($P53="İZLE","Normal takip","Aksiyon gerekmiyor")))))</f>
        <v/>
      </c>
      <c r="R53" s="120">
        <f>IF($B53="","",COUNTIFS(AKTIVITE!$D$7:$D$1006,$B53,AKTIVITE!$J$7:$J$1006,"&lt;&gt;Tamamlandı"))</f>
        <v/>
      </c>
      <c r="S53" s="123">
        <f>IF($B53="","",IF(MUSTERILER!$K53="","",MUSTERILER!$K53))</f>
        <v/>
      </c>
      <c r="T53" s="120">
        <f>IF(OR($B53="",$S53=""),"",TODAY()-$S53)</f>
        <v/>
      </c>
      <c r="U53" s="112">
        <f>IF($B53="","",IF(ABS($I53-($J53+$K53+$L53+$M53))&lt;0.01,"UYGUN","İNCELE"))</f>
        <v/>
      </c>
      <c r="V53" s="6" t="n"/>
      <c r="W53" s="6">
        <f>IF($B53="",0,SUMIFS(UCRETLER!$I$7:$I$406,UCRETLER!$B$7:$B$406,$B53))</f>
        <v/>
      </c>
      <c r="X53" s="3">
        <f>IF($B53="",0,SUMIFS(UCRETLER!$J$7:$J$406,UCRETLER!$B$7:$B$406,$B53))</f>
        <v/>
      </c>
      <c r="Y53" s="3">
        <f>IF($B53="",0,SUMIFS(UCRETLER!$K$7:$K$406,UCRETLER!$B$7:$B$406,$B53))</f>
        <v/>
      </c>
      <c r="Z53" s="3">
        <f>IF($B53="",0,MAX(0,$H53-$E53))</f>
        <v/>
      </c>
      <c r="AA53" s="3">
        <f>IF($B53="",0,MAX(0,$E53-$H53))</f>
        <v/>
      </c>
      <c r="AB53" s="3">
        <f>IF($B53="",0,MAX(0,$W53-$Z53))</f>
        <v/>
      </c>
      <c r="AC53" s="3">
        <f>IF($B53="",0,MAX(0,$X53-$Z53))</f>
        <v/>
      </c>
      <c r="AD53" s="3">
        <f>IF($B53="",0,MAX(0,$Y53-$Z53))</f>
        <v/>
      </c>
    </row>
    <row r="54">
      <c r="A54" s="6" t="n"/>
      <c r="B54" s="112">
        <f>IF(MUSTERILER!$B54="","",MUSTERILER!$B54)</f>
        <v/>
      </c>
      <c r="C54" s="113">
        <f>IF(MUSTERILER!$B54="","",MUSTERILER!$C54)</f>
        <v/>
      </c>
      <c r="D54" s="116">
        <f>IF($B54="","",SUMIFS(UCRETLER!$F$7:$F$406,UCRETLER!$B$7:$B$406,$B54,UCRETLER!$G$7:$G$406,"Aktif"))</f>
        <v/>
      </c>
      <c r="E54" s="116">
        <f>IF($B54="","",SUMIFS(MUSTERILER!$J$7:$J$106,MUSTERILER!$B$7:$B$106,$B54))</f>
        <v/>
      </c>
      <c r="F54" s="116">
        <f>IF($B54="","",SUMIFS(UCRETLER!$H$7:$H$406,UCRETLER!$B$7:$B$406,$B54))</f>
        <v/>
      </c>
      <c r="G54" s="116">
        <f>IF($B54="","",$E54+$F54)</f>
        <v/>
      </c>
      <c r="H54" s="116">
        <f>IF($B54="","",SUMIFS(TAHSILAT!$F$7:$F$1506,TAHSILAT!$C$7:$C$1506,$B54))</f>
        <v/>
      </c>
      <c r="I54" s="116">
        <f>IF($B54="","",MAX(0,$G54-$H54))</f>
        <v/>
      </c>
      <c r="J54" s="116">
        <f>IF($B54="","",MAX(0,$I54-$K54-$L54-$M54))</f>
        <v/>
      </c>
      <c r="K54" s="116">
        <f>IF($B54="","",($AB54-$AC54)+IF(AND($AA54&gt;0,$S54&lt;&gt;"",$T54&gt;=8,$T54&lt;15),$AA54,0))</f>
        <v/>
      </c>
      <c r="L54" s="116">
        <f>IF($B54="","",($AC54-$AD54)+IF(AND($AA54&gt;0,$S54&lt;&gt;"",$T54&gt;=15,$T54&lt;29),$AA54,0))</f>
        <v/>
      </c>
      <c r="M54" s="116">
        <f>IF($B54="","",$AD54+IF(AND($AA54&gt;0,OR($S54="",$T54&gt;=29)),$AA54,0))</f>
        <v/>
      </c>
      <c r="N54" s="122">
        <f>IF($B54="","",IFERROR($H54/$G54,0))</f>
        <v/>
      </c>
      <c r="O54" s="123">
        <f>IF($B54="","",IFERROR(LOOKUP(2,1/(TAHSILAT!$C$7:$C$1506=$B54),TAHSILAT!$E$7:$E$1506),""))</f>
        <v/>
      </c>
      <c r="P54" s="112">
        <f>IF($B54="","",IF($M54&gt;0,"KRİTİK",IF($L54&gt;0,"YÜKSEK",IF($K54&gt;0,"ORTA",IF($I54&gt;0,"İZLE","TEMİZ")))))</f>
        <v/>
      </c>
      <c r="Q54" s="113">
        <f>IF($B54="","",IF($P54="KRİTİK","Acil tahsilat görüşmesi ve cari mutabakat",IF($P54="YÜKSEK","Bu hafta tahsilat takibi",IF($P54="ORTA","Hatırlatma mesajı gönder",IF($P54="İZLE","Normal takip","Aksiyon gerekmiyor")))))</f>
        <v/>
      </c>
      <c r="R54" s="120">
        <f>IF($B54="","",COUNTIFS(AKTIVITE!$D$7:$D$1006,$B54,AKTIVITE!$J$7:$J$1006,"&lt;&gt;Tamamlandı"))</f>
        <v/>
      </c>
      <c r="S54" s="123">
        <f>IF($B54="","",IF(MUSTERILER!$K54="","",MUSTERILER!$K54))</f>
        <v/>
      </c>
      <c r="T54" s="120">
        <f>IF(OR($B54="",$S54=""),"",TODAY()-$S54)</f>
        <v/>
      </c>
      <c r="U54" s="112">
        <f>IF($B54="","",IF(ABS($I54-($J54+$K54+$L54+$M54))&lt;0.01,"UYGUN","İNCELE"))</f>
        <v/>
      </c>
      <c r="V54" s="6" t="n"/>
      <c r="W54" s="6">
        <f>IF($B54="",0,SUMIFS(UCRETLER!$I$7:$I$406,UCRETLER!$B$7:$B$406,$B54))</f>
        <v/>
      </c>
      <c r="X54" s="3">
        <f>IF($B54="",0,SUMIFS(UCRETLER!$J$7:$J$406,UCRETLER!$B$7:$B$406,$B54))</f>
        <v/>
      </c>
      <c r="Y54" s="3">
        <f>IF($B54="",0,SUMIFS(UCRETLER!$K$7:$K$406,UCRETLER!$B$7:$B$406,$B54))</f>
        <v/>
      </c>
      <c r="Z54" s="3">
        <f>IF($B54="",0,MAX(0,$H54-$E54))</f>
        <v/>
      </c>
      <c r="AA54" s="3">
        <f>IF($B54="",0,MAX(0,$E54-$H54))</f>
        <v/>
      </c>
      <c r="AB54" s="3">
        <f>IF($B54="",0,MAX(0,$W54-$Z54))</f>
        <v/>
      </c>
      <c r="AC54" s="3">
        <f>IF($B54="",0,MAX(0,$X54-$Z54))</f>
        <v/>
      </c>
      <c r="AD54" s="3">
        <f>IF($B54="",0,MAX(0,$Y54-$Z54))</f>
        <v/>
      </c>
    </row>
    <row r="55">
      <c r="A55" s="6" t="n"/>
      <c r="B55" s="112">
        <f>IF(MUSTERILER!$B55="","",MUSTERILER!$B55)</f>
        <v/>
      </c>
      <c r="C55" s="113">
        <f>IF(MUSTERILER!$B55="","",MUSTERILER!$C55)</f>
        <v/>
      </c>
      <c r="D55" s="116">
        <f>IF($B55="","",SUMIFS(UCRETLER!$F$7:$F$406,UCRETLER!$B$7:$B$406,$B55,UCRETLER!$G$7:$G$406,"Aktif"))</f>
        <v/>
      </c>
      <c r="E55" s="116">
        <f>IF($B55="","",SUMIFS(MUSTERILER!$J$7:$J$106,MUSTERILER!$B$7:$B$106,$B55))</f>
        <v/>
      </c>
      <c r="F55" s="116">
        <f>IF($B55="","",SUMIFS(UCRETLER!$H$7:$H$406,UCRETLER!$B$7:$B$406,$B55))</f>
        <v/>
      </c>
      <c r="G55" s="116">
        <f>IF($B55="","",$E55+$F55)</f>
        <v/>
      </c>
      <c r="H55" s="116">
        <f>IF($B55="","",SUMIFS(TAHSILAT!$F$7:$F$1506,TAHSILAT!$C$7:$C$1506,$B55))</f>
        <v/>
      </c>
      <c r="I55" s="116">
        <f>IF($B55="","",MAX(0,$G55-$H55))</f>
        <v/>
      </c>
      <c r="J55" s="116">
        <f>IF($B55="","",MAX(0,$I55-$K55-$L55-$M55))</f>
        <v/>
      </c>
      <c r="K55" s="116">
        <f>IF($B55="","",($AB55-$AC55)+IF(AND($AA55&gt;0,$S55&lt;&gt;"",$T55&gt;=8,$T55&lt;15),$AA55,0))</f>
        <v/>
      </c>
      <c r="L55" s="116">
        <f>IF($B55="","",($AC55-$AD55)+IF(AND($AA55&gt;0,$S55&lt;&gt;"",$T55&gt;=15,$T55&lt;29),$AA55,0))</f>
        <v/>
      </c>
      <c r="M55" s="116">
        <f>IF($B55="","",$AD55+IF(AND($AA55&gt;0,OR($S55="",$T55&gt;=29)),$AA55,0))</f>
        <v/>
      </c>
      <c r="N55" s="122">
        <f>IF($B55="","",IFERROR($H55/$G55,0))</f>
        <v/>
      </c>
      <c r="O55" s="123">
        <f>IF($B55="","",IFERROR(LOOKUP(2,1/(TAHSILAT!$C$7:$C$1506=$B55),TAHSILAT!$E$7:$E$1506),""))</f>
        <v/>
      </c>
      <c r="P55" s="112">
        <f>IF($B55="","",IF($M55&gt;0,"KRİTİK",IF($L55&gt;0,"YÜKSEK",IF($K55&gt;0,"ORTA",IF($I55&gt;0,"İZLE","TEMİZ")))))</f>
        <v/>
      </c>
      <c r="Q55" s="113">
        <f>IF($B55="","",IF($P55="KRİTİK","Acil tahsilat görüşmesi ve cari mutabakat",IF($P55="YÜKSEK","Bu hafta tahsilat takibi",IF($P55="ORTA","Hatırlatma mesajı gönder",IF($P55="İZLE","Normal takip","Aksiyon gerekmiyor")))))</f>
        <v/>
      </c>
      <c r="R55" s="120">
        <f>IF($B55="","",COUNTIFS(AKTIVITE!$D$7:$D$1006,$B55,AKTIVITE!$J$7:$J$1006,"&lt;&gt;Tamamlandı"))</f>
        <v/>
      </c>
      <c r="S55" s="123">
        <f>IF($B55="","",IF(MUSTERILER!$K55="","",MUSTERILER!$K55))</f>
        <v/>
      </c>
      <c r="T55" s="120">
        <f>IF(OR($B55="",$S55=""),"",TODAY()-$S55)</f>
        <v/>
      </c>
      <c r="U55" s="112">
        <f>IF($B55="","",IF(ABS($I55-($J55+$K55+$L55+$M55))&lt;0.01,"UYGUN","İNCELE"))</f>
        <v/>
      </c>
      <c r="V55" s="6" t="n"/>
      <c r="W55" s="6">
        <f>IF($B55="",0,SUMIFS(UCRETLER!$I$7:$I$406,UCRETLER!$B$7:$B$406,$B55))</f>
        <v/>
      </c>
      <c r="X55" s="3">
        <f>IF($B55="",0,SUMIFS(UCRETLER!$J$7:$J$406,UCRETLER!$B$7:$B$406,$B55))</f>
        <v/>
      </c>
      <c r="Y55" s="3">
        <f>IF($B55="",0,SUMIFS(UCRETLER!$K$7:$K$406,UCRETLER!$B$7:$B$406,$B55))</f>
        <v/>
      </c>
      <c r="Z55" s="3">
        <f>IF($B55="",0,MAX(0,$H55-$E55))</f>
        <v/>
      </c>
      <c r="AA55" s="3">
        <f>IF($B55="",0,MAX(0,$E55-$H55))</f>
        <v/>
      </c>
      <c r="AB55" s="3">
        <f>IF($B55="",0,MAX(0,$W55-$Z55))</f>
        <v/>
      </c>
      <c r="AC55" s="3">
        <f>IF($B55="",0,MAX(0,$X55-$Z55))</f>
        <v/>
      </c>
      <c r="AD55" s="3">
        <f>IF($B55="",0,MAX(0,$Y55-$Z55))</f>
        <v/>
      </c>
    </row>
    <row r="56">
      <c r="A56" s="6" t="n"/>
      <c r="B56" s="112">
        <f>IF(MUSTERILER!$B56="","",MUSTERILER!$B56)</f>
        <v/>
      </c>
      <c r="C56" s="113">
        <f>IF(MUSTERILER!$B56="","",MUSTERILER!$C56)</f>
        <v/>
      </c>
      <c r="D56" s="116">
        <f>IF($B56="","",SUMIFS(UCRETLER!$F$7:$F$406,UCRETLER!$B$7:$B$406,$B56,UCRETLER!$G$7:$G$406,"Aktif"))</f>
        <v/>
      </c>
      <c r="E56" s="116">
        <f>IF($B56="","",SUMIFS(MUSTERILER!$J$7:$J$106,MUSTERILER!$B$7:$B$106,$B56))</f>
        <v/>
      </c>
      <c r="F56" s="116">
        <f>IF($B56="","",SUMIFS(UCRETLER!$H$7:$H$406,UCRETLER!$B$7:$B$406,$B56))</f>
        <v/>
      </c>
      <c r="G56" s="116">
        <f>IF($B56="","",$E56+$F56)</f>
        <v/>
      </c>
      <c r="H56" s="116">
        <f>IF($B56="","",SUMIFS(TAHSILAT!$F$7:$F$1506,TAHSILAT!$C$7:$C$1506,$B56))</f>
        <v/>
      </c>
      <c r="I56" s="116">
        <f>IF($B56="","",MAX(0,$G56-$H56))</f>
        <v/>
      </c>
      <c r="J56" s="116">
        <f>IF($B56="","",MAX(0,$I56-$K56-$L56-$M56))</f>
        <v/>
      </c>
      <c r="K56" s="116">
        <f>IF($B56="","",($AB56-$AC56)+IF(AND($AA56&gt;0,$S56&lt;&gt;"",$T56&gt;=8,$T56&lt;15),$AA56,0))</f>
        <v/>
      </c>
      <c r="L56" s="116">
        <f>IF($B56="","",($AC56-$AD56)+IF(AND($AA56&gt;0,$S56&lt;&gt;"",$T56&gt;=15,$T56&lt;29),$AA56,0))</f>
        <v/>
      </c>
      <c r="M56" s="116">
        <f>IF($B56="","",$AD56+IF(AND($AA56&gt;0,OR($S56="",$T56&gt;=29)),$AA56,0))</f>
        <v/>
      </c>
      <c r="N56" s="122">
        <f>IF($B56="","",IFERROR($H56/$G56,0))</f>
        <v/>
      </c>
      <c r="O56" s="123">
        <f>IF($B56="","",IFERROR(LOOKUP(2,1/(TAHSILAT!$C$7:$C$1506=$B56),TAHSILAT!$E$7:$E$1506),""))</f>
        <v/>
      </c>
      <c r="P56" s="112">
        <f>IF($B56="","",IF($M56&gt;0,"KRİTİK",IF($L56&gt;0,"YÜKSEK",IF($K56&gt;0,"ORTA",IF($I56&gt;0,"İZLE","TEMİZ")))))</f>
        <v/>
      </c>
      <c r="Q56" s="113">
        <f>IF($B56="","",IF($P56="KRİTİK","Acil tahsilat görüşmesi ve cari mutabakat",IF($P56="YÜKSEK","Bu hafta tahsilat takibi",IF($P56="ORTA","Hatırlatma mesajı gönder",IF($P56="İZLE","Normal takip","Aksiyon gerekmiyor")))))</f>
        <v/>
      </c>
      <c r="R56" s="120">
        <f>IF($B56="","",COUNTIFS(AKTIVITE!$D$7:$D$1006,$B56,AKTIVITE!$J$7:$J$1006,"&lt;&gt;Tamamlandı"))</f>
        <v/>
      </c>
      <c r="S56" s="123">
        <f>IF($B56="","",IF(MUSTERILER!$K56="","",MUSTERILER!$K56))</f>
        <v/>
      </c>
      <c r="T56" s="120">
        <f>IF(OR($B56="",$S56=""),"",TODAY()-$S56)</f>
        <v/>
      </c>
      <c r="U56" s="112">
        <f>IF($B56="","",IF(ABS($I56-($J56+$K56+$L56+$M56))&lt;0.01,"UYGUN","İNCELE"))</f>
        <v/>
      </c>
      <c r="V56" s="6" t="n"/>
      <c r="W56" s="6">
        <f>IF($B56="",0,SUMIFS(UCRETLER!$I$7:$I$406,UCRETLER!$B$7:$B$406,$B56))</f>
        <v/>
      </c>
      <c r="X56" s="3">
        <f>IF($B56="",0,SUMIFS(UCRETLER!$J$7:$J$406,UCRETLER!$B$7:$B$406,$B56))</f>
        <v/>
      </c>
      <c r="Y56" s="3">
        <f>IF($B56="",0,SUMIFS(UCRETLER!$K$7:$K$406,UCRETLER!$B$7:$B$406,$B56))</f>
        <v/>
      </c>
      <c r="Z56" s="3">
        <f>IF($B56="",0,MAX(0,$H56-$E56))</f>
        <v/>
      </c>
      <c r="AA56" s="3">
        <f>IF($B56="",0,MAX(0,$E56-$H56))</f>
        <v/>
      </c>
      <c r="AB56" s="3">
        <f>IF($B56="",0,MAX(0,$W56-$Z56))</f>
        <v/>
      </c>
      <c r="AC56" s="3">
        <f>IF($B56="",0,MAX(0,$X56-$Z56))</f>
        <v/>
      </c>
      <c r="AD56" s="3">
        <f>IF($B56="",0,MAX(0,$Y56-$Z56))</f>
        <v/>
      </c>
    </row>
    <row r="57">
      <c r="A57" s="6" t="n"/>
      <c r="B57" s="112">
        <f>IF(MUSTERILER!$B57="","",MUSTERILER!$B57)</f>
        <v/>
      </c>
      <c r="C57" s="113">
        <f>IF(MUSTERILER!$B57="","",MUSTERILER!$C57)</f>
        <v/>
      </c>
      <c r="D57" s="116">
        <f>IF($B57="","",SUMIFS(UCRETLER!$F$7:$F$406,UCRETLER!$B$7:$B$406,$B57,UCRETLER!$G$7:$G$406,"Aktif"))</f>
        <v/>
      </c>
      <c r="E57" s="116">
        <f>IF($B57="","",SUMIFS(MUSTERILER!$J$7:$J$106,MUSTERILER!$B$7:$B$106,$B57))</f>
        <v/>
      </c>
      <c r="F57" s="116">
        <f>IF($B57="","",SUMIFS(UCRETLER!$H$7:$H$406,UCRETLER!$B$7:$B$406,$B57))</f>
        <v/>
      </c>
      <c r="G57" s="116">
        <f>IF($B57="","",$E57+$F57)</f>
        <v/>
      </c>
      <c r="H57" s="116">
        <f>IF($B57="","",SUMIFS(TAHSILAT!$F$7:$F$1506,TAHSILAT!$C$7:$C$1506,$B57))</f>
        <v/>
      </c>
      <c r="I57" s="116">
        <f>IF($B57="","",MAX(0,$G57-$H57))</f>
        <v/>
      </c>
      <c r="J57" s="116">
        <f>IF($B57="","",MAX(0,$I57-$K57-$L57-$M57))</f>
        <v/>
      </c>
      <c r="K57" s="116">
        <f>IF($B57="","",($AB57-$AC57)+IF(AND($AA57&gt;0,$S57&lt;&gt;"",$T57&gt;=8,$T57&lt;15),$AA57,0))</f>
        <v/>
      </c>
      <c r="L57" s="116">
        <f>IF($B57="","",($AC57-$AD57)+IF(AND($AA57&gt;0,$S57&lt;&gt;"",$T57&gt;=15,$T57&lt;29),$AA57,0))</f>
        <v/>
      </c>
      <c r="M57" s="116">
        <f>IF($B57="","",$AD57+IF(AND($AA57&gt;0,OR($S57="",$T57&gt;=29)),$AA57,0))</f>
        <v/>
      </c>
      <c r="N57" s="122">
        <f>IF($B57="","",IFERROR($H57/$G57,0))</f>
        <v/>
      </c>
      <c r="O57" s="123">
        <f>IF($B57="","",IFERROR(LOOKUP(2,1/(TAHSILAT!$C$7:$C$1506=$B57),TAHSILAT!$E$7:$E$1506),""))</f>
        <v/>
      </c>
      <c r="P57" s="112">
        <f>IF($B57="","",IF($M57&gt;0,"KRİTİK",IF($L57&gt;0,"YÜKSEK",IF($K57&gt;0,"ORTA",IF($I57&gt;0,"İZLE","TEMİZ")))))</f>
        <v/>
      </c>
      <c r="Q57" s="113">
        <f>IF($B57="","",IF($P57="KRİTİK","Acil tahsilat görüşmesi ve cari mutabakat",IF($P57="YÜKSEK","Bu hafta tahsilat takibi",IF($P57="ORTA","Hatırlatma mesajı gönder",IF($P57="İZLE","Normal takip","Aksiyon gerekmiyor")))))</f>
        <v/>
      </c>
      <c r="R57" s="120">
        <f>IF($B57="","",COUNTIFS(AKTIVITE!$D$7:$D$1006,$B57,AKTIVITE!$J$7:$J$1006,"&lt;&gt;Tamamlandı"))</f>
        <v/>
      </c>
      <c r="S57" s="123">
        <f>IF($B57="","",IF(MUSTERILER!$K57="","",MUSTERILER!$K57))</f>
        <v/>
      </c>
      <c r="T57" s="120">
        <f>IF(OR($B57="",$S57=""),"",TODAY()-$S57)</f>
        <v/>
      </c>
      <c r="U57" s="112">
        <f>IF($B57="","",IF(ABS($I57-($J57+$K57+$L57+$M57))&lt;0.01,"UYGUN","İNCELE"))</f>
        <v/>
      </c>
      <c r="V57" s="6" t="n"/>
      <c r="W57" s="6">
        <f>IF($B57="",0,SUMIFS(UCRETLER!$I$7:$I$406,UCRETLER!$B$7:$B$406,$B57))</f>
        <v/>
      </c>
      <c r="X57" s="3">
        <f>IF($B57="",0,SUMIFS(UCRETLER!$J$7:$J$406,UCRETLER!$B$7:$B$406,$B57))</f>
        <v/>
      </c>
      <c r="Y57" s="3">
        <f>IF($B57="",0,SUMIFS(UCRETLER!$K$7:$K$406,UCRETLER!$B$7:$B$406,$B57))</f>
        <v/>
      </c>
      <c r="Z57" s="3">
        <f>IF($B57="",0,MAX(0,$H57-$E57))</f>
        <v/>
      </c>
      <c r="AA57" s="3">
        <f>IF($B57="",0,MAX(0,$E57-$H57))</f>
        <v/>
      </c>
      <c r="AB57" s="3">
        <f>IF($B57="",0,MAX(0,$W57-$Z57))</f>
        <v/>
      </c>
      <c r="AC57" s="3">
        <f>IF($B57="",0,MAX(0,$X57-$Z57))</f>
        <v/>
      </c>
      <c r="AD57" s="3">
        <f>IF($B57="",0,MAX(0,$Y57-$Z57))</f>
        <v/>
      </c>
    </row>
    <row r="58">
      <c r="A58" s="6" t="n"/>
      <c r="B58" s="112">
        <f>IF(MUSTERILER!$B58="","",MUSTERILER!$B58)</f>
        <v/>
      </c>
      <c r="C58" s="113">
        <f>IF(MUSTERILER!$B58="","",MUSTERILER!$C58)</f>
        <v/>
      </c>
      <c r="D58" s="116">
        <f>IF($B58="","",SUMIFS(UCRETLER!$F$7:$F$406,UCRETLER!$B$7:$B$406,$B58,UCRETLER!$G$7:$G$406,"Aktif"))</f>
        <v/>
      </c>
      <c r="E58" s="116">
        <f>IF($B58="","",SUMIFS(MUSTERILER!$J$7:$J$106,MUSTERILER!$B$7:$B$106,$B58))</f>
        <v/>
      </c>
      <c r="F58" s="116">
        <f>IF($B58="","",SUMIFS(UCRETLER!$H$7:$H$406,UCRETLER!$B$7:$B$406,$B58))</f>
        <v/>
      </c>
      <c r="G58" s="116">
        <f>IF($B58="","",$E58+$F58)</f>
        <v/>
      </c>
      <c r="H58" s="116">
        <f>IF($B58="","",SUMIFS(TAHSILAT!$F$7:$F$1506,TAHSILAT!$C$7:$C$1506,$B58))</f>
        <v/>
      </c>
      <c r="I58" s="116">
        <f>IF($B58="","",MAX(0,$G58-$H58))</f>
        <v/>
      </c>
      <c r="J58" s="116">
        <f>IF($B58="","",MAX(0,$I58-$K58-$L58-$M58))</f>
        <v/>
      </c>
      <c r="K58" s="116">
        <f>IF($B58="","",($AB58-$AC58)+IF(AND($AA58&gt;0,$S58&lt;&gt;"",$T58&gt;=8,$T58&lt;15),$AA58,0))</f>
        <v/>
      </c>
      <c r="L58" s="116">
        <f>IF($B58="","",($AC58-$AD58)+IF(AND($AA58&gt;0,$S58&lt;&gt;"",$T58&gt;=15,$T58&lt;29),$AA58,0))</f>
        <v/>
      </c>
      <c r="M58" s="116">
        <f>IF($B58="","",$AD58+IF(AND($AA58&gt;0,OR($S58="",$T58&gt;=29)),$AA58,0))</f>
        <v/>
      </c>
      <c r="N58" s="122">
        <f>IF($B58="","",IFERROR($H58/$G58,0))</f>
        <v/>
      </c>
      <c r="O58" s="123">
        <f>IF($B58="","",IFERROR(LOOKUP(2,1/(TAHSILAT!$C$7:$C$1506=$B58),TAHSILAT!$E$7:$E$1506),""))</f>
        <v/>
      </c>
      <c r="P58" s="112">
        <f>IF($B58="","",IF($M58&gt;0,"KRİTİK",IF($L58&gt;0,"YÜKSEK",IF($K58&gt;0,"ORTA",IF($I58&gt;0,"İZLE","TEMİZ")))))</f>
        <v/>
      </c>
      <c r="Q58" s="113">
        <f>IF($B58="","",IF($P58="KRİTİK","Acil tahsilat görüşmesi ve cari mutabakat",IF($P58="YÜKSEK","Bu hafta tahsilat takibi",IF($P58="ORTA","Hatırlatma mesajı gönder",IF($P58="İZLE","Normal takip","Aksiyon gerekmiyor")))))</f>
        <v/>
      </c>
      <c r="R58" s="120">
        <f>IF($B58="","",COUNTIFS(AKTIVITE!$D$7:$D$1006,$B58,AKTIVITE!$J$7:$J$1006,"&lt;&gt;Tamamlandı"))</f>
        <v/>
      </c>
      <c r="S58" s="123">
        <f>IF($B58="","",IF(MUSTERILER!$K58="","",MUSTERILER!$K58))</f>
        <v/>
      </c>
      <c r="T58" s="120">
        <f>IF(OR($B58="",$S58=""),"",TODAY()-$S58)</f>
        <v/>
      </c>
      <c r="U58" s="112">
        <f>IF($B58="","",IF(ABS($I58-($J58+$K58+$L58+$M58))&lt;0.01,"UYGUN","İNCELE"))</f>
        <v/>
      </c>
      <c r="V58" s="6" t="n"/>
      <c r="W58" s="6">
        <f>IF($B58="",0,SUMIFS(UCRETLER!$I$7:$I$406,UCRETLER!$B$7:$B$406,$B58))</f>
        <v/>
      </c>
      <c r="X58" s="3">
        <f>IF($B58="",0,SUMIFS(UCRETLER!$J$7:$J$406,UCRETLER!$B$7:$B$406,$B58))</f>
        <v/>
      </c>
      <c r="Y58" s="3">
        <f>IF($B58="",0,SUMIFS(UCRETLER!$K$7:$K$406,UCRETLER!$B$7:$B$406,$B58))</f>
        <v/>
      </c>
      <c r="Z58" s="3">
        <f>IF($B58="",0,MAX(0,$H58-$E58))</f>
        <v/>
      </c>
      <c r="AA58" s="3">
        <f>IF($B58="",0,MAX(0,$E58-$H58))</f>
        <v/>
      </c>
      <c r="AB58" s="3">
        <f>IF($B58="",0,MAX(0,$W58-$Z58))</f>
        <v/>
      </c>
      <c r="AC58" s="3">
        <f>IF($B58="",0,MAX(0,$X58-$Z58))</f>
        <v/>
      </c>
      <c r="AD58" s="3">
        <f>IF($B58="",0,MAX(0,$Y58-$Z58))</f>
        <v/>
      </c>
    </row>
    <row r="59">
      <c r="A59" s="6" t="n"/>
      <c r="B59" s="112">
        <f>IF(MUSTERILER!$B59="","",MUSTERILER!$B59)</f>
        <v/>
      </c>
      <c r="C59" s="113">
        <f>IF(MUSTERILER!$B59="","",MUSTERILER!$C59)</f>
        <v/>
      </c>
      <c r="D59" s="116">
        <f>IF($B59="","",SUMIFS(UCRETLER!$F$7:$F$406,UCRETLER!$B$7:$B$406,$B59,UCRETLER!$G$7:$G$406,"Aktif"))</f>
        <v/>
      </c>
      <c r="E59" s="116">
        <f>IF($B59="","",SUMIFS(MUSTERILER!$J$7:$J$106,MUSTERILER!$B$7:$B$106,$B59))</f>
        <v/>
      </c>
      <c r="F59" s="116">
        <f>IF($B59="","",SUMIFS(UCRETLER!$H$7:$H$406,UCRETLER!$B$7:$B$406,$B59))</f>
        <v/>
      </c>
      <c r="G59" s="116">
        <f>IF($B59="","",$E59+$F59)</f>
        <v/>
      </c>
      <c r="H59" s="116">
        <f>IF($B59="","",SUMIFS(TAHSILAT!$F$7:$F$1506,TAHSILAT!$C$7:$C$1506,$B59))</f>
        <v/>
      </c>
      <c r="I59" s="116">
        <f>IF($B59="","",MAX(0,$G59-$H59))</f>
        <v/>
      </c>
      <c r="J59" s="116">
        <f>IF($B59="","",MAX(0,$I59-$K59-$L59-$M59))</f>
        <v/>
      </c>
      <c r="K59" s="116">
        <f>IF($B59="","",($AB59-$AC59)+IF(AND($AA59&gt;0,$S59&lt;&gt;"",$T59&gt;=8,$T59&lt;15),$AA59,0))</f>
        <v/>
      </c>
      <c r="L59" s="116">
        <f>IF($B59="","",($AC59-$AD59)+IF(AND($AA59&gt;0,$S59&lt;&gt;"",$T59&gt;=15,$T59&lt;29),$AA59,0))</f>
        <v/>
      </c>
      <c r="M59" s="116">
        <f>IF($B59="","",$AD59+IF(AND($AA59&gt;0,OR($S59="",$T59&gt;=29)),$AA59,0))</f>
        <v/>
      </c>
      <c r="N59" s="122">
        <f>IF($B59="","",IFERROR($H59/$G59,0))</f>
        <v/>
      </c>
      <c r="O59" s="123">
        <f>IF($B59="","",IFERROR(LOOKUP(2,1/(TAHSILAT!$C$7:$C$1506=$B59),TAHSILAT!$E$7:$E$1506),""))</f>
        <v/>
      </c>
      <c r="P59" s="112">
        <f>IF($B59="","",IF($M59&gt;0,"KRİTİK",IF($L59&gt;0,"YÜKSEK",IF($K59&gt;0,"ORTA",IF($I59&gt;0,"İZLE","TEMİZ")))))</f>
        <v/>
      </c>
      <c r="Q59" s="113">
        <f>IF($B59="","",IF($P59="KRİTİK","Acil tahsilat görüşmesi ve cari mutabakat",IF($P59="YÜKSEK","Bu hafta tahsilat takibi",IF($P59="ORTA","Hatırlatma mesajı gönder",IF($P59="İZLE","Normal takip","Aksiyon gerekmiyor")))))</f>
        <v/>
      </c>
      <c r="R59" s="120">
        <f>IF($B59="","",COUNTIFS(AKTIVITE!$D$7:$D$1006,$B59,AKTIVITE!$J$7:$J$1006,"&lt;&gt;Tamamlandı"))</f>
        <v/>
      </c>
      <c r="S59" s="123">
        <f>IF($B59="","",IF(MUSTERILER!$K59="","",MUSTERILER!$K59))</f>
        <v/>
      </c>
      <c r="T59" s="120">
        <f>IF(OR($B59="",$S59=""),"",TODAY()-$S59)</f>
        <v/>
      </c>
      <c r="U59" s="112">
        <f>IF($B59="","",IF(ABS($I59-($J59+$K59+$L59+$M59))&lt;0.01,"UYGUN","İNCELE"))</f>
        <v/>
      </c>
      <c r="V59" s="6" t="n"/>
      <c r="W59" s="6">
        <f>IF($B59="",0,SUMIFS(UCRETLER!$I$7:$I$406,UCRETLER!$B$7:$B$406,$B59))</f>
        <v/>
      </c>
      <c r="X59" s="3">
        <f>IF($B59="",0,SUMIFS(UCRETLER!$J$7:$J$406,UCRETLER!$B$7:$B$406,$B59))</f>
        <v/>
      </c>
      <c r="Y59" s="3">
        <f>IF($B59="",0,SUMIFS(UCRETLER!$K$7:$K$406,UCRETLER!$B$7:$B$406,$B59))</f>
        <v/>
      </c>
      <c r="Z59" s="3">
        <f>IF($B59="",0,MAX(0,$H59-$E59))</f>
        <v/>
      </c>
      <c r="AA59" s="3">
        <f>IF($B59="",0,MAX(0,$E59-$H59))</f>
        <v/>
      </c>
      <c r="AB59" s="3">
        <f>IF($B59="",0,MAX(0,$W59-$Z59))</f>
        <v/>
      </c>
      <c r="AC59" s="3">
        <f>IF($B59="",0,MAX(0,$X59-$Z59))</f>
        <v/>
      </c>
      <c r="AD59" s="3">
        <f>IF($B59="",0,MAX(0,$Y59-$Z59))</f>
        <v/>
      </c>
    </row>
    <row r="60">
      <c r="A60" s="6" t="n"/>
      <c r="B60" s="112">
        <f>IF(MUSTERILER!$B60="","",MUSTERILER!$B60)</f>
        <v/>
      </c>
      <c r="C60" s="113">
        <f>IF(MUSTERILER!$B60="","",MUSTERILER!$C60)</f>
        <v/>
      </c>
      <c r="D60" s="116">
        <f>IF($B60="","",SUMIFS(UCRETLER!$F$7:$F$406,UCRETLER!$B$7:$B$406,$B60,UCRETLER!$G$7:$G$406,"Aktif"))</f>
        <v/>
      </c>
      <c r="E60" s="116">
        <f>IF($B60="","",SUMIFS(MUSTERILER!$J$7:$J$106,MUSTERILER!$B$7:$B$106,$B60))</f>
        <v/>
      </c>
      <c r="F60" s="116">
        <f>IF($B60="","",SUMIFS(UCRETLER!$H$7:$H$406,UCRETLER!$B$7:$B$406,$B60))</f>
        <v/>
      </c>
      <c r="G60" s="116">
        <f>IF($B60="","",$E60+$F60)</f>
        <v/>
      </c>
      <c r="H60" s="116">
        <f>IF($B60="","",SUMIFS(TAHSILAT!$F$7:$F$1506,TAHSILAT!$C$7:$C$1506,$B60))</f>
        <v/>
      </c>
      <c r="I60" s="116">
        <f>IF($B60="","",MAX(0,$G60-$H60))</f>
        <v/>
      </c>
      <c r="J60" s="116">
        <f>IF($B60="","",MAX(0,$I60-$K60-$L60-$M60))</f>
        <v/>
      </c>
      <c r="K60" s="116">
        <f>IF($B60="","",($AB60-$AC60)+IF(AND($AA60&gt;0,$S60&lt;&gt;"",$T60&gt;=8,$T60&lt;15),$AA60,0))</f>
        <v/>
      </c>
      <c r="L60" s="116">
        <f>IF($B60="","",($AC60-$AD60)+IF(AND($AA60&gt;0,$S60&lt;&gt;"",$T60&gt;=15,$T60&lt;29),$AA60,0))</f>
        <v/>
      </c>
      <c r="M60" s="116">
        <f>IF($B60="","",$AD60+IF(AND($AA60&gt;0,OR($S60="",$T60&gt;=29)),$AA60,0))</f>
        <v/>
      </c>
      <c r="N60" s="122">
        <f>IF($B60="","",IFERROR($H60/$G60,0))</f>
        <v/>
      </c>
      <c r="O60" s="123">
        <f>IF($B60="","",IFERROR(LOOKUP(2,1/(TAHSILAT!$C$7:$C$1506=$B60),TAHSILAT!$E$7:$E$1506),""))</f>
        <v/>
      </c>
      <c r="P60" s="112">
        <f>IF($B60="","",IF($M60&gt;0,"KRİTİK",IF($L60&gt;0,"YÜKSEK",IF($K60&gt;0,"ORTA",IF($I60&gt;0,"İZLE","TEMİZ")))))</f>
        <v/>
      </c>
      <c r="Q60" s="113">
        <f>IF($B60="","",IF($P60="KRİTİK","Acil tahsilat görüşmesi ve cari mutabakat",IF($P60="YÜKSEK","Bu hafta tahsilat takibi",IF($P60="ORTA","Hatırlatma mesajı gönder",IF($P60="İZLE","Normal takip","Aksiyon gerekmiyor")))))</f>
        <v/>
      </c>
      <c r="R60" s="120">
        <f>IF($B60="","",COUNTIFS(AKTIVITE!$D$7:$D$1006,$B60,AKTIVITE!$J$7:$J$1006,"&lt;&gt;Tamamlandı"))</f>
        <v/>
      </c>
      <c r="S60" s="123">
        <f>IF($B60="","",IF(MUSTERILER!$K60="","",MUSTERILER!$K60))</f>
        <v/>
      </c>
      <c r="T60" s="120">
        <f>IF(OR($B60="",$S60=""),"",TODAY()-$S60)</f>
        <v/>
      </c>
      <c r="U60" s="112">
        <f>IF($B60="","",IF(ABS($I60-($J60+$K60+$L60+$M60))&lt;0.01,"UYGUN","İNCELE"))</f>
        <v/>
      </c>
      <c r="V60" s="6" t="n"/>
      <c r="W60" s="6">
        <f>IF($B60="",0,SUMIFS(UCRETLER!$I$7:$I$406,UCRETLER!$B$7:$B$406,$B60))</f>
        <v/>
      </c>
      <c r="X60" s="3">
        <f>IF($B60="",0,SUMIFS(UCRETLER!$J$7:$J$406,UCRETLER!$B$7:$B$406,$B60))</f>
        <v/>
      </c>
      <c r="Y60" s="3">
        <f>IF($B60="",0,SUMIFS(UCRETLER!$K$7:$K$406,UCRETLER!$B$7:$B$406,$B60))</f>
        <v/>
      </c>
      <c r="Z60" s="3">
        <f>IF($B60="",0,MAX(0,$H60-$E60))</f>
        <v/>
      </c>
      <c r="AA60" s="3">
        <f>IF($B60="",0,MAX(0,$E60-$H60))</f>
        <v/>
      </c>
      <c r="AB60" s="3">
        <f>IF($B60="",0,MAX(0,$W60-$Z60))</f>
        <v/>
      </c>
      <c r="AC60" s="3">
        <f>IF($B60="",0,MAX(0,$X60-$Z60))</f>
        <v/>
      </c>
      <c r="AD60" s="3">
        <f>IF($B60="",0,MAX(0,$Y60-$Z60))</f>
        <v/>
      </c>
    </row>
    <row r="61">
      <c r="A61" s="6" t="n"/>
      <c r="B61" s="112">
        <f>IF(MUSTERILER!$B61="","",MUSTERILER!$B61)</f>
        <v/>
      </c>
      <c r="C61" s="113">
        <f>IF(MUSTERILER!$B61="","",MUSTERILER!$C61)</f>
        <v/>
      </c>
      <c r="D61" s="116">
        <f>IF($B61="","",SUMIFS(UCRETLER!$F$7:$F$406,UCRETLER!$B$7:$B$406,$B61,UCRETLER!$G$7:$G$406,"Aktif"))</f>
        <v/>
      </c>
      <c r="E61" s="116">
        <f>IF($B61="","",SUMIFS(MUSTERILER!$J$7:$J$106,MUSTERILER!$B$7:$B$106,$B61))</f>
        <v/>
      </c>
      <c r="F61" s="116">
        <f>IF($B61="","",SUMIFS(UCRETLER!$H$7:$H$406,UCRETLER!$B$7:$B$406,$B61))</f>
        <v/>
      </c>
      <c r="G61" s="116">
        <f>IF($B61="","",$E61+$F61)</f>
        <v/>
      </c>
      <c r="H61" s="116">
        <f>IF($B61="","",SUMIFS(TAHSILAT!$F$7:$F$1506,TAHSILAT!$C$7:$C$1506,$B61))</f>
        <v/>
      </c>
      <c r="I61" s="116">
        <f>IF($B61="","",MAX(0,$G61-$H61))</f>
        <v/>
      </c>
      <c r="J61" s="116">
        <f>IF($B61="","",MAX(0,$I61-$K61-$L61-$M61))</f>
        <v/>
      </c>
      <c r="K61" s="116">
        <f>IF($B61="","",($AB61-$AC61)+IF(AND($AA61&gt;0,$S61&lt;&gt;"",$T61&gt;=8,$T61&lt;15),$AA61,0))</f>
        <v/>
      </c>
      <c r="L61" s="116">
        <f>IF($B61="","",($AC61-$AD61)+IF(AND($AA61&gt;0,$S61&lt;&gt;"",$T61&gt;=15,$T61&lt;29),$AA61,0))</f>
        <v/>
      </c>
      <c r="M61" s="116">
        <f>IF($B61="","",$AD61+IF(AND($AA61&gt;0,OR($S61="",$T61&gt;=29)),$AA61,0))</f>
        <v/>
      </c>
      <c r="N61" s="122">
        <f>IF($B61="","",IFERROR($H61/$G61,0))</f>
        <v/>
      </c>
      <c r="O61" s="123">
        <f>IF($B61="","",IFERROR(LOOKUP(2,1/(TAHSILAT!$C$7:$C$1506=$B61),TAHSILAT!$E$7:$E$1506),""))</f>
        <v/>
      </c>
      <c r="P61" s="112">
        <f>IF($B61="","",IF($M61&gt;0,"KRİTİK",IF($L61&gt;0,"YÜKSEK",IF($K61&gt;0,"ORTA",IF($I61&gt;0,"İZLE","TEMİZ")))))</f>
        <v/>
      </c>
      <c r="Q61" s="113">
        <f>IF($B61="","",IF($P61="KRİTİK","Acil tahsilat görüşmesi ve cari mutabakat",IF($P61="YÜKSEK","Bu hafta tahsilat takibi",IF($P61="ORTA","Hatırlatma mesajı gönder",IF($P61="İZLE","Normal takip","Aksiyon gerekmiyor")))))</f>
        <v/>
      </c>
      <c r="R61" s="120">
        <f>IF($B61="","",COUNTIFS(AKTIVITE!$D$7:$D$1006,$B61,AKTIVITE!$J$7:$J$1006,"&lt;&gt;Tamamlandı"))</f>
        <v/>
      </c>
      <c r="S61" s="123">
        <f>IF($B61="","",IF(MUSTERILER!$K61="","",MUSTERILER!$K61))</f>
        <v/>
      </c>
      <c r="T61" s="120">
        <f>IF(OR($B61="",$S61=""),"",TODAY()-$S61)</f>
        <v/>
      </c>
      <c r="U61" s="112">
        <f>IF($B61="","",IF(ABS($I61-($J61+$K61+$L61+$M61))&lt;0.01,"UYGUN","İNCELE"))</f>
        <v/>
      </c>
      <c r="V61" s="6" t="n"/>
      <c r="W61" s="6">
        <f>IF($B61="",0,SUMIFS(UCRETLER!$I$7:$I$406,UCRETLER!$B$7:$B$406,$B61))</f>
        <v/>
      </c>
      <c r="X61" s="3">
        <f>IF($B61="",0,SUMIFS(UCRETLER!$J$7:$J$406,UCRETLER!$B$7:$B$406,$B61))</f>
        <v/>
      </c>
      <c r="Y61" s="3">
        <f>IF($B61="",0,SUMIFS(UCRETLER!$K$7:$K$406,UCRETLER!$B$7:$B$406,$B61))</f>
        <v/>
      </c>
      <c r="Z61" s="3">
        <f>IF($B61="",0,MAX(0,$H61-$E61))</f>
        <v/>
      </c>
      <c r="AA61" s="3">
        <f>IF($B61="",0,MAX(0,$E61-$H61))</f>
        <v/>
      </c>
      <c r="AB61" s="3">
        <f>IF($B61="",0,MAX(0,$W61-$Z61))</f>
        <v/>
      </c>
      <c r="AC61" s="3">
        <f>IF($B61="",0,MAX(0,$X61-$Z61))</f>
        <v/>
      </c>
      <c r="AD61" s="3">
        <f>IF($B61="",0,MAX(0,$Y61-$Z61))</f>
        <v/>
      </c>
    </row>
    <row r="62">
      <c r="A62" s="6" t="n"/>
      <c r="B62" s="112">
        <f>IF(MUSTERILER!$B62="","",MUSTERILER!$B62)</f>
        <v/>
      </c>
      <c r="C62" s="113">
        <f>IF(MUSTERILER!$B62="","",MUSTERILER!$C62)</f>
        <v/>
      </c>
      <c r="D62" s="116">
        <f>IF($B62="","",SUMIFS(UCRETLER!$F$7:$F$406,UCRETLER!$B$7:$B$406,$B62,UCRETLER!$G$7:$G$406,"Aktif"))</f>
        <v/>
      </c>
      <c r="E62" s="116">
        <f>IF($B62="","",SUMIFS(MUSTERILER!$J$7:$J$106,MUSTERILER!$B$7:$B$106,$B62))</f>
        <v/>
      </c>
      <c r="F62" s="116">
        <f>IF($B62="","",SUMIFS(UCRETLER!$H$7:$H$406,UCRETLER!$B$7:$B$406,$B62))</f>
        <v/>
      </c>
      <c r="G62" s="116">
        <f>IF($B62="","",$E62+$F62)</f>
        <v/>
      </c>
      <c r="H62" s="116">
        <f>IF($B62="","",SUMIFS(TAHSILAT!$F$7:$F$1506,TAHSILAT!$C$7:$C$1506,$B62))</f>
        <v/>
      </c>
      <c r="I62" s="116">
        <f>IF($B62="","",MAX(0,$G62-$H62))</f>
        <v/>
      </c>
      <c r="J62" s="116">
        <f>IF($B62="","",MAX(0,$I62-$K62-$L62-$M62))</f>
        <v/>
      </c>
      <c r="K62" s="116">
        <f>IF($B62="","",($AB62-$AC62)+IF(AND($AA62&gt;0,$S62&lt;&gt;"",$T62&gt;=8,$T62&lt;15),$AA62,0))</f>
        <v/>
      </c>
      <c r="L62" s="116">
        <f>IF($B62="","",($AC62-$AD62)+IF(AND($AA62&gt;0,$S62&lt;&gt;"",$T62&gt;=15,$T62&lt;29),$AA62,0))</f>
        <v/>
      </c>
      <c r="M62" s="116">
        <f>IF($B62="","",$AD62+IF(AND($AA62&gt;0,OR($S62="",$T62&gt;=29)),$AA62,0))</f>
        <v/>
      </c>
      <c r="N62" s="122">
        <f>IF($B62="","",IFERROR($H62/$G62,0))</f>
        <v/>
      </c>
      <c r="O62" s="123">
        <f>IF($B62="","",IFERROR(LOOKUP(2,1/(TAHSILAT!$C$7:$C$1506=$B62),TAHSILAT!$E$7:$E$1506),""))</f>
        <v/>
      </c>
      <c r="P62" s="112">
        <f>IF($B62="","",IF($M62&gt;0,"KRİTİK",IF($L62&gt;0,"YÜKSEK",IF($K62&gt;0,"ORTA",IF($I62&gt;0,"İZLE","TEMİZ")))))</f>
        <v/>
      </c>
      <c r="Q62" s="113">
        <f>IF($B62="","",IF($P62="KRİTİK","Acil tahsilat görüşmesi ve cari mutabakat",IF($P62="YÜKSEK","Bu hafta tahsilat takibi",IF($P62="ORTA","Hatırlatma mesajı gönder",IF($P62="İZLE","Normal takip","Aksiyon gerekmiyor")))))</f>
        <v/>
      </c>
      <c r="R62" s="120">
        <f>IF($B62="","",COUNTIFS(AKTIVITE!$D$7:$D$1006,$B62,AKTIVITE!$J$7:$J$1006,"&lt;&gt;Tamamlandı"))</f>
        <v/>
      </c>
      <c r="S62" s="123">
        <f>IF($B62="","",IF(MUSTERILER!$K62="","",MUSTERILER!$K62))</f>
        <v/>
      </c>
      <c r="T62" s="120">
        <f>IF(OR($B62="",$S62=""),"",TODAY()-$S62)</f>
        <v/>
      </c>
      <c r="U62" s="112">
        <f>IF($B62="","",IF(ABS($I62-($J62+$K62+$L62+$M62))&lt;0.01,"UYGUN","İNCELE"))</f>
        <v/>
      </c>
      <c r="V62" s="6" t="n"/>
      <c r="W62" s="6">
        <f>IF($B62="",0,SUMIFS(UCRETLER!$I$7:$I$406,UCRETLER!$B$7:$B$406,$B62))</f>
        <v/>
      </c>
      <c r="X62" s="3">
        <f>IF($B62="",0,SUMIFS(UCRETLER!$J$7:$J$406,UCRETLER!$B$7:$B$406,$B62))</f>
        <v/>
      </c>
      <c r="Y62" s="3">
        <f>IF($B62="",0,SUMIFS(UCRETLER!$K$7:$K$406,UCRETLER!$B$7:$B$406,$B62))</f>
        <v/>
      </c>
      <c r="Z62" s="3">
        <f>IF($B62="",0,MAX(0,$H62-$E62))</f>
        <v/>
      </c>
      <c r="AA62" s="3">
        <f>IF($B62="",0,MAX(0,$E62-$H62))</f>
        <v/>
      </c>
      <c r="AB62" s="3">
        <f>IF($B62="",0,MAX(0,$W62-$Z62))</f>
        <v/>
      </c>
      <c r="AC62" s="3">
        <f>IF($B62="",0,MAX(0,$X62-$Z62))</f>
        <v/>
      </c>
      <c r="AD62" s="3">
        <f>IF($B62="",0,MAX(0,$Y62-$Z62))</f>
        <v/>
      </c>
    </row>
    <row r="63">
      <c r="A63" s="6" t="n"/>
      <c r="B63" s="112">
        <f>IF(MUSTERILER!$B63="","",MUSTERILER!$B63)</f>
        <v/>
      </c>
      <c r="C63" s="113">
        <f>IF(MUSTERILER!$B63="","",MUSTERILER!$C63)</f>
        <v/>
      </c>
      <c r="D63" s="116">
        <f>IF($B63="","",SUMIFS(UCRETLER!$F$7:$F$406,UCRETLER!$B$7:$B$406,$B63,UCRETLER!$G$7:$G$406,"Aktif"))</f>
        <v/>
      </c>
      <c r="E63" s="116">
        <f>IF($B63="","",SUMIFS(MUSTERILER!$J$7:$J$106,MUSTERILER!$B$7:$B$106,$B63))</f>
        <v/>
      </c>
      <c r="F63" s="116">
        <f>IF($B63="","",SUMIFS(UCRETLER!$H$7:$H$406,UCRETLER!$B$7:$B$406,$B63))</f>
        <v/>
      </c>
      <c r="G63" s="116">
        <f>IF($B63="","",$E63+$F63)</f>
        <v/>
      </c>
      <c r="H63" s="116">
        <f>IF($B63="","",SUMIFS(TAHSILAT!$F$7:$F$1506,TAHSILAT!$C$7:$C$1506,$B63))</f>
        <v/>
      </c>
      <c r="I63" s="116">
        <f>IF($B63="","",MAX(0,$G63-$H63))</f>
        <v/>
      </c>
      <c r="J63" s="116">
        <f>IF($B63="","",MAX(0,$I63-$K63-$L63-$M63))</f>
        <v/>
      </c>
      <c r="K63" s="116">
        <f>IF($B63="","",($AB63-$AC63)+IF(AND($AA63&gt;0,$S63&lt;&gt;"",$T63&gt;=8,$T63&lt;15),$AA63,0))</f>
        <v/>
      </c>
      <c r="L63" s="116">
        <f>IF($B63="","",($AC63-$AD63)+IF(AND($AA63&gt;0,$S63&lt;&gt;"",$T63&gt;=15,$T63&lt;29),$AA63,0))</f>
        <v/>
      </c>
      <c r="M63" s="116">
        <f>IF($B63="","",$AD63+IF(AND($AA63&gt;0,OR($S63="",$T63&gt;=29)),$AA63,0))</f>
        <v/>
      </c>
      <c r="N63" s="122">
        <f>IF($B63="","",IFERROR($H63/$G63,0))</f>
        <v/>
      </c>
      <c r="O63" s="123">
        <f>IF($B63="","",IFERROR(LOOKUP(2,1/(TAHSILAT!$C$7:$C$1506=$B63),TAHSILAT!$E$7:$E$1506),""))</f>
        <v/>
      </c>
      <c r="P63" s="112">
        <f>IF($B63="","",IF($M63&gt;0,"KRİTİK",IF($L63&gt;0,"YÜKSEK",IF($K63&gt;0,"ORTA",IF($I63&gt;0,"İZLE","TEMİZ")))))</f>
        <v/>
      </c>
      <c r="Q63" s="113">
        <f>IF($B63="","",IF($P63="KRİTİK","Acil tahsilat görüşmesi ve cari mutabakat",IF($P63="YÜKSEK","Bu hafta tahsilat takibi",IF($P63="ORTA","Hatırlatma mesajı gönder",IF($P63="İZLE","Normal takip","Aksiyon gerekmiyor")))))</f>
        <v/>
      </c>
      <c r="R63" s="120">
        <f>IF($B63="","",COUNTIFS(AKTIVITE!$D$7:$D$1006,$B63,AKTIVITE!$J$7:$J$1006,"&lt;&gt;Tamamlandı"))</f>
        <v/>
      </c>
      <c r="S63" s="123">
        <f>IF($B63="","",IF(MUSTERILER!$K63="","",MUSTERILER!$K63))</f>
        <v/>
      </c>
      <c r="T63" s="120">
        <f>IF(OR($B63="",$S63=""),"",TODAY()-$S63)</f>
        <v/>
      </c>
      <c r="U63" s="112">
        <f>IF($B63="","",IF(ABS($I63-($J63+$K63+$L63+$M63))&lt;0.01,"UYGUN","İNCELE"))</f>
        <v/>
      </c>
      <c r="V63" s="6" t="n"/>
      <c r="W63" s="6">
        <f>IF($B63="",0,SUMIFS(UCRETLER!$I$7:$I$406,UCRETLER!$B$7:$B$406,$B63))</f>
        <v/>
      </c>
      <c r="X63" s="3">
        <f>IF($B63="",0,SUMIFS(UCRETLER!$J$7:$J$406,UCRETLER!$B$7:$B$406,$B63))</f>
        <v/>
      </c>
      <c r="Y63" s="3">
        <f>IF($B63="",0,SUMIFS(UCRETLER!$K$7:$K$406,UCRETLER!$B$7:$B$406,$B63))</f>
        <v/>
      </c>
      <c r="Z63" s="3">
        <f>IF($B63="",0,MAX(0,$H63-$E63))</f>
        <v/>
      </c>
      <c r="AA63" s="3">
        <f>IF($B63="",0,MAX(0,$E63-$H63))</f>
        <v/>
      </c>
      <c r="AB63" s="3">
        <f>IF($B63="",0,MAX(0,$W63-$Z63))</f>
        <v/>
      </c>
      <c r="AC63" s="3">
        <f>IF($B63="",0,MAX(0,$X63-$Z63))</f>
        <v/>
      </c>
      <c r="AD63" s="3">
        <f>IF($B63="",0,MAX(0,$Y63-$Z63))</f>
        <v/>
      </c>
    </row>
    <row r="64">
      <c r="A64" s="6" t="n"/>
      <c r="B64" s="112">
        <f>IF(MUSTERILER!$B64="","",MUSTERILER!$B64)</f>
        <v/>
      </c>
      <c r="C64" s="113">
        <f>IF(MUSTERILER!$B64="","",MUSTERILER!$C64)</f>
        <v/>
      </c>
      <c r="D64" s="116">
        <f>IF($B64="","",SUMIFS(UCRETLER!$F$7:$F$406,UCRETLER!$B$7:$B$406,$B64,UCRETLER!$G$7:$G$406,"Aktif"))</f>
        <v/>
      </c>
      <c r="E64" s="116">
        <f>IF($B64="","",SUMIFS(MUSTERILER!$J$7:$J$106,MUSTERILER!$B$7:$B$106,$B64))</f>
        <v/>
      </c>
      <c r="F64" s="116">
        <f>IF($B64="","",SUMIFS(UCRETLER!$H$7:$H$406,UCRETLER!$B$7:$B$406,$B64))</f>
        <v/>
      </c>
      <c r="G64" s="116">
        <f>IF($B64="","",$E64+$F64)</f>
        <v/>
      </c>
      <c r="H64" s="116">
        <f>IF($B64="","",SUMIFS(TAHSILAT!$F$7:$F$1506,TAHSILAT!$C$7:$C$1506,$B64))</f>
        <v/>
      </c>
      <c r="I64" s="116">
        <f>IF($B64="","",MAX(0,$G64-$H64))</f>
        <v/>
      </c>
      <c r="J64" s="116">
        <f>IF($B64="","",MAX(0,$I64-$K64-$L64-$M64))</f>
        <v/>
      </c>
      <c r="K64" s="116">
        <f>IF($B64="","",($AB64-$AC64)+IF(AND($AA64&gt;0,$S64&lt;&gt;"",$T64&gt;=8,$T64&lt;15),$AA64,0))</f>
        <v/>
      </c>
      <c r="L64" s="116">
        <f>IF($B64="","",($AC64-$AD64)+IF(AND($AA64&gt;0,$S64&lt;&gt;"",$T64&gt;=15,$T64&lt;29),$AA64,0))</f>
        <v/>
      </c>
      <c r="M64" s="116">
        <f>IF($B64="","",$AD64+IF(AND($AA64&gt;0,OR($S64="",$T64&gt;=29)),$AA64,0))</f>
        <v/>
      </c>
      <c r="N64" s="122">
        <f>IF($B64="","",IFERROR($H64/$G64,0))</f>
        <v/>
      </c>
      <c r="O64" s="123">
        <f>IF($B64="","",IFERROR(LOOKUP(2,1/(TAHSILAT!$C$7:$C$1506=$B64),TAHSILAT!$E$7:$E$1506),""))</f>
        <v/>
      </c>
      <c r="P64" s="112">
        <f>IF($B64="","",IF($M64&gt;0,"KRİTİK",IF($L64&gt;0,"YÜKSEK",IF($K64&gt;0,"ORTA",IF($I64&gt;0,"İZLE","TEMİZ")))))</f>
        <v/>
      </c>
      <c r="Q64" s="113">
        <f>IF($B64="","",IF($P64="KRİTİK","Acil tahsilat görüşmesi ve cari mutabakat",IF($P64="YÜKSEK","Bu hafta tahsilat takibi",IF($P64="ORTA","Hatırlatma mesajı gönder",IF($P64="İZLE","Normal takip","Aksiyon gerekmiyor")))))</f>
        <v/>
      </c>
      <c r="R64" s="120">
        <f>IF($B64="","",COUNTIFS(AKTIVITE!$D$7:$D$1006,$B64,AKTIVITE!$J$7:$J$1006,"&lt;&gt;Tamamlandı"))</f>
        <v/>
      </c>
      <c r="S64" s="123">
        <f>IF($B64="","",IF(MUSTERILER!$K64="","",MUSTERILER!$K64))</f>
        <v/>
      </c>
      <c r="T64" s="120">
        <f>IF(OR($B64="",$S64=""),"",TODAY()-$S64)</f>
        <v/>
      </c>
      <c r="U64" s="112">
        <f>IF($B64="","",IF(ABS($I64-($J64+$K64+$L64+$M64))&lt;0.01,"UYGUN","İNCELE"))</f>
        <v/>
      </c>
      <c r="V64" s="6" t="n"/>
      <c r="W64" s="6">
        <f>IF($B64="",0,SUMIFS(UCRETLER!$I$7:$I$406,UCRETLER!$B$7:$B$406,$B64))</f>
        <v/>
      </c>
      <c r="X64" s="3">
        <f>IF($B64="",0,SUMIFS(UCRETLER!$J$7:$J$406,UCRETLER!$B$7:$B$406,$B64))</f>
        <v/>
      </c>
      <c r="Y64" s="3">
        <f>IF($B64="",0,SUMIFS(UCRETLER!$K$7:$K$406,UCRETLER!$B$7:$B$406,$B64))</f>
        <v/>
      </c>
      <c r="Z64" s="3">
        <f>IF($B64="",0,MAX(0,$H64-$E64))</f>
        <v/>
      </c>
      <c r="AA64" s="3">
        <f>IF($B64="",0,MAX(0,$E64-$H64))</f>
        <v/>
      </c>
      <c r="AB64" s="3">
        <f>IF($B64="",0,MAX(0,$W64-$Z64))</f>
        <v/>
      </c>
      <c r="AC64" s="3">
        <f>IF($B64="",0,MAX(0,$X64-$Z64))</f>
        <v/>
      </c>
      <c r="AD64" s="3">
        <f>IF($B64="",0,MAX(0,$Y64-$Z64))</f>
        <v/>
      </c>
    </row>
    <row r="65">
      <c r="A65" s="6" t="n"/>
      <c r="B65" s="112">
        <f>IF(MUSTERILER!$B65="","",MUSTERILER!$B65)</f>
        <v/>
      </c>
      <c r="C65" s="113">
        <f>IF(MUSTERILER!$B65="","",MUSTERILER!$C65)</f>
        <v/>
      </c>
      <c r="D65" s="116">
        <f>IF($B65="","",SUMIFS(UCRETLER!$F$7:$F$406,UCRETLER!$B$7:$B$406,$B65,UCRETLER!$G$7:$G$406,"Aktif"))</f>
        <v/>
      </c>
      <c r="E65" s="116">
        <f>IF($B65="","",SUMIFS(MUSTERILER!$J$7:$J$106,MUSTERILER!$B$7:$B$106,$B65))</f>
        <v/>
      </c>
      <c r="F65" s="116">
        <f>IF($B65="","",SUMIFS(UCRETLER!$H$7:$H$406,UCRETLER!$B$7:$B$406,$B65))</f>
        <v/>
      </c>
      <c r="G65" s="116">
        <f>IF($B65="","",$E65+$F65)</f>
        <v/>
      </c>
      <c r="H65" s="116">
        <f>IF($B65="","",SUMIFS(TAHSILAT!$F$7:$F$1506,TAHSILAT!$C$7:$C$1506,$B65))</f>
        <v/>
      </c>
      <c r="I65" s="116">
        <f>IF($B65="","",MAX(0,$G65-$H65))</f>
        <v/>
      </c>
      <c r="J65" s="116">
        <f>IF($B65="","",MAX(0,$I65-$K65-$L65-$M65))</f>
        <v/>
      </c>
      <c r="K65" s="116">
        <f>IF($B65="","",($AB65-$AC65)+IF(AND($AA65&gt;0,$S65&lt;&gt;"",$T65&gt;=8,$T65&lt;15),$AA65,0))</f>
        <v/>
      </c>
      <c r="L65" s="116">
        <f>IF($B65="","",($AC65-$AD65)+IF(AND($AA65&gt;0,$S65&lt;&gt;"",$T65&gt;=15,$T65&lt;29),$AA65,0))</f>
        <v/>
      </c>
      <c r="M65" s="116">
        <f>IF($B65="","",$AD65+IF(AND($AA65&gt;0,OR($S65="",$T65&gt;=29)),$AA65,0))</f>
        <v/>
      </c>
      <c r="N65" s="122">
        <f>IF($B65="","",IFERROR($H65/$G65,0))</f>
        <v/>
      </c>
      <c r="O65" s="123">
        <f>IF($B65="","",IFERROR(LOOKUP(2,1/(TAHSILAT!$C$7:$C$1506=$B65),TAHSILAT!$E$7:$E$1506),""))</f>
        <v/>
      </c>
      <c r="P65" s="112">
        <f>IF($B65="","",IF($M65&gt;0,"KRİTİK",IF($L65&gt;0,"YÜKSEK",IF($K65&gt;0,"ORTA",IF($I65&gt;0,"İZLE","TEMİZ")))))</f>
        <v/>
      </c>
      <c r="Q65" s="113">
        <f>IF($B65="","",IF($P65="KRİTİK","Acil tahsilat görüşmesi ve cari mutabakat",IF($P65="YÜKSEK","Bu hafta tahsilat takibi",IF($P65="ORTA","Hatırlatma mesajı gönder",IF($P65="İZLE","Normal takip","Aksiyon gerekmiyor")))))</f>
        <v/>
      </c>
      <c r="R65" s="120">
        <f>IF($B65="","",COUNTIFS(AKTIVITE!$D$7:$D$1006,$B65,AKTIVITE!$J$7:$J$1006,"&lt;&gt;Tamamlandı"))</f>
        <v/>
      </c>
      <c r="S65" s="123">
        <f>IF($B65="","",IF(MUSTERILER!$K65="","",MUSTERILER!$K65))</f>
        <v/>
      </c>
      <c r="T65" s="120">
        <f>IF(OR($B65="",$S65=""),"",TODAY()-$S65)</f>
        <v/>
      </c>
      <c r="U65" s="112">
        <f>IF($B65="","",IF(ABS($I65-($J65+$K65+$L65+$M65))&lt;0.01,"UYGUN","İNCELE"))</f>
        <v/>
      </c>
      <c r="V65" s="6" t="n"/>
      <c r="W65" s="6">
        <f>IF($B65="",0,SUMIFS(UCRETLER!$I$7:$I$406,UCRETLER!$B$7:$B$406,$B65))</f>
        <v/>
      </c>
      <c r="X65" s="3">
        <f>IF($B65="",0,SUMIFS(UCRETLER!$J$7:$J$406,UCRETLER!$B$7:$B$406,$B65))</f>
        <v/>
      </c>
      <c r="Y65" s="3">
        <f>IF($B65="",0,SUMIFS(UCRETLER!$K$7:$K$406,UCRETLER!$B$7:$B$406,$B65))</f>
        <v/>
      </c>
      <c r="Z65" s="3">
        <f>IF($B65="",0,MAX(0,$H65-$E65))</f>
        <v/>
      </c>
      <c r="AA65" s="3">
        <f>IF($B65="",0,MAX(0,$E65-$H65))</f>
        <v/>
      </c>
      <c r="AB65" s="3">
        <f>IF($B65="",0,MAX(0,$W65-$Z65))</f>
        <v/>
      </c>
      <c r="AC65" s="3">
        <f>IF($B65="",0,MAX(0,$X65-$Z65))</f>
        <v/>
      </c>
      <c r="AD65" s="3">
        <f>IF($B65="",0,MAX(0,$Y65-$Z65))</f>
        <v/>
      </c>
    </row>
    <row r="66">
      <c r="A66" s="6" t="n"/>
      <c r="B66" s="112">
        <f>IF(MUSTERILER!$B66="","",MUSTERILER!$B66)</f>
        <v/>
      </c>
      <c r="C66" s="113">
        <f>IF(MUSTERILER!$B66="","",MUSTERILER!$C66)</f>
        <v/>
      </c>
      <c r="D66" s="116">
        <f>IF($B66="","",SUMIFS(UCRETLER!$F$7:$F$406,UCRETLER!$B$7:$B$406,$B66,UCRETLER!$G$7:$G$406,"Aktif"))</f>
        <v/>
      </c>
      <c r="E66" s="116">
        <f>IF($B66="","",SUMIFS(MUSTERILER!$J$7:$J$106,MUSTERILER!$B$7:$B$106,$B66))</f>
        <v/>
      </c>
      <c r="F66" s="116">
        <f>IF($B66="","",SUMIFS(UCRETLER!$H$7:$H$406,UCRETLER!$B$7:$B$406,$B66))</f>
        <v/>
      </c>
      <c r="G66" s="116">
        <f>IF($B66="","",$E66+$F66)</f>
        <v/>
      </c>
      <c r="H66" s="116">
        <f>IF($B66="","",SUMIFS(TAHSILAT!$F$7:$F$1506,TAHSILAT!$C$7:$C$1506,$B66))</f>
        <v/>
      </c>
      <c r="I66" s="116">
        <f>IF($B66="","",MAX(0,$G66-$H66))</f>
        <v/>
      </c>
      <c r="J66" s="116">
        <f>IF($B66="","",MAX(0,$I66-$K66-$L66-$M66))</f>
        <v/>
      </c>
      <c r="K66" s="116">
        <f>IF($B66="","",($AB66-$AC66)+IF(AND($AA66&gt;0,$S66&lt;&gt;"",$T66&gt;=8,$T66&lt;15),$AA66,0))</f>
        <v/>
      </c>
      <c r="L66" s="116">
        <f>IF($B66="","",($AC66-$AD66)+IF(AND($AA66&gt;0,$S66&lt;&gt;"",$T66&gt;=15,$T66&lt;29),$AA66,0))</f>
        <v/>
      </c>
      <c r="M66" s="116">
        <f>IF($B66="","",$AD66+IF(AND($AA66&gt;0,OR($S66="",$T66&gt;=29)),$AA66,0))</f>
        <v/>
      </c>
      <c r="N66" s="122">
        <f>IF($B66="","",IFERROR($H66/$G66,0))</f>
        <v/>
      </c>
      <c r="O66" s="123">
        <f>IF($B66="","",IFERROR(LOOKUP(2,1/(TAHSILAT!$C$7:$C$1506=$B66),TAHSILAT!$E$7:$E$1506),""))</f>
        <v/>
      </c>
      <c r="P66" s="112">
        <f>IF($B66="","",IF($M66&gt;0,"KRİTİK",IF($L66&gt;0,"YÜKSEK",IF($K66&gt;0,"ORTA",IF($I66&gt;0,"İZLE","TEMİZ")))))</f>
        <v/>
      </c>
      <c r="Q66" s="113">
        <f>IF($B66="","",IF($P66="KRİTİK","Acil tahsilat görüşmesi ve cari mutabakat",IF($P66="YÜKSEK","Bu hafta tahsilat takibi",IF($P66="ORTA","Hatırlatma mesajı gönder",IF($P66="İZLE","Normal takip","Aksiyon gerekmiyor")))))</f>
        <v/>
      </c>
      <c r="R66" s="120">
        <f>IF($B66="","",COUNTIFS(AKTIVITE!$D$7:$D$1006,$B66,AKTIVITE!$J$7:$J$1006,"&lt;&gt;Tamamlandı"))</f>
        <v/>
      </c>
      <c r="S66" s="123">
        <f>IF($B66="","",IF(MUSTERILER!$K66="","",MUSTERILER!$K66))</f>
        <v/>
      </c>
      <c r="T66" s="120">
        <f>IF(OR($B66="",$S66=""),"",TODAY()-$S66)</f>
        <v/>
      </c>
      <c r="U66" s="112">
        <f>IF($B66="","",IF(ABS($I66-($J66+$K66+$L66+$M66))&lt;0.01,"UYGUN","İNCELE"))</f>
        <v/>
      </c>
      <c r="V66" s="6" t="n"/>
      <c r="W66" s="6">
        <f>IF($B66="",0,SUMIFS(UCRETLER!$I$7:$I$406,UCRETLER!$B$7:$B$406,$B66))</f>
        <v/>
      </c>
      <c r="X66" s="3">
        <f>IF($B66="",0,SUMIFS(UCRETLER!$J$7:$J$406,UCRETLER!$B$7:$B$406,$B66))</f>
        <v/>
      </c>
      <c r="Y66" s="3">
        <f>IF($B66="",0,SUMIFS(UCRETLER!$K$7:$K$406,UCRETLER!$B$7:$B$406,$B66))</f>
        <v/>
      </c>
      <c r="Z66" s="3">
        <f>IF($B66="",0,MAX(0,$H66-$E66))</f>
        <v/>
      </c>
      <c r="AA66" s="3">
        <f>IF($B66="",0,MAX(0,$E66-$H66))</f>
        <v/>
      </c>
      <c r="AB66" s="3">
        <f>IF($B66="",0,MAX(0,$W66-$Z66))</f>
        <v/>
      </c>
      <c r="AC66" s="3">
        <f>IF($B66="",0,MAX(0,$X66-$Z66))</f>
        <v/>
      </c>
      <c r="AD66" s="3">
        <f>IF($B66="",0,MAX(0,$Y66-$Z66))</f>
        <v/>
      </c>
    </row>
    <row r="67">
      <c r="A67" s="6" t="n"/>
      <c r="B67" s="112">
        <f>IF(MUSTERILER!$B67="","",MUSTERILER!$B67)</f>
        <v/>
      </c>
      <c r="C67" s="113">
        <f>IF(MUSTERILER!$B67="","",MUSTERILER!$C67)</f>
        <v/>
      </c>
      <c r="D67" s="116">
        <f>IF($B67="","",SUMIFS(UCRETLER!$F$7:$F$406,UCRETLER!$B$7:$B$406,$B67,UCRETLER!$G$7:$G$406,"Aktif"))</f>
        <v/>
      </c>
      <c r="E67" s="116">
        <f>IF($B67="","",SUMIFS(MUSTERILER!$J$7:$J$106,MUSTERILER!$B$7:$B$106,$B67))</f>
        <v/>
      </c>
      <c r="F67" s="116">
        <f>IF($B67="","",SUMIFS(UCRETLER!$H$7:$H$406,UCRETLER!$B$7:$B$406,$B67))</f>
        <v/>
      </c>
      <c r="G67" s="116">
        <f>IF($B67="","",$E67+$F67)</f>
        <v/>
      </c>
      <c r="H67" s="116">
        <f>IF($B67="","",SUMIFS(TAHSILAT!$F$7:$F$1506,TAHSILAT!$C$7:$C$1506,$B67))</f>
        <v/>
      </c>
      <c r="I67" s="116">
        <f>IF($B67="","",MAX(0,$G67-$H67))</f>
        <v/>
      </c>
      <c r="J67" s="116">
        <f>IF($B67="","",MAX(0,$I67-$K67-$L67-$M67))</f>
        <v/>
      </c>
      <c r="K67" s="116">
        <f>IF($B67="","",($AB67-$AC67)+IF(AND($AA67&gt;0,$S67&lt;&gt;"",$T67&gt;=8,$T67&lt;15),$AA67,0))</f>
        <v/>
      </c>
      <c r="L67" s="116">
        <f>IF($B67="","",($AC67-$AD67)+IF(AND($AA67&gt;0,$S67&lt;&gt;"",$T67&gt;=15,$T67&lt;29),$AA67,0))</f>
        <v/>
      </c>
      <c r="M67" s="116">
        <f>IF($B67="","",$AD67+IF(AND($AA67&gt;0,OR($S67="",$T67&gt;=29)),$AA67,0))</f>
        <v/>
      </c>
      <c r="N67" s="122">
        <f>IF($B67="","",IFERROR($H67/$G67,0))</f>
        <v/>
      </c>
      <c r="O67" s="123">
        <f>IF($B67="","",IFERROR(LOOKUP(2,1/(TAHSILAT!$C$7:$C$1506=$B67),TAHSILAT!$E$7:$E$1506),""))</f>
        <v/>
      </c>
      <c r="P67" s="112">
        <f>IF($B67="","",IF($M67&gt;0,"KRİTİK",IF($L67&gt;0,"YÜKSEK",IF($K67&gt;0,"ORTA",IF($I67&gt;0,"İZLE","TEMİZ")))))</f>
        <v/>
      </c>
      <c r="Q67" s="113">
        <f>IF($B67="","",IF($P67="KRİTİK","Acil tahsilat görüşmesi ve cari mutabakat",IF($P67="YÜKSEK","Bu hafta tahsilat takibi",IF($P67="ORTA","Hatırlatma mesajı gönder",IF($P67="İZLE","Normal takip","Aksiyon gerekmiyor")))))</f>
        <v/>
      </c>
      <c r="R67" s="120">
        <f>IF($B67="","",COUNTIFS(AKTIVITE!$D$7:$D$1006,$B67,AKTIVITE!$J$7:$J$1006,"&lt;&gt;Tamamlandı"))</f>
        <v/>
      </c>
      <c r="S67" s="123">
        <f>IF($B67="","",IF(MUSTERILER!$K67="","",MUSTERILER!$K67))</f>
        <v/>
      </c>
      <c r="T67" s="120">
        <f>IF(OR($B67="",$S67=""),"",TODAY()-$S67)</f>
        <v/>
      </c>
      <c r="U67" s="112">
        <f>IF($B67="","",IF(ABS($I67-($J67+$K67+$L67+$M67))&lt;0.01,"UYGUN","İNCELE"))</f>
        <v/>
      </c>
      <c r="V67" s="6" t="n"/>
      <c r="W67" s="6">
        <f>IF($B67="",0,SUMIFS(UCRETLER!$I$7:$I$406,UCRETLER!$B$7:$B$406,$B67))</f>
        <v/>
      </c>
      <c r="X67" s="3">
        <f>IF($B67="",0,SUMIFS(UCRETLER!$J$7:$J$406,UCRETLER!$B$7:$B$406,$B67))</f>
        <v/>
      </c>
      <c r="Y67" s="3">
        <f>IF($B67="",0,SUMIFS(UCRETLER!$K$7:$K$406,UCRETLER!$B$7:$B$406,$B67))</f>
        <v/>
      </c>
      <c r="Z67" s="3">
        <f>IF($B67="",0,MAX(0,$H67-$E67))</f>
        <v/>
      </c>
      <c r="AA67" s="3">
        <f>IF($B67="",0,MAX(0,$E67-$H67))</f>
        <v/>
      </c>
      <c r="AB67" s="3">
        <f>IF($B67="",0,MAX(0,$W67-$Z67))</f>
        <v/>
      </c>
      <c r="AC67" s="3">
        <f>IF($B67="",0,MAX(0,$X67-$Z67))</f>
        <v/>
      </c>
      <c r="AD67" s="3">
        <f>IF($B67="",0,MAX(0,$Y67-$Z67))</f>
        <v/>
      </c>
    </row>
    <row r="68">
      <c r="A68" s="6" t="n"/>
      <c r="B68" s="112">
        <f>IF(MUSTERILER!$B68="","",MUSTERILER!$B68)</f>
        <v/>
      </c>
      <c r="C68" s="113">
        <f>IF(MUSTERILER!$B68="","",MUSTERILER!$C68)</f>
        <v/>
      </c>
      <c r="D68" s="116">
        <f>IF($B68="","",SUMIFS(UCRETLER!$F$7:$F$406,UCRETLER!$B$7:$B$406,$B68,UCRETLER!$G$7:$G$406,"Aktif"))</f>
        <v/>
      </c>
      <c r="E68" s="116">
        <f>IF($B68="","",SUMIFS(MUSTERILER!$J$7:$J$106,MUSTERILER!$B$7:$B$106,$B68))</f>
        <v/>
      </c>
      <c r="F68" s="116">
        <f>IF($B68="","",SUMIFS(UCRETLER!$H$7:$H$406,UCRETLER!$B$7:$B$406,$B68))</f>
        <v/>
      </c>
      <c r="G68" s="116">
        <f>IF($B68="","",$E68+$F68)</f>
        <v/>
      </c>
      <c r="H68" s="116">
        <f>IF($B68="","",SUMIFS(TAHSILAT!$F$7:$F$1506,TAHSILAT!$C$7:$C$1506,$B68))</f>
        <v/>
      </c>
      <c r="I68" s="116">
        <f>IF($B68="","",MAX(0,$G68-$H68))</f>
        <v/>
      </c>
      <c r="J68" s="116">
        <f>IF($B68="","",MAX(0,$I68-$K68-$L68-$M68))</f>
        <v/>
      </c>
      <c r="K68" s="116">
        <f>IF($B68="","",($AB68-$AC68)+IF(AND($AA68&gt;0,$S68&lt;&gt;"",$T68&gt;=8,$T68&lt;15),$AA68,0))</f>
        <v/>
      </c>
      <c r="L68" s="116">
        <f>IF($B68="","",($AC68-$AD68)+IF(AND($AA68&gt;0,$S68&lt;&gt;"",$T68&gt;=15,$T68&lt;29),$AA68,0))</f>
        <v/>
      </c>
      <c r="M68" s="116">
        <f>IF($B68="","",$AD68+IF(AND($AA68&gt;0,OR($S68="",$T68&gt;=29)),$AA68,0))</f>
        <v/>
      </c>
      <c r="N68" s="122">
        <f>IF($B68="","",IFERROR($H68/$G68,0))</f>
        <v/>
      </c>
      <c r="O68" s="123">
        <f>IF($B68="","",IFERROR(LOOKUP(2,1/(TAHSILAT!$C$7:$C$1506=$B68),TAHSILAT!$E$7:$E$1506),""))</f>
        <v/>
      </c>
      <c r="P68" s="112">
        <f>IF($B68="","",IF($M68&gt;0,"KRİTİK",IF($L68&gt;0,"YÜKSEK",IF($K68&gt;0,"ORTA",IF($I68&gt;0,"İZLE","TEMİZ")))))</f>
        <v/>
      </c>
      <c r="Q68" s="113">
        <f>IF($B68="","",IF($P68="KRİTİK","Acil tahsilat görüşmesi ve cari mutabakat",IF($P68="YÜKSEK","Bu hafta tahsilat takibi",IF($P68="ORTA","Hatırlatma mesajı gönder",IF($P68="İZLE","Normal takip","Aksiyon gerekmiyor")))))</f>
        <v/>
      </c>
      <c r="R68" s="120">
        <f>IF($B68="","",COUNTIFS(AKTIVITE!$D$7:$D$1006,$B68,AKTIVITE!$J$7:$J$1006,"&lt;&gt;Tamamlandı"))</f>
        <v/>
      </c>
      <c r="S68" s="123">
        <f>IF($B68="","",IF(MUSTERILER!$K68="","",MUSTERILER!$K68))</f>
        <v/>
      </c>
      <c r="T68" s="120">
        <f>IF(OR($B68="",$S68=""),"",TODAY()-$S68)</f>
        <v/>
      </c>
      <c r="U68" s="112">
        <f>IF($B68="","",IF(ABS($I68-($J68+$K68+$L68+$M68))&lt;0.01,"UYGUN","İNCELE"))</f>
        <v/>
      </c>
      <c r="V68" s="6" t="n"/>
      <c r="W68" s="6">
        <f>IF($B68="",0,SUMIFS(UCRETLER!$I$7:$I$406,UCRETLER!$B$7:$B$406,$B68))</f>
        <v/>
      </c>
      <c r="X68" s="3">
        <f>IF($B68="",0,SUMIFS(UCRETLER!$J$7:$J$406,UCRETLER!$B$7:$B$406,$B68))</f>
        <v/>
      </c>
      <c r="Y68" s="3">
        <f>IF($B68="",0,SUMIFS(UCRETLER!$K$7:$K$406,UCRETLER!$B$7:$B$406,$B68))</f>
        <v/>
      </c>
      <c r="Z68" s="3">
        <f>IF($B68="",0,MAX(0,$H68-$E68))</f>
        <v/>
      </c>
      <c r="AA68" s="3">
        <f>IF($B68="",0,MAX(0,$E68-$H68))</f>
        <v/>
      </c>
      <c r="AB68" s="3">
        <f>IF($B68="",0,MAX(0,$W68-$Z68))</f>
        <v/>
      </c>
      <c r="AC68" s="3">
        <f>IF($B68="",0,MAX(0,$X68-$Z68))</f>
        <v/>
      </c>
      <c r="AD68" s="3">
        <f>IF($B68="",0,MAX(0,$Y68-$Z68))</f>
        <v/>
      </c>
    </row>
    <row r="69">
      <c r="A69" s="6" t="n"/>
      <c r="B69" s="112">
        <f>IF(MUSTERILER!$B69="","",MUSTERILER!$B69)</f>
        <v/>
      </c>
      <c r="C69" s="113">
        <f>IF(MUSTERILER!$B69="","",MUSTERILER!$C69)</f>
        <v/>
      </c>
      <c r="D69" s="116">
        <f>IF($B69="","",SUMIFS(UCRETLER!$F$7:$F$406,UCRETLER!$B$7:$B$406,$B69,UCRETLER!$G$7:$G$406,"Aktif"))</f>
        <v/>
      </c>
      <c r="E69" s="116">
        <f>IF($B69="","",SUMIFS(MUSTERILER!$J$7:$J$106,MUSTERILER!$B$7:$B$106,$B69))</f>
        <v/>
      </c>
      <c r="F69" s="116">
        <f>IF($B69="","",SUMIFS(UCRETLER!$H$7:$H$406,UCRETLER!$B$7:$B$406,$B69))</f>
        <v/>
      </c>
      <c r="G69" s="116">
        <f>IF($B69="","",$E69+$F69)</f>
        <v/>
      </c>
      <c r="H69" s="116">
        <f>IF($B69="","",SUMIFS(TAHSILAT!$F$7:$F$1506,TAHSILAT!$C$7:$C$1506,$B69))</f>
        <v/>
      </c>
      <c r="I69" s="116">
        <f>IF($B69="","",MAX(0,$G69-$H69))</f>
        <v/>
      </c>
      <c r="J69" s="116">
        <f>IF($B69="","",MAX(0,$I69-$K69-$L69-$M69))</f>
        <v/>
      </c>
      <c r="K69" s="116">
        <f>IF($B69="","",($AB69-$AC69)+IF(AND($AA69&gt;0,$S69&lt;&gt;"",$T69&gt;=8,$T69&lt;15),$AA69,0))</f>
        <v/>
      </c>
      <c r="L69" s="116">
        <f>IF($B69="","",($AC69-$AD69)+IF(AND($AA69&gt;0,$S69&lt;&gt;"",$T69&gt;=15,$T69&lt;29),$AA69,0))</f>
        <v/>
      </c>
      <c r="M69" s="116">
        <f>IF($B69="","",$AD69+IF(AND($AA69&gt;0,OR($S69="",$T69&gt;=29)),$AA69,0))</f>
        <v/>
      </c>
      <c r="N69" s="122">
        <f>IF($B69="","",IFERROR($H69/$G69,0))</f>
        <v/>
      </c>
      <c r="O69" s="123">
        <f>IF($B69="","",IFERROR(LOOKUP(2,1/(TAHSILAT!$C$7:$C$1506=$B69),TAHSILAT!$E$7:$E$1506),""))</f>
        <v/>
      </c>
      <c r="P69" s="112">
        <f>IF($B69="","",IF($M69&gt;0,"KRİTİK",IF($L69&gt;0,"YÜKSEK",IF($K69&gt;0,"ORTA",IF($I69&gt;0,"İZLE","TEMİZ")))))</f>
        <v/>
      </c>
      <c r="Q69" s="113">
        <f>IF($B69="","",IF($P69="KRİTİK","Acil tahsilat görüşmesi ve cari mutabakat",IF($P69="YÜKSEK","Bu hafta tahsilat takibi",IF($P69="ORTA","Hatırlatma mesajı gönder",IF($P69="İZLE","Normal takip","Aksiyon gerekmiyor")))))</f>
        <v/>
      </c>
      <c r="R69" s="120">
        <f>IF($B69="","",COUNTIFS(AKTIVITE!$D$7:$D$1006,$B69,AKTIVITE!$J$7:$J$1006,"&lt;&gt;Tamamlandı"))</f>
        <v/>
      </c>
      <c r="S69" s="123">
        <f>IF($B69="","",IF(MUSTERILER!$K69="","",MUSTERILER!$K69))</f>
        <v/>
      </c>
      <c r="T69" s="120">
        <f>IF(OR($B69="",$S69=""),"",TODAY()-$S69)</f>
        <v/>
      </c>
      <c r="U69" s="112">
        <f>IF($B69="","",IF(ABS($I69-($J69+$K69+$L69+$M69))&lt;0.01,"UYGUN","İNCELE"))</f>
        <v/>
      </c>
      <c r="V69" s="6" t="n"/>
      <c r="W69" s="6">
        <f>IF($B69="",0,SUMIFS(UCRETLER!$I$7:$I$406,UCRETLER!$B$7:$B$406,$B69))</f>
        <v/>
      </c>
      <c r="X69" s="3">
        <f>IF($B69="",0,SUMIFS(UCRETLER!$J$7:$J$406,UCRETLER!$B$7:$B$406,$B69))</f>
        <v/>
      </c>
      <c r="Y69" s="3">
        <f>IF($B69="",0,SUMIFS(UCRETLER!$K$7:$K$406,UCRETLER!$B$7:$B$406,$B69))</f>
        <v/>
      </c>
      <c r="Z69" s="3">
        <f>IF($B69="",0,MAX(0,$H69-$E69))</f>
        <v/>
      </c>
      <c r="AA69" s="3">
        <f>IF($B69="",0,MAX(0,$E69-$H69))</f>
        <v/>
      </c>
      <c r="AB69" s="3">
        <f>IF($B69="",0,MAX(0,$W69-$Z69))</f>
        <v/>
      </c>
      <c r="AC69" s="3">
        <f>IF($B69="",0,MAX(0,$X69-$Z69))</f>
        <v/>
      </c>
      <c r="AD69" s="3">
        <f>IF($B69="",0,MAX(0,$Y69-$Z69))</f>
        <v/>
      </c>
    </row>
    <row r="70">
      <c r="A70" s="6" t="n"/>
      <c r="B70" s="112">
        <f>IF(MUSTERILER!$B70="","",MUSTERILER!$B70)</f>
        <v/>
      </c>
      <c r="C70" s="113">
        <f>IF(MUSTERILER!$B70="","",MUSTERILER!$C70)</f>
        <v/>
      </c>
      <c r="D70" s="116">
        <f>IF($B70="","",SUMIFS(UCRETLER!$F$7:$F$406,UCRETLER!$B$7:$B$406,$B70,UCRETLER!$G$7:$G$406,"Aktif"))</f>
        <v/>
      </c>
      <c r="E70" s="116">
        <f>IF($B70="","",SUMIFS(MUSTERILER!$J$7:$J$106,MUSTERILER!$B$7:$B$106,$B70))</f>
        <v/>
      </c>
      <c r="F70" s="116">
        <f>IF($B70="","",SUMIFS(UCRETLER!$H$7:$H$406,UCRETLER!$B$7:$B$406,$B70))</f>
        <v/>
      </c>
      <c r="G70" s="116">
        <f>IF($B70="","",$E70+$F70)</f>
        <v/>
      </c>
      <c r="H70" s="116">
        <f>IF($B70="","",SUMIFS(TAHSILAT!$F$7:$F$1506,TAHSILAT!$C$7:$C$1506,$B70))</f>
        <v/>
      </c>
      <c r="I70" s="116">
        <f>IF($B70="","",MAX(0,$G70-$H70))</f>
        <v/>
      </c>
      <c r="J70" s="116">
        <f>IF($B70="","",MAX(0,$I70-$K70-$L70-$M70))</f>
        <v/>
      </c>
      <c r="K70" s="116">
        <f>IF($B70="","",($AB70-$AC70)+IF(AND($AA70&gt;0,$S70&lt;&gt;"",$T70&gt;=8,$T70&lt;15),$AA70,0))</f>
        <v/>
      </c>
      <c r="L70" s="116">
        <f>IF($B70="","",($AC70-$AD70)+IF(AND($AA70&gt;0,$S70&lt;&gt;"",$T70&gt;=15,$T70&lt;29),$AA70,0))</f>
        <v/>
      </c>
      <c r="M70" s="116">
        <f>IF($B70="","",$AD70+IF(AND($AA70&gt;0,OR($S70="",$T70&gt;=29)),$AA70,0))</f>
        <v/>
      </c>
      <c r="N70" s="122">
        <f>IF($B70="","",IFERROR($H70/$G70,0))</f>
        <v/>
      </c>
      <c r="O70" s="123">
        <f>IF($B70="","",IFERROR(LOOKUP(2,1/(TAHSILAT!$C$7:$C$1506=$B70),TAHSILAT!$E$7:$E$1506),""))</f>
        <v/>
      </c>
      <c r="P70" s="112">
        <f>IF($B70="","",IF($M70&gt;0,"KRİTİK",IF($L70&gt;0,"YÜKSEK",IF($K70&gt;0,"ORTA",IF($I70&gt;0,"İZLE","TEMİZ")))))</f>
        <v/>
      </c>
      <c r="Q70" s="113">
        <f>IF($B70="","",IF($P70="KRİTİK","Acil tahsilat görüşmesi ve cari mutabakat",IF($P70="YÜKSEK","Bu hafta tahsilat takibi",IF($P70="ORTA","Hatırlatma mesajı gönder",IF($P70="İZLE","Normal takip","Aksiyon gerekmiyor")))))</f>
        <v/>
      </c>
      <c r="R70" s="120">
        <f>IF($B70="","",COUNTIFS(AKTIVITE!$D$7:$D$1006,$B70,AKTIVITE!$J$7:$J$1006,"&lt;&gt;Tamamlandı"))</f>
        <v/>
      </c>
      <c r="S70" s="123">
        <f>IF($B70="","",IF(MUSTERILER!$K70="","",MUSTERILER!$K70))</f>
        <v/>
      </c>
      <c r="T70" s="120">
        <f>IF(OR($B70="",$S70=""),"",TODAY()-$S70)</f>
        <v/>
      </c>
      <c r="U70" s="112">
        <f>IF($B70="","",IF(ABS($I70-($J70+$K70+$L70+$M70))&lt;0.01,"UYGUN","İNCELE"))</f>
        <v/>
      </c>
      <c r="V70" s="6" t="n"/>
      <c r="W70" s="6">
        <f>IF($B70="",0,SUMIFS(UCRETLER!$I$7:$I$406,UCRETLER!$B$7:$B$406,$B70))</f>
        <v/>
      </c>
      <c r="X70" s="3">
        <f>IF($B70="",0,SUMIFS(UCRETLER!$J$7:$J$406,UCRETLER!$B$7:$B$406,$B70))</f>
        <v/>
      </c>
      <c r="Y70" s="3">
        <f>IF($B70="",0,SUMIFS(UCRETLER!$K$7:$K$406,UCRETLER!$B$7:$B$406,$B70))</f>
        <v/>
      </c>
      <c r="Z70" s="3">
        <f>IF($B70="",0,MAX(0,$H70-$E70))</f>
        <v/>
      </c>
      <c r="AA70" s="3">
        <f>IF($B70="",0,MAX(0,$E70-$H70))</f>
        <v/>
      </c>
      <c r="AB70" s="3">
        <f>IF($B70="",0,MAX(0,$W70-$Z70))</f>
        <v/>
      </c>
      <c r="AC70" s="3">
        <f>IF($B70="",0,MAX(0,$X70-$Z70))</f>
        <v/>
      </c>
      <c r="AD70" s="3">
        <f>IF($B70="",0,MAX(0,$Y70-$Z70))</f>
        <v/>
      </c>
    </row>
    <row r="71">
      <c r="A71" s="6" t="n"/>
      <c r="B71" s="112">
        <f>IF(MUSTERILER!$B71="","",MUSTERILER!$B71)</f>
        <v/>
      </c>
      <c r="C71" s="113">
        <f>IF(MUSTERILER!$B71="","",MUSTERILER!$C71)</f>
        <v/>
      </c>
      <c r="D71" s="116">
        <f>IF($B71="","",SUMIFS(UCRETLER!$F$7:$F$406,UCRETLER!$B$7:$B$406,$B71,UCRETLER!$G$7:$G$406,"Aktif"))</f>
        <v/>
      </c>
      <c r="E71" s="116">
        <f>IF($B71="","",SUMIFS(MUSTERILER!$J$7:$J$106,MUSTERILER!$B$7:$B$106,$B71))</f>
        <v/>
      </c>
      <c r="F71" s="116">
        <f>IF($B71="","",SUMIFS(UCRETLER!$H$7:$H$406,UCRETLER!$B$7:$B$406,$B71))</f>
        <v/>
      </c>
      <c r="G71" s="116">
        <f>IF($B71="","",$E71+$F71)</f>
        <v/>
      </c>
      <c r="H71" s="116">
        <f>IF($B71="","",SUMIFS(TAHSILAT!$F$7:$F$1506,TAHSILAT!$C$7:$C$1506,$B71))</f>
        <v/>
      </c>
      <c r="I71" s="116">
        <f>IF($B71="","",MAX(0,$G71-$H71))</f>
        <v/>
      </c>
      <c r="J71" s="116">
        <f>IF($B71="","",MAX(0,$I71-$K71-$L71-$M71))</f>
        <v/>
      </c>
      <c r="K71" s="116">
        <f>IF($B71="","",($AB71-$AC71)+IF(AND($AA71&gt;0,$S71&lt;&gt;"",$T71&gt;=8,$T71&lt;15),$AA71,0))</f>
        <v/>
      </c>
      <c r="L71" s="116">
        <f>IF($B71="","",($AC71-$AD71)+IF(AND($AA71&gt;0,$S71&lt;&gt;"",$T71&gt;=15,$T71&lt;29),$AA71,0))</f>
        <v/>
      </c>
      <c r="M71" s="116">
        <f>IF($B71="","",$AD71+IF(AND($AA71&gt;0,OR($S71="",$T71&gt;=29)),$AA71,0))</f>
        <v/>
      </c>
      <c r="N71" s="122">
        <f>IF($B71="","",IFERROR($H71/$G71,0))</f>
        <v/>
      </c>
      <c r="O71" s="123">
        <f>IF($B71="","",IFERROR(LOOKUP(2,1/(TAHSILAT!$C$7:$C$1506=$B71),TAHSILAT!$E$7:$E$1506),""))</f>
        <v/>
      </c>
      <c r="P71" s="112">
        <f>IF($B71="","",IF($M71&gt;0,"KRİTİK",IF($L71&gt;0,"YÜKSEK",IF($K71&gt;0,"ORTA",IF($I71&gt;0,"İZLE","TEMİZ")))))</f>
        <v/>
      </c>
      <c r="Q71" s="113">
        <f>IF($B71="","",IF($P71="KRİTİK","Acil tahsilat görüşmesi ve cari mutabakat",IF($P71="YÜKSEK","Bu hafta tahsilat takibi",IF($P71="ORTA","Hatırlatma mesajı gönder",IF($P71="İZLE","Normal takip","Aksiyon gerekmiyor")))))</f>
        <v/>
      </c>
      <c r="R71" s="120">
        <f>IF($B71="","",COUNTIFS(AKTIVITE!$D$7:$D$1006,$B71,AKTIVITE!$J$7:$J$1006,"&lt;&gt;Tamamlandı"))</f>
        <v/>
      </c>
      <c r="S71" s="123">
        <f>IF($B71="","",IF(MUSTERILER!$K71="","",MUSTERILER!$K71))</f>
        <v/>
      </c>
      <c r="T71" s="120">
        <f>IF(OR($B71="",$S71=""),"",TODAY()-$S71)</f>
        <v/>
      </c>
      <c r="U71" s="112">
        <f>IF($B71="","",IF(ABS($I71-($J71+$K71+$L71+$M71))&lt;0.01,"UYGUN","İNCELE"))</f>
        <v/>
      </c>
      <c r="V71" s="6" t="n"/>
      <c r="W71" s="6">
        <f>IF($B71="",0,SUMIFS(UCRETLER!$I$7:$I$406,UCRETLER!$B$7:$B$406,$B71))</f>
        <v/>
      </c>
      <c r="X71" s="3">
        <f>IF($B71="",0,SUMIFS(UCRETLER!$J$7:$J$406,UCRETLER!$B$7:$B$406,$B71))</f>
        <v/>
      </c>
      <c r="Y71" s="3">
        <f>IF($B71="",0,SUMIFS(UCRETLER!$K$7:$K$406,UCRETLER!$B$7:$B$406,$B71))</f>
        <v/>
      </c>
      <c r="Z71" s="3">
        <f>IF($B71="",0,MAX(0,$H71-$E71))</f>
        <v/>
      </c>
      <c r="AA71" s="3">
        <f>IF($B71="",0,MAX(0,$E71-$H71))</f>
        <v/>
      </c>
      <c r="AB71" s="3">
        <f>IF($B71="",0,MAX(0,$W71-$Z71))</f>
        <v/>
      </c>
      <c r="AC71" s="3">
        <f>IF($B71="",0,MAX(0,$X71-$Z71))</f>
        <v/>
      </c>
      <c r="AD71" s="3">
        <f>IF($B71="",0,MAX(0,$Y71-$Z71))</f>
        <v/>
      </c>
    </row>
    <row r="72">
      <c r="A72" s="6" t="n"/>
      <c r="B72" s="112">
        <f>IF(MUSTERILER!$B72="","",MUSTERILER!$B72)</f>
        <v/>
      </c>
      <c r="C72" s="113">
        <f>IF(MUSTERILER!$B72="","",MUSTERILER!$C72)</f>
        <v/>
      </c>
      <c r="D72" s="116">
        <f>IF($B72="","",SUMIFS(UCRETLER!$F$7:$F$406,UCRETLER!$B$7:$B$406,$B72,UCRETLER!$G$7:$G$406,"Aktif"))</f>
        <v/>
      </c>
      <c r="E72" s="116">
        <f>IF($B72="","",SUMIFS(MUSTERILER!$J$7:$J$106,MUSTERILER!$B$7:$B$106,$B72))</f>
        <v/>
      </c>
      <c r="F72" s="116">
        <f>IF($B72="","",SUMIFS(UCRETLER!$H$7:$H$406,UCRETLER!$B$7:$B$406,$B72))</f>
        <v/>
      </c>
      <c r="G72" s="116">
        <f>IF($B72="","",$E72+$F72)</f>
        <v/>
      </c>
      <c r="H72" s="116">
        <f>IF($B72="","",SUMIFS(TAHSILAT!$F$7:$F$1506,TAHSILAT!$C$7:$C$1506,$B72))</f>
        <v/>
      </c>
      <c r="I72" s="116">
        <f>IF($B72="","",MAX(0,$G72-$H72))</f>
        <v/>
      </c>
      <c r="J72" s="116">
        <f>IF($B72="","",MAX(0,$I72-$K72-$L72-$M72))</f>
        <v/>
      </c>
      <c r="K72" s="116">
        <f>IF($B72="","",($AB72-$AC72)+IF(AND($AA72&gt;0,$S72&lt;&gt;"",$T72&gt;=8,$T72&lt;15),$AA72,0))</f>
        <v/>
      </c>
      <c r="L72" s="116">
        <f>IF($B72="","",($AC72-$AD72)+IF(AND($AA72&gt;0,$S72&lt;&gt;"",$T72&gt;=15,$T72&lt;29),$AA72,0))</f>
        <v/>
      </c>
      <c r="M72" s="116">
        <f>IF($B72="","",$AD72+IF(AND($AA72&gt;0,OR($S72="",$T72&gt;=29)),$AA72,0))</f>
        <v/>
      </c>
      <c r="N72" s="122">
        <f>IF($B72="","",IFERROR($H72/$G72,0))</f>
        <v/>
      </c>
      <c r="O72" s="123">
        <f>IF($B72="","",IFERROR(LOOKUP(2,1/(TAHSILAT!$C$7:$C$1506=$B72),TAHSILAT!$E$7:$E$1506),""))</f>
        <v/>
      </c>
      <c r="P72" s="112">
        <f>IF($B72="","",IF($M72&gt;0,"KRİTİK",IF($L72&gt;0,"YÜKSEK",IF($K72&gt;0,"ORTA",IF($I72&gt;0,"İZLE","TEMİZ")))))</f>
        <v/>
      </c>
      <c r="Q72" s="113">
        <f>IF($B72="","",IF($P72="KRİTİK","Acil tahsilat görüşmesi ve cari mutabakat",IF($P72="YÜKSEK","Bu hafta tahsilat takibi",IF($P72="ORTA","Hatırlatma mesajı gönder",IF($P72="İZLE","Normal takip","Aksiyon gerekmiyor")))))</f>
        <v/>
      </c>
      <c r="R72" s="120">
        <f>IF($B72="","",COUNTIFS(AKTIVITE!$D$7:$D$1006,$B72,AKTIVITE!$J$7:$J$1006,"&lt;&gt;Tamamlandı"))</f>
        <v/>
      </c>
      <c r="S72" s="123">
        <f>IF($B72="","",IF(MUSTERILER!$K72="","",MUSTERILER!$K72))</f>
        <v/>
      </c>
      <c r="T72" s="120">
        <f>IF(OR($B72="",$S72=""),"",TODAY()-$S72)</f>
        <v/>
      </c>
      <c r="U72" s="112">
        <f>IF($B72="","",IF(ABS($I72-($J72+$K72+$L72+$M72))&lt;0.01,"UYGUN","İNCELE"))</f>
        <v/>
      </c>
      <c r="V72" s="6" t="n"/>
      <c r="W72" s="6">
        <f>IF($B72="",0,SUMIFS(UCRETLER!$I$7:$I$406,UCRETLER!$B$7:$B$406,$B72))</f>
        <v/>
      </c>
      <c r="X72" s="3">
        <f>IF($B72="",0,SUMIFS(UCRETLER!$J$7:$J$406,UCRETLER!$B$7:$B$406,$B72))</f>
        <v/>
      </c>
      <c r="Y72" s="3">
        <f>IF($B72="",0,SUMIFS(UCRETLER!$K$7:$K$406,UCRETLER!$B$7:$B$406,$B72))</f>
        <v/>
      </c>
      <c r="Z72" s="3">
        <f>IF($B72="",0,MAX(0,$H72-$E72))</f>
        <v/>
      </c>
      <c r="AA72" s="3">
        <f>IF($B72="",0,MAX(0,$E72-$H72))</f>
        <v/>
      </c>
      <c r="AB72" s="3">
        <f>IF($B72="",0,MAX(0,$W72-$Z72))</f>
        <v/>
      </c>
      <c r="AC72" s="3">
        <f>IF($B72="",0,MAX(0,$X72-$Z72))</f>
        <v/>
      </c>
      <c r="AD72" s="3">
        <f>IF($B72="",0,MAX(0,$Y72-$Z72))</f>
        <v/>
      </c>
    </row>
    <row r="73">
      <c r="A73" s="6" t="n"/>
      <c r="B73" s="112">
        <f>IF(MUSTERILER!$B73="","",MUSTERILER!$B73)</f>
        <v/>
      </c>
      <c r="C73" s="113">
        <f>IF(MUSTERILER!$B73="","",MUSTERILER!$C73)</f>
        <v/>
      </c>
      <c r="D73" s="116">
        <f>IF($B73="","",SUMIFS(UCRETLER!$F$7:$F$406,UCRETLER!$B$7:$B$406,$B73,UCRETLER!$G$7:$G$406,"Aktif"))</f>
        <v/>
      </c>
      <c r="E73" s="116">
        <f>IF($B73="","",SUMIFS(MUSTERILER!$J$7:$J$106,MUSTERILER!$B$7:$B$106,$B73))</f>
        <v/>
      </c>
      <c r="F73" s="116">
        <f>IF($B73="","",SUMIFS(UCRETLER!$H$7:$H$406,UCRETLER!$B$7:$B$406,$B73))</f>
        <v/>
      </c>
      <c r="G73" s="116">
        <f>IF($B73="","",$E73+$F73)</f>
        <v/>
      </c>
      <c r="H73" s="116">
        <f>IF($B73="","",SUMIFS(TAHSILAT!$F$7:$F$1506,TAHSILAT!$C$7:$C$1506,$B73))</f>
        <v/>
      </c>
      <c r="I73" s="116">
        <f>IF($B73="","",MAX(0,$G73-$H73))</f>
        <v/>
      </c>
      <c r="J73" s="116">
        <f>IF($B73="","",MAX(0,$I73-$K73-$L73-$M73))</f>
        <v/>
      </c>
      <c r="K73" s="116">
        <f>IF($B73="","",($AB73-$AC73)+IF(AND($AA73&gt;0,$S73&lt;&gt;"",$T73&gt;=8,$T73&lt;15),$AA73,0))</f>
        <v/>
      </c>
      <c r="L73" s="116">
        <f>IF($B73="","",($AC73-$AD73)+IF(AND($AA73&gt;0,$S73&lt;&gt;"",$T73&gt;=15,$T73&lt;29),$AA73,0))</f>
        <v/>
      </c>
      <c r="M73" s="116">
        <f>IF($B73="","",$AD73+IF(AND($AA73&gt;0,OR($S73="",$T73&gt;=29)),$AA73,0))</f>
        <v/>
      </c>
      <c r="N73" s="122">
        <f>IF($B73="","",IFERROR($H73/$G73,0))</f>
        <v/>
      </c>
      <c r="O73" s="123">
        <f>IF($B73="","",IFERROR(LOOKUP(2,1/(TAHSILAT!$C$7:$C$1506=$B73),TAHSILAT!$E$7:$E$1506),""))</f>
        <v/>
      </c>
      <c r="P73" s="112">
        <f>IF($B73="","",IF($M73&gt;0,"KRİTİK",IF($L73&gt;0,"YÜKSEK",IF($K73&gt;0,"ORTA",IF($I73&gt;0,"İZLE","TEMİZ")))))</f>
        <v/>
      </c>
      <c r="Q73" s="113">
        <f>IF($B73="","",IF($P73="KRİTİK","Acil tahsilat görüşmesi ve cari mutabakat",IF($P73="YÜKSEK","Bu hafta tahsilat takibi",IF($P73="ORTA","Hatırlatma mesajı gönder",IF($P73="İZLE","Normal takip","Aksiyon gerekmiyor")))))</f>
        <v/>
      </c>
      <c r="R73" s="120">
        <f>IF($B73="","",COUNTIFS(AKTIVITE!$D$7:$D$1006,$B73,AKTIVITE!$J$7:$J$1006,"&lt;&gt;Tamamlandı"))</f>
        <v/>
      </c>
      <c r="S73" s="123">
        <f>IF($B73="","",IF(MUSTERILER!$K73="","",MUSTERILER!$K73))</f>
        <v/>
      </c>
      <c r="T73" s="120">
        <f>IF(OR($B73="",$S73=""),"",TODAY()-$S73)</f>
        <v/>
      </c>
      <c r="U73" s="112">
        <f>IF($B73="","",IF(ABS($I73-($J73+$K73+$L73+$M73))&lt;0.01,"UYGUN","İNCELE"))</f>
        <v/>
      </c>
      <c r="V73" s="6" t="n"/>
      <c r="W73" s="6">
        <f>IF($B73="",0,SUMIFS(UCRETLER!$I$7:$I$406,UCRETLER!$B$7:$B$406,$B73))</f>
        <v/>
      </c>
      <c r="X73" s="3">
        <f>IF($B73="",0,SUMIFS(UCRETLER!$J$7:$J$406,UCRETLER!$B$7:$B$406,$B73))</f>
        <v/>
      </c>
      <c r="Y73" s="3">
        <f>IF($B73="",0,SUMIFS(UCRETLER!$K$7:$K$406,UCRETLER!$B$7:$B$406,$B73))</f>
        <v/>
      </c>
      <c r="Z73" s="3">
        <f>IF($B73="",0,MAX(0,$H73-$E73))</f>
        <v/>
      </c>
      <c r="AA73" s="3">
        <f>IF($B73="",0,MAX(0,$E73-$H73))</f>
        <v/>
      </c>
      <c r="AB73" s="3">
        <f>IF($B73="",0,MAX(0,$W73-$Z73))</f>
        <v/>
      </c>
      <c r="AC73" s="3">
        <f>IF($B73="",0,MAX(0,$X73-$Z73))</f>
        <v/>
      </c>
      <c r="AD73" s="3">
        <f>IF($B73="",0,MAX(0,$Y73-$Z73))</f>
        <v/>
      </c>
    </row>
    <row r="74">
      <c r="A74" s="6" t="n"/>
      <c r="B74" s="112">
        <f>IF(MUSTERILER!$B74="","",MUSTERILER!$B74)</f>
        <v/>
      </c>
      <c r="C74" s="113">
        <f>IF(MUSTERILER!$B74="","",MUSTERILER!$C74)</f>
        <v/>
      </c>
      <c r="D74" s="116">
        <f>IF($B74="","",SUMIFS(UCRETLER!$F$7:$F$406,UCRETLER!$B$7:$B$406,$B74,UCRETLER!$G$7:$G$406,"Aktif"))</f>
        <v/>
      </c>
      <c r="E74" s="116">
        <f>IF($B74="","",SUMIFS(MUSTERILER!$J$7:$J$106,MUSTERILER!$B$7:$B$106,$B74))</f>
        <v/>
      </c>
      <c r="F74" s="116">
        <f>IF($B74="","",SUMIFS(UCRETLER!$H$7:$H$406,UCRETLER!$B$7:$B$406,$B74))</f>
        <v/>
      </c>
      <c r="G74" s="116">
        <f>IF($B74="","",$E74+$F74)</f>
        <v/>
      </c>
      <c r="H74" s="116">
        <f>IF($B74="","",SUMIFS(TAHSILAT!$F$7:$F$1506,TAHSILAT!$C$7:$C$1506,$B74))</f>
        <v/>
      </c>
      <c r="I74" s="116">
        <f>IF($B74="","",MAX(0,$G74-$H74))</f>
        <v/>
      </c>
      <c r="J74" s="116">
        <f>IF($B74="","",MAX(0,$I74-$K74-$L74-$M74))</f>
        <v/>
      </c>
      <c r="K74" s="116">
        <f>IF($B74="","",($AB74-$AC74)+IF(AND($AA74&gt;0,$S74&lt;&gt;"",$T74&gt;=8,$T74&lt;15),$AA74,0))</f>
        <v/>
      </c>
      <c r="L74" s="116">
        <f>IF($B74="","",($AC74-$AD74)+IF(AND($AA74&gt;0,$S74&lt;&gt;"",$T74&gt;=15,$T74&lt;29),$AA74,0))</f>
        <v/>
      </c>
      <c r="M74" s="116">
        <f>IF($B74="","",$AD74+IF(AND($AA74&gt;0,OR($S74="",$T74&gt;=29)),$AA74,0))</f>
        <v/>
      </c>
      <c r="N74" s="122">
        <f>IF($B74="","",IFERROR($H74/$G74,0))</f>
        <v/>
      </c>
      <c r="O74" s="123">
        <f>IF($B74="","",IFERROR(LOOKUP(2,1/(TAHSILAT!$C$7:$C$1506=$B74),TAHSILAT!$E$7:$E$1506),""))</f>
        <v/>
      </c>
      <c r="P74" s="112">
        <f>IF($B74="","",IF($M74&gt;0,"KRİTİK",IF($L74&gt;0,"YÜKSEK",IF($K74&gt;0,"ORTA",IF($I74&gt;0,"İZLE","TEMİZ")))))</f>
        <v/>
      </c>
      <c r="Q74" s="113">
        <f>IF($B74="","",IF($P74="KRİTİK","Acil tahsilat görüşmesi ve cari mutabakat",IF($P74="YÜKSEK","Bu hafta tahsilat takibi",IF($P74="ORTA","Hatırlatma mesajı gönder",IF($P74="İZLE","Normal takip","Aksiyon gerekmiyor")))))</f>
        <v/>
      </c>
      <c r="R74" s="120">
        <f>IF($B74="","",COUNTIFS(AKTIVITE!$D$7:$D$1006,$B74,AKTIVITE!$J$7:$J$1006,"&lt;&gt;Tamamlandı"))</f>
        <v/>
      </c>
      <c r="S74" s="123">
        <f>IF($B74="","",IF(MUSTERILER!$K74="","",MUSTERILER!$K74))</f>
        <v/>
      </c>
      <c r="T74" s="120">
        <f>IF(OR($B74="",$S74=""),"",TODAY()-$S74)</f>
        <v/>
      </c>
      <c r="U74" s="112">
        <f>IF($B74="","",IF(ABS($I74-($J74+$K74+$L74+$M74))&lt;0.01,"UYGUN","İNCELE"))</f>
        <v/>
      </c>
      <c r="V74" s="6" t="n"/>
      <c r="W74" s="6">
        <f>IF($B74="",0,SUMIFS(UCRETLER!$I$7:$I$406,UCRETLER!$B$7:$B$406,$B74))</f>
        <v/>
      </c>
      <c r="X74" s="3">
        <f>IF($B74="",0,SUMIFS(UCRETLER!$J$7:$J$406,UCRETLER!$B$7:$B$406,$B74))</f>
        <v/>
      </c>
      <c r="Y74" s="3">
        <f>IF($B74="",0,SUMIFS(UCRETLER!$K$7:$K$406,UCRETLER!$B$7:$B$406,$B74))</f>
        <v/>
      </c>
      <c r="Z74" s="3">
        <f>IF($B74="",0,MAX(0,$H74-$E74))</f>
        <v/>
      </c>
      <c r="AA74" s="3">
        <f>IF($B74="",0,MAX(0,$E74-$H74))</f>
        <v/>
      </c>
      <c r="AB74" s="3">
        <f>IF($B74="",0,MAX(0,$W74-$Z74))</f>
        <v/>
      </c>
      <c r="AC74" s="3">
        <f>IF($B74="",0,MAX(0,$X74-$Z74))</f>
        <v/>
      </c>
      <c r="AD74" s="3">
        <f>IF($B74="",0,MAX(0,$Y74-$Z74))</f>
        <v/>
      </c>
    </row>
    <row r="75">
      <c r="A75" s="6" t="n"/>
      <c r="B75" s="112">
        <f>IF(MUSTERILER!$B75="","",MUSTERILER!$B75)</f>
        <v/>
      </c>
      <c r="C75" s="113">
        <f>IF(MUSTERILER!$B75="","",MUSTERILER!$C75)</f>
        <v/>
      </c>
      <c r="D75" s="116">
        <f>IF($B75="","",SUMIFS(UCRETLER!$F$7:$F$406,UCRETLER!$B$7:$B$406,$B75,UCRETLER!$G$7:$G$406,"Aktif"))</f>
        <v/>
      </c>
      <c r="E75" s="116">
        <f>IF($B75="","",SUMIFS(MUSTERILER!$J$7:$J$106,MUSTERILER!$B$7:$B$106,$B75))</f>
        <v/>
      </c>
      <c r="F75" s="116">
        <f>IF($B75="","",SUMIFS(UCRETLER!$H$7:$H$406,UCRETLER!$B$7:$B$406,$B75))</f>
        <v/>
      </c>
      <c r="G75" s="116">
        <f>IF($B75="","",$E75+$F75)</f>
        <v/>
      </c>
      <c r="H75" s="116">
        <f>IF($B75="","",SUMIFS(TAHSILAT!$F$7:$F$1506,TAHSILAT!$C$7:$C$1506,$B75))</f>
        <v/>
      </c>
      <c r="I75" s="116">
        <f>IF($B75="","",MAX(0,$G75-$H75))</f>
        <v/>
      </c>
      <c r="J75" s="116">
        <f>IF($B75="","",MAX(0,$I75-$K75-$L75-$M75))</f>
        <v/>
      </c>
      <c r="K75" s="116">
        <f>IF($B75="","",($AB75-$AC75)+IF(AND($AA75&gt;0,$S75&lt;&gt;"",$T75&gt;=8,$T75&lt;15),$AA75,0))</f>
        <v/>
      </c>
      <c r="L75" s="116">
        <f>IF($B75="","",($AC75-$AD75)+IF(AND($AA75&gt;0,$S75&lt;&gt;"",$T75&gt;=15,$T75&lt;29),$AA75,0))</f>
        <v/>
      </c>
      <c r="M75" s="116">
        <f>IF($B75="","",$AD75+IF(AND($AA75&gt;0,OR($S75="",$T75&gt;=29)),$AA75,0))</f>
        <v/>
      </c>
      <c r="N75" s="122">
        <f>IF($B75="","",IFERROR($H75/$G75,0))</f>
        <v/>
      </c>
      <c r="O75" s="123">
        <f>IF($B75="","",IFERROR(LOOKUP(2,1/(TAHSILAT!$C$7:$C$1506=$B75),TAHSILAT!$E$7:$E$1506),""))</f>
        <v/>
      </c>
      <c r="P75" s="112">
        <f>IF($B75="","",IF($M75&gt;0,"KRİTİK",IF($L75&gt;0,"YÜKSEK",IF($K75&gt;0,"ORTA",IF($I75&gt;0,"İZLE","TEMİZ")))))</f>
        <v/>
      </c>
      <c r="Q75" s="113">
        <f>IF($B75="","",IF($P75="KRİTİK","Acil tahsilat görüşmesi ve cari mutabakat",IF($P75="YÜKSEK","Bu hafta tahsilat takibi",IF($P75="ORTA","Hatırlatma mesajı gönder",IF($P75="İZLE","Normal takip","Aksiyon gerekmiyor")))))</f>
        <v/>
      </c>
      <c r="R75" s="120">
        <f>IF($B75="","",COUNTIFS(AKTIVITE!$D$7:$D$1006,$B75,AKTIVITE!$J$7:$J$1006,"&lt;&gt;Tamamlandı"))</f>
        <v/>
      </c>
      <c r="S75" s="123">
        <f>IF($B75="","",IF(MUSTERILER!$K75="","",MUSTERILER!$K75))</f>
        <v/>
      </c>
      <c r="T75" s="120">
        <f>IF(OR($B75="",$S75=""),"",TODAY()-$S75)</f>
        <v/>
      </c>
      <c r="U75" s="112">
        <f>IF($B75="","",IF(ABS($I75-($J75+$K75+$L75+$M75))&lt;0.01,"UYGUN","İNCELE"))</f>
        <v/>
      </c>
      <c r="V75" s="6" t="n"/>
      <c r="W75" s="6">
        <f>IF($B75="",0,SUMIFS(UCRETLER!$I$7:$I$406,UCRETLER!$B$7:$B$406,$B75))</f>
        <v/>
      </c>
      <c r="X75" s="3">
        <f>IF($B75="",0,SUMIFS(UCRETLER!$J$7:$J$406,UCRETLER!$B$7:$B$406,$B75))</f>
        <v/>
      </c>
      <c r="Y75" s="3">
        <f>IF($B75="",0,SUMIFS(UCRETLER!$K$7:$K$406,UCRETLER!$B$7:$B$406,$B75))</f>
        <v/>
      </c>
      <c r="Z75" s="3">
        <f>IF($B75="",0,MAX(0,$H75-$E75))</f>
        <v/>
      </c>
      <c r="AA75" s="3">
        <f>IF($B75="",0,MAX(0,$E75-$H75))</f>
        <v/>
      </c>
      <c r="AB75" s="3">
        <f>IF($B75="",0,MAX(0,$W75-$Z75))</f>
        <v/>
      </c>
      <c r="AC75" s="3">
        <f>IF($B75="",0,MAX(0,$X75-$Z75))</f>
        <v/>
      </c>
      <c r="AD75" s="3">
        <f>IF($B75="",0,MAX(0,$Y75-$Z75))</f>
        <v/>
      </c>
    </row>
    <row r="76">
      <c r="A76" s="6" t="n"/>
      <c r="B76" s="112">
        <f>IF(MUSTERILER!$B76="","",MUSTERILER!$B76)</f>
        <v/>
      </c>
      <c r="C76" s="113">
        <f>IF(MUSTERILER!$B76="","",MUSTERILER!$C76)</f>
        <v/>
      </c>
      <c r="D76" s="116">
        <f>IF($B76="","",SUMIFS(UCRETLER!$F$7:$F$406,UCRETLER!$B$7:$B$406,$B76,UCRETLER!$G$7:$G$406,"Aktif"))</f>
        <v/>
      </c>
      <c r="E76" s="116">
        <f>IF($B76="","",SUMIFS(MUSTERILER!$J$7:$J$106,MUSTERILER!$B$7:$B$106,$B76))</f>
        <v/>
      </c>
      <c r="F76" s="116">
        <f>IF($B76="","",SUMIFS(UCRETLER!$H$7:$H$406,UCRETLER!$B$7:$B$406,$B76))</f>
        <v/>
      </c>
      <c r="G76" s="116">
        <f>IF($B76="","",$E76+$F76)</f>
        <v/>
      </c>
      <c r="H76" s="116">
        <f>IF($B76="","",SUMIFS(TAHSILAT!$F$7:$F$1506,TAHSILAT!$C$7:$C$1506,$B76))</f>
        <v/>
      </c>
      <c r="I76" s="116">
        <f>IF($B76="","",MAX(0,$G76-$H76))</f>
        <v/>
      </c>
      <c r="J76" s="116">
        <f>IF($B76="","",MAX(0,$I76-$K76-$L76-$M76))</f>
        <v/>
      </c>
      <c r="K76" s="116">
        <f>IF($B76="","",($AB76-$AC76)+IF(AND($AA76&gt;0,$S76&lt;&gt;"",$T76&gt;=8,$T76&lt;15),$AA76,0))</f>
        <v/>
      </c>
      <c r="L76" s="116">
        <f>IF($B76="","",($AC76-$AD76)+IF(AND($AA76&gt;0,$S76&lt;&gt;"",$T76&gt;=15,$T76&lt;29),$AA76,0))</f>
        <v/>
      </c>
      <c r="M76" s="116">
        <f>IF($B76="","",$AD76+IF(AND($AA76&gt;0,OR($S76="",$T76&gt;=29)),$AA76,0))</f>
        <v/>
      </c>
      <c r="N76" s="122">
        <f>IF($B76="","",IFERROR($H76/$G76,0))</f>
        <v/>
      </c>
      <c r="O76" s="123">
        <f>IF($B76="","",IFERROR(LOOKUP(2,1/(TAHSILAT!$C$7:$C$1506=$B76),TAHSILAT!$E$7:$E$1506),""))</f>
        <v/>
      </c>
      <c r="P76" s="112">
        <f>IF($B76="","",IF($M76&gt;0,"KRİTİK",IF($L76&gt;0,"YÜKSEK",IF($K76&gt;0,"ORTA",IF($I76&gt;0,"İZLE","TEMİZ")))))</f>
        <v/>
      </c>
      <c r="Q76" s="113">
        <f>IF($B76="","",IF($P76="KRİTİK","Acil tahsilat görüşmesi ve cari mutabakat",IF($P76="YÜKSEK","Bu hafta tahsilat takibi",IF($P76="ORTA","Hatırlatma mesajı gönder",IF($P76="İZLE","Normal takip","Aksiyon gerekmiyor")))))</f>
        <v/>
      </c>
      <c r="R76" s="120">
        <f>IF($B76="","",COUNTIFS(AKTIVITE!$D$7:$D$1006,$B76,AKTIVITE!$J$7:$J$1006,"&lt;&gt;Tamamlandı"))</f>
        <v/>
      </c>
      <c r="S76" s="123">
        <f>IF($B76="","",IF(MUSTERILER!$K76="","",MUSTERILER!$K76))</f>
        <v/>
      </c>
      <c r="T76" s="120">
        <f>IF(OR($B76="",$S76=""),"",TODAY()-$S76)</f>
        <v/>
      </c>
      <c r="U76" s="112">
        <f>IF($B76="","",IF(ABS($I76-($J76+$K76+$L76+$M76))&lt;0.01,"UYGUN","İNCELE"))</f>
        <v/>
      </c>
      <c r="V76" s="6" t="n"/>
      <c r="W76" s="6">
        <f>IF($B76="",0,SUMIFS(UCRETLER!$I$7:$I$406,UCRETLER!$B$7:$B$406,$B76))</f>
        <v/>
      </c>
      <c r="X76" s="3">
        <f>IF($B76="",0,SUMIFS(UCRETLER!$J$7:$J$406,UCRETLER!$B$7:$B$406,$B76))</f>
        <v/>
      </c>
      <c r="Y76" s="3">
        <f>IF($B76="",0,SUMIFS(UCRETLER!$K$7:$K$406,UCRETLER!$B$7:$B$406,$B76))</f>
        <v/>
      </c>
      <c r="Z76" s="3">
        <f>IF($B76="",0,MAX(0,$H76-$E76))</f>
        <v/>
      </c>
      <c r="AA76" s="3">
        <f>IF($B76="",0,MAX(0,$E76-$H76))</f>
        <v/>
      </c>
      <c r="AB76" s="3">
        <f>IF($B76="",0,MAX(0,$W76-$Z76))</f>
        <v/>
      </c>
      <c r="AC76" s="3">
        <f>IF($B76="",0,MAX(0,$X76-$Z76))</f>
        <v/>
      </c>
      <c r="AD76" s="3">
        <f>IF($B76="",0,MAX(0,$Y76-$Z76))</f>
        <v/>
      </c>
    </row>
    <row r="77">
      <c r="A77" s="6" t="n"/>
      <c r="B77" s="112">
        <f>IF(MUSTERILER!$B77="","",MUSTERILER!$B77)</f>
        <v/>
      </c>
      <c r="C77" s="113">
        <f>IF(MUSTERILER!$B77="","",MUSTERILER!$C77)</f>
        <v/>
      </c>
      <c r="D77" s="116">
        <f>IF($B77="","",SUMIFS(UCRETLER!$F$7:$F$406,UCRETLER!$B$7:$B$406,$B77,UCRETLER!$G$7:$G$406,"Aktif"))</f>
        <v/>
      </c>
      <c r="E77" s="116">
        <f>IF($B77="","",SUMIFS(MUSTERILER!$J$7:$J$106,MUSTERILER!$B$7:$B$106,$B77))</f>
        <v/>
      </c>
      <c r="F77" s="116">
        <f>IF($B77="","",SUMIFS(UCRETLER!$H$7:$H$406,UCRETLER!$B$7:$B$406,$B77))</f>
        <v/>
      </c>
      <c r="G77" s="116">
        <f>IF($B77="","",$E77+$F77)</f>
        <v/>
      </c>
      <c r="H77" s="116">
        <f>IF($B77="","",SUMIFS(TAHSILAT!$F$7:$F$1506,TAHSILAT!$C$7:$C$1506,$B77))</f>
        <v/>
      </c>
      <c r="I77" s="116">
        <f>IF($B77="","",MAX(0,$G77-$H77))</f>
        <v/>
      </c>
      <c r="J77" s="116">
        <f>IF($B77="","",MAX(0,$I77-$K77-$L77-$M77))</f>
        <v/>
      </c>
      <c r="K77" s="116">
        <f>IF($B77="","",($AB77-$AC77)+IF(AND($AA77&gt;0,$S77&lt;&gt;"",$T77&gt;=8,$T77&lt;15),$AA77,0))</f>
        <v/>
      </c>
      <c r="L77" s="116">
        <f>IF($B77="","",($AC77-$AD77)+IF(AND($AA77&gt;0,$S77&lt;&gt;"",$T77&gt;=15,$T77&lt;29),$AA77,0))</f>
        <v/>
      </c>
      <c r="M77" s="116">
        <f>IF($B77="","",$AD77+IF(AND($AA77&gt;0,OR($S77="",$T77&gt;=29)),$AA77,0))</f>
        <v/>
      </c>
      <c r="N77" s="122">
        <f>IF($B77="","",IFERROR($H77/$G77,0))</f>
        <v/>
      </c>
      <c r="O77" s="123">
        <f>IF($B77="","",IFERROR(LOOKUP(2,1/(TAHSILAT!$C$7:$C$1506=$B77),TAHSILAT!$E$7:$E$1506),""))</f>
        <v/>
      </c>
      <c r="P77" s="112">
        <f>IF($B77="","",IF($M77&gt;0,"KRİTİK",IF($L77&gt;0,"YÜKSEK",IF($K77&gt;0,"ORTA",IF($I77&gt;0,"İZLE","TEMİZ")))))</f>
        <v/>
      </c>
      <c r="Q77" s="113">
        <f>IF($B77="","",IF($P77="KRİTİK","Acil tahsilat görüşmesi ve cari mutabakat",IF($P77="YÜKSEK","Bu hafta tahsilat takibi",IF($P77="ORTA","Hatırlatma mesajı gönder",IF($P77="İZLE","Normal takip","Aksiyon gerekmiyor")))))</f>
        <v/>
      </c>
      <c r="R77" s="120">
        <f>IF($B77="","",COUNTIFS(AKTIVITE!$D$7:$D$1006,$B77,AKTIVITE!$J$7:$J$1006,"&lt;&gt;Tamamlandı"))</f>
        <v/>
      </c>
      <c r="S77" s="123">
        <f>IF($B77="","",IF(MUSTERILER!$K77="","",MUSTERILER!$K77))</f>
        <v/>
      </c>
      <c r="T77" s="120">
        <f>IF(OR($B77="",$S77=""),"",TODAY()-$S77)</f>
        <v/>
      </c>
      <c r="U77" s="112">
        <f>IF($B77="","",IF(ABS($I77-($J77+$K77+$L77+$M77))&lt;0.01,"UYGUN","İNCELE"))</f>
        <v/>
      </c>
      <c r="V77" s="6" t="n"/>
      <c r="W77" s="6">
        <f>IF($B77="",0,SUMIFS(UCRETLER!$I$7:$I$406,UCRETLER!$B$7:$B$406,$B77))</f>
        <v/>
      </c>
      <c r="X77" s="3">
        <f>IF($B77="",0,SUMIFS(UCRETLER!$J$7:$J$406,UCRETLER!$B$7:$B$406,$B77))</f>
        <v/>
      </c>
      <c r="Y77" s="3">
        <f>IF($B77="",0,SUMIFS(UCRETLER!$K$7:$K$406,UCRETLER!$B$7:$B$406,$B77))</f>
        <v/>
      </c>
      <c r="Z77" s="3">
        <f>IF($B77="",0,MAX(0,$H77-$E77))</f>
        <v/>
      </c>
      <c r="AA77" s="3">
        <f>IF($B77="",0,MAX(0,$E77-$H77))</f>
        <v/>
      </c>
      <c r="AB77" s="3">
        <f>IF($B77="",0,MAX(0,$W77-$Z77))</f>
        <v/>
      </c>
      <c r="AC77" s="3">
        <f>IF($B77="",0,MAX(0,$X77-$Z77))</f>
        <v/>
      </c>
      <c r="AD77" s="3">
        <f>IF($B77="",0,MAX(0,$Y77-$Z77))</f>
        <v/>
      </c>
    </row>
    <row r="78">
      <c r="A78" s="6" t="n"/>
      <c r="B78" s="112">
        <f>IF(MUSTERILER!$B78="","",MUSTERILER!$B78)</f>
        <v/>
      </c>
      <c r="C78" s="113">
        <f>IF(MUSTERILER!$B78="","",MUSTERILER!$C78)</f>
        <v/>
      </c>
      <c r="D78" s="116">
        <f>IF($B78="","",SUMIFS(UCRETLER!$F$7:$F$406,UCRETLER!$B$7:$B$406,$B78,UCRETLER!$G$7:$G$406,"Aktif"))</f>
        <v/>
      </c>
      <c r="E78" s="116">
        <f>IF($B78="","",SUMIFS(MUSTERILER!$J$7:$J$106,MUSTERILER!$B$7:$B$106,$B78))</f>
        <v/>
      </c>
      <c r="F78" s="116">
        <f>IF($B78="","",SUMIFS(UCRETLER!$H$7:$H$406,UCRETLER!$B$7:$B$406,$B78))</f>
        <v/>
      </c>
      <c r="G78" s="116">
        <f>IF($B78="","",$E78+$F78)</f>
        <v/>
      </c>
      <c r="H78" s="116">
        <f>IF($B78="","",SUMIFS(TAHSILAT!$F$7:$F$1506,TAHSILAT!$C$7:$C$1506,$B78))</f>
        <v/>
      </c>
      <c r="I78" s="116">
        <f>IF($B78="","",MAX(0,$G78-$H78))</f>
        <v/>
      </c>
      <c r="J78" s="116">
        <f>IF($B78="","",MAX(0,$I78-$K78-$L78-$M78))</f>
        <v/>
      </c>
      <c r="K78" s="116">
        <f>IF($B78="","",($AB78-$AC78)+IF(AND($AA78&gt;0,$S78&lt;&gt;"",$T78&gt;=8,$T78&lt;15),$AA78,0))</f>
        <v/>
      </c>
      <c r="L78" s="116">
        <f>IF($B78="","",($AC78-$AD78)+IF(AND($AA78&gt;0,$S78&lt;&gt;"",$T78&gt;=15,$T78&lt;29),$AA78,0))</f>
        <v/>
      </c>
      <c r="M78" s="116">
        <f>IF($B78="","",$AD78+IF(AND($AA78&gt;0,OR($S78="",$T78&gt;=29)),$AA78,0))</f>
        <v/>
      </c>
      <c r="N78" s="122">
        <f>IF($B78="","",IFERROR($H78/$G78,0))</f>
        <v/>
      </c>
      <c r="O78" s="123">
        <f>IF($B78="","",IFERROR(LOOKUP(2,1/(TAHSILAT!$C$7:$C$1506=$B78),TAHSILAT!$E$7:$E$1506),""))</f>
        <v/>
      </c>
      <c r="P78" s="112">
        <f>IF($B78="","",IF($M78&gt;0,"KRİTİK",IF($L78&gt;0,"YÜKSEK",IF($K78&gt;0,"ORTA",IF($I78&gt;0,"İZLE","TEMİZ")))))</f>
        <v/>
      </c>
      <c r="Q78" s="113">
        <f>IF($B78="","",IF($P78="KRİTİK","Acil tahsilat görüşmesi ve cari mutabakat",IF($P78="YÜKSEK","Bu hafta tahsilat takibi",IF($P78="ORTA","Hatırlatma mesajı gönder",IF($P78="İZLE","Normal takip","Aksiyon gerekmiyor")))))</f>
        <v/>
      </c>
      <c r="R78" s="120">
        <f>IF($B78="","",COUNTIFS(AKTIVITE!$D$7:$D$1006,$B78,AKTIVITE!$J$7:$J$1006,"&lt;&gt;Tamamlandı"))</f>
        <v/>
      </c>
      <c r="S78" s="123">
        <f>IF($B78="","",IF(MUSTERILER!$K78="","",MUSTERILER!$K78))</f>
        <v/>
      </c>
      <c r="T78" s="120">
        <f>IF(OR($B78="",$S78=""),"",TODAY()-$S78)</f>
        <v/>
      </c>
      <c r="U78" s="112">
        <f>IF($B78="","",IF(ABS($I78-($J78+$K78+$L78+$M78))&lt;0.01,"UYGUN","İNCELE"))</f>
        <v/>
      </c>
      <c r="V78" s="6" t="n"/>
      <c r="W78" s="6">
        <f>IF($B78="",0,SUMIFS(UCRETLER!$I$7:$I$406,UCRETLER!$B$7:$B$406,$B78))</f>
        <v/>
      </c>
      <c r="X78" s="3">
        <f>IF($B78="",0,SUMIFS(UCRETLER!$J$7:$J$406,UCRETLER!$B$7:$B$406,$B78))</f>
        <v/>
      </c>
      <c r="Y78" s="3">
        <f>IF($B78="",0,SUMIFS(UCRETLER!$K$7:$K$406,UCRETLER!$B$7:$B$406,$B78))</f>
        <v/>
      </c>
      <c r="Z78" s="3">
        <f>IF($B78="",0,MAX(0,$H78-$E78))</f>
        <v/>
      </c>
      <c r="AA78" s="3">
        <f>IF($B78="",0,MAX(0,$E78-$H78))</f>
        <v/>
      </c>
      <c r="AB78" s="3">
        <f>IF($B78="",0,MAX(0,$W78-$Z78))</f>
        <v/>
      </c>
      <c r="AC78" s="3">
        <f>IF($B78="",0,MAX(0,$X78-$Z78))</f>
        <v/>
      </c>
      <c r="AD78" s="3">
        <f>IF($B78="",0,MAX(0,$Y78-$Z78))</f>
        <v/>
      </c>
    </row>
    <row r="79">
      <c r="A79" s="6" t="n"/>
      <c r="B79" s="112">
        <f>IF(MUSTERILER!$B79="","",MUSTERILER!$B79)</f>
        <v/>
      </c>
      <c r="C79" s="113">
        <f>IF(MUSTERILER!$B79="","",MUSTERILER!$C79)</f>
        <v/>
      </c>
      <c r="D79" s="116">
        <f>IF($B79="","",SUMIFS(UCRETLER!$F$7:$F$406,UCRETLER!$B$7:$B$406,$B79,UCRETLER!$G$7:$G$406,"Aktif"))</f>
        <v/>
      </c>
      <c r="E79" s="116">
        <f>IF($B79="","",SUMIFS(MUSTERILER!$J$7:$J$106,MUSTERILER!$B$7:$B$106,$B79))</f>
        <v/>
      </c>
      <c r="F79" s="116">
        <f>IF($B79="","",SUMIFS(UCRETLER!$H$7:$H$406,UCRETLER!$B$7:$B$406,$B79))</f>
        <v/>
      </c>
      <c r="G79" s="116">
        <f>IF($B79="","",$E79+$F79)</f>
        <v/>
      </c>
      <c r="H79" s="116">
        <f>IF($B79="","",SUMIFS(TAHSILAT!$F$7:$F$1506,TAHSILAT!$C$7:$C$1506,$B79))</f>
        <v/>
      </c>
      <c r="I79" s="116">
        <f>IF($B79="","",MAX(0,$G79-$H79))</f>
        <v/>
      </c>
      <c r="J79" s="116">
        <f>IF($B79="","",MAX(0,$I79-$K79-$L79-$M79))</f>
        <v/>
      </c>
      <c r="K79" s="116">
        <f>IF($B79="","",($AB79-$AC79)+IF(AND($AA79&gt;0,$S79&lt;&gt;"",$T79&gt;=8,$T79&lt;15),$AA79,0))</f>
        <v/>
      </c>
      <c r="L79" s="116">
        <f>IF($B79="","",($AC79-$AD79)+IF(AND($AA79&gt;0,$S79&lt;&gt;"",$T79&gt;=15,$T79&lt;29),$AA79,0))</f>
        <v/>
      </c>
      <c r="M79" s="116">
        <f>IF($B79="","",$AD79+IF(AND($AA79&gt;0,OR($S79="",$T79&gt;=29)),$AA79,0))</f>
        <v/>
      </c>
      <c r="N79" s="122">
        <f>IF($B79="","",IFERROR($H79/$G79,0))</f>
        <v/>
      </c>
      <c r="O79" s="123">
        <f>IF($B79="","",IFERROR(LOOKUP(2,1/(TAHSILAT!$C$7:$C$1506=$B79),TAHSILAT!$E$7:$E$1506),""))</f>
        <v/>
      </c>
      <c r="P79" s="112">
        <f>IF($B79="","",IF($M79&gt;0,"KRİTİK",IF($L79&gt;0,"YÜKSEK",IF($K79&gt;0,"ORTA",IF($I79&gt;0,"İZLE","TEMİZ")))))</f>
        <v/>
      </c>
      <c r="Q79" s="113">
        <f>IF($B79="","",IF($P79="KRİTİK","Acil tahsilat görüşmesi ve cari mutabakat",IF($P79="YÜKSEK","Bu hafta tahsilat takibi",IF($P79="ORTA","Hatırlatma mesajı gönder",IF($P79="İZLE","Normal takip","Aksiyon gerekmiyor")))))</f>
        <v/>
      </c>
      <c r="R79" s="120">
        <f>IF($B79="","",COUNTIFS(AKTIVITE!$D$7:$D$1006,$B79,AKTIVITE!$J$7:$J$1006,"&lt;&gt;Tamamlandı"))</f>
        <v/>
      </c>
      <c r="S79" s="123">
        <f>IF($B79="","",IF(MUSTERILER!$K79="","",MUSTERILER!$K79))</f>
        <v/>
      </c>
      <c r="T79" s="120">
        <f>IF(OR($B79="",$S79=""),"",TODAY()-$S79)</f>
        <v/>
      </c>
      <c r="U79" s="112">
        <f>IF($B79="","",IF(ABS($I79-($J79+$K79+$L79+$M79))&lt;0.01,"UYGUN","İNCELE"))</f>
        <v/>
      </c>
      <c r="V79" s="6" t="n"/>
      <c r="W79" s="6">
        <f>IF($B79="",0,SUMIFS(UCRETLER!$I$7:$I$406,UCRETLER!$B$7:$B$406,$B79))</f>
        <v/>
      </c>
      <c r="X79" s="3">
        <f>IF($B79="",0,SUMIFS(UCRETLER!$J$7:$J$406,UCRETLER!$B$7:$B$406,$B79))</f>
        <v/>
      </c>
      <c r="Y79" s="3">
        <f>IF($B79="",0,SUMIFS(UCRETLER!$K$7:$K$406,UCRETLER!$B$7:$B$406,$B79))</f>
        <v/>
      </c>
      <c r="Z79" s="3">
        <f>IF($B79="",0,MAX(0,$H79-$E79))</f>
        <v/>
      </c>
      <c r="AA79" s="3">
        <f>IF($B79="",0,MAX(0,$E79-$H79))</f>
        <v/>
      </c>
      <c r="AB79" s="3">
        <f>IF($B79="",0,MAX(0,$W79-$Z79))</f>
        <v/>
      </c>
      <c r="AC79" s="3">
        <f>IF($B79="",0,MAX(0,$X79-$Z79))</f>
        <v/>
      </c>
      <c r="AD79" s="3">
        <f>IF($B79="",0,MAX(0,$Y79-$Z79))</f>
        <v/>
      </c>
    </row>
    <row r="80">
      <c r="A80" s="6" t="n"/>
      <c r="B80" s="112">
        <f>IF(MUSTERILER!$B80="","",MUSTERILER!$B80)</f>
        <v/>
      </c>
      <c r="C80" s="113">
        <f>IF(MUSTERILER!$B80="","",MUSTERILER!$C80)</f>
        <v/>
      </c>
      <c r="D80" s="116">
        <f>IF($B80="","",SUMIFS(UCRETLER!$F$7:$F$406,UCRETLER!$B$7:$B$406,$B80,UCRETLER!$G$7:$G$406,"Aktif"))</f>
        <v/>
      </c>
      <c r="E80" s="116">
        <f>IF($B80="","",SUMIFS(MUSTERILER!$J$7:$J$106,MUSTERILER!$B$7:$B$106,$B80))</f>
        <v/>
      </c>
      <c r="F80" s="116">
        <f>IF($B80="","",SUMIFS(UCRETLER!$H$7:$H$406,UCRETLER!$B$7:$B$406,$B80))</f>
        <v/>
      </c>
      <c r="G80" s="116">
        <f>IF($B80="","",$E80+$F80)</f>
        <v/>
      </c>
      <c r="H80" s="116">
        <f>IF($B80="","",SUMIFS(TAHSILAT!$F$7:$F$1506,TAHSILAT!$C$7:$C$1506,$B80))</f>
        <v/>
      </c>
      <c r="I80" s="116">
        <f>IF($B80="","",MAX(0,$G80-$H80))</f>
        <v/>
      </c>
      <c r="J80" s="116">
        <f>IF($B80="","",MAX(0,$I80-$K80-$L80-$M80))</f>
        <v/>
      </c>
      <c r="K80" s="116">
        <f>IF($B80="","",($AB80-$AC80)+IF(AND($AA80&gt;0,$S80&lt;&gt;"",$T80&gt;=8,$T80&lt;15),$AA80,0))</f>
        <v/>
      </c>
      <c r="L80" s="116">
        <f>IF($B80="","",($AC80-$AD80)+IF(AND($AA80&gt;0,$S80&lt;&gt;"",$T80&gt;=15,$T80&lt;29),$AA80,0))</f>
        <v/>
      </c>
      <c r="M80" s="116">
        <f>IF($B80="","",$AD80+IF(AND($AA80&gt;0,OR($S80="",$T80&gt;=29)),$AA80,0))</f>
        <v/>
      </c>
      <c r="N80" s="122">
        <f>IF($B80="","",IFERROR($H80/$G80,0))</f>
        <v/>
      </c>
      <c r="O80" s="123">
        <f>IF($B80="","",IFERROR(LOOKUP(2,1/(TAHSILAT!$C$7:$C$1506=$B80),TAHSILAT!$E$7:$E$1506),""))</f>
        <v/>
      </c>
      <c r="P80" s="112">
        <f>IF($B80="","",IF($M80&gt;0,"KRİTİK",IF($L80&gt;0,"YÜKSEK",IF($K80&gt;0,"ORTA",IF($I80&gt;0,"İZLE","TEMİZ")))))</f>
        <v/>
      </c>
      <c r="Q80" s="113">
        <f>IF($B80="","",IF($P80="KRİTİK","Acil tahsilat görüşmesi ve cari mutabakat",IF($P80="YÜKSEK","Bu hafta tahsilat takibi",IF($P80="ORTA","Hatırlatma mesajı gönder",IF($P80="İZLE","Normal takip","Aksiyon gerekmiyor")))))</f>
        <v/>
      </c>
      <c r="R80" s="120">
        <f>IF($B80="","",COUNTIFS(AKTIVITE!$D$7:$D$1006,$B80,AKTIVITE!$J$7:$J$1006,"&lt;&gt;Tamamlandı"))</f>
        <v/>
      </c>
      <c r="S80" s="123">
        <f>IF($B80="","",IF(MUSTERILER!$K80="","",MUSTERILER!$K80))</f>
        <v/>
      </c>
      <c r="T80" s="120">
        <f>IF(OR($B80="",$S80=""),"",TODAY()-$S80)</f>
        <v/>
      </c>
      <c r="U80" s="112">
        <f>IF($B80="","",IF(ABS($I80-($J80+$K80+$L80+$M80))&lt;0.01,"UYGUN","İNCELE"))</f>
        <v/>
      </c>
      <c r="V80" s="6" t="n"/>
      <c r="W80" s="6">
        <f>IF($B80="",0,SUMIFS(UCRETLER!$I$7:$I$406,UCRETLER!$B$7:$B$406,$B80))</f>
        <v/>
      </c>
      <c r="X80" s="3">
        <f>IF($B80="",0,SUMIFS(UCRETLER!$J$7:$J$406,UCRETLER!$B$7:$B$406,$B80))</f>
        <v/>
      </c>
      <c r="Y80" s="3">
        <f>IF($B80="",0,SUMIFS(UCRETLER!$K$7:$K$406,UCRETLER!$B$7:$B$406,$B80))</f>
        <v/>
      </c>
      <c r="Z80" s="3">
        <f>IF($B80="",0,MAX(0,$H80-$E80))</f>
        <v/>
      </c>
      <c r="AA80" s="3">
        <f>IF($B80="",0,MAX(0,$E80-$H80))</f>
        <v/>
      </c>
      <c r="AB80" s="3">
        <f>IF($B80="",0,MAX(0,$W80-$Z80))</f>
        <v/>
      </c>
      <c r="AC80" s="3">
        <f>IF($B80="",0,MAX(0,$X80-$Z80))</f>
        <v/>
      </c>
      <c r="AD80" s="3">
        <f>IF($B80="",0,MAX(0,$Y80-$Z80))</f>
        <v/>
      </c>
    </row>
    <row r="81">
      <c r="A81" s="6" t="n"/>
      <c r="B81" s="112">
        <f>IF(MUSTERILER!$B81="","",MUSTERILER!$B81)</f>
        <v/>
      </c>
      <c r="C81" s="113">
        <f>IF(MUSTERILER!$B81="","",MUSTERILER!$C81)</f>
        <v/>
      </c>
      <c r="D81" s="116">
        <f>IF($B81="","",SUMIFS(UCRETLER!$F$7:$F$406,UCRETLER!$B$7:$B$406,$B81,UCRETLER!$G$7:$G$406,"Aktif"))</f>
        <v/>
      </c>
      <c r="E81" s="116">
        <f>IF($B81="","",SUMIFS(MUSTERILER!$J$7:$J$106,MUSTERILER!$B$7:$B$106,$B81))</f>
        <v/>
      </c>
      <c r="F81" s="116">
        <f>IF($B81="","",SUMIFS(UCRETLER!$H$7:$H$406,UCRETLER!$B$7:$B$406,$B81))</f>
        <v/>
      </c>
      <c r="G81" s="116">
        <f>IF($B81="","",$E81+$F81)</f>
        <v/>
      </c>
      <c r="H81" s="116">
        <f>IF($B81="","",SUMIFS(TAHSILAT!$F$7:$F$1506,TAHSILAT!$C$7:$C$1506,$B81))</f>
        <v/>
      </c>
      <c r="I81" s="116">
        <f>IF($B81="","",MAX(0,$G81-$H81))</f>
        <v/>
      </c>
      <c r="J81" s="116">
        <f>IF($B81="","",MAX(0,$I81-$K81-$L81-$M81))</f>
        <v/>
      </c>
      <c r="K81" s="116">
        <f>IF($B81="","",($AB81-$AC81)+IF(AND($AA81&gt;0,$S81&lt;&gt;"",$T81&gt;=8,$T81&lt;15),$AA81,0))</f>
        <v/>
      </c>
      <c r="L81" s="116">
        <f>IF($B81="","",($AC81-$AD81)+IF(AND($AA81&gt;0,$S81&lt;&gt;"",$T81&gt;=15,$T81&lt;29),$AA81,0))</f>
        <v/>
      </c>
      <c r="M81" s="116">
        <f>IF($B81="","",$AD81+IF(AND($AA81&gt;0,OR($S81="",$T81&gt;=29)),$AA81,0))</f>
        <v/>
      </c>
      <c r="N81" s="122">
        <f>IF($B81="","",IFERROR($H81/$G81,0))</f>
        <v/>
      </c>
      <c r="O81" s="123">
        <f>IF($B81="","",IFERROR(LOOKUP(2,1/(TAHSILAT!$C$7:$C$1506=$B81),TAHSILAT!$E$7:$E$1506),""))</f>
        <v/>
      </c>
      <c r="P81" s="112">
        <f>IF($B81="","",IF($M81&gt;0,"KRİTİK",IF($L81&gt;0,"YÜKSEK",IF($K81&gt;0,"ORTA",IF($I81&gt;0,"İZLE","TEMİZ")))))</f>
        <v/>
      </c>
      <c r="Q81" s="113">
        <f>IF($B81="","",IF($P81="KRİTİK","Acil tahsilat görüşmesi ve cari mutabakat",IF($P81="YÜKSEK","Bu hafta tahsilat takibi",IF($P81="ORTA","Hatırlatma mesajı gönder",IF($P81="İZLE","Normal takip","Aksiyon gerekmiyor")))))</f>
        <v/>
      </c>
      <c r="R81" s="120">
        <f>IF($B81="","",COUNTIFS(AKTIVITE!$D$7:$D$1006,$B81,AKTIVITE!$J$7:$J$1006,"&lt;&gt;Tamamlandı"))</f>
        <v/>
      </c>
      <c r="S81" s="123">
        <f>IF($B81="","",IF(MUSTERILER!$K81="","",MUSTERILER!$K81))</f>
        <v/>
      </c>
      <c r="T81" s="120">
        <f>IF(OR($B81="",$S81=""),"",TODAY()-$S81)</f>
        <v/>
      </c>
      <c r="U81" s="112">
        <f>IF($B81="","",IF(ABS($I81-($J81+$K81+$L81+$M81))&lt;0.01,"UYGUN","İNCELE"))</f>
        <v/>
      </c>
      <c r="V81" s="6" t="n"/>
      <c r="W81" s="6">
        <f>IF($B81="",0,SUMIFS(UCRETLER!$I$7:$I$406,UCRETLER!$B$7:$B$406,$B81))</f>
        <v/>
      </c>
      <c r="X81" s="3">
        <f>IF($B81="",0,SUMIFS(UCRETLER!$J$7:$J$406,UCRETLER!$B$7:$B$406,$B81))</f>
        <v/>
      </c>
      <c r="Y81" s="3">
        <f>IF($B81="",0,SUMIFS(UCRETLER!$K$7:$K$406,UCRETLER!$B$7:$B$406,$B81))</f>
        <v/>
      </c>
      <c r="Z81" s="3">
        <f>IF($B81="",0,MAX(0,$H81-$E81))</f>
        <v/>
      </c>
      <c r="AA81" s="3">
        <f>IF($B81="",0,MAX(0,$E81-$H81))</f>
        <v/>
      </c>
      <c r="AB81" s="3">
        <f>IF($B81="",0,MAX(0,$W81-$Z81))</f>
        <v/>
      </c>
      <c r="AC81" s="3">
        <f>IF($B81="",0,MAX(0,$X81-$Z81))</f>
        <v/>
      </c>
      <c r="AD81" s="3">
        <f>IF($B81="",0,MAX(0,$Y81-$Z81))</f>
        <v/>
      </c>
    </row>
    <row r="82">
      <c r="A82" s="6" t="n"/>
      <c r="B82" s="112">
        <f>IF(MUSTERILER!$B82="","",MUSTERILER!$B82)</f>
        <v/>
      </c>
      <c r="C82" s="113">
        <f>IF(MUSTERILER!$B82="","",MUSTERILER!$C82)</f>
        <v/>
      </c>
      <c r="D82" s="116">
        <f>IF($B82="","",SUMIFS(UCRETLER!$F$7:$F$406,UCRETLER!$B$7:$B$406,$B82,UCRETLER!$G$7:$G$406,"Aktif"))</f>
        <v/>
      </c>
      <c r="E82" s="116">
        <f>IF($B82="","",SUMIFS(MUSTERILER!$J$7:$J$106,MUSTERILER!$B$7:$B$106,$B82))</f>
        <v/>
      </c>
      <c r="F82" s="116">
        <f>IF($B82="","",SUMIFS(UCRETLER!$H$7:$H$406,UCRETLER!$B$7:$B$406,$B82))</f>
        <v/>
      </c>
      <c r="G82" s="116">
        <f>IF($B82="","",$E82+$F82)</f>
        <v/>
      </c>
      <c r="H82" s="116">
        <f>IF($B82="","",SUMIFS(TAHSILAT!$F$7:$F$1506,TAHSILAT!$C$7:$C$1506,$B82))</f>
        <v/>
      </c>
      <c r="I82" s="116">
        <f>IF($B82="","",MAX(0,$G82-$H82))</f>
        <v/>
      </c>
      <c r="J82" s="116">
        <f>IF($B82="","",MAX(0,$I82-$K82-$L82-$M82))</f>
        <v/>
      </c>
      <c r="K82" s="116">
        <f>IF($B82="","",($AB82-$AC82)+IF(AND($AA82&gt;0,$S82&lt;&gt;"",$T82&gt;=8,$T82&lt;15),$AA82,0))</f>
        <v/>
      </c>
      <c r="L82" s="116">
        <f>IF($B82="","",($AC82-$AD82)+IF(AND($AA82&gt;0,$S82&lt;&gt;"",$T82&gt;=15,$T82&lt;29),$AA82,0))</f>
        <v/>
      </c>
      <c r="M82" s="116">
        <f>IF($B82="","",$AD82+IF(AND($AA82&gt;0,OR($S82="",$T82&gt;=29)),$AA82,0))</f>
        <v/>
      </c>
      <c r="N82" s="122">
        <f>IF($B82="","",IFERROR($H82/$G82,0))</f>
        <v/>
      </c>
      <c r="O82" s="123">
        <f>IF($B82="","",IFERROR(LOOKUP(2,1/(TAHSILAT!$C$7:$C$1506=$B82),TAHSILAT!$E$7:$E$1506),""))</f>
        <v/>
      </c>
      <c r="P82" s="112">
        <f>IF($B82="","",IF($M82&gt;0,"KRİTİK",IF($L82&gt;0,"YÜKSEK",IF($K82&gt;0,"ORTA",IF($I82&gt;0,"İZLE","TEMİZ")))))</f>
        <v/>
      </c>
      <c r="Q82" s="113">
        <f>IF($B82="","",IF($P82="KRİTİK","Acil tahsilat görüşmesi ve cari mutabakat",IF($P82="YÜKSEK","Bu hafta tahsilat takibi",IF($P82="ORTA","Hatırlatma mesajı gönder",IF($P82="İZLE","Normal takip","Aksiyon gerekmiyor")))))</f>
        <v/>
      </c>
      <c r="R82" s="120">
        <f>IF($B82="","",COUNTIFS(AKTIVITE!$D$7:$D$1006,$B82,AKTIVITE!$J$7:$J$1006,"&lt;&gt;Tamamlandı"))</f>
        <v/>
      </c>
      <c r="S82" s="123">
        <f>IF($B82="","",IF(MUSTERILER!$K82="","",MUSTERILER!$K82))</f>
        <v/>
      </c>
      <c r="T82" s="120">
        <f>IF(OR($B82="",$S82=""),"",TODAY()-$S82)</f>
        <v/>
      </c>
      <c r="U82" s="112">
        <f>IF($B82="","",IF(ABS($I82-($J82+$K82+$L82+$M82))&lt;0.01,"UYGUN","İNCELE"))</f>
        <v/>
      </c>
      <c r="V82" s="6" t="n"/>
      <c r="W82" s="6">
        <f>IF($B82="",0,SUMIFS(UCRETLER!$I$7:$I$406,UCRETLER!$B$7:$B$406,$B82))</f>
        <v/>
      </c>
      <c r="X82" s="3">
        <f>IF($B82="",0,SUMIFS(UCRETLER!$J$7:$J$406,UCRETLER!$B$7:$B$406,$B82))</f>
        <v/>
      </c>
      <c r="Y82" s="3">
        <f>IF($B82="",0,SUMIFS(UCRETLER!$K$7:$K$406,UCRETLER!$B$7:$B$406,$B82))</f>
        <v/>
      </c>
      <c r="Z82" s="3">
        <f>IF($B82="",0,MAX(0,$H82-$E82))</f>
        <v/>
      </c>
      <c r="AA82" s="3">
        <f>IF($B82="",0,MAX(0,$E82-$H82))</f>
        <v/>
      </c>
      <c r="AB82" s="3">
        <f>IF($B82="",0,MAX(0,$W82-$Z82))</f>
        <v/>
      </c>
      <c r="AC82" s="3">
        <f>IF($B82="",0,MAX(0,$X82-$Z82))</f>
        <v/>
      </c>
      <c r="AD82" s="3">
        <f>IF($B82="",0,MAX(0,$Y82-$Z82))</f>
        <v/>
      </c>
    </row>
    <row r="83">
      <c r="A83" s="6" t="n"/>
      <c r="B83" s="112">
        <f>IF(MUSTERILER!$B83="","",MUSTERILER!$B83)</f>
        <v/>
      </c>
      <c r="C83" s="113">
        <f>IF(MUSTERILER!$B83="","",MUSTERILER!$C83)</f>
        <v/>
      </c>
      <c r="D83" s="116">
        <f>IF($B83="","",SUMIFS(UCRETLER!$F$7:$F$406,UCRETLER!$B$7:$B$406,$B83,UCRETLER!$G$7:$G$406,"Aktif"))</f>
        <v/>
      </c>
      <c r="E83" s="116">
        <f>IF($B83="","",SUMIFS(MUSTERILER!$J$7:$J$106,MUSTERILER!$B$7:$B$106,$B83))</f>
        <v/>
      </c>
      <c r="F83" s="116">
        <f>IF($B83="","",SUMIFS(UCRETLER!$H$7:$H$406,UCRETLER!$B$7:$B$406,$B83))</f>
        <v/>
      </c>
      <c r="G83" s="116">
        <f>IF($B83="","",$E83+$F83)</f>
        <v/>
      </c>
      <c r="H83" s="116">
        <f>IF($B83="","",SUMIFS(TAHSILAT!$F$7:$F$1506,TAHSILAT!$C$7:$C$1506,$B83))</f>
        <v/>
      </c>
      <c r="I83" s="116">
        <f>IF($B83="","",MAX(0,$G83-$H83))</f>
        <v/>
      </c>
      <c r="J83" s="116">
        <f>IF($B83="","",MAX(0,$I83-$K83-$L83-$M83))</f>
        <v/>
      </c>
      <c r="K83" s="116">
        <f>IF($B83="","",($AB83-$AC83)+IF(AND($AA83&gt;0,$S83&lt;&gt;"",$T83&gt;=8,$T83&lt;15),$AA83,0))</f>
        <v/>
      </c>
      <c r="L83" s="116">
        <f>IF($B83="","",($AC83-$AD83)+IF(AND($AA83&gt;0,$S83&lt;&gt;"",$T83&gt;=15,$T83&lt;29),$AA83,0))</f>
        <v/>
      </c>
      <c r="M83" s="116">
        <f>IF($B83="","",$AD83+IF(AND($AA83&gt;0,OR($S83="",$T83&gt;=29)),$AA83,0))</f>
        <v/>
      </c>
      <c r="N83" s="122">
        <f>IF($B83="","",IFERROR($H83/$G83,0))</f>
        <v/>
      </c>
      <c r="O83" s="123">
        <f>IF($B83="","",IFERROR(LOOKUP(2,1/(TAHSILAT!$C$7:$C$1506=$B83),TAHSILAT!$E$7:$E$1506),""))</f>
        <v/>
      </c>
      <c r="P83" s="112">
        <f>IF($B83="","",IF($M83&gt;0,"KRİTİK",IF($L83&gt;0,"YÜKSEK",IF($K83&gt;0,"ORTA",IF($I83&gt;0,"İZLE","TEMİZ")))))</f>
        <v/>
      </c>
      <c r="Q83" s="113">
        <f>IF($B83="","",IF($P83="KRİTİK","Acil tahsilat görüşmesi ve cari mutabakat",IF($P83="YÜKSEK","Bu hafta tahsilat takibi",IF($P83="ORTA","Hatırlatma mesajı gönder",IF($P83="İZLE","Normal takip","Aksiyon gerekmiyor")))))</f>
        <v/>
      </c>
      <c r="R83" s="120">
        <f>IF($B83="","",COUNTIFS(AKTIVITE!$D$7:$D$1006,$B83,AKTIVITE!$J$7:$J$1006,"&lt;&gt;Tamamlandı"))</f>
        <v/>
      </c>
      <c r="S83" s="123">
        <f>IF($B83="","",IF(MUSTERILER!$K83="","",MUSTERILER!$K83))</f>
        <v/>
      </c>
      <c r="T83" s="120">
        <f>IF(OR($B83="",$S83=""),"",TODAY()-$S83)</f>
        <v/>
      </c>
      <c r="U83" s="112">
        <f>IF($B83="","",IF(ABS($I83-($J83+$K83+$L83+$M83))&lt;0.01,"UYGUN","İNCELE"))</f>
        <v/>
      </c>
      <c r="V83" s="6" t="n"/>
      <c r="W83" s="6">
        <f>IF($B83="",0,SUMIFS(UCRETLER!$I$7:$I$406,UCRETLER!$B$7:$B$406,$B83))</f>
        <v/>
      </c>
      <c r="X83" s="3">
        <f>IF($B83="",0,SUMIFS(UCRETLER!$J$7:$J$406,UCRETLER!$B$7:$B$406,$B83))</f>
        <v/>
      </c>
      <c r="Y83" s="3">
        <f>IF($B83="",0,SUMIFS(UCRETLER!$K$7:$K$406,UCRETLER!$B$7:$B$406,$B83))</f>
        <v/>
      </c>
      <c r="Z83" s="3">
        <f>IF($B83="",0,MAX(0,$H83-$E83))</f>
        <v/>
      </c>
      <c r="AA83" s="3">
        <f>IF($B83="",0,MAX(0,$E83-$H83))</f>
        <v/>
      </c>
      <c r="AB83" s="3">
        <f>IF($B83="",0,MAX(0,$W83-$Z83))</f>
        <v/>
      </c>
      <c r="AC83" s="3">
        <f>IF($B83="",0,MAX(0,$X83-$Z83))</f>
        <v/>
      </c>
      <c r="AD83" s="3">
        <f>IF($B83="",0,MAX(0,$Y83-$Z83))</f>
        <v/>
      </c>
    </row>
    <row r="84">
      <c r="A84" s="6" t="n"/>
      <c r="B84" s="112">
        <f>IF(MUSTERILER!$B84="","",MUSTERILER!$B84)</f>
        <v/>
      </c>
      <c r="C84" s="113">
        <f>IF(MUSTERILER!$B84="","",MUSTERILER!$C84)</f>
        <v/>
      </c>
      <c r="D84" s="116">
        <f>IF($B84="","",SUMIFS(UCRETLER!$F$7:$F$406,UCRETLER!$B$7:$B$406,$B84,UCRETLER!$G$7:$G$406,"Aktif"))</f>
        <v/>
      </c>
      <c r="E84" s="116">
        <f>IF($B84="","",SUMIFS(MUSTERILER!$J$7:$J$106,MUSTERILER!$B$7:$B$106,$B84))</f>
        <v/>
      </c>
      <c r="F84" s="116">
        <f>IF($B84="","",SUMIFS(UCRETLER!$H$7:$H$406,UCRETLER!$B$7:$B$406,$B84))</f>
        <v/>
      </c>
      <c r="G84" s="116">
        <f>IF($B84="","",$E84+$F84)</f>
        <v/>
      </c>
      <c r="H84" s="116">
        <f>IF($B84="","",SUMIFS(TAHSILAT!$F$7:$F$1506,TAHSILAT!$C$7:$C$1506,$B84))</f>
        <v/>
      </c>
      <c r="I84" s="116">
        <f>IF($B84="","",MAX(0,$G84-$H84))</f>
        <v/>
      </c>
      <c r="J84" s="116">
        <f>IF($B84="","",MAX(0,$I84-$K84-$L84-$M84))</f>
        <v/>
      </c>
      <c r="K84" s="116">
        <f>IF($B84="","",($AB84-$AC84)+IF(AND($AA84&gt;0,$S84&lt;&gt;"",$T84&gt;=8,$T84&lt;15),$AA84,0))</f>
        <v/>
      </c>
      <c r="L84" s="116">
        <f>IF($B84="","",($AC84-$AD84)+IF(AND($AA84&gt;0,$S84&lt;&gt;"",$T84&gt;=15,$T84&lt;29),$AA84,0))</f>
        <v/>
      </c>
      <c r="M84" s="116">
        <f>IF($B84="","",$AD84+IF(AND($AA84&gt;0,OR($S84="",$T84&gt;=29)),$AA84,0))</f>
        <v/>
      </c>
      <c r="N84" s="122">
        <f>IF($B84="","",IFERROR($H84/$G84,0))</f>
        <v/>
      </c>
      <c r="O84" s="123">
        <f>IF($B84="","",IFERROR(LOOKUP(2,1/(TAHSILAT!$C$7:$C$1506=$B84),TAHSILAT!$E$7:$E$1506),""))</f>
        <v/>
      </c>
      <c r="P84" s="112">
        <f>IF($B84="","",IF($M84&gt;0,"KRİTİK",IF($L84&gt;0,"YÜKSEK",IF($K84&gt;0,"ORTA",IF($I84&gt;0,"İZLE","TEMİZ")))))</f>
        <v/>
      </c>
      <c r="Q84" s="113">
        <f>IF($B84="","",IF($P84="KRİTİK","Acil tahsilat görüşmesi ve cari mutabakat",IF($P84="YÜKSEK","Bu hafta tahsilat takibi",IF($P84="ORTA","Hatırlatma mesajı gönder",IF($P84="İZLE","Normal takip","Aksiyon gerekmiyor")))))</f>
        <v/>
      </c>
      <c r="R84" s="120">
        <f>IF($B84="","",COUNTIFS(AKTIVITE!$D$7:$D$1006,$B84,AKTIVITE!$J$7:$J$1006,"&lt;&gt;Tamamlandı"))</f>
        <v/>
      </c>
      <c r="S84" s="123">
        <f>IF($B84="","",IF(MUSTERILER!$K84="","",MUSTERILER!$K84))</f>
        <v/>
      </c>
      <c r="T84" s="120">
        <f>IF(OR($B84="",$S84=""),"",TODAY()-$S84)</f>
        <v/>
      </c>
      <c r="U84" s="112">
        <f>IF($B84="","",IF(ABS($I84-($J84+$K84+$L84+$M84))&lt;0.01,"UYGUN","İNCELE"))</f>
        <v/>
      </c>
      <c r="V84" s="6" t="n"/>
      <c r="W84" s="6">
        <f>IF($B84="",0,SUMIFS(UCRETLER!$I$7:$I$406,UCRETLER!$B$7:$B$406,$B84))</f>
        <v/>
      </c>
      <c r="X84" s="3">
        <f>IF($B84="",0,SUMIFS(UCRETLER!$J$7:$J$406,UCRETLER!$B$7:$B$406,$B84))</f>
        <v/>
      </c>
      <c r="Y84" s="3">
        <f>IF($B84="",0,SUMIFS(UCRETLER!$K$7:$K$406,UCRETLER!$B$7:$B$406,$B84))</f>
        <v/>
      </c>
      <c r="Z84" s="3">
        <f>IF($B84="",0,MAX(0,$H84-$E84))</f>
        <v/>
      </c>
      <c r="AA84" s="3">
        <f>IF($B84="",0,MAX(0,$E84-$H84))</f>
        <v/>
      </c>
      <c r="AB84" s="3">
        <f>IF($B84="",0,MAX(0,$W84-$Z84))</f>
        <v/>
      </c>
      <c r="AC84" s="3">
        <f>IF($B84="",0,MAX(0,$X84-$Z84))</f>
        <v/>
      </c>
      <c r="AD84" s="3">
        <f>IF($B84="",0,MAX(0,$Y84-$Z84))</f>
        <v/>
      </c>
    </row>
    <row r="85">
      <c r="A85" s="6" t="n"/>
      <c r="B85" s="112">
        <f>IF(MUSTERILER!$B85="","",MUSTERILER!$B85)</f>
        <v/>
      </c>
      <c r="C85" s="113">
        <f>IF(MUSTERILER!$B85="","",MUSTERILER!$C85)</f>
        <v/>
      </c>
      <c r="D85" s="116">
        <f>IF($B85="","",SUMIFS(UCRETLER!$F$7:$F$406,UCRETLER!$B$7:$B$406,$B85,UCRETLER!$G$7:$G$406,"Aktif"))</f>
        <v/>
      </c>
      <c r="E85" s="116">
        <f>IF($B85="","",SUMIFS(MUSTERILER!$J$7:$J$106,MUSTERILER!$B$7:$B$106,$B85))</f>
        <v/>
      </c>
      <c r="F85" s="116">
        <f>IF($B85="","",SUMIFS(UCRETLER!$H$7:$H$406,UCRETLER!$B$7:$B$406,$B85))</f>
        <v/>
      </c>
      <c r="G85" s="116">
        <f>IF($B85="","",$E85+$F85)</f>
        <v/>
      </c>
      <c r="H85" s="116">
        <f>IF($B85="","",SUMIFS(TAHSILAT!$F$7:$F$1506,TAHSILAT!$C$7:$C$1506,$B85))</f>
        <v/>
      </c>
      <c r="I85" s="116">
        <f>IF($B85="","",MAX(0,$G85-$H85))</f>
        <v/>
      </c>
      <c r="J85" s="116">
        <f>IF($B85="","",MAX(0,$I85-$K85-$L85-$M85))</f>
        <v/>
      </c>
      <c r="K85" s="116">
        <f>IF($B85="","",($AB85-$AC85)+IF(AND($AA85&gt;0,$S85&lt;&gt;"",$T85&gt;=8,$T85&lt;15),$AA85,0))</f>
        <v/>
      </c>
      <c r="L85" s="116">
        <f>IF($B85="","",($AC85-$AD85)+IF(AND($AA85&gt;0,$S85&lt;&gt;"",$T85&gt;=15,$T85&lt;29),$AA85,0))</f>
        <v/>
      </c>
      <c r="M85" s="116">
        <f>IF($B85="","",$AD85+IF(AND($AA85&gt;0,OR($S85="",$T85&gt;=29)),$AA85,0))</f>
        <v/>
      </c>
      <c r="N85" s="122">
        <f>IF($B85="","",IFERROR($H85/$G85,0))</f>
        <v/>
      </c>
      <c r="O85" s="123">
        <f>IF($B85="","",IFERROR(LOOKUP(2,1/(TAHSILAT!$C$7:$C$1506=$B85),TAHSILAT!$E$7:$E$1506),""))</f>
        <v/>
      </c>
      <c r="P85" s="112">
        <f>IF($B85="","",IF($M85&gt;0,"KRİTİK",IF($L85&gt;0,"YÜKSEK",IF($K85&gt;0,"ORTA",IF($I85&gt;0,"İZLE","TEMİZ")))))</f>
        <v/>
      </c>
      <c r="Q85" s="113">
        <f>IF($B85="","",IF($P85="KRİTİK","Acil tahsilat görüşmesi ve cari mutabakat",IF($P85="YÜKSEK","Bu hafta tahsilat takibi",IF($P85="ORTA","Hatırlatma mesajı gönder",IF($P85="İZLE","Normal takip","Aksiyon gerekmiyor")))))</f>
        <v/>
      </c>
      <c r="R85" s="120">
        <f>IF($B85="","",COUNTIFS(AKTIVITE!$D$7:$D$1006,$B85,AKTIVITE!$J$7:$J$1006,"&lt;&gt;Tamamlandı"))</f>
        <v/>
      </c>
      <c r="S85" s="123">
        <f>IF($B85="","",IF(MUSTERILER!$K85="","",MUSTERILER!$K85))</f>
        <v/>
      </c>
      <c r="T85" s="120">
        <f>IF(OR($B85="",$S85=""),"",TODAY()-$S85)</f>
        <v/>
      </c>
      <c r="U85" s="112">
        <f>IF($B85="","",IF(ABS($I85-($J85+$K85+$L85+$M85))&lt;0.01,"UYGUN","İNCELE"))</f>
        <v/>
      </c>
      <c r="V85" s="6" t="n"/>
      <c r="W85" s="6">
        <f>IF($B85="",0,SUMIFS(UCRETLER!$I$7:$I$406,UCRETLER!$B$7:$B$406,$B85))</f>
        <v/>
      </c>
      <c r="X85" s="3">
        <f>IF($B85="",0,SUMIFS(UCRETLER!$J$7:$J$406,UCRETLER!$B$7:$B$406,$B85))</f>
        <v/>
      </c>
      <c r="Y85" s="3">
        <f>IF($B85="",0,SUMIFS(UCRETLER!$K$7:$K$406,UCRETLER!$B$7:$B$406,$B85))</f>
        <v/>
      </c>
      <c r="Z85" s="3">
        <f>IF($B85="",0,MAX(0,$H85-$E85))</f>
        <v/>
      </c>
      <c r="AA85" s="3">
        <f>IF($B85="",0,MAX(0,$E85-$H85))</f>
        <v/>
      </c>
      <c r="AB85" s="3">
        <f>IF($B85="",0,MAX(0,$W85-$Z85))</f>
        <v/>
      </c>
      <c r="AC85" s="3">
        <f>IF($B85="",0,MAX(0,$X85-$Z85))</f>
        <v/>
      </c>
      <c r="AD85" s="3">
        <f>IF($B85="",0,MAX(0,$Y85-$Z85))</f>
        <v/>
      </c>
    </row>
    <row r="86">
      <c r="A86" s="6" t="n"/>
      <c r="B86" s="112">
        <f>IF(MUSTERILER!$B86="","",MUSTERILER!$B86)</f>
        <v/>
      </c>
      <c r="C86" s="113">
        <f>IF(MUSTERILER!$B86="","",MUSTERILER!$C86)</f>
        <v/>
      </c>
      <c r="D86" s="116">
        <f>IF($B86="","",SUMIFS(UCRETLER!$F$7:$F$406,UCRETLER!$B$7:$B$406,$B86,UCRETLER!$G$7:$G$406,"Aktif"))</f>
        <v/>
      </c>
      <c r="E86" s="116">
        <f>IF($B86="","",SUMIFS(MUSTERILER!$J$7:$J$106,MUSTERILER!$B$7:$B$106,$B86))</f>
        <v/>
      </c>
      <c r="F86" s="116">
        <f>IF($B86="","",SUMIFS(UCRETLER!$H$7:$H$406,UCRETLER!$B$7:$B$406,$B86))</f>
        <v/>
      </c>
      <c r="G86" s="116">
        <f>IF($B86="","",$E86+$F86)</f>
        <v/>
      </c>
      <c r="H86" s="116">
        <f>IF($B86="","",SUMIFS(TAHSILAT!$F$7:$F$1506,TAHSILAT!$C$7:$C$1506,$B86))</f>
        <v/>
      </c>
      <c r="I86" s="116">
        <f>IF($B86="","",MAX(0,$G86-$H86))</f>
        <v/>
      </c>
      <c r="J86" s="116">
        <f>IF($B86="","",MAX(0,$I86-$K86-$L86-$M86))</f>
        <v/>
      </c>
      <c r="K86" s="116">
        <f>IF($B86="","",($AB86-$AC86)+IF(AND($AA86&gt;0,$S86&lt;&gt;"",$T86&gt;=8,$T86&lt;15),$AA86,0))</f>
        <v/>
      </c>
      <c r="L86" s="116">
        <f>IF($B86="","",($AC86-$AD86)+IF(AND($AA86&gt;0,$S86&lt;&gt;"",$T86&gt;=15,$T86&lt;29),$AA86,0))</f>
        <v/>
      </c>
      <c r="M86" s="116">
        <f>IF($B86="","",$AD86+IF(AND($AA86&gt;0,OR($S86="",$T86&gt;=29)),$AA86,0))</f>
        <v/>
      </c>
      <c r="N86" s="122">
        <f>IF($B86="","",IFERROR($H86/$G86,0))</f>
        <v/>
      </c>
      <c r="O86" s="123">
        <f>IF($B86="","",IFERROR(LOOKUP(2,1/(TAHSILAT!$C$7:$C$1506=$B86),TAHSILAT!$E$7:$E$1506),""))</f>
        <v/>
      </c>
      <c r="P86" s="112">
        <f>IF($B86="","",IF($M86&gt;0,"KRİTİK",IF($L86&gt;0,"YÜKSEK",IF($K86&gt;0,"ORTA",IF($I86&gt;0,"İZLE","TEMİZ")))))</f>
        <v/>
      </c>
      <c r="Q86" s="113">
        <f>IF($B86="","",IF($P86="KRİTİK","Acil tahsilat görüşmesi ve cari mutabakat",IF($P86="YÜKSEK","Bu hafta tahsilat takibi",IF($P86="ORTA","Hatırlatma mesajı gönder",IF($P86="İZLE","Normal takip","Aksiyon gerekmiyor")))))</f>
        <v/>
      </c>
      <c r="R86" s="120">
        <f>IF($B86="","",COUNTIFS(AKTIVITE!$D$7:$D$1006,$B86,AKTIVITE!$J$7:$J$1006,"&lt;&gt;Tamamlandı"))</f>
        <v/>
      </c>
      <c r="S86" s="123">
        <f>IF($B86="","",IF(MUSTERILER!$K86="","",MUSTERILER!$K86))</f>
        <v/>
      </c>
      <c r="T86" s="120">
        <f>IF(OR($B86="",$S86=""),"",TODAY()-$S86)</f>
        <v/>
      </c>
      <c r="U86" s="112">
        <f>IF($B86="","",IF(ABS($I86-($J86+$K86+$L86+$M86))&lt;0.01,"UYGUN","İNCELE"))</f>
        <v/>
      </c>
      <c r="V86" s="6" t="n"/>
      <c r="W86" s="6">
        <f>IF($B86="",0,SUMIFS(UCRETLER!$I$7:$I$406,UCRETLER!$B$7:$B$406,$B86))</f>
        <v/>
      </c>
      <c r="X86" s="3">
        <f>IF($B86="",0,SUMIFS(UCRETLER!$J$7:$J$406,UCRETLER!$B$7:$B$406,$B86))</f>
        <v/>
      </c>
      <c r="Y86" s="3">
        <f>IF($B86="",0,SUMIFS(UCRETLER!$K$7:$K$406,UCRETLER!$B$7:$B$406,$B86))</f>
        <v/>
      </c>
      <c r="Z86" s="3">
        <f>IF($B86="",0,MAX(0,$H86-$E86))</f>
        <v/>
      </c>
      <c r="AA86" s="3">
        <f>IF($B86="",0,MAX(0,$E86-$H86))</f>
        <v/>
      </c>
      <c r="AB86" s="3">
        <f>IF($B86="",0,MAX(0,$W86-$Z86))</f>
        <v/>
      </c>
      <c r="AC86" s="3">
        <f>IF($B86="",0,MAX(0,$X86-$Z86))</f>
        <v/>
      </c>
      <c r="AD86" s="3">
        <f>IF($B86="",0,MAX(0,$Y86-$Z86))</f>
        <v/>
      </c>
    </row>
    <row r="87">
      <c r="A87" s="6" t="n"/>
      <c r="B87" s="112">
        <f>IF(MUSTERILER!$B87="","",MUSTERILER!$B87)</f>
        <v/>
      </c>
      <c r="C87" s="113">
        <f>IF(MUSTERILER!$B87="","",MUSTERILER!$C87)</f>
        <v/>
      </c>
      <c r="D87" s="116">
        <f>IF($B87="","",SUMIFS(UCRETLER!$F$7:$F$406,UCRETLER!$B$7:$B$406,$B87,UCRETLER!$G$7:$G$406,"Aktif"))</f>
        <v/>
      </c>
      <c r="E87" s="116">
        <f>IF($B87="","",SUMIFS(MUSTERILER!$J$7:$J$106,MUSTERILER!$B$7:$B$106,$B87))</f>
        <v/>
      </c>
      <c r="F87" s="116">
        <f>IF($B87="","",SUMIFS(UCRETLER!$H$7:$H$406,UCRETLER!$B$7:$B$406,$B87))</f>
        <v/>
      </c>
      <c r="G87" s="116">
        <f>IF($B87="","",$E87+$F87)</f>
        <v/>
      </c>
      <c r="H87" s="116">
        <f>IF($B87="","",SUMIFS(TAHSILAT!$F$7:$F$1506,TAHSILAT!$C$7:$C$1506,$B87))</f>
        <v/>
      </c>
      <c r="I87" s="116">
        <f>IF($B87="","",MAX(0,$G87-$H87))</f>
        <v/>
      </c>
      <c r="J87" s="116">
        <f>IF($B87="","",MAX(0,$I87-$K87-$L87-$M87))</f>
        <v/>
      </c>
      <c r="K87" s="116">
        <f>IF($B87="","",($AB87-$AC87)+IF(AND($AA87&gt;0,$S87&lt;&gt;"",$T87&gt;=8,$T87&lt;15),$AA87,0))</f>
        <v/>
      </c>
      <c r="L87" s="116">
        <f>IF($B87="","",($AC87-$AD87)+IF(AND($AA87&gt;0,$S87&lt;&gt;"",$T87&gt;=15,$T87&lt;29),$AA87,0))</f>
        <v/>
      </c>
      <c r="M87" s="116">
        <f>IF($B87="","",$AD87+IF(AND($AA87&gt;0,OR($S87="",$T87&gt;=29)),$AA87,0))</f>
        <v/>
      </c>
      <c r="N87" s="122">
        <f>IF($B87="","",IFERROR($H87/$G87,0))</f>
        <v/>
      </c>
      <c r="O87" s="123">
        <f>IF($B87="","",IFERROR(LOOKUP(2,1/(TAHSILAT!$C$7:$C$1506=$B87),TAHSILAT!$E$7:$E$1506),""))</f>
        <v/>
      </c>
      <c r="P87" s="112">
        <f>IF($B87="","",IF($M87&gt;0,"KRİTİK",IF($L87&gt;0,"YÜKSEK",IF($K87&gt;0,"ORTA",IF($I87&gt;0,"İZLE","TEMİZ")))))</f>
        <v/>
      </c>
      <c r="Q87" s="113">
        <f>IF($B87="","",IF($P87="KRİTİK","Acil tahsilat görüşmesi ve cari mutabakat",IF($P87="YÜKSEK","Bu hafta tahsilat takibi",IF($P87="ORTA","Hatırlatma mesajı gönder",IF($P87="İZLE","Normal takip","Aksiyon gerekmiyor")))))</f>
        <v/>
      </c>
      <c r="R87" s="120">
        <f>IF($B87="","",COUNTIFS(AKTIVITE!$D$7:$D$1006,$B87,AKTIVITE!$J$7:$J$1006,"&lt;&gt;Tamamlandı"))</f>
        <v/>
      </c>
      <c r="S87" s="123">
        <f>IF($B87="","",IF(MUSTERILER!$K87="","",MUSTERILER!$K87))</f>
        <v/>
      </c>
      <c r="T87" s="120">
        <f>IF(OR($B87="",$S87=""),"",TODAY()-$S87)</f>
        <v/>
      </c>
      <c r="U87" s="112">
        <f>IF($B87="","",IF(ABS($I87-($J87+$K87+$L87+$M87))&lt;0.01,"UYGUN","İNCELE"))</f>
        <v/>
      </c>
      <c r="V87" s="6" t="n"/>
      <c r="W87" s="6">
        <f>IF($B87="",0,SUMIFS(UCRETLER!$I$7:$I$406,UCRETLER!$B$7:$B$406,$B87))</f>
        <v/>
      </c>
      <c r="X87" s="3">
        <f>IF($B87="",0,SUMIFS(UCRETLER!$J$7:$J$406,UCRETLER!$B$7:$B$406,$B87))</f>
        <v/>
      </c>
      <c r="Y87" s="3">
        <f>IF($B87="",0,SUMIFS(UCRETLER!$K$7:$K$406,UCRETLER!$B$7:$B$406,$B87))</f>
        <v/>
      </c>
      <c r="Z87" s="3">
        <f>IF($B87="",0,MAX(0,$H87-$E87))</f>
        <v/>
      </c>
      <c r="AA87" s="3">
        <f>IF($B87="",0,MAX(0,$E87-$H87))</f>
        <v/>
      </c>
      <c r="AB87" s="3">
        <f>IF($B87="",0,MAX(0,$W87-$Z87))</f>
        <v/>
      </c>
      <c r="AC87" s="3">
        <f>IF($B87="",0,MAX(0,$X87-$Z87))</f>
        <v/>
      </c>
      <c r="AD87" s="3">
        <f>IF($B87="",0,MAX(0,$Y87-$Z87))</f>
        <v/>
      </c>
    </row>
    <row r="88">
      <c r="A88" s="6" t="n"/>
      <c r="B88" s="112">
        <f>IF(MUSTERILER!$B88="","",MUSTERILER!$B88)</f>
        <v/>
      </c>
      <c r="C88" s="113">
        <f>IF(MUSTERILER!$B88="","",MUSTERILER!$C88)</f>
        <v/>
      </c>
      <c r="D88" s="116">
        <f>IF($B88="","",SUMIFS(UCRETLER!$F$7:$F$406,UCRETLER!$B$7:$B$406,$B88,UCRETLER!$G$7:$G$406,"Aktif"))</f>
        <v/>
      </c>
      <c r="E88" s="116">
        <f>IF($B88="","",SUMIFS(MUSTERILER!$J$7:$J$106,MUSTERILER!$B$7:$B$106,$B88))</f>
        <v/>
      </c>
      <c r="F88" s="116">
        <f>IF($B88="","",SUMIFS(UCRETLER!$H$7:$H$406,UCRETLER!$B$7:$B$406,$B88))</f>
        <v/>
      </c>
      <c r="G88" s="116">
        <f>IF($B88="","",$E88+$F88)</f>
        <v/>
      </c>
      <c r="H88" s="116">
        <f>IF($B88="","",SUMIFS(TAHSILAT!$F$7:$F$1506,TAHSILAT!$C$7:$C$1506,$B88))</f>
        <v/>
      </c>
      <c r="I88" s="116">
        <f>IF($B88="","",MAX(0,$G88-$H88))</f>
        <v/>
      </c>
      <c r="J88" s="116">
        <f>IF($B88="","",MAX(0,$I88-$K88-$L88-$M88))</f>
        <v/>
      </c>
      <c r="K88" s="116">
        <f>IF($B88="","",($AB88-$AC88)+IF(AND($AA88&gt;0,$S88&lt;&gt;"",$T88&gt;=8,$T88&lt;15),$AA88,0))</f>
        <v/>
      </c>
      <c r="L88" s="116">
        <f>IF($B88="","",($AC88-$AD88)+IF(AND($AA88&gt;0,$S88&lt;&gt;"",$T88&gt;=15,$T88&lt;29),$AA88,0))</f>
        <v/>
      </c>
      <c r="M88" s="116">
        <f>IF($B88="","",$AD88+IF(AND($AA88&gt;0,OR($S88="",$T88&gt;=29)),$AA88,0))</f>
        <v/>
      </c>
      <c r="N88" s="122">
        <f>IF($B88="","",IFERROR($H88/$G88,0))</f>
        <v/>
      </c>
      <c r="O88" s="123">
        <f>IF($B88="","",IFERROR(LOOKUP(2,1/(TAHSILAT!$C$7:$C$1506=$B88),TAHSILAT!$E$7:$E$1506),""))</f>
        <v/>
      </c>
      <c r="P88" s="112">
        <f>IF($B88="","",IF($M88&gt;0,"KRİTİK",IF($L88&gt;0,"YÜKSEK",IF($K88&gt;0,"ORTA",IF($I88&gt;0,"İZLE","TEMİZ")))))</f>
        <v/>
      </c>
      <c r="Q88" s="113">
        <f>IF($B88="","",IF($P88="KRİTİK","Acil tahsilat görüşmesi ve cari mutabakat",IF($P88="YÜKSEK","Bu hafta tahsilat takibi",IF($P88="ORTA","Hatırlatma mesajı gönder",IF($P88="İZLE","Normal takip","Aksiyon gerekmiyor")))))</f>
        <v/>
      </c>
      <c r="R88" s="120">
        <f>IF($B88="","",COUNTIFS(AKTIVITE!$D$7:$D$1006,$B88,AKTIVITE!$J$7:$J$1006,"&lt;&gt;Tamamlandı"))</f>
        <v/>
      </c>
      <c r="S88" s="123">
        <f>IF($B88="","",IF(MUSTERILER!$K88="","",MUSTERILER!$K88))</f>
        <v/>
      </c>
      <c r="T88" s="120">
        <f>IF(OR($B88="",$S88=""),"",TODAY()-$S88)</f>
        <v/>
      </c>
      <c r="U88" s="112">
        <f>IF($B88="","",IF(ABS($I88-($J88+$K88+$L88+$M88))&lt;0.01,"UYGUN","İNCELE"))</f>
        <v/>
      </c>
      <c r="V88" s="6" t="n"/>
      <c r="W88" s="6">
        <f>IF($B88="",0,SUMIFS(UCRETLER!$I$7:$I$406,UCRETLER!$B$7:$B$406,$B88))</f>
        <v/>
      </c>
      <c r="X88" s="3">
        <f>IF($B88="",0,SUMIFS(UCRETLER!$J$7:$J$406,UCRETLER!$B$7:$B$406,$B88))</f>
        <v/>
      </c>
      <c r="Y88" s="3">
        <f>IF($B88="",0,SUMIFS(UCRETLER!$K$7:$K$406,UCRETLER!$B$7:$B$406,$B88))</f>
        <v/>
      </c>
      <c r="Z88" s="3">
        <f>IF($B88="",0,MAX(0,$H88-$E88))</f>
        <v/>
      </c>
      <c r="AA88" s="3">
        <f>IF($B88="",0,MAX(0,$E88-$H88))</f>
        <v/>
      </c>
      <c r="AB88" s="3">
        <f>IF($B88="",0,MAX(0,$W88-$Z88))</f>
        <v/>
      </c>
      <c r="AC88" s="3">
        <f>IF($B88="",0,MAX(0,$X88-$Z88))</f>
        <v/>
      </c>
      <c r="AD88" s="3">
        <f>IF($B88="",0,MAX(0,$Y88-$Z88))</f>
        <v/>
      </c>
    </row>
    <row r="89">
      <c r="A89" s="6" t="n"/>
      <c r="B89" s="112">
        <f>IF(MUSTERILER!$B89="","",MUSTERILER!$B89)</f>
        <v/>
      </c>
      <c r="C89" s="113">
        <f>IF(MUSTERILER!$B89="","",MUSTERILER!$C89)</f>
        <v/>
      </c>
      <c r="D89" s="116">
        <f>IF($B89="","",SUMIFS(UCRETLER!$F$7:$F$406,UCRETLER!$B$7:$B$406,$B89,UCRETLER!$G$7:$G$406,"Aktif"))</f>
        <v/>
      </c>
      <c r="E89" s="116">
        <f>IF($B89="","",SUMIFS(MUSTERILER!$J$7:$J$106,MUSTERILER!$B$7:$B$106,$B89))</f>
        <v/>
      </c>
      <c r="F89" s="116">
        <f>IF($B89="","",SUMIFS(UCRETLER!$H$7:$H$406,UCRETLER!$B$7:$B$406,$B89))</f>
        <v/>
      </c>
      <c r="G89" s="116">
        <f>IF($B89="","",$E89+$F89)</f>
        <v/>
      </c>
      <c r="H89" s="116">
        <f>IF($B89="","",SUMIFS(TAHSILAT!$F$7:$F$1506,TAHSILAT!$C$7:$C$1506,$B89))</f>
        <v/>
      </c>
      <c r="I89" s="116">
        <f>IF($B89="","",MAX(0,$G89-$H89))</f>
        <v/>
      </c>
      <c r="J89" s="116">
        <f>IF($B89="","",MAX(0,$I89-$K89-$L89-$M89))</f>
        <v/>
      </c>
      <c r="K89" s="116">
        <f>IF($B89="","",($AB89-$AC89)+IF(AND($AA89&gt;0,$S89&lt;&gt;"",$T89&gt;=8,$T89&lt;15),$AA89,0))</f>
        <v/>
      </c>
      <c r="L89" s="116">
        <f>IF($B89="","",($AC89-$AD89)+IF(AND($AA89&gt;0,$S89&lt;&gt;"",$T89&gt;=15,$T89&lt;29),$AA89,0))</f>
        <v/>
      </c>
      <c r="M89" s="116">
        <f>IF($B89="","",$AD89+IF(AND($AA89&gt;0,OR($S89="",$T89&gt;=29)),$AA89,0))</f>
        <v/>
      </c>
      <c r="N89" s="122">
        <f>IF($B89="","",IFERROR($H89/$G89,0))</f>
        <v/>
      </c>
      <c r="O89" s="123">
        <f>IF($B89="","",IFERROR(LOOKUP(2,1/(TAHSILAT!$C$7:$C$1506=$B89),TAHSILAT!$E$7:$E$1506),""))</f>
        <v/>
      </c>
      <c r="P89" s="112">
        <f>IF($B89="","",IF($M89&gt;0,"KRİTİK",IF($L89&gt;0,"YÜKSEK",IF($K89&gt;0,"ORTA",IF($I89&gt;0,"İZLE","TEMİZ")))))</f>
        <v/>
      </c>
      <c r="Q89" s="113">
        <f>IF($B89="","",IF($P89="KRİTİK","Acil tahsilat görüşmesi ve cari mutabakat",IF($P89="YÜKSEK","Bu hafta tahsilat takibi",IF($P89="ORTA","Hatırlatma mesajı gönder",IF($P89="İZLE","Normal takip","Aksiyon gerekmiyor")))))</f>
        <v/>
      </c>
      <c r="R89" s="120">
        <f>IF($B89="","",COUNTIFS(AKTIVITE!$D$7:$D$1006,$B89,AKTIVITE!$J$7:$J$1006,"&lt;&gt;Tamamlandı"))</f>
        <v/>
      </c>
      <c r="S89" s="123">
        <f>IF($B89="","",IF(MUSTERILER!$K89="","",MUSTERILER!$K89))</f>
        <v/>
      </c>
      <c r="T89" s="120">
        <f>IF(OR($B89="",$S89=""),"",TODAY()-$S89)</f>
        <v/>
      </c>
      <c r="U89" s="112">
        <f>IF($B89="","",IF(ABS($I89-($J89+$K89+$L89+$M89))&lt;0.01,"UYGUN","İNCELE"))</f>
        <v/>
      </c>
      <c r="V89" s="6" t="n"/>
      <c r="W89" s="6">
        <f>IF($B89="",0,SUMIFS(UCRETLER!$I$7:$I$406,UCRETLER!$B$7:$B$406,$B89))</f>
        <v/>
      </c>
      <c r="X89" s="3">
        <f>IF($B89="",0,SUMIFS(UCRETLER!$J$7:$J$406,UCRETLER!$B$7:$B$406,$B89))</f>
        <v/>
      </c>
      <c r="Y89" s="3">
        <f>IF($B89="",0,SUMIFS(UCRETLER!$K$7:$K$406,UCRETLER!$B$7:$B$406,$B89))</f>
        <v/>
      </c>
      <c r="Z89" s="3">
        <f>IF($B89="",0,MAX(0,$H89-$E89))</f>
        <v/>
      </c>
      <c r="AA89" s="3">
        <f>IF($B89="",0,MAX(0,$E89-$H89))</f>
        <v/>
      </c>
      <c r="AB89" s="3">
        <f>IF($B89="",0,MAX(0,$W89-$Z89))</f>
        <v/>
      </c>
      <c r="AC89" s="3">
        <f>IF($B89="",0,MAX(0,$X89-$Z89))</f>
        <v/>
      </c>
      <c r="AD89" s="3">
        <f>IF($B89="",0,MAX(0,$Y89-$Z89))</f>
        <v/>
      </c>
    </row>
    <row r="90">
      <c r="A90" s="6" t="n"/>
      <c r="B90" s="112">
        <f>IF(MUSTERILER!$B90="","",MUSTERILER!$B90)</f>
        <v/>
      </c>
      <c r="C90" s="113">
        <f>IF(MUSTERILER!$B90="","",MUSTERILER!$C90)</f>
        <v/>
      </c>
      <c r="D90" s="116">
        <f>IF($B90="","",SUMIFS(UCRETLER!$F$7:$F$406,UCRETLER!$B$7:$B$406,$B90,UCRETLER!$G$7:$G$406,"Aktif"))</f>
        <v/>
      </c>
      <c r="E90" s="116">
        <f>IF($B90="","",SUMIFS(MUSTERILER!$J$7:$J$106,MUSTERILER!$B$7:$B$106,$B90))</f>
        <v/>
      </c>
      <c r="F90" s="116">
        <f>IF($B90="","",SUMIFS(UCRETLER!$H$7:$H$406,UCRETLER!$B$7:$B$406,$B90))</f>
        <v/>
      </c>
      <c r="G90" s="116">
        <f>IF($B90="","",$E90+$F90)</f>
        <v/>
      </c>
      <c r="H90" s="116">
        <f>IF($B90="","",SUMIFS(TAHSILAT!$F$7:$F$1506,TAHSILAT!$C$7:$C$1506,$B90))</f>
        <v/>
      </c>
      <c r="I90" s="116">
        <f>IF($B90="","",MAX(0,$G90-$H90))</f>
        <v/>
      </c>
      <c r="J90" s="116">
        <f>IF($B90="","",MAX(0,$I90-$K90-$L90-$M90))</f>
        <v/>
      </c>
      <c r="K90" s="116">
        <f>IF($B90="","",($AB90-$AC90)+IF(AND($AA90&gt;0,$S90&lt;&gt;"",$T90&gt;=8,$T90&lt;15),$AA90,0))</f>
        <v/>
      </c>
      <c r="L90" s="116">
        <f>IF($B90="","",($AC90-$AD90)+IF(AND($AA90&gt;0,$S90&lt;&gt;"",$T90&gt;=15,$T90&lt;29),$AA90,0))</f>
        <v/>
      </c>
      <c r="M90" s="116">
        <f>IF($B90="","",$AD90+IF(AND($AA90&gt;0,OR($S90="",$T90&gt;=29)),$AA90,0))</f>
        <v/>
      </c>
      <c r="N90" s="122">
        <f>IF($B90="","",IFERROR($H90/$G90,0))</f>
        <v/>
      </c>
      <c r="O90" s="123">
        <f>IF($B90="","",IFERROR(LOOKUP(2,1/(TAHSILAT!$C$7:$C$1506=$B90),TAHSILAT!$E$7:$E$1506),""))</f>
        <v/>
      </c>
      <c r="P90" s="112">
        <f>IF($B90="","",IF($M90&gt;0,"KRİTİK",IF($L90&gt;0,"YÜKSEK",IF($K90&gt;0,"ORTA",IF($I90&gt;0,"İZLE","TEMİZ")))))</f>
        <v/>
      </c>
      <c r="Q90" s="113">
        <f>IF($B90="","",IF($P90="KRİTİK","Acil tahsilat görüşmesi ve cari mutabakat",IF($P90="YÜKSEK","Bu hafta tahsilat takibi",IF($P90="ORTA","Hatırlatma mesajı gönder",IF($P90="İZLE","Normal takip","Aksiyon gerekmiyor")))))</f>
        <v/>
      </c>
      <c r="R90" s="120">
        <f>IF($B90="","",COUNTIFS(AKTIVITE!$D$7:$D$1006,$B90,AKTIVITE!$J$7:$J$1006,"&lt;&gt;Tamamlandı"))</f>
        <v/>
      </c>
      <c r="S90" s="123">
        <f>IF($B90="","",IF(MUSTERILER!$K90="","",MUSTERILER!$K90))</f>
        <v/>
      </c>
      <c r="T90" s="120">
        <f>IF(OR($B90="",$S90=""),"",TODAY()-$S90)</f>
        <v/>
      </c>
      <c r="U90" s="112">
        <f>IF($B90="","",IF(ABS($I90-($J90+$K90+$L90+$M90))&lt;0.01,"UYGUN","İNCELE"))</f>
        <v/>
      </c>
      <c r="V90" s="6" t="n"/>
      <c r="W90" s="6">
        <f>IF($B90="",0,SUMIFS(UCRETLER!$I$7:$I$406,UCRETLER!$B$7:$B$406,$B90))</f>
        <v/>
      </c>
      <c r="X90" s="3">
        <f>IF($B90="",0,SUMIFS(UCRETLER!$J$7:$J$406,UCRETLER!$B$7:$B$406,$B90))</f>
        <v/>
      </c>
      <c r="Y90" s="3">
        <f>IF($B90="",0,SUMIFS(UCRETLER!$K$7:$K$406,UCRETLER!$B$7:$B$406,$B90))</f>
        <v/>
      </c>
      <c r="Z90" s="3">
        <f>IF($B90="",0,MAX(0,$H90-$E90))</f>
        <v/>
      </c>
      <c r="AA90" s="3">
        <f>IF($B90="",0,MAX(0,$E90-$H90))</f>
        <v/>
      </c>
      <c r="AB90" s="3">
        <f>IF($B90="",0,MAX(0,$W90-$Z90))</f>
        <v/>
      </c>
      <c r="AC90" s="3">
        <f>IF($B90="",0,MAX(0,$X90-$Z90))</f>
        <v/>
      </c>
      <c r="AD90" s="3">
        <f>IF($B90="",0,MAX(0,$Y90-$Z90))</f>
        <v/>
      </c>
    </row>
    <row r="91">
      <c r="A91" s="6" t="n"/>
      <c r="B91" s="112">
        <f>IF(MUSTERILER!$B91="","",MUSTERILER!$B91)</f>
        <v/>
      </c>
      <c r="C91" s="113">
        <f>IF(MUSTERILER!$B91="","",MUSTERILER!$C91)</f>
        <v/>
      </c>
      <c r="D91" s="116">
        <f>IF($B91="","",SUMIFS(UCRETLER!$F$7:$F$406,UCRETLER!$B$7:$B$406,$B91,UCRETLER!$G$7:$G$406,"Aktif"))</f>
        <v/>
      </c>
      <c r="E91" s="116">
        <f>IF($B91="","",SUMIFS(MUSTERILER!$J$7:$J$106,MUSTERILER!$B$7:$B$106,$B91))</f>
        <v/>
      </c>
      <c r="F91" s="116">
        <f>IF($B91="","",SUMIFS(UCRETLER!$H$7:$H$406,UCRETLER!$B$7:$B$406,$B91))</f>
        <v/>
      </c>
      <c r="G91" s="116">
        <f>IF($B91="","",$E91+$F91)</f>
        <v/>
      </c>
      <c r="H91" s="116">
        <f>IF($B91="","",SUMIFS(TAHSILAT!$F$7:$F$1506,TAHSILAT!$C$7:$C$1506,$B91))</f>
        <v/>
      </c>
      <c r="I91" s="116">
        <f>IF($B91="","",MAX(0,$G91-$H91))</f>
        <v/>
      </c>
      <c r="J91" s="116">
        <f>IF($B91="","",MAX(0,$I91-$K91-$L91-$M91))</f>
        <v/>
      </c>
      <c r="K91" s="116">
        <f>IF($B91="","",($AB91-$AC91)+IF(AND($AA91&gt;0,$S91&lt;&gt;"",$T91&gt;=8,$T91&lt;15),$AA91,0))</f>
        <v/>
      </c>
      <c r="L91" s="116">
        <f>IF($B91="","",($AC91-$AD91)+IF(AND($AA91&gt;0,$S91&lt;&gt;"",$T91&gt;=15,$T91&lt;29),$AA91,0))</f>
        <v/>
      </c>
      <c r="M91" s="116">
        <f>IF($B91="","",$AD91+IF(AND($AA91&gt;0,OR($S91="",$T91&gt;=29)),$AA91,0))</f>
        <v/>
      </c>
      <c r="N91" s="122">
        <f>IF($B91="","",IFERROR($H91/$G91,0))</f>
        <v/>
      </c>
      <c r="O91" s="123">
        <f>IF($B91="","",IFERROR(LOOKUP(2,1/(TAHSILAT!$C$7:$C$1506=$B91),TAHSILAT!$E$7:$E$1506),""))</f>
        <v/>
      </c>
      <c r="P91" s="112">
        <f>IF($B91="","",IF($M91&gt;0,"KRİTİK",IF($L91&gt;0,"YÜKSEK",IF($K91&gt;0,"ORTA",IF($I91&gt;0,"İZLE","TEMİZ")))))</f>
        <v/>
      </c>
      <c r="Q91" s="113">
        <f>IF($B91="","",IF($P91="KRİTİK","Acil tahsilat görüşmesi ve cari mutabakat",IF($P91="YÜKSEK","Bu hafta tahsilat takibi",IF($P91="ORTA","Hatırlatma mesajı gönder",IF($P91="İZLE","Normal takip","Aksiyon gerekmiyor")))))</f>
        <v/>
      </c>
      <c r="R91" s="120">
        <f>IF($B91="","",COUNTIFS(AKTIVITE!$D$7:$D$1006,$B91,AKTIVITE!$J$7:$J$1006,"&lt;&gt;Tamamlandı"))</f>
        <v/>
      </c>
      <c r="S91" s="123">
        <f>IF($B91="","",IF(MUSTERILER!$K91="","",MUSTERILER!$K91))</f>
        <v/>
      </c>
      <c r="T91" s="120">
        <f>IF(OR($B91="",$S91=""),"",TODAY()-$S91)</f>
        <v/>
      </c>
      <c r="U91" s="112">
        <f>IF($B91="","",IF(ABS($I91-($J91+$K91+$L91+$M91))&lt;0.01,"UYGUN","İNCELE"))</f>
        <v/>
      </c>
      <c r="V91" s="6" t="n"/>
      <c r="W91" s="6">
        <f>IF($B91="",0,SUMIFS(UCRETLER!$I$7:$I$406,UCRETLER!$B$7:$B$406,$B91))</f>
        <v/>
      </c>
      <c r="X91" s="3">
        <f>IF($B91="",0,SUMIFS(UCRETLER!$J$7:$J$406,UCRETLER!$B$7:$B$406,$B91))</f>
        <v/>
      </c>
      <c r="Y91" s="3">
        <f>IF($B91="",0,SUMIFS(UCRETLER!$K$7:$K$406,UCRETLER!$B$7:$B$406,$B91))</f>
        <v/>
      </c>
      <c r="Z91" s="3">
        <f>IF($B91="",0,MAX(0,$H91-$E91))</f>
        <v/>
      </c>
      <c r="AA91" s="3">
        <f>IF($B91="",0,MAX(0,$E91-$H91))</f>
        <v/>
      </c>
      <c r="AB91" s="3">
        <f>IF($B91="",0,MAX(0,$W91-$Z91))</f>
        <v/>
      </c>
      <c r="AC91" s="3">
        <f>IF($B91="",0,MAX(0,$X91-$Z91))</f>
        <v/>
      </c>
      <c r="AD91" s="3">
        <f>IF($B91="",0,MAX(0,$Y91-$Z91))</f>
        <v/>
      </c>
    </row>
    <row r="92">
      <c r="A92" s="6" t="n"/>
      <c r="B92" s="112">
        <f>IF(MUSTERILER!$B92="","",MUSTERILER!$B92)</f>
        <v/>
      </c>
      <c r="C92" s="113">
        <f>IF(MUSTERILER!$B92="","",MUSTERILER!$C92)</f>
        <v/>
      </c>
      <c r="D92" s="116">
        <f>IF($B92="","",SUMIFS(UCRETLER!$F$7:$F$406,UCRETLER!$B$7:$B$406,$B92,UCRETLER!$G$7:$G$406,"Aktif"))</f>
        <v/>
      </c>
      <c r="E92" s="116">
        <f>IF($B92="","",SUMIFS(MUSTERILER!$J$7:$J$106,MUSTERILER!$B$7:$B$106,$B92))</f>
        <v/>
      </c>
      <c r="F92" s="116">
        <f>IF($B92="","",SUMIFS(UCRETLER!$H$7:$H$406,UCRETLER!$B$7:$B$406,$B92))</f>
        <v/>
      </c>
      <c r="G92" s="116">
        <f>IF($B92="","",$E92+$F92)</f>
        <v/>
      </c>
      <c r="H92" s="116">
        <f>IF($B92="","",SUMIFS(TAHSILAT!$F$7:$F$1506,TAHSILAT!$C$7:$C$1506,$B92))</f>
        <v/>
      </c>
      <c r="I92" s="116">
        <f>IF($B92="","",MAX(0,$G92-$H92))</f>
        <v/>
      </c>
      <c r="J92" s="116">
        <f>IF($B92="","",MAX(0,$I92-$K92-$L92-$M92))</f>
        <v/>
      </c>
      <c r="K92" s="116">
        <f>IF($B92="","",($AB92-$AC92)+IF(AND($AA92&gt;0,$S92&lt;&gt;"",$T92&gt;=8,$T92&lt;15),$AA92,0))</f>
        <v/>
      </c>
      <c r="L92" s="116">
        <f>IF($B92="","",($AC92-$AD92)+IF(AND($AA92&gt;0,$S92&lt;&gt;"",$T92&gt;=15,$T92&lt;29),$AA92,0))</f>
        <v/>
      </c>
      <c r="M92" s="116">
        <f>IF($B92="","",$AD92+IF(AND($AA92&gt;0,OR($S92="",$T92&gt;=29)),$AA92,0))</f>
        <v/>
      </c>
      <c r="N92" s="122">
        <f>IF($B92="","",IFERROR($H92/$G92,0))</f>
        <v/>
      </c>
      <c r="O92" s="123">
        <f>IF($B92="","",IFERROR(LOOKUP(2,1/(TAHSILAT!$C$7:$C$1506=$B92),TAHSILAT!$E$7:$E$1506),""))</f>
        <v/>
      </c>
      <c r="P92" s="112">
        <f>IF($B92="","",IF($M92&gt;0,"KRİTİK",IF($L92&gt;0,"YÜKSEK",IF($K92&gt;0,"ORTA",IF($I92&gt;0,"İZLE","TEMİZ")))))</f>
        <v/>
      </c>
      <c r="Q92" s="113">
        <f>IF($B92="","",IF($P92="KRİTİK","Acil tahsilat görüşmesi ve cari mutabakat",IF($P92="YÜKSEK","Bu hafta tahsilat takibi",IF($P92="ORTA","Hatırlatma mesajı gönder",IF($P92="İZLE","Normal takip","Aksiyon gerekmiyor")))))</f>
        <v/>
      </c>
      <c r="R92" s="120">
        <f>IF($B92="","",COUNTIFS(AKTIVITE!$D$7:$D$1006,$B92,AKTIVITE!$J$7:$J$1006,"&lt;&gt;Tamamlandı"))</f>
        <v/>
      </c>
      <c r="S92" s="123">
        <f>IF($B92="","",IF(MUSTERILER!$K92="","",MUSTERILER!$K92))</f>
        <v/>
      </c>
      <c r="T92" s="120">
        <f>IF(OR($B92="",$S92=""),"",TODAY()-$S92)</f>
        <v/>
      </c>
      <c r="U92" s="112">
        <f>IF($B92="","",IF(ABS($I92-($J92+$K92+$L92+$M92))&lt;0.01,"UYGUN","İNCELE"))</f>
        <v/>
      </c>
      <c r="V92" s="6" t="n"/>
      <c r="W92" s="6">
        <f>IF($B92="",0,SUMIFS(UCRETLER!$I$7:$I$406,UCRETLER!$B$7:$B$406,$B92))</f>
        <v/>
      </c>
      <c r="X92" s="3">
        <f>IF($B92="",0,SUMIFS(UCRETLER!$J$7:$J$406,UCRETLER!$B$7:$B$406,$B92))</f>
        <v/>
      </c>
      <c r="Y92" s="3">
        <f>IF($B92="",0,SUMIFS(UCRETLER!$K$7:$K$406,UCRETLER!$B$7:$B$406,$B92))</f>
        <v/>
      </c>
      <c r="Z92" s="3">
        <f>IF($B92="",0,MAX(0,$H92-$E92))</f>
        <v/>
      </c>
      <c r="AA92" s="3">
        <f>IF($B92="",0,MAX(0,$E92-$H92))</f>
        <v/>
      </c>
      <c r="AB92" s="3">
        <f>IF($B92="",0,MAX(0,$W92-$Z92))</f>
        <v/>
      </c>
      <c r="AC92" s="3">
        <f>IF($B92="",0,MAX(0,$X92-$Z92))</f>
        <v/>
      </c>
      <c r="AD92" s="3">
        <f>IF($B92="",0,MAX(0,$Y92-$Z92))</f>
        <v/>
      </c>
    </row>
    <row r="93">
      <c r="A93" s="6" t="n"/>
      <c r="B93" s="112">
        <f>IF(MUSTERILER!$B93="","",MUSTERILER!$B93)</f>
        <v/>
      </c>
      <c r="C93" s="113">
        <f>IF(MUSTERILER!$B93="","",MUSTERILER!$C93)</f>
        <v/>
      </c>
      <c r="D93" s="116">
        <f>IF($B93="","",SUMIFS(UCRETLER!$F$7:$F$406,UCRETLER!$B$7:$B$406,$B93,UCRETLER!$G$7:$G$406,"Aktif"))</f>
        <v/>
      </c>
      <c r="E93" s="116">
        <f>IF($B93="","",SUMIFS(MUSTERILER!$J$7:$J$106,MUSTERILER!$B$7:$B$106,$B93))</f>
        <v/>
      </c>
      <c r="F93" s="116">
        <f>IF($B93="","",SUMIFS(UCRETLER!$H$7:$H$406,UCRETLER!$B$7:$B$406,$B93))</f>
        <v/>
      </c>
      <c r="G93" s="116">
        <f>IF($B93="","",$E93+$F93)</f>
        <v/>
      </c>
      <c r="H93" s="116">
        <f>IF($B93="","",SUMIFS(TAHSILAT!$F$7:$F$1506,TAHSILAT!$C$7:$C$1506,$B93))</f>
        <v/>
      </c>
      <c r="I93" s="116">
        <f>IF($B93="","",MAX(0,$G93-$H93))</f>
        <v/>
      </c>
      <c r="J93" s="116">
        <f>IF($B93="","",MAX(0,$I93-$K93-$L93-$M93))</f>
        <v/>
      </c>
      <c r="K93" s="116">
        <f>IF($B93="","",($AB93-$AC93)+IF(AND($AA93&gt;0,$S93&lt;&gt;"",$T93&gt;=8,$T93&lt;15),$AA93,0))</f>
        <v/>
      </c>
      <c r="L93" s="116">
        <f>IF($B93="","",($AC93-$AD93)+IF(AND($AA93&gt;0,$S93&lt;&gt;"",$T93&gt;=15,$T93&lt;29),$AA93,0))</f>
        <v/>
      </c>
      <c r="M93" s="116">
        <f>IF($B93="","",$AD93+IF(AND($AA93&gt;0,OR($S93="",$T93&gt;=29)),$AA93,0))</f>
        <v/>
      </c>
      <c r="N93" s="122">
        <f>IF($B93="","",IFERROR($H93/$G93,0))</f>
        <v/>
      </c>
      <c r="O93" s="123">
        <f>IF($B93="","",IFERROR(LOOKUP(2,1/(TAHSILAT!$C$7:$C$1506=$B93),TAHSILAT!$E$7:$E$1506),""))</f>
        <v/>
      </c>
      <c r="P93" s="112">
        <f>IF($B93="","",IF($M93&gt;0,"KRİTİK",IF($L93&gt;0,"YÜKSEK",IF($K93&gt;0,"ORTA",IF($I93&gt;0,"İZLE","TEMİZ")))))</f>
        <v/>
      </c>
      <c r="Q93" s="113">
        <f>IF($B93="","",IF($P93="KRİTİK","Acil tahsilat görüşmesi ve cari mutabakat",IF($P93="YÜKSEK","Bu hafta tahsilat takibi",IF($P93="ORTA","Hatırlatma mesajı gönder",IF($P93="İZLE","Normal takip","Aksiyon gerekmiyor")))))</f>
        <v/>
      </c>
      <c r="R93" s="120">
        <f>IF($B93="","",COUNTIFS(AKTIVITE!$D$7:$D$1006,$B93,AKTIVITE!$J$7:$J$1006,"&lt;&gt;Tamamlandı"))</f>
        <v/>
      </c>
      <c r="S93" s="123">
        <f>IF($B93="","",IF(MUSTERILER!$K93="","",MUSTERILER!$K93))</f>
        <v/>
      </c>
      <c r="T93" s="120">
        <f>IF(OR($B93="",$S93=""),"",TODAY()-$S93)</f>
        <v/>
      </c>
      <c r="U93" s="112">
        <f>IF($B93="","",IF(ABS($I93-($J93+$K93+$L93+$M93))&lt;0.01,"UYGUN","İNCELE"))</f>
        <v/>
      </c>
      <c r="V93" s="6" t="n"/>
      <c r="W93" s="6">
        <f>IF($B93="",0,SUMIFS(UCRETLER!$I$7:$I$406,UCRETLER!$B$7:$B$406,$B93))</f>
        <v/>
      </c>
      <c r="X93" s="3">
        <f>IF($B93="",0,SUMIFS(UCRETLER!$J$7:$J$406,UCRETLER!$B$7:$B$406,$B93))</f>
        <v/>
      </c>
      <c r="Y93" s="3">
        <f>IF($B93="",0,SUMIFS(UCRETLER!$K$7:$K$406,UCRETLER!$B$7:$B$406,$B93))</f>
        <v/>
      </c>
      <c r="Z93" s="3">
        <f>IF($B93="",0,MAX(0,$H93-$E93))</f>
        <v/>
      </c>
      <c r="AA93" s="3">
        <f>IF($B93="",0,MAX(0,$E93-$H93))</f>
        <v/>
      </c>
      <c r="AB93" s="3">
        <f>IF($B93="",0,MAX(0,$W93-$Z93))</f>
        <v/>
      </c>
      <c r="AC93" s="3">
        <f>IF($B93="",0,MAX(0,$X93-$Z93))</f>
        <v/>
      </c>
      <c r="AD93" s="3">
        <f>IF($B93="",0,MAX(0,$Y93-$Z93))</f>
        <v/>
      </c>
    </row>
    <row r="94">
      <c r="A94" s="6" t="n"/>
      <c r="B94" s="112">
        <f>IF(MUSTERILER!$B94="","",MUSTERILER!$B94)</f>
        <v/>
      </c>
      <c r="C94" s="113">
        <f>IF(MUSTERILER!$B94="","",MUSTERILER!$C94)</f>
        <v/>
      </c>
      <c r="D94" s="116">
        <f>IF($B94="","",SUMIFS(UCRETLER!$F$7:$F$406,UCRETLER!$B$7:$B$406,$B94,UCRETLER!$G$7:$G$406,"Aktif"))</f>
        <v/>
      </c>
      <c r="E94" s="116">
        <f>IF($B94="","",SUMIFS(MUSTERILER!$J$7:$J$106,MUSTERILER!$B$7:$B$106,$B94))</f>
        <v/>
      </c>
      <c r="F94" s="116">
        <f>IF($B94="","",SUMIFS(UCRETLER!$H$7:$H$406,UCRETLER!$B$7:$B$406,$B94))</f>
        <v/>
      </c>
      <c r="G94" s="116">
        <f>IF($B94="","",$E94+$F94)</f>
        <v/>
      </c>
      <c r="H94" s="116">
        <f>IF($B94="","",SUMIFS(TAHSILAT!$F$7:$F$1506,TAHSILAT!$C$7:$C$1506,$B94))</f>
        <v/>
      </c>
      <c r="I94" s="116">
        <f>IF($B94="","",MAX(0,$G94-$H94))</f>
        <v/>
      </c>
      <c r="J94" s="116">
        <f>IF($B94="","",MAX(0,$I94-$K94-$L94-$M94))</f>
        <v/>
      </c>
      <c r="K94" s="116">
        <f>IF($B94="","",($AB94-$AC94)+IF(AND($AA94&gt;0,$S94&lt;&gt;"",$T94&gt;=8,$T94&lt;15),$AA94,0))</f>
        <v/>
      </c>
      <c r="L94" s="116">
        <f>IF($B94="","",($AC94-$AD94)+IF(AND($AA94&gt;0,$S94&lt;&gt;"",$T94&gt;=15,$T94&lt;29),$AA94,0))</f>
        <v/>
      </c>
      <c r="M94" s="116">
        <f>IF($B94="","",$AD94+IF(AND($AA94&gt;0,OR($S94="",$T94&gt;=29)),$AA94,0))</f>
        <v/>
      </c>
      <c r="N94" s="122">
        <f>IF($B94="","",IFERROR($H94/$G94,0))</f>
        <v/>
      </c>
      <c r="O94" s="123">
        <f>IF($B94="","",IFERROR(LOOKUP(2,1/(TAHSILAT!$C$7:$C$1506=$B94),TAHSILAT!$E$7:$E$1506),""))</f>
        <v/>
      </c>
      <c r="P94" s="112">
        <f>IF($B94="","",IF($M94&gt;0,"KRİTİK",IF($L94&gt;0,"YÜKSEK",IF($K94&gt;0,"ORTA",IF($I94&gt;0,"İZLE","TEMİZ")))))</f>
        <v/>
      </c>
      <c r="Q94" s="113">
        <f>IF($B94="","",IF($P94="KRİTİK","Acil tahsilat görüşmesi ve cari mutabakat",IF($P94="YÜKSEK","Bu hafta tahsilat takibi",IF($P94="ORTA","Hatırlatma mesajı gönder",IF($P94="İZLE","Normal takip","Aksiyon gerekmiyor")))))</f>
        <v/>
      </c>
      <c r="R94" s="120">
        <f>IF($B94="","",COUNTIFS(AKTIVITE!$D$7:$D$1006,$B94,AKTIVITE!$J$7:$J$1006,"&lt;&gt;Tamamlandı"))</f>
        <v/>
      </c>
      <c r="S94" s="123">
        <f>IF($B94="","",IF(MUSTERILER!$K94="","",MUSTERILER!$K94))</f>
        <v/>
      </c>
      <c r="T94" s="120">
        <f>IF(OR($B94="",$S94=""),"",TODAY()-$S94)</f>
        <v/>
      </c>
      <c r="U94" s="112">
        <f>IF($B94="","",IF(ABS($I94-($J94+$K94+$L94+$M94))&lt;0.01,"UYGUN","İNCELE"))</f>
        <v/>
      </c>
      <c r="V94" s="6" t="n"/>
      <c r="W94" s="6">
        <f>IF($B94="",0,SUMIFS(UCRETLER!$I$7:$I$406,UCRETLER!$B$7:$B$406,$B94))</f>
        <v/>
      </c>
      <c r="X94" s="3">
        <f>IF($B94="",0,SUMIFS(UCRETLER!$J$7:$J$406,UCRETLER!$B$7:$B$406,$B94))</f>
        <v/>
      </c>
      <c r="Y94" s="3">
        <f>IF($B94="",0,SUMIFS(UCRETLER!$K$7:$K$406,UCRETLER!$B$7:$B$406,$B94))</f>
        <v/>
      </c>
      <c r="Z94" s="3">
        <f>IF($B94="",0,MAX(0,$H94-$E94))</f>
        <v/>
      </c>
      <c r="AA94" s="3">
        <f>IF($B94="",0,MAX(0,$E94-$H94))</f>
        <v/>
      </c>
      <c r="AB94" s="3">
        <f>IF($B94="",0,MAX(0,$W94-$Z94))</f>
        <v/>
      </c>
      <c r="AC94" s="3">
        <f>IF($B94="",0,MAX(0,$X94-$Z94))</f>
        <v/>
      </c>
      <c r="AD94" s="3">
        <f>IF($B94="",0,MAX(0,$Y94-$Z94))</f>
        <v/>
      </c>
    </row>
    <row r="95">
      <c r="A95" s="6" t="n"/>
      <c r="B95" s="112">
        <f>IF(MUSTERILER!$B95="","",MUSTERILER!$B95)</f>
        <v/>
      </c>
      <c r="C95" s="113">
        <f>IF(MUSTERILER!$B95="","",MUSTERILER!$C95)</f>
        <v/>
      </c>
      <c r="D95" s="116">
        <f>IF($B95="","",SUMIFS(UCRETLER!$F$7:$F$406,UCRETLER!$B$7:$B$406,$B95,UCRETLER!$G$7:$G$406,"Aktif"))</f>
        <v/>
      </c>
      <c r="E95" s="116">
        <f>IF($B95="","",SUMIFS(MUSTERILER!$J$7:$J$106,MUSTERILER!$B$7:$B$106,$B95))</f>
        <v/>
      </c>
      <c r="F95" s="116">
        <f>IF($B95="","",SUMIFS(UCRETLER!$H$7:$H$406,UCRETLER!$B$7:$B$406,$B95))</f>
        <v/>
      </c>
      <c r="G95" s="116">
        <f>IF($B95="","",$E95+$F95)</f>
        <v/>
      </c>
      <c r="H95" s="116">
        <f>IF($B95="","",SUMIFS(TAHSILAT!$F$7:$F$1506,TAHSILAT!$C$7:$C$1506,$B95))</f>
        <v/>
      </c>
      <c r="I95" s="116">
        <f>IF($B95="","",MAX(0,$G95-$H95))</f>
        <v/>
      </c>
      <c r="J95" s="116">
        <f>IF($B95="","",MAX(0,$I95-$K95-$L95-$M95))</f>
        <v/>
      </c>
      <c r="K95" s="116">
        <f>IF($B95="","",($AB95-$AC95)+IF(AND($AA95&gt;0,$S95&lt;&gt;"",$T95&gt;=8,$T95&lt;15),$AA95,0))</f>
        <v/>
      </c>
      <c r="L95" s="116">
        <f>IF($B95="","",($AC95-$AD95)+IF(AND($AA95&gt;0,$S95&lt;&gt;"",$T95&gt;=15,$T95&lt;29),$AA95,0))</f>
        <v/>
      </c>
      <c r="M95" s="116">
        <f>IF($B95="","",$AD95+IF(AND($AA95&gt;0,OR($S95="",$T95&gt;=29)),$AA95,0))</f>
        <v/>
      </c>
      <c r="N95" s="122">
        <f>IF($B95="","",IFERROR($H95/$G95,0))</f>
        <v/>
      </c>
      <c r="O95" s="123">
        <f>IF($B95="","",IFERROR(LOOKUP(2,1/(TAHSILAT!$C$7:$C$1506=$B95),TAHSILAT!$E$7:$E$1506),""))</f>
        <v/>
      </c>
      <c r="P95" s="112">
        <f>IF($B95="","",IF($M95&gt;0,"KRİTİK",IF($L95&gt;0,"YÜKSEK",IF($K95&gt;0,"ORTA",IF($I95&gt;0,"İZLE","TEMİZ")))))</f>
        <v/>
      </c>
      <c r="Q95" s="113">
        <f>IF($B95="","",IF($P95="KRİTİK","Acil tahsilat görüşmesi ve cari mutabakat",IF($P95="YÜKSEK","Bu hafta tahsilat takibi",IF($P95="ORTA","Hatırlatma mesajı gönder",IF($P95="İZLE","Normal takip","Aksiyon gerekmiyor")))))</f>
        <v/>
      </c>
      <c r="R95" s="120">
        <f>IF($B95="","",COUNTIFS(AKTIVITE!$D$7:$D$1006,$B95,AKTIVITE!$J$7:$J$1006,"&lt;&gt;Tamamlandı"))</f>
        <v/>
      </c>
      <c r="S95" s="123">
        <f>IF($B95="","",IF(MUSTERILER!$K95="","",MUSTERILER!$K95))</f>
        <v/>
      </c>
      <c r="T95" s="120">
        <f>IF(OR($B95="",$S95=""),"",TODAY()-$S95)</f>
        <v/>
      </c>
      <c r="U95" s="112">
        <f>IF($B95="","",IF(ABS($I95-($J95+$K95+$L95+$M95))&lt;0.01,"UYGUN","İNCELE"))</f>
        <v/>
      </c>
      <c r="V95" s="6" t="n"/>
      <c r="W95" s="6">
        <f>IF($B95="",0,SUMIFS(UCRETLER!$I$7:$I$406,UCRETLER!$B$7:$B$406,$B95))</f>
        <v/>
      </c>
      <c r="X95" s="3">
        <f>IF($B95="",0,SUMIFS(UCRETLER!$J$7:$J$406,UCRETLER!$B$7:$B$406,$B95))</f>
        <v/>
      </c>
      <c r="Y95" s="3">
        <f>IF($B95="",0,SUMIFS(UCRETLER!$K$7:$K$406,UCRETLER!$B$7:$B$406,$B95))</f>
        <v/>
      </c>
      <c r="Z95" s="3">
        <f>IF($B95="",0,MAX(0,$H95-$E95))</f>
        <v/>
      </c>
      <c r="AA95" s="3">
        <f>IF($B95="",0,MAX(0,$E95-$H95))</f>
        <v/>
      </c>
      <c r="AB95" s="3">
        <f>IF($B95="",0,MAX(0,$W95-$Z95))</f>
        <v/>
      </c>
      <c r="AC95" s="3">
        <f>IF($B95="",0,MAX(0,$X95-$Z95))</f>
        <v/>
      </c>
      <c r="AD95" s="3">
        <f>IF($B95="",0,MAX(0,$Y95-$Z95))</f>
        <v/>
      </c>
    </row>
    <row r="96">
      <c r="A96" s="6" t="n"/>
      <c r="B96" s="112">
        <f>IF(MUSTERILER!$B96="","",MUSTERILER!$B96)</f>
        <v/>
      </c>
      <c r="C96" s="113">
        <f>IF(MUSTERILER!$B96="","",MUSTERILER!$C96)</f>
        <v/>
      </c>
      <c r="D96" s="116">
        <f>IF($B96="","",SUMIFS(UCRETLER!$F$7:$F$406,UCRETLER!$B$7:$B$406,$B96,UCRETLER!$G$7:$G$406,"Aktif"))</f>
        <v/>
      </c>
      <c r="E96" s="116">
        <f>IF($B96="","",SUMIFS(MUSTERILER!$J$7:$J$106,MUSTERILER!$B$7:$B$106,$B96))</f>
        <v/>
      </c>
      <c r="F96" s="116">
        <f>IF($B96="","",SUMIFS(UCRETLER!$H$7:$H$406,UCRETLER!$B$7:$B$406,$B96))</f>
        <v/>
      </c>
      <c r="G96" s="116">
        <f>IF($B96="","",$E96+$F96)</f>
        <v/>
      </c>
      <c r="H96" s="116">
        <f>IF($B96="","",SUMIFS(TAHSILAT!$F$7:$F$1506,TAHSILAT!$C$7:$C$1506,$B96))</f>
        <v/>
      </c>
      <c r="I96" s="116">
        <f>IF($B96="","",MAX(0,$G96-$H96))</f>
        <v/>
      </c>
      <c r="J96" s="116">
        <f>IF($B96="","",MAX(0,$I96-$K96-$L96-$M96))</f>
        <v/>
      </c>
      <c r="K96" s="116">
        <f>IF($B96="","",($AB96-$AC96)+IF(AND($AA96&gt;0,$S96&lt;&gt;"",$T96&gt;=8,$T96&lt;15),$AA96,0))</f>
        <v/>
      </c>
      <c r="L96" s="116">
        <f>IF($B96="","",($AC96-$AD96)+IF(AND($AA96&gt;0,$S96&lt;&gt;"",$T96&gt;=15,$T96&lt;29),$AA96,0))</f>
        <v/>
      </c>
      <c r="M96" s="116">
        <f>IF($B96="","",$AD96+IF(AND($AA96&gt;0,OR($S96="",$T96&gt;=29)),$AA96,0))</f>
        <v/>
      </c>
      <c r="N96" s="122">
        <f>IF($B96="","",IFERROR($H96/$G96,0))</f>
        <v/>
      </c>
      <c r="O96" s="123">
        <f>IF($B96="","",IFERROR(LOOKUP(2,1/(TAHSILAT!$C$7:$C$1506=$B96),TAHSILAT!$E$7:$E$1506),""))</f>
        <v/>
      </c>
      <c r="P96" s="112">
        <f>IF($B96="","",IF($M96&gt;0,"KRİTİK",IF($L96&gt;0,"YÜKSEK",IF($K96&gt;0,"ORTA",IF($I96&gt;0,"İZLE","TEMİZ")))))</f>
        <v/>
      </c>
      <c r="Q96" s="113">
        <f>IF($B96="","",IF($P96="KRİTİK","Acil tahsilat görüşmesi ve cari mutabakat",IF($P96="YÜKSEK","Bu hafta tahsilat takibi",IF($P96="ORTA","Hatırlatma mesajı gönder",IF($P96="İZLE","Normal takip","Aksiyon gerekmiyor")))))</f>
        <v/>
      </c>
      <c r="R96" s="120">
        <f>IF($B96="","",COUNTIFS(AKTIVITE!$D$7:$D$1006,$B96,AKTIVITE!$J$7:$J$1006,"&lt;&gt;Tamamlandı"))</f>
        <v/>
      </c>
      <c r="S96" s="123">
        <f>IF($B96="","",IF(MUSTERILER!$K96="","",MUSTERILER!$K96))</f>
        <v/>
      </c>
      <c r="T96" s="120">
        <f>IF(OR($B96="",$S96=""),"",TODAY()-$S96)</f>
        <v/>
      </c>
      <c r="U96" s="112">
        <f>IF($B96="","",IF(ABS($I96-($J96+$K96+$L96+$M96))&lt;0.01,"UYGUN","İNCELE"))</f>
        <v/>
      </c>
      <c r="V96" s="6" t="n"/>
      <c r="W96" s="6">
        <f>IF($B96="",0,SUMIFS(UCRETLER!$I$7:$I$406,UCRETLER!$B$7:$B$406,$B96))</f>
        <v/>
      </c>
      <c r="X96" s="3">
        <f>IF($B96="",0,SUMIFS(UCRETLER!$J$7:$J$406,UCRETLER!$B$7:$B$406,$B96))</f>
        <v/>
      </c>
      <c r="Y96" s="3">
        <f>IF($B96="",0,SUMIFS(UCRETLER!$K$7:$K$406,UCRETLER!$B$7:$B$406,$B96))</f>
        <v/>
      </c>
      <c r="Z96" s="3">
        <f>IF($B96="",0,MAX(0,$H96-$E96))</f>
        <v/>
      </c>
      <c r="AA96" s="3">
        <f>IF($B96="",0,MAX(0,$E96-$H96))</f>
        <v/>
      </c>
      <c r="AB96" s="3">
        <f>IF($B96="",0,MAX(0,$W96-$Z96))</f>
        <v/>
      </c>
      <c r="AC96" s="3">
        <f>IF($B96="",0,MAX(0,$X96-$Z96))</f>
        <v/>
      </c>
      <c r="AD96" s="3">
        <f>IF($B96="",0,MAX(0,$Y96-$Z96))</f>
        <v/>
      </c>
    </row>
    <row r="97">
      <c r="A97" s="6" t="n"/>
      <c r="B97" s="112">
        <f>IF(MUSTERILER!$B97="","",MUSTERILER!$B97)</f>
        <v/>
      </c>
      <c r="C97" s="113">
        <f>IF(MUSTERILER!$B97="","",MUSTERILER!$C97)</f>
        <v/>
      </c>
      <c r="D97" s="116">
        <f>IF($B97="","",SUMIFS(UCRETLER!$F$7:$F$406,UCRETLER!$B$7:$B$406,$B97,UCRETLER!$G$7:$G$406,"Aktif"))</f>
        <v/>
      </c>
      <c r="E97" s="116">
        <f>IF($B97="","",SUMIFS(MUSTERILER!$J$7:$J$106,MUSTERILER!$B$7:$B$106,$B97))</f>
        <v/>
      </c>
      <c r="F97" s="116">
        <f>IF($B97="","",SUMIFS(UCRETLER!$H$7:$H$406,UCRETLER!$B$7:$B$406,$B97))</f>
        <v/>
      </c>
      <c r="G97" s="116">
        <f>IF($B97="","",$E97+$F97)</f>
        <v/>
      </c>
      <c r="H97" s="116">
        <f>IF($B97="","",SUMIFS(TAHSILAT!$F$7:$F$1506,TAHSILAT!$C$7:$C$1506,$B97))</f>
        <v/>
      </c>
      <c r="I97" s="116">
        <f>IF($B97="","",MAX(0,$G97-$H97))</f>
        <v/>
      </c>
      <c r="J97" s="116">
        <f>IF($B97="","",MAX(0,$I97-$K97-$L97-$M97))</f>
        <v/>
      </c>
      <c r="K97" s="116">
        <f>IF($B97="","",($AB97-$AC97)+IF(AND($AA97&gt;0,$S97&lt;&gt;"",$T97&gt;=8,$T97&lt;15),$AA97,0))</f>
        <v/>
      </c>
      <c r="L97" s="116">
        <f>IF($B97="","",($AC97-$AD97)+IF(AND($AA97&gt;0,$S97&lt;&gt;"",$T97&gt;=15,$T97&lt;29),$AA97,0))</f>
        <v/>
      </c>
      <c r="M97" s="116">
        <f>IF($B97="","",$AD97+IF(AND($AA97&gt;0,OR($S97="",$T97&gt;=29)),$AA97,0))</f>
        <v/>
      </c>
      <c r="N97" s="122">
        <f>IF($B97="","",IFERROR($H97/$G97,0))</f>
        <v/>
      </c>
      <c r="O97" s="123">
        <f>IF($B97="","",IFERROR(LOOKUP(2,1/(TAHSILAT!$C$7:$C$1506=$B97),TAHSILAT!$E$7:$E$1506),""))</f>
        <v/>
      </c>
      <c r="P97" s="112">
        <f>IF($B97="","",IF($M97&gt;0,"KRİTİK",IF($L97&gt;0,"YÜKSEK",IF($K97&gt;0,"ORTA",IF($I97&gt;0,"İZLE","TEMİZ")))))</f>
        <v/>
      </c>
      <c r="Q97" s="113">
        <f>IF($B97="","",IF($P97="KRİTİK","Acil tahsilat görüşmesi ve cari mutabakat",IF($P97="YÜKSEK","Bu hafta tahsilat takibi",IF($P97="ORTA","Hatırlatma mesajı gönder",IF($P97="İZLE","Normal takip","Aksiyon gerekmiyor")))))</f>
        <v/>
      </c>
      <c r="R97" s="120">
        <f>IF($B97="","",COUNTIFS(AKTIVITE!$D$7:$D$1006,$B97,AKTIVITE!$J$7:$J$1006,"&lt;&gt;Tamamlandı"))</f>
        <v/>
      </c>
      <c r="S97" s="123">
        <f>IF($B97="","",IF(MUSTERILER!$K97="","",MUSTERILER!$K97))</f>
        <v/>
      </c>
      <c r="T97" s="120">
        <f>IF(OR($B97="",$S97=""),"",TODAY()-$S97)</f>
        <v/>
      </c>
      <c r="U97" s="112">
        <f>IF($B97="","",IF(ABS($I97-($J97+$K97+$L97+$M97))&lt;0.01,"UYGUN","İNCELE"))</f>
        <v/>
      </c>
      <c r="V97" s="6" t="n"/>
      <c r="W97" s="6">
        <f>IF($B97="",0,SUMIFS(UCRETLER!$I$7:$I$406,UCRETLER!$B$7:$B$406,$B97))</f>
        <v/>
      </c>
      <c r="X97" s="3">
        <f>IF($B97="",0,SUMIFS(UCRETLER!$J$7:$J$406,UCRETLER!$B$7:$B$406,$B97))</f>
        <v/>
      </c>
      <c r="Y97" s="3">
        <f>IF($B97="",0,SUMIFS(UCRETLER!$K$7:$K$406,UCRETLER!$B$7:$B$406,$B97))</f>
        <v/>
      </c>
      <c r="Z97" s="3">
        <f>IF($B97="",0,MAX(0,$H97-$E97))</f>
        <v/>
      </c>
      <c r="AA97" s="3">
        <f>IF($B97="",0,MAX(0,$E97-$H97))</f>
        <v/>
      </c>
      <c r="AB97" s="3">
        <f>IF($B97="",0,MAX(0,$W97-$Z97))</f>
        <v/>
      </c>
      <c r="AC97" s="3">
        <f>IF($B97="",0,MAX(0,$X97-$Z97))</f>
        <v/>
      </c>
      <c r="AD97" s="3">
        <f>IF($B97="",0,MAX(0,$Y97-$Z97))</f>
        <v/>
      </c>
    </row>
    <row r="98">
      <c r="A98" s="6" t="n"/>
      <c r="B98" s="112">
        <f>IF(MUSTERILER!$B98="","",MUSTERILER!$B98)</f>
        <v/>
      </c>
      <c r="C98" s="113">
        <f>IF(MUSTERILER!$B98="","",MUSTERILER!$C98)</f>
        <v/>
      </c>
      <c r="D98" s="116">
        <f>IF($B98="","",SUMIFS(UCRETLER!$F$7:$F$406,UCRETLER!$B$7:$B$406,$B98,UCRETLER!$G$7:$G$406,"Aktif"))</f>
        <v/>
      </c>
      <c r="E98" s="116">
        <f>IF($B98="","",SUMIFS(MUSTERILER!$J$7:$J$106,MUSTERILER!$B$7:$B$106,$B98))</f>
        <v/>
      </c>
      <c r="F98" s="116">
        <f>IF($B98="","",SUMIFS(UCRETLER!$H$7:$H$406,UCRETLER!$B$7:$B$406,$B98))</f>
        <v/>
      </c>
      <c r="G98" s="116">
        <f>IF($B98="","",$E98+$F98)</f>
        <v/>
      </c>
      <c r="H98" s="116">
        <f>IF($B98="","",SUMIFS(TAHSILAT!$F$7:$F$1506,TAHSILAT!$C$7:$C$1506,$B98))</f>
        <v/>
      </c>
      <c r="I98" s="116">
        <f>IF($B98="","",MAX(0,$G98-$H98))</f>
        <v/>
      </c>
      <c r="J98" s="116">
        <f>IF($B98="","",MAX(0,$I98-$K98-$L98-$M98))</f>
        <v/>
      </c>
      <c r="K98" s="116">
        <f>IF($B98="","",($AB98-$AC98)+IF(AND($AA98&gt;0,$S98&lt;&gt;"",$T98&gt;=8,$T98&lt;15),$AA98,0))</f>
        <v/>
      </c>
      <c r="L98" s="116">
        <f>IF($B98="","",($AC98-$AD98)+IF(AND($AA98&gt;0,$S98&lt;&gt;"",$T98&gt;=15,$T98&lt;29),$AA98,0))</f>
        <v/>
      </c>
      <c r="M98" s="116">
        <f>IF($B98="","",$AD98+IF(AND($AA98&gt;0,OR($S98="",$T98&gt;=29)),$AA98,0))</f>
        <v/>
      </c>
      <c r="N98" s="122">
        <f>IF($B98="","",IFERROR($H98/$G98,0))</f>
        <v/>
      </c>
      <c r="O98" s="123">
        <f>IF($B98="","",IFERROR(LOOKUP(2,1/(TAHSILAT!$C$7:$C$1506=$B98),TAHSILAT!$E$7:$E$1506),""))</f>
        <v/>
      </c>
      <c r="P98" s="112">
        <f>IF($B98="","",IF($M98&gt;0,"KRİTİK",IF($L98&gt;0,"YÜKSEK",IF($K98&gt;0,"ORTA",IF($I98&gt;0,"İZLE","TEMİZ")))))</f>
        <v/>
      </c>
      <c r="Q98" s="113">
        <f>IF($B98="","",IF($P98="KRİTİK","Acil tahsilat görüşmesi ve cari mutabakat",IF($P98="YÜKSEK","Bu hafta tahsilat takibi",IF($P98="ORTA","Hatırlatma mesajı gönder",IF($P98="İZLE","Normal takip","Aksiyon gerekmiyor")))))</f>
        <v/>
      </c>
      <c r="R98" s="120">
        <f>IF($B98="","",COUNTIFS(AKTIVITE!$D$7:$D$1006,$B98,AKTIVITE!$J$7:$J$1006,"&lt;&gt;Tamamlandı"))</f>
        <v/>
      </c>
      <c r="S98" s="123">
        <f>IF($B98="","",IF(MUSTERILER!$K98="","",MUSTERILER!$K98))</f>
        <v/>
      </c>
      <c r="T98" s="120">
        <f>IF(OR($B98="",$S98=""),"",TODAY()-$S98)</f>
        <v/>
      </c>
      <c r="U98" s="112">
        <f>IF($B98="","",IF(ABS($I98-($J98+$K98+$L98+$M98))&lt;0.01,"UYGUN","İNCELE"))</f>
        <v/>
      </c>
      <c r="V98" s="6" t="n"/>
      <c r="W98" s="6">
        <f>IF($B98="",0,SUMIFS(UCRETLER!$I$7:$I$406,UCRETLER!$B$7:$B$406,$B98))</f>
        <v/>
      </c>
      <c r="X98" s="3">
        <f>IF($B98="",0,SUMIFS(UCRETLER!$J$7:$J$406,UCRETLER!$B$7:$B$406,$B98))</f>
        <v/>
      </c>
      <c r="Y98" s="3">
        <f>IF($B98="",0,SUMIFS(UCRETLER!$K$7:$K$406,UCRETLER!$B$7:$B$406,$B98))</f>
        <v/>
      </c>
      <c r="Z98" s="3">
        <f>IF($B98="",0,MAX(0,$H98-$E98))</f>
        <v/>
      </c>
      <c r="AA98" s="3">
        <f>IF($B98="",0,MAX(0,$E98-$H98))</f>
        <v/>
      </c>
      <c r="AB98" s="3">
        <f>IF($B98="",0,MAX(0,$W98-$Z98))</f>
        <v/>
      </c>
      <c r="AC98" s="3">
        <f>IF($B98="",0,MAX(0,$X98-$Z98))</f>
        <v/>
      </c>
      <c r="AD98" s="3">
        <f>IF($B98="",0,MAX(0,$Y98-$Z98))</f>
        <v/>
      </c>
    </row>
    <row r="99">
      <c r="A99" s="6" t="n"/>
      <c r="B99" s="112">
        <f>IF(MUSTERILER!$B99="","",MUSTERILER!$B99)</f>
        <v/>
      </c>
      <c r="C99" s="113">
        <f>IF(MUSTERILER!$B99="","",MUSTERILER!$C99)</f>
        <v/>
      </c>
      <c r="D99" s="116">
        <f>IF($B99="","",SUMIFS(UCRETLER!$F$7:$F$406,UCRETLER!$B$7:$B$406,$B99,UCRETLER!$G$7:$G$406,"Aktif"))</f>
        <v/>
      </c>
      <c r="E99" s="116">
        <f>IF($B99="","",SUMIFS(MUSTERILER!$J$7:$J$106,MUSTERILER!$B$7:$B$106,$B99))</f>
        <v/>
      </c>
      <c r="F99" s="116">
        <f>IF($B99="","",SUMIFS(UCRETLER!$H$7:$H$406,UCRETLER!$B$7:$B$406,$B99))</f>
        <v/>
      </c>
      <c r="G99" s="116">
        <f>IF($B99="","",$E99+$F99)</f>
        <v/>
      </c>
      <c r="H99" s="116">
        <f>IF($B99="","",SUMIFS(TAHSILAT!$F$7:$F$1506,TAHSILAT!$C$7:$C$1506,$B99))</f>
        <v/>
      </c>
      <c r="I99" s="116">
        <f>IF($B99="","",MAX(0,$G99-$H99))</f>
        <v/>
      </c>
      <c r="J99" s="116">
        <f>IF($B99="","",MAX(0,$I99-$K99-$L99-$M99))</f>
        <v/>
      </c>
      <c r="K99" s="116">
        <f>IF($B99="","",($AB99-$AC99)+IF(AND($AA99&gt;0,$S99&lt;&gt;"",$T99&gt;=8,$T99&lt;15),$AA99,0))</f>
        <v/>
      </c>
      <c r="L99" s="116">
        <f>IF($B99="","",($AC99-$AD99)+IF(AND($AA99&gt;0,$S99&lt;&gt;"",$T99&gt;=15,$T99&lt;29),$AA99,0))</f>
        <v/>
      </c>
      <c r="M99" s="116">
        <f>IF($B99="","",$AD99+IF(AND($AA99&gt;0,OR($S99="",$T99&gt;=29)),$AA99,0))</f>
        <v/>
      </c>
      <c r="N99" s="122">
        <f>IF($B99="","",IFERROR($H99/$G99,0))</f>
        <v/>
      </c>
      <c r="O99" s="123">
        <f>IF($B99="","",IFERROR(LOOKUP(2,1/(TAHSILAT!$C$7:$C$1506=$B99),TAHSILAT!$E$7:$E$1506),""))</f>
        <v/>
      </c>
      <c r="P99" s="112">
        <f>IF($B99="","",IF($M99&gt;0,"KRİTİK",IF($L99&gt;0,"YÜKSEK",IF($K99&gt;0,"ORTA",IF($I99&gt;0,"İZLE","TEMİZ")))))</f>
        <v/>
      </c>
      <c r="Q99" s="113">
        <f>IF($B99="","",IF($P99="KRİTİK","Acil tahsilat görüşmesi ve cari mutabakat",IF($P99="YÜKSEK","Bu hafta tahsilat takibi",IF($P99="ORTA","Hatırlatma mesajı gönder",IF($P99="İZLE","Normal takip","Aksiyon gerekmiyor")))))</f>
        <v/>
      </c>
      <c r="R99" s="120">
        <f>IF($B99="","",COUNTIFS(AKTIVITE!$D$7:$D$1006,$B99,AKTIVITE!$J$7:$J$1006,"&lt;&gt;Tamamlandı"))</f>
        <v/>
      </c>
      <c r="S99" s="123">
        <f>IF($B99="","",IF(MUSTERILER!$K99="","",MUSTERILER!$K99))</f>
        <v/>
      </c>
      <c r="T99" s="120">
        <f>IF(OR($B99="",$S99=""),"",TODAY()-$S99)</f>
        <v/>
      </c>
      <c r="U99" s="112">
        <f>IF($B99="","",IF(ABS($I99-($J99+$K99+$L99+$M99))&lt;0.01,"UYGUN","İNCELE"))</f>
        <v/>
      </c>
      <c r="V99" s="6" t="n"/>
      <c r="W99" s="6">
        <f>IF($B99="",0,SUMIFS(UCRETLER!$I$7:$I$406,UCRETLER!$B$7:$B$406,$B99))</f>
        <v/>
      </c>
      <c r="X99" s="3">
        <f>IF($B99="",0,SUMIFS(UCRETLER!$J$7:$J$406,UCRETLER!$B$7:$B$406,$B99))</f>
        <v/>
      </c>
      <c r="Y99" s="3">
        <f>IF($B99="",0,SUMIFS(UCRETLER!$K$7:$K$406,UCRETLER!$B$7:$B$406,$B99))</f>
        <v/>
      </c>
      <c r="Z99" s="3">
        <f>IF($B99="",0,MAX(0,$H99-$E99))</f>
        <v/>
      </c>
      <c r="AA99" s="3">
        <f>IF($B99="",0,MAX(0,$E99-$H99))</f>
        <v/>
      </c>
      <c r="AB99" s="3">
        <f>IF($B99="",0,MAX(0,$W99-$Z99))</f>
        <v/>
      </c>
      <c r="AC99" s="3">
        <f>IF($B99="",0,MAX(0,$X99-$Z99))</f>
        <v/>
      </c>
      <c r="AD99" s="3">
        <f>IF($B99="",0,MAX(0,$Y99-$Z99))</f>
        <v/>
      </c>
    </row>
    <row r="100">
      <c r="A100" s="6" t="n"/>
      <c r="B100" s="112">
        <f>IF(MUSTERILER!$B100="","",MUSTERILER!$B100)</f>
        <v/>
      </c>
      <c r="C100" s="113">
        <f>IF(MUSTERILER!$B100="","",MUSTERILER!$C100)</f>
        <v/>
      </c>
      <c r="D100" s="116">
        <f>IF($B100="","",SUMIFS(UCRETLER!$F$7:$F$406,UCRETLER!$B$7:$B$406,$B100,UCRETLER!$G$7:$G$406,"Aktif"))</f>
        <v/>
      </c>
      <c r="E100" s="116">
        <f>IF($B100="","",SUMIFS(MUSTERILER!$J$7:$J$106,MUSTERILER!$B$7:$B$106,$B100))</f>
        <v/>
      </c>
      <c r="F100" s="116">
        <f>IF($B100="","",SUMIFS(UCRETLER!$H$7:$H$406,UCRETLER!$B$7:$B$406,$B100))</f>
        <v/>
      </c>
      <c r="G100" s="116">
        <f>IF($B100="","",$E100+$F100)</f>
        <v/>
      </c>
      <c r="H100" s="116">
        <f>IF($B100="","",SUMIFS(TAHSILAT!$F$7:$F$1506,TAHSILAT!$C$7:$C$1506,$B100))</f>
        <v/>
      </c>
      <c r="I100" s="116">
        <f>IF($B100="","",MAX(0,$G100-$H100))</f>
        <v/>
      </c>
      <c r="J100" s="116">
        <f>IF($B100="","",MAX(0,$I100-$K100-$L100-$M100))</f>
        <v/>
      </c>
      <c r="K100" s="116">
        <f>IF($B100="","",($AB100-$AC100)+IF(AND($AA100&gt;0,$S100&lt;&gt;"",$T100&gt;=8,$T100&lt;15),$AA100,0))</f>
        <v/>
      </c>
      <c r="L100" s="116">
        <f>IF($B100="","",($AC100-$AD100)+IF(AND($AA100&gt;0,$S100&lt;&gt;"",$T100&gt;=15,$T100&lt;29),$AA100,0))</f>
        <v/>
      </c>
      <c r="M100" s="116">
        <f>IF($B100="","",$AD100+IF(AND($AA100&gt;0,OR($S100="",$T100&gt;=29)),$AA100,0))</f>
        <v/>
      </c>
      <c r="N100" s="122">
        <f>IF($B100="","",IFERROR($H100/$G100,0))</f>
        <v/>
      </c>
      <c r="O100" s="123">
        <f>IF($B100="","",IFERROR(LOOKUP(2,1/(TAHSILAT!$C$7:$C$1506=$B100),TAHSILAT!$E$7:$E$1506),""))</f>
        <v/>
      </c>
      <c r="P100" s="112">
        <f>IF($B100="","",IF($M100&gt;0,"KRİTİK",IF($L100&gt;0,"YÜKSEK",IF($K100&gt;0,"ORTA",IF($I100&gt;0,"İZLE","TEMİZ")))))</f>
        <v/>
      </c>
      <c r="Q100" s="113">
        <f>IF($B100="","",IF($P100="KRİTİK","Acil tahsilat görüşmesi ve cari mutabakat",IF($P100="YÜKSEK","Bu hafta tahsilat takibi",IF($P100="ORTA","Hatırlatma mesajı gönder",IF($P100="İZLE","Normal takip","Aksiyon gerekmiyor")))))</f>
        <v/>
      </c>
      <c r="R100" s="120">
        <f>IF($B100="","",COUNTIFS(AKTIVITE!$D$7:$D$1006,$B100,AKTIVITE!$J$7:$J$1006,"&lt;&gt;Tamamlandı"))</f>
        <v/>
      </c>
      <c r="S100" s="123">
        <f>IF($B100="","",IF(MUSTERILER!$K100="","",MUSTERILER!$K100))</f>
        <v/>
      </c>
      <c r="T100" s="120">
        <f>IF(OR($B100="",$S100=""),"",TODAY()-$S100)</f>
        <v/>
      </c>
      <c r="U100" s="112">
        <f>IF($B100="","",IF(ABS($I100-($J100+$K100+$L100+$M100))&lt;0.01,"UYGUN","İNCELE"))</f>
        <v/>
      </c>
      <c r="V100" s="6" t="n"/>
      <c r="W100" s="6">
        <f>IF($B100="",0,SUMIFS(UCRETLER!$I$7:$I$406,UCRETLER!$B$7:$B$406,$B100))</f>
        <v/>
      </c>
      <c r="X100" s="3">
        <f>IF($B100="",0,SUMIFS(UCRETLER!$J$7:$J$406,UCRETLER!$B$7:$B$406,$B100))</f>
        <v/>
      </c>
      <c r="Y100" s="3">
        <f>IF($B100="",0,SUMIFS(UCRETLER!$K$7:$K$406,UCRETLER!$B$7:$B$406,$B100))</f>
        <v/>
      </c>
      <c r="Z100" s="3">
        <f>IF($B100="",0,MAX(0,$H100-$E100))</f>
        <v/>
      </c>
      <c r="AA100" s="3">
        <f>IF($B100="",0,MAX(0,$E100-$H100))</f>
        <v/>
      </c>
      <c r="AB100" s="3">
        <f>IF($B100="",0,MAX(0,$W100-$Z100))</f>
        <v/>
      </c>
      <c r="AC100" s="3">
        <f>IF($B100="",0,MAX(0,$X100-$Z100))</f>
        <v/>
      </c>
      <c r="AD100" s="3">
        <f>IF($B100="",0,MAX(0,$Y100-$Z100))</f>
        <v/>
      </c>
    </row>
    <row r="101">
      <c r="A101" s="6" t="n"/>
      <c r="B101" s="112">
        <f>IF(MUSTERILER!$B101="","",MUSTERILER!$B101)</f>
        <v/>
      </c>
      <c r="C101" s="113">
        <f>IF(MUSTERILER!$B101="","",MUSTERILER!$C101)</f>
        <v/>
      </c>
      <c r="D101" s="116">
        <f>IF($B101="","",SUMIFS(UCRETLER!$F$7:$F$406,UCRETLER!$B$7:$B$406,$B101,UCRETLER!$G$7:$G$406,"Aktif"))</f>
        <v/>
      </c>
      <c r="E101" s="116">
        <f>IF($B101="","",SUMIFS(MUSTERILER!$J$7:$J$106,MUSTERILER!$B$7:$B$106,$B101))</f>
        <v/>
      </c>
      <c r="F101" s="116">
        <f>IF($B101="","",SUMIFS(UCRETLER!$H$7:$H$406,UCRETLER!$B$7:$B$406,$B101))</f>
        <v/>
      </c>
      <c r="G101" s="116">
        <f>IF($B101="","",$E101+$F101)</f>
        <v/>
      </c>
      <c r="H101" s="116">
        <f>IF($B101="","",SUMIFS(TAHSILAT!$F$7:$F$1506,TAHSILAT!$C$7:$C$1506,$B101))</f>
        <v/>
      </c>
      <c r="I101" s="116">
        <f>IF($B101="","",MAX(0,$G101-$H101))</f>
        <v/>
      </c>
      <c r="J101" s="116">
        <f>IF($B101="","",MAX(0,$I101-$K101-$L101-$M101))</f>
        <v/>
      </c>
      <c r="K101" s="116">
        <f>IF($B101="","",($AB101-$AC101)+IF(AND($AA101&gt;0,$S101&lt;&gt;"",$T101&gt;=8,$T101&lt;15),$AA101,0))</f>
        <v/>
      </c>
      <c r="L101" s="116">
        <f>IF($B101="","",($AC101-$AD101)+IF(AND($AA101&gt;0,$S101&lt;&gt;"",$T101&gt;=15,$T101&lt;29),$AA101,0))</f>
        <v/>
      </c>
      <c r="M101" s="116">
        <f>IF($B101="","",$AD101+IF(AND($AA101&gt;0,OR($S101="",$T101&gt;=29)),$AA101,0))</f>
        <v/>
      </c>
      <c r="N101" s="122">
        <f>IF($B101="","",IFERROR($H101/$G101,0))</f>
        <v/>
      </c>
      <c r="O101" s="123">
        <f>IF($B101="","",IFERROR(LOOKUP(2,1/(TAHSILAT!$C$7:$C$1506=$B101),TAHSILAT!$E$7:$E$1506),""))</f>
        <v/>
      </c>
      <c r="P101" s="112">
        <f>IF($B101="","",IF($M101&gt;0,"KRİTİK",IF($L101&gt;0,"YÜKSEK",IF($K101&gt;0,"ORTA",IF($I101&gt;0,"İZLE","TEMİZ")))))</f>
        <v/>
      </c>
      <c r="Q101" s="113">
        <f>IF($B101="","",IF($P101="KRİTİK","Acil tahsilat görüşmesi ve cari mutabakat",IF($P101="YÜKSEK","Bu hafta tahsilat takibi",IF($P101="ORTA","Hatırlatma mesajı gönder",IF($P101="İZLE","Normal takip","Aksiyon gerekmiyor")))))</f>
        <v/>
      </c>
      <c r="R101" s="120">
        <f>IF($B101="","",COUNTIFS(AKTIVITE!$D$7:$D$1006,$B101,AKTIVITE!$J$7:$J$1006,"&lt;&gt;Tamamlandı"))</f>
        <v/>
      </c>
      <c r="S101" s="123">
        <f>IF($B101="","",IF(MUSTERILER!$K101="","",MUSTERILER!$K101))</f>
        <v/>
      </c>
      <c r="T101" s="120">
        <f>IF(OR($B101="",$S101=""),"",TODAY()-$S101)</f>
        <v/>
      </c>
      <c r="U101" s="112">
        <f>IF($B101="","",IF(ABS($I101-($J101+$K101+$L101+$M101))&lt;0.01,"UYGUN","İNCELE"))</f>
        <v/>
      </c>
      <c r="V101" s="6" t="n"/>
      <c r="W101" s="6">
        <f>IF($B101="",0,SUMIFS(UCRETLER!$I$7:$I$406,UCRETLER!$B$7:$B$406,$B101))</f>
        <v/>
      </c>
      <c r="X101" s="3">
        <f>IF($B101="",0,SUMIFS(UCRETLER!$J$7:$J$406,UCRETLER!$B$7:$B$406,$B101))</f>
        <v/>
      </c>
      <c r="Y101" s="3">
        <f>IF($B101="",0,SUMIFS(UCRETLER!$K$7:$K$406,UCRETLER!$B$7:$B$406,$B101))</f>
        <v/>
      </c>
      <c r="Z101" s="3">
        <f>IF($B101="",0,MAX(0,$H101-$E101))</f>
        <v/>
      </c>
      <c r="AA101" s="3">
        <f>IF($B101="",0,MAX(0,$E101-$H101))</f>
        <v/>
      </c>
      <c r="AB101" s="3">
        <f>IF($B101="",0,MAX(0,$W101-$Z101))</f>
        <v/>
      </c>
      <c r="AC101" s="3">
        <f>IF($B101="",0,MAX(0,$X101-$Z101))</f>
        <v/>
      </c>
      <c r="AD101" s="3">
        <f>IF($B101="",0,MAX(0,$Y101-$Z101))</f>
        <v/>
      </c>
    </row>
    <row r="102">
      <c r="A102" s="6" t="n"/>
      <c r="B102" s="112">
        <f>IF(MUSTERILER!$B102="","",MUSTERILER!$B102)</f>
        <v/>
      </c>
      <c r="C102" s="113">
        <f>IF(MUSTERILER!$B102="","",MUSTERILER!$C102)</f>
        <v/>
      </c>
      <c r="D102" s="116">
        <f>IF($B102="","",SUMIFS(UCRETLER!$F$7:$F$406,UCRETLER!$B$7:$B$406,$B102,UCRETLER!$G$7:$G$406,"Aktif"))</f>
        <v/>
      </c>
      <c r="E102" s="116">
        <f>IF($B102="","",SUMIFS(MUSTERILER!$J$7:$J$106,MUSTERILER!$B$7:$B$106,$B102))</f>
        <v/>
      </c>
      <c r="F102" s="116">
        <f>IF($B102="","",SUMIFS(UCRETLER!$H$7:$H$406,UCRETLER!$B$7:$B$406,$B102))</f>
        <v/>
      </c>
      <c r="G102" s="116">
        <f>IF($B102="","",$E102+$F102)</f>
        <v/>
      </c>
      <c r="H102" s="116">
        <f>IF($B102="","",SUMIFS(TAHSILAT!$F$7:$F$1506,TAHSILAT!$C$7:$C$1506,$B102))</f>
        <v/>
      </c>
      <c r="I102" s="116">
        <f>IF($B102="","",MAX(0,$G102-$H102))</f>
        <v/>
      </c>
      <c r="J102" s="116">
        <f>IF($B102="","",MAX(0,$I102-$K102-$L102-$M102))</f>
        <v/>
      </c>
      <c r="K102" s="116">
        <f>IF($B102="","",($AB102-$AC102)+IF(AND($AA102&gt;0,$S102&lt;&gt;"",$T102&gt;=8,$T102&lt;15),$AA102,0))</f>
        <v/>
      </c>
      <c r="L102" s="116">
        <f>IF($B102="","",($AC102-$AD102)+IF(AND($AA102&gt;0,$S102&lt;&gt;"",$T102&gt;=15,$T102&lt;29),$AA102,0))</f>
        <v/>
      </c>
      <c r="M102" s="116">
        <f>IF($B102="","",$AD102+IF(AND($AA102&gt;0,OR($S102="",$T102&gt;=29)),$AA102,0))</f>
        <v/>
      </c>
      <c r="N102" s="122">
        <f>IF($B102="","",IFERROR($H102/$G102,0))</f>
        <v/>
      </c>
      <c r="O102" s="123">
        <f>IF($B102="","",IFERROR(LOOKUP(2,1/(TAHSILAT!$C$7:$C$1506=$B102),TAHSILAT!$E$7:$E$1506),""))</f>
        <v/>
      </c>
      <c r="P102" s="112">
        <f>IF($B102="","",IF($M102&gt;0,"KRİTİK",IF($L102&gt;0,"YÜKSEK",IF($K102&gt;0,"ORTA",IF($I102&gt;0,"İZLE","TEMİZ")))))</f>
        <v/>
      </c>
      <c r="Q102" s="113">
        <f>IF($B102="","",IF($P102="KRİTİK","Acil tahsilat görüşmesi ve cari mutabakat",IF($P102="YÜKSEK","Bu hafta tahsilat takibi",IF($P102="ORTA","Hatırlatma mesajı gönder",IF($P102="İZLE","Normal takip","Aksiyon gerekmiyor")))))</f>
        <v/>
      </c>
      <c r="R102" s="120">
        <f>IF($B102="","",COUNTIFS(AKTIVITE!$D$7:$D$1006,$B102,AKTIVITE!$J$7:$J$1006,"&lt;&gt;Tamamlandı"))</f>
        <v/>
      </c>
      <c r="S102" s="123">
        <f>IF($B102="","",IF(MUSTERILER!$K102="","",MUSTERILER!$K102))</f>
        <v/>
      </c>
      <c r="T102" s="120">
        <f>IF(OR($B102="",$S102=""),"",TODAY()-$S102)</f>
        <v/>
      </c>
      <c r="U102" s="112">
        <f>IF($B102="","",IF(ABS($I102-($J102+$K102+$L102+$M102))&lt;0.01,"UYGUN","İNCELE"))</f>
        <v/>
      </c>
      <c r="V102" s="6" t="n"/>
      <c r="W102" s="6">
        <f>IF($B102="",0,SUMIFS(UCRETLER!$I$7:$I$406,UCRETLER!$B$7:$B$406,$B102))</f>
        <v/>
      </c>
      <c r="X102" s="3">
        <f>IF($B102="",0,SUMIFS(UCRETLER!$J$7:$J$406,UCRETLER!$B$7:$B$406,$B102))</f>
        <v/>
      </c>
      <c r="Y102" s="3">
        <f>IF($B102="",0,SUMIFS(UCRETLER!$K$7:$K$406,UCRETLER!$B$7:$B$406,$B102))</f>
        <v/>
      </c>
      <c r="Z102" s="3">
        <f>IF($B102="",0,MAX(0,$H102-$E102))</f>
        <v/>
      </c>
      <c r="AA102" s="3">
        <f>IF($B102="",0,MAX(0,$E102-$H102))</f>
        <v/>
      </c>
      <c r="AB102" s="3">
        <f>IF($B102="",0,MAX(0,$W102-$Z102))</f>
        <v/>
      </c>
      <c r="AC102" s="3">
        <f>IF($B102="",0,MAX(0,$X102-$Z102))</f>
        <v/>
      </c>
      <c r="AD102" s="3">
        <f>IF($B102="",0,MAX(0,$Y102-$Z102))</f>
        <v/>
      </c>
    </row>
    <row r="103">
      <c r="A103" s="6" t="n"/>
      <c r="B103" s="112">
        <f>IF(MUSTERILER!$B103="","",MUSTERILER!$B103)</f>
        <v/>
      </c>
      <c r="C103" s="113">
        <f>IF(MUSTERILER!$B103="","",MUSTERILER!$C103)</f>
        <v/>
      </c>
      <c r="D103" s="116">
        <f>IF($B103="","",SUMIFS(UCRETLER!$F$7:$F$406,UCRETLER!$B$7:$B$406,$B103,UCRETLER!$G$7:$G$406,"Aktif"))</f>
        <v/>
      </c>
      <c r="E103" s="116">
        <f>IF($B103="","",SUMIFS(MUSTERILER!$J$7:$J$106,MUSTERILER!$B$7:$B$106,$B103))</f>
        <v/>
      </c>
      <c r="F103" s="116">
        <f>IF($B103="","",SUMIFS(UCRETLER!$H$7:$H$406,UCRETLER!$B$7:$B$406,$B103))</f>
        <v/>
      </c>
      <c r="G103" s="116">
        <f>IF($B103="","",$E103+$F103)</f>
        <v/>
      </c>
      <c r="H103" s="116">
        <f>IF($B103="","",SUMIFS(TAHSILAT!$F$7:$F$1506,TAHSILAT!$C$7:$C$1506,$B103))</f>
        <v/>
      </c>
      <c r="I103" s="116">
        <f>IF($B103="","",MAX(0,$G103-$H103))</f>
        <v/>
      </c>
      <c r="J103" s="116">
        <f>IF($B103="","",MAX(0,$I103-$K103-$L103-$M103))</f>
        <v/>
      </c>
      <c r="K103" s="116">
        <f>IF($B103="","",($AB103-$AC103)+IF(AND($AA103&gt;0,$S103&lt;&gt;"",$T103&gt;=8,$T103&lt;15),$AA103,0))</f>
        <v/>
      </c>
      <c r="L103" s="116">
        <f>IF($B103="","",($AC103-$AD103)+IF(AND($AA103&gt;0,$S103&lt;&gt;"",$T103&gt;=15,$T103&lt;29),$AA103,0))</f>
        <v/>
      </c>
      <c r="M103" s="116">
        <f>IF($B103="","",$AD103+IF(AND($AA103&gt;0,OR($S103="",$T103&gt;=29)),$AA103,0))</f>
        <v/>
      </c>
      <c r="N103" s="122">
        <f>IF($B103="","",IFERROR($H103/$G103,0))</f>
        <v/>
      </c>
      <c r="O103" s="123">
        <f>IF($B103="","",IFERROR(LOOKUP(2,1/(TAHSILAT!$C$7:$C$1506=$B103),TAHSILAT!$E$7:$E$1506),""))</f>
        <v/>
      </c>
      <c r="P103" s="112">
        <f>IF($B103="","",IF($M103&gt;0,"KRİTİK",IF($L103&gt;0,"YÜKSEK",IF($K103&gt;0,"ORTA",IF($I103&gt;0,"İZLE","TEMİZ")))))</f>
        <v/>
      </c>
      <c r="Q103" s="113">
        <f>IF($B103="","",IF($P103="KRİTİK","Acil tahsilat görüşmesi ve cari mutabakat",IF($P103="YÜKSEK","Bu hafta tahsilat takibi",IF($P103="ORTA","Hatırlatma mesajı gönder",IF($P103="İZLE","Normal takip","Aksiyon gerekmiyor")))))</f>
        <v/>
      </c>
      <c r="R103" s="120">
        <f>IF($B103="","",COUNTIFS(AKTIVITE!$D$7:$D$1006,$B103,AKTIVITE!$J$7:$J$1006,"&lt;&gt;Tamamlandı"))</f>
        <v/>
      </c>
      <c r="S103" s="123">
        <f>IF($B103="","",IF(MUSTERILER!$K103="","",MUSTERILER!$K103))</f>
        <v/>
      </c>
      <c r="T103" s="120">
        <f>IF(OR($B103="",$S103=""),"",TODAY()-$S103)</f>
        <v/>
      </c>
      <c r="U103" s="112">
        <f>IF($B103="","",IF(ABS($I103-($J103+$K103+$L103+$M103))&lt;0.01,"UYGUN","İNCELE"))</f>
        <v/>
      </c>
      <c r="V103" s="6" t="n"/>
      <c r="W103" s="6">
        <f>IF($B103="",0,SUMIFS(UCRETLER!$I$7:$I$406,UCRETLER!$B$7:$B$406,$B103))</f>
        <v/>
      </c>
      <c r="X103" s="3">
        <f>IF($B103="",0,SUMIFS(UCRETLER!$J$7:$J$406,UCRETLER!$B$7:$B$406,$B103))</f>
        <v/>
      </c>
      <c r="Y103" s="3">
        <f>IF($B103="",0,SUMIFS(UCRETLER!$K$7:$K$406,UCRETLER!$B$7:$B$406,$B103))</f>
        <v/>
      </c>
      <c r="Z103" s="3">
        <f>IF($B103="",0,MAX(0,$H103-$E103))</f>
        <v/>
      </c>
      <c r="AA103" s="3">
        <f>IF($B103="",0,MAX(0,$E103-$H103))</f>
        <v/>
      </c>
      <c r="AB103" s="3">
        <f>IF($B103="",0,MAX(0,$W103-$Z103))</f>
        <v/>
      </c>
      <c r="AC103" s="3">
        <f>IF($B103="",0,MAX(0,$X103-$Z103))</f>
        <v/>
      </c>
      <c r="AD103" s="3">
        <f>IF($B103="",0,MAX(0,$Y103-$Z103))</f>
        <v/>
      </c>
    </row>
    <row r="104">
      <c r="A104" s="6" t="n"/>
      <c r="B104" s="112">
        <f>IF(MUSTERILER!$B104="","",MUSTERILER!$B104)</f>
        <v/>
      </c>
      <c r="C104" s="113">
        <f>IF(MUSTERILER!$B104="","",MUSTERILER!$C104)</f>
        <v/>
      </c>
      <c r="D104" s="116">
        <f>IF($B104="","",SUMIFS(UCRETLER!$F$7:$F$406,UCRETLER!$B$7:$B$406,$B104,UCRETLER!$G$7:$G$406,"Aktif"))</f>
        <v/>
      </c>
      <c r="E104" s="116">
        <f>IF($B104="","",SUMIFS(MUSTERILER!$J$7:$J$106,MUSTERILER!$B$7:$B$106,$B104))</f>
        <v/>
      </c>
      <c r="F104" s="116">
        <f>IF($B104="","",SUMIFS(UCRETLER!$H$7:$H$406,UCRETLER!$B$7:$B$406,$B104))</f>
        <v/>
      </c>
      <c r="G104" s="116">
        <f>IF($B104="","",$E104+$F104)</f>
        <v/>
      </c>
      <c r="H104" s="116">
        <f>IF($B104="","",SUMIFS(TAHSILAT!$F$7:$F$1506,TAHSILAT!$C$7:$C$1506,$B104))</f>
        <v/>
      </c>
      <c r="I104" s="116">
        <f>IF($B104="","",MAX(0,$G104-$H104))</f>
        <v/>
      </c>
      <c r="J104" s="116">
        <f>IF($B104="","",MAX(0,$I104-$K104-$L104-$M104))</f>
        <v/>
      </c>
      <c r="K104" s="116">
        <f>IF($B104="","",($AB104-$AC104)+IF(AND($AA104&gt;0,$S104&lt;&gt;"",$T104&gt;=8,$T104&lt;15),$AA104,0))</f>
        <v/>
      </c>
      <c r="L104" s="116">
        <f>IF($B104="","",($AC104-$AD104)+IF(AND($AA104&gt;0,$S104&lt;&gt;"",$T104&gt;=15,$T104&lt;29),$AA104,0))</f>
        <v/>
      </c>
      <c r="M104" s="116">
        <f>IF($B104="","",$AD104+IF(AND($AA104&gt;0,OR($S104="",$T104&gt;=29)),$AA104,0))</f>
        <v/>
      </c>
      <c r="N104" s="122">
        <f>IF($B104="","",IFERROR($H104/$G104,0))</f>
        <v/>
      </c>
      <c r="O104" s="123">
        <f>IF($B104="","",IFERROR(LOOKUP(2,1/(TAHSILAT!$C$7:$C$1506=$B104),TAHSILAT!$E$7:$E$1506),""))</f>
        <v/>
      </c>
      <c r="P104" s="112">
        <f>IF($B104="","",IF($M104&gt;0,"KRİTİK",IF($L104&gt;0,"YÜKSEK",IF($K104&gt;0,"ORTA",IF($I104&gt;0,"İZLE","TEMİZ")))))</f>
        <v/>
      </c>
      <c r="Q104" s="113">
        <f>IF($B104="","",IF($P104="KRİTİK","Acil tahsilat görüşmesi ve cari mutabakat",IF($P104="YÜKSEK","Bu hafta tahsilat takibi",IF($P104="ORTA","Hatırlatma mesajı gönder",IF($P104="İZLE","Normal takip","Aksiyon gerekmiyor")))))</f>
        <v/>
      </c>
      <c r="R104" s="120">
        <f>IF($B104="","",COUNTIFS(AKTIVITE!$D$7:$D$1006,$B104,AKTIVITE!$J$7:$J$1006,"&lt;&gt;Tamamlandı"))</f>
        <v/>
      </c>
      <c r="S104" s="123">
        <f>IF($B104="","",IF(MUSTERILER!$K104="","",MUSTERILER!$K104))</f>
        <v/>
      </c>
      <c r="T104" s="120">
        <f>IF(OR($B104="",$S104=""),"",TODAY()-$S104)</f>
        <v/>
      </c>
      <c r="U104" s="112">
        <f>IF($B104="","",IF(ABS($I104-($J104+$K104+$L104+$M104))&lt;0.01,"UYGUN","İNCELE"))</f>
        <v/>
      </c>
      <c r="V104" s="6" t="n"/>
      <c r="W104" s="6">
        <f>IF($B104="",0,SUMIFS(UCRETLER!$I$7:$I$406,UCRETLER!$B$7:$B$406,$B104))</f>
        <v/>
      </c>
      <c r="X104" s="3">
        <f>IF($B104="",0,SUMIFS(UCRETLER!$J$7:$J$406,UCRETLER!$B$7:$B$406,$B104))</f>
        <v/>
      </c>
      <c r="Y104" s="3">
        <f>IF($B104="",0,SUMIFS(UCRETLER!$K$7:$K$406,UCRETLER!$B$7:$B$406,$B104))</f>
        <v/>
      </c>
      <c r="Z104" s="3">
        <f>IF($B104="",0,MAX(0,$H104-$E104))</f>
        <v/>
      </c>
      <c r="AA104" s="3">
        <f>IF($B104="",0,MAX(0,$E104-$H104))</f>
        <v/>
      </c>
      <c r="AB104" s="3">
        <f>IF($B104="",0,MAX(0,$W104-$Z104))</f>
        <v/>
      </c>
      <c r="AC104" s="3">
        <f>IF($B104="",0,MAX(0,$X104-$Z104))</f>
        <v/>
      </c>
      <c r="AD104" s="3">
        <f>IF($B104="",0,MAX(0,$Y104-$Z104))</f>
        <v/>
      </c>
    </row>
    <row r="105">
      <c r="A105" s="6" t="n"/>
      <c r="B105" s="112">
        <f>IF(MUSTERILER!$B105="","",MUSTERILER!$B105)</f>
        <v/>
      </c>
      <c r="C105" s="113">
        <f>IF(MUSTERILER!$B105="","",MUSTERILER!$C105)</f>
        <v/>
      </c>
      <c r="D105" s="116">
        <f>IF($B105="","",SUMIFS(UCRETLER!$F$7:$F$406,UCRETLER!$B$7:$B$406,$B105,UCRETLER!$G$7:$G$406,"Aktif"))</f>
        <v/>
      </c>
      <c r="E105" s="116">
        <f>IF($B105="","",SUMIFS(MUSTERILER!$J$7:$J$106,MUSTERILER!$B$7:$B$106,$B105))</f>
        <v/>
      </c>
      <c r="F105" s="116">
        <f>IF($B105="","",SUMIFS(UCRETLER!$H$7:$H$406,UCRETLER!$B$7:$B$406,$B105))</f>
        <v/>
      </c>
      <c r="G105" s="116">
        <f>IF($B105="","",$E105+$F105)</f>
        <v/>
      </c>
      <c r="H105" s="116">
        <f>IF($B105="","",SUMIFS(TAHSILAT!$F$7:$F$1506,TAHSILAT!$C$7:$C$1506,$B105))</f>
        <v/>
      </c>
      <c r="I105" s="116">
        <f>IF($B105="","",MAX(0,$G105-$H105))</f>
        <v/>
      </c>
      <c r="J105" s="116">
        <f>IF($B105="","",MAX(0,$I105-$K105-$L105-$M105))</f>
        <v/>
      </c>
      <c r="K105" s="116">
        <f>IF($B105="","",($AB105-$AC105)+IF(AND($AA105&gt;0,$S105&lt;&gt;"",$T105&gt;=8,$T105&lt;15),$AA105,0))</f>
        <v/>
      </c>
      <c r="L105" s="116">
        <f>IF($B105="","",($AC105-$AD105)+IF(AND($AA105&gt;0,$S105&lt;&gt;"",$T105&gt;=15,$T105&lt;29),$AA105,0))</f>
        <v/>
      </c>
      <c r="M105" s="116">
        <f>IF($B105="","",$AD105+IF(AND($AA105&gt;0,OR($S105="",$T105&gt;=29)),$AA105,0))</f>
        <v/>
      </c>
      <c r="N105" s="122">
        <f>IF($B105="","",IFERROR($H105/$G105,0))</f>
        <v/>
      </c>
      <c r="O105" s="123">
        <f>IF($B105="","",IFERROR(LOOKUP(2,1/(TAHSILAT!$C$7:$C$1506=$B105),TAHSILAT!$E$7:$E$1506),""))</f>
        <v/>
      </c>
      <c r="P105" s="112">
        <f>IF($B105="","",IF($M105&gt;0,"KRİTİK",IF($L105&gt;0,"YÜKSEK",IF($K105&gt;0,"ORTA",IF($I105&gt;0,"İZLE","TEMİZ")))))</f>
        <v/>
      </c>
      <c r="Q105" s="113">
        <f>IF($B105="","",IF($P105="KRİTİK","Acil tahsilat görüşmesi ve cari mutabakat",IF($P105="YÜKSEK","Bu hafta tahsilat takibi",IF($P105="ORTA","Hatırlatma mesajı gönder",IF($P105="İZLE","Normal takip","Aksiyon gerekmiyor")))))</f>
        <v/>
      </c>
      <c r="R105" s="120">
        <f>IF($B105="","",COUNTIFS(AKTIVITE!$D$7:$D$1006,$B105,AKTIVITE!$J$7:$J$1006,"&lt;&gt;Tamamlandı"))</f>
        <v/>
      </c>
      <c r="S105" s="123">
        <f>IF($B105="","",IF(MUSTERILER!$K105="","",MUSTERILER!$K105))</f>
        <v/>
      </c>
      <c r="T105" s="120">
        <f>IF(OR($B105="",$S105=""),"",TODAY()-$S105)</f>
        <v/>
      </c>
      <c r="U105" s="112">
        <f>IF($B105="","",IF(ABS($I105-($J105+$K105+$L105+$M105))&lt;0.01,"UYGUN","İNCELE"))</f>
        <v/>
      </c>
      <c r="V105" s="6" t="n"/>
      <c r="W105" s="6">
        <f>IF($B105="",0,SUMIFS(UCRETLER!$I$7:$I$406,UCRETLER!$B$7:$B$406,$B105))</f>
        <v/>
      </c>
      <c r="X105" s="3">
        <f>IF($B105="",0,SUMIFS(UCRETLER!$J$7:$J$406,UCRETLER!$B$7:$B$406,$B105))</f>
        <v/>
      </c>
      <c r="Y105" s="3">
        <f>IF($B105="",0,SUMIFS(UCRETLER!$K$7:$K$406,UCRETLER!$B$7:$B$406,$B105))</f>
        <v/>
      </c>
      <c r="Z105" s="3">
        <f>IF($B105="",0,MAX(0,$H105-$E105))</f>
        <v/>
      </c>
      <c r="AA105" s="3">
        <f>IF($B105="",0,MAX(0,$E105-$H105))</f>
        <v/>
      </c>
      <c r="AB105" s="3">
        <f>IF($B105="",0,MAX(0,$W105-$Z105))</f>
        <v/>
      </c>
      <c r="AC105" s="3">
        <f>IF($B105="",0,MAX(0,$X105-$Z105))</f>
        <v/>
      </c>
      <c r="AD105" s="3">
        <f>IF($B105="",0,MAX(0,$Y105-$Z105))</f>
        <v/>
      </c>
    </row>
    <row r="106">
      <c r="A106" s="6" t="n"/>
      <c r="B106" s="112">
        <f>IF(MUSTERILER!$B106="","",MUSTERILER!$B106)</f>
        <v/>
      </c>
      <c r="C106" s="113">
        <f>IF(MUSTERILER!$B106="","",MUSTERILER!$C106)</f>
        <v/>
      </c>
      <c r="D106" s="116">
        <f>IF($B106="","",SUMIFS(UCRETLER!$F$7:$F$406,UCRETLER!$B$7:$B$406,$B106,UCRETLER!$G$7:$G$406,"Aktif"))</f>
        <v/>
      </c>
      <c r="E106" s="116">
        <f>IF($B106="","",SUMIFS(MUSTERILER!$J$7:$J$106,MUSTERILER!$B$7:$B$106,$B106))</f>
        <v/>
      </c>
      <c r="F106" s="116">
        <f>IF($B106="","",SUMIFS(UCRETLER!$H$7:$H$406,UCRETLER!$B$7:$B$406,$B106))</f>
        <v/>
      </c>
      <c r="G106" s="116">
        <f>IF($B106="","",$E106+$F106)</f>
        <v/>
      </c>
      <c r="H106" s="116">
        <f>IF($B106="","",SUMIFS(TAHSILAT!$F$7:$F$1506,TAHSILAT!$C$7:$C$1506,$B106))</f>
        <v/>
      </c>
      <c r="I106" s="116">
        <f>IF($B106="","",MAX(0,$G106-$H106))</f>
        <v/>
      </c>
      <c r="J106" s="116">
        <f>IF($B106="","",MAX(0,$I106-$K106-$L106-$M106))</f>
        <v/>
      </c>
      <c r="K106" s="116">
        <f>IF($B106="","",($AB106-$AC106)+IF(AND($AA106&gt;0,$S106&lt;&gt;"",$T106&gt;=8,$T106&lt;15),$AA106,0))</f>
        <v/>
      </c>
      <c r="L106" s="116">
        <f>IF($B106="","",($AC106-$AD106)+IF(AND($AA106&gt;0,$S106&lt;&gt;"",$T106&gt;=15,$T106&lt;29),$AA106,0))</f>
        <v/>
      </c>
      <c r="M106" s="116">
        <f>IF($B106="","",$AD106+IF(AND($AA106&gt;0,OR($S106="",$T106&gt;=29)),$AA106,0))</f>
        <v/>
      </c>
      <c r="N106" s="122">
        <f>IF($B106="","",IFERROR($H106/$G106,0))</f>
        <v/>
      </c>
      <c r="O106" s="123">
        <f>IF($B106="","",IFERROR(LOOKUP(2,1/(TAHSILAT!$C$7:$C$1506=$B106),TAHSILAT!$E$7:$E$1506),""))</f>
        <v/>
      </c>
      <c r="P106" s="112">
        <f>IF($B106="","",IF($M106&gt;0,"KRİTİK",IF($L106&gt;0,"YÜKSEK",IF($K106&gt;0,"ORTA",IF($I106&gt;0,"İZLE","TEMİZ")))))</f>
        <v/>
      </c>
      <c r="Q106" s="113">
        <f>IF($B106="","",IF($P106="KRİTİK","Acil tahsilat görüşmesi ve cari mutabakat",IF($P106="YÜKSEK","Bu hafta tahsilat takibi",IF($P106="ORTA","Hatırlatma mesajı gönder",IF($P106="İZLE","Normal takip","Aksiyon gerekmiyor")))))</f>
        <v/>
      </c>
      <c r="R106" s="120">
        <f>IF($B106="","",COUNTIFS(AKTIVITE!$D$7:$D$1006,$B106,AKTIVITE!$J$7:$J$1006,"&lt;&gt;Tamamlandı"))</f>
        <v/>
      </c>
      <c r="S106" s="123">
        <f>IF($B106="","",IF(MUSTERILER!$K106="","",MUSTERILER!$K106))</f>
        <v/>
      </c>
      <c r="T106" s="120">
        <f>IF(OR($B106="",$S106=""),"",TODAY()-$S106)</f>
        <v/>
      </c>
      <c r="U106" s="112">
        <f>IF($B106="","",IF(ABS($I106-($J106+$K106+$L106+$M106))&lt;0.01,"UYGUN","İNCELE"))</f>
        <v/>
      </c>
      <c r="V106" s="6" t="n"/>
      <c r="W106" s="6">
        <f>IF($B106="",0,SUMIFS(UCRETLER!$I$7:$I$406,UCRETLER!$B$7:$B$406,$B106))</f>
        <v/>
      </c>
      <c r="X106" s="3">
        <f>IF($B106="",0,SUMIFS(UCRETLER!$J$7:$J$406,UCRETLER!$B$7:$B$406,$B106))</f>
        <v/>
      </c>
      <c r="Y106" s="3">
        <f>IF($B106="",0,SUMIFS(UCRETLER!$K$7:$K$406,UCRETLER!$B$7:$B$406,$B106))</f>
        <v/>
      </c>
      <c r="Z106" s="3">
        <f>IF($B106="",0,MAX(0,$H106-$E106))</f>
        <v/>
      </c>
      <c r="AA106" s="3">
        <f>IF($B106="",0,MAX(0,$E106-$H106))</f>
        <v/>
      </c>
      <c r="AB106" s="3">
        <f>IF($B106="",0,MAX(0,$W106-$Z106))</f>
        <v/>
      </c>
      <c r="AC106" s="3">
        <f>IF($B106="",0,MAX(0,$X106-$Z106))</f>
        <v/>
      </c>
      <c r="AD106" s="3">
        <f>IF($B106="",0,MAX(0,$Y106-$Z106))</f>
        <v/>
      </c>
    </row>
    <row r="107">
      <c r="A107" s="6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6" t="n"/>
      <c r="W107" s="6" t="n"/>
      <c r="X107" s="3" t="n"/>
      <c r="Y107" s="3" t="n"/>
      <c r="Z107" s="3" t="n"/>
      <c r="AA107" s="3" t="n"/>
      <c r="AB107" s="3" t="n"/>
      <c r="AC107" s="3" t="n"/>
      <c r="AD107" s="3" t="n"/>
    </row>
    <row r="108">
      <c r="A108" s="6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6" t="n"/>
      <c r="W108" s="6" t="n"/>
      <c r="X108" s="3" t="n"/>
      <c r="Y108" s="3" t="n"/>
      <c r="Z108" s="3" t="n"/>
      <c r="AA108" s="3" t="n"/>
      <c r="AB108" s="3" t="n"/>
      <c r="AC108" s="3" t="n"/>
      <c r="AD1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U106"/>
  <mergeCells count="2">
    <mergeCell ref="A1:U1"/>
    <mergeCell ref="A2:U2"/>
  </mergeCells>
  <conditionalFormatting sqref="P7:P106">
    <cfRule type="expression" priority="1" dxfId="5" stopIfTrue="1">
      <formula>EXACT($P7,"KRİTİK")</formula>
    </cfRule>
    <cfRule type="expression" priority="2" dxfId="4" stopIfTrue="1">
      <formula>EXACT($P7,"YÜKSEK")</formula>
    </cfRule>
    <cfRule type="expression" priority="3" dxfId="7" stopIfTrue="1">
      <formula>EXACT($P7,"ORTA")</formula>
    </cfRule>
    <cfRule type="expression" priority="4" dxfId="6" stopIfTrue="1">
      <formula>EXACT($P7,"İZLE")</formula>
    </cfRule>
    <cfRule type="expression" priority="5" dxfId="3" stopIfTrue="1">
      <formula>EXACT($P7,"TEMİZ")</formula>
    </cfRule>
  </conditionalFormatting>
  <conditionalFormatting sqref="U7:U106">
    <cfRule type="expression" priority="6" dxfId="3" stopIfTrue="1">
      <formula>EXACT($U7,"UYGUN")</formula>
    </cfRule>
    <cfRule type="expression" priority="7" dxfId="5" stopIfTrue="1">
      <formula>EXACT($U7,"İNCELE")</formula>
    </cfRule>
  </conditionalFormatting>
  <conditionalFormatting sqref="I7:I106">
    <cfRule type="dataBar" priority="8">
      <dataBar showValue="1">
        <cfvo type="num" val="0"/>
        <cfvo type="max"/>
        <color rgb="009FB8D0"/>
      </dataBar>
    </cfRule>
  </conditionalFormatting>
  <conditionalFormatting sqref="M7:M106">
    <cfRule type="cellIs" priority="9" operator="greaterThan" dxfId="8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5803D"/>
    <outlinePr summaryBelow="1" summaryRight="1"/>
    <pageSetUpPr fitToPage="1"/>
  </sheetPr>
  <dimension ref="A1:M20"/>
  <sheetViews>
    <sheetView showGridLines="0" tabSelected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24" customWidth="1" min="2" max="2"/>
    <col width="12" customWidth="1" min="3" max="3"/>
    <col width="12" customWidth="1" min="4" max="4"/>
    <col width="16" customWidth="1" min="5" max="5"/>
    <col width="17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2.4" customWidth="1" min="12" max="12"/>
    <col width="2.4" customWidth="1" min="13" max="13"/>
  </cols>
  <sheetData>
    <row r="1" ht="38" customHeight="1">
      <c r="A1" s="1" t="inlineStr">
        <is>
          <t>NECATİBEY OFİS YÖNETİM SİSTEMİ   │   KASA VE BANKA HESAPLARI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45" t="n"/>
    </row>
    <row r="2" ht="22" customHeight="1">
      <c r="A2" s="4" t="inlineStr">
        <is>
          <t>Hesap tanımı ve güncel bakiye aynı ekranda │ Bakiyeler işlem kayıtlarından hesaplanır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20" customHeight="1">
      <c r="A4" s="6" t="n"/>
      <c r="B4" s="47">
        <f>HYPERLINK("#PANO!A1","←  PANO")</f>
        <v/>
      </c>
      <c r="C4" s="6" t="n"/>
      <c r="D4" s="98">
        <f>HYPERLINK("#TAHSILAT!A1","Tahsilat")</f>
        <v/>
      </c>
      <c r="E4" s="6" t="n"/>
      <c r="F4" s="98">
        <f>HYPERLINK("#VIRMAN!A1","Virman")</f>
        <v/>
      </c>
      <c r="G4" s="6" t="n"/>
      <c r="H4" s="99" t="inlineStr">
        <is>
          <t>Sarı hücreler veri girişidir. Beyaz hücreler sistem tarafından hesaplanır ve kilitlidir. Yeni hesap eklemek için ilk boş satıra hesap adını yazın.</t>
        </is>
      </c>
      <c r="I4" s="6" t="n"/>
      <c r="J4" s="6" t="n"/>
      <c r="K4" s="6" t="n"/>
      <c r="L4" s="6" t="n"/>
      <c r="M4" s="6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6" t="n"/>
      <c r="M5" s="6" t="n"/>
    </row>
    <row r="6" ht="40" customHeight="1">
      <c r="A6" s="6" t="n"/>
      <c r="B6" s="105" t="inlineStr">
        <is>
          <t>Hesap Adı</t>
        </is>
      </c>
      <c r="C6" s="104" t="inlineStr">
        <is>
          <t>Tür</t>
        </is>
      </c>
      <c r="D6" s="104" t="inlineStr">
        <is>
          <t>Durum</t>
        </is>
      </c>
      <c r="E6" s="106" t="inlineStr">
        <is>
          <t>Açılış Bakiyesi</t>
        </is>
      </c>
      <c r="F6" s="106" t="inlineStr">
        <is>
          <t>Müşteri Tahsilatı</t>
        </is>
      </c>
      <c r="G6" s="106" t="inlineStr">
        <is>
          <t>Diğer Gelir</t>
        </is>
      </c>
      <c r="H6" s="106" t="inlineStr">
        <is>
          <t>Ödenen Gider</t>
        </is>
      </c>
      <c r="I6" s="106" t="inlineStr">
        <is>
          <t>Gelen Virman</t>
        </is>
      </c>
      <c r="J6" s="106" t="inlineStr">
        <is>
          <t>Giden Virman</t>
        </is>
      </c>
      <c r="K6" s="106" t="inlineStr">
        <is>
          <t>Güncel Bakiye</t>
        </is>
      </c>
      <c r="L6" s="6" t="n"/>
      <c r="M6" s="6" t="n"/>
    </row>
    <row r="7">
      <c r="A7" s="6" t="n"/>
      <c r="B7" s="108" t="inlineStr">
        <is>
          <t>Merkez Kasa</t>
        </is>
      </c>
      <c r="C7" s="107" t="inlineStr">
        <is>
          <t>Kasa</t>
        </is>
      </c>
      <c r="D7" s="107" t="inlineStr">
        <is>
          <t>Aktif</t>
        </is>
      </c>
      <c r="E7" s="115" t="n">
        <v>0</v>
      </c>
      <c r="F7" s="116">
        <f>IF($B7="","",SUMIFS(TAHSILAT!$F$7:$F$1506,TAHSILAT!$G$7:$G$1506,$B7))</f>
        <v/>
      </c>
      <c r="G7" s="116">
        <f>IF($B7="","",SUMIFS(GELIR_GIDER!$G$7:$G$1206,GELIR_GIDER!$D$7:$D$1206,"Gelir",GELIR_GIDER!$H$7:$H$1206,$B7,GELIR_GIDER!$I$7:$I$1206,"Evet"))</f>
        <v/>
      </c>
      <c r="H7" s="116">
        <f>IF($B7="","",SUMIFS(GELIR_GIDER!$G$7:$G$1206,GELIR_GIDER!$D$7:$D$1206,"Gider",GELIR_GIDER!$H$7:$H$1206,$B7,GELIR_GIDER!$I$7:$I$1206,"Evet"))</f>
        <v/>
      </c>
      <c r="I7" s="116">
        <f>IF($B7="","",SUMIFS(VIRMAN!$F$7:$F$406,VIRMAN!$E$7:$E$406,$B7))</f>
        <v/>
      </c>
      <c r="J7" s="116">
        <f>IF($B7="","",SUMIFS(VIRMAN!$F$7:$F$406,VIRMAN!$D$7:$D$406,$B7))</f>
        <v/>
      </c>
      <c r="K7" s="116">
        <f>IF($B7="","",$E7+$F7+$G7-$H7+$I7-$J7)</f>
        <v/>
      </c>
      <c r="L7" s="6" t="n"/>
      <c r="M7" s="6" t="n"/>
    </row>
    <row r="8">
      <c r="A8" s="6" t="n"/>
      <c r="B8" s="108" t="inlineStr">
        <is>
          <t>Ortak 1 Nakit</t>
        </is>
      </c>
      <c r="C8" s="107" t="inlineStr">
        <is>
          <t>Kasa</t>
        </is>
      </c>
      <c r="D8" s="107" t="inlineStr">
        <is>
          <t>Aktif</t>
        </is>
      </c>
      <c r="E8" s="115" t="n">
        <v>0</v>
      </c>
      <c r="F8" s="116">
        <f>IF($B8="","",SUMIFS(TAHSILAT!$F$7:$F$1506,TAHSILAT!$G$7:$G$1506,$B8))</f>
        <v/>
      </c>
      <c r="G8" s="116">
        <f>IF($B8="","",SUMIFS(GELIR_GIDER!$G$7:$G$1206,GELIR_GIDER!$D$7:$D$1206,"Gelir",GELIR_GIDER!$H$7:$H$1206,$B8,GELIR_GIDER!$I$7:$I$1206,"Evet"))</f>
        <v/>
      </c>
      <c r="H8" s="116">
        <f>IF($B8="","",SUMIFS(GELIR_GIDER!$G$7:$G$1206,GELIR_GIDER!$D$7:$D$1206,"Gider",GELIR_GIDER!$H$7:$H$1206,$B8,GELIR_GIDER!$I$7:$I$1206,"Evet"))</f>
        <v/>
      </c>
      <c r="I8" s="116">
        <f>IF($B8="","",SUMIFS(VIRMAN!$F$7:$F$406,VIRMAN!$E$7:$E$406,$B8))</f>
        <v/>
      </c>
      <c r="J8" s="116">
        <f>IF($B8="","",SUMIFS(VIRMAN!$F$7:$F$406,VIRMAN!$D$7:$D$406,$B8))</f>
        <v/>
      </c>
      <c r="K8" s="116">
        <f>IF($B8="","",$E8+$F8+$G8-$H8+$I8-$J8)</f>
        <v/>
      </c>
      <c r="L8" s="6" t="n"/>
      <c r="M8" s="6" t="n"/>
    </row>
    <row r="9">
      <c r="A9" s="6" t="n"/>
      <c r="B9" s="108" t="inlineStr">
        <is>
          <t>Ortak 2 Nakit</t>
        </is>
      </c>
      <c r="C9" s="107" t="inlineStr">
        <is>
          <t>Kasa</t>
        </is>
      </c>
      <c r="D9" s="107" t="inlineStr">
        <is>
          <t>Aktif</t>
        </is>
      </c>
      <c r="E9" s="115" t="n">
        <v>0</v>
      </c>
      <c r="F9" s="116">
        <f>IF($B9="","",SUMIFS(TAHSILAT!$F$7:$F$1506,TAHSILAT!$G$7:$G$1506,$B9))</f>
        <v/>
      </c>
      <c r="G9" s="116">
        <f>IF($B9="","",SUMIFS(GELIR_GIDER!$G$7:$G$1206,GELIR_GIDER!$D$7:$D$1206,"Gelir",GELIR_GIDER!$H$7:$H$1206,$B9,GELIR_GIDER!$I$7:$I$1206,"Evet"))</f>
        <v/>
      </c>
      <c r="H9" s="116">
        <f>IF($B9="","",SUMIFS(GELIR_GIDER!$G$7:$G$1206,GELIR_GIDER!$D$7:$D$1206,"Gider",GELIR_GIDER!$H$7:$H$1206,$B9,GELIR_GIDER!$I$7:$I$1206,"Evet"))</f>
        <v/>
      </c>
      <c r="I9" s="116">
        <f>IF($B9="","",SUMIFS(VIRMAN!$F$7:$F$406,VIRMAN!$E$7:$E$406,$B9))</f>
        <v/>
      </c>
      <c r="J9" s="116">
        <f>IF($B9="","",SUMIFS(VIRMAN!$F$7:$F$406,VIRMAN!$D$7:$D$406,$B9))</f>
        <v/>
      </c>
      <c r="K9" s="116">
        <f>IF($B9="","",$E9+$F9+$G9-$H9+$I9-$J9)</f>
        <v/>
      </c>
      <c r="L9" s="6" t="n"/>
      <c r="M9" s="6" t="n"/>
    </row>
    <row r="10">
      <c r="A10" s="6" t="n"/>
      <c r="B10" s="108" t="inlineStr">
        <is>
          <t>Banka Ortak 1</t>
        </is>
      </c>
      <c r="C10" s="107" t="inlineStr">
        <is>
          <t>Banka</t>
        </is>
      </c>
      <c r="D10" s="107" t="inlineStr">
        <is>
          <t>Aktif</t>
        </is>
      </c>
      <c r="E10" s="115" t="n">
        <v>0</v>
      </c>
      <c r="F10" s="116">
        <f>IF($B10="","",SUMIFS(TAHSILAT!$F$7:$F$1506,TAHSILAT!$G$7:$G$1506,$B10))</f>
        <v/>
      </c>
      <c r="G10" s="116">
        <f>IF($B10="","",SUMIFS(GELIR_GIDER!$G$7:$G$1206,GELIR_GIDER!$D$7:$D$1206,"Gelir",GELIR_GIDER!$H$7:$H$1206,$B10,GELIR_GIDER!$I$7:$I$1206,"Evet"))</f>
        <v/>
      </c>
      <c r="H10" s="116">
        <f>IF($B10="","",SUMIFS(GELIR_GIDER!$G$7:$G$1206,GELIR_GIDER!$D$7:$D$1206,"Gider",GELIR_GIDER!$H$7:$H$1206,$B10,GELIR_GIDER!$I$7:$I$1206,"Evet"))</f>
        <v/>
      </c>
      <c r="I10" s="116">
        <f>IF($B10="","",SUMIFS(VIRMAN!$F$7:$F$406,VIRMAN!$E$7:$E$406,$B10))</f>
        <v/>
      </c>
      <c r="J10" s="116">
        <f>IF($B10="","",SUMIFS(VIRMAN!$F$7:$F$406,VIRMAN!$D$7:$D$406,$B10))</f>
        <v/>
      </c>
      <c r="K10" s="116">
        <f>IF($B10="","",$E10+$F10+$G10-$H10+$I10-$J10)</f>
        <v/>
      </c>
      <c r="L10" s="6" t="n"/>
      <c r="M10" s="6" t="n"/>
    </row>
    <row r="11">
      <c r="A11" s="6" t="n"/>
      <c r="B11" s="108" t="inlineStr">
        <is>
          <t>Banka Ortak 2</t>
        </is>
      </c>
      <c r="C11" s="107" t="inlineStr">
        <is>
          <t>Banka</t>
        </is>
      </c>
      <c r="D11" s="107" t="inlineStr">
        <is>
          <t>Aktif</t>
        </is>
      </c>
      <c r="E11" s="115" t="n">
        <v>0</v>
      </c>
      <c r="F11" s="116">
        <f>IF($B11="","",SUMIFS(TAHSILAT!$F$7:$F$1506,TAHSILAT!$G$7:$G$1506,$B11))</f>
        <v/>
      </c>
      <c r="G11" s="116">
        <f>IF($B11="","",SUMIFS(GELIR_GIDER!$G$7:$G$1206,GELIR_GIDER!$D$7:$D$1206,"Gelir",GELIR_GIDER!$H$7:$H$1206,$B11,GELIR_GIDER!$I$7:$I$1206,"Evet"))</f>
        <v/>
      </c>
      <c r="H11" s="116">
        <f>IF($B11="","",SUMIFS(GELIR_GIDER!$G$7:$G$1206,GELIR_GIDER!$D$7:$D$1206,"Gider",GELIR_GIDER!$H$7:$H$1206,$B11,GELIR_GIDER!$I$7:$I$1206,"Evet"))</f>
        <v/>
      </c>
      <c r="I11" s="116">
        <f>IF($B11="","",SUMIFS(VIRMAN!$F$7:$F$406,VIRMAN!$E$7:$E$406,$B11))</f>
        <v/>
      </c>
      <c r="J11" s="116">
        <f>IF($B11="","",SUMIFS(VIRMAN!$F$7:$F$406,VIRMAN!$D$7:$D$406,$B11))</f>
        <v/>
      </c>
      <c r="K11" s="116">
        <f>IF($B11="","",$E11+$F11+$G11-$H11+$I11-$J11)</f>
        <v/>
      </c>
      <c r="L11" s="6" t="n"/>
      <c r="M11" s="6" t="n"/>
    </row>
    <row r="12">
      <c r="A12" s="6" t="n"/>
      <c r="B12" s="108" t="n"/>
      <c r="C12" s="107" t="n"/>
      <c r="D12" s="107" t="n"/>
      <c r="E12" s="115" t="n"/>
      <c r="F12" s="116">
        <f>IF($B12="","",SUMIFS(TAHSILAT!$F$7:$F$1506,TAHSILAT!$G$7:$G$1506,$B12))</f>
        <v/>
      </c>
      <c r="G12" s="116">
        <f>IF($B12="","",SUMIFS(GELIR_GIDER!$G$7:$G$1206,GELIR_GIDER!$D$7:$D$1206,"Gelir",GELIR_GIDER!$H$7:$H$1206,$B12,GELIR_GIDER!$I$7:$I$1206,"Evet"))</f>
        <v/>
      </c>
      <c r="H12" s="116">
        <f>IF($B12="","",SUMIFS(GELIR_GIDER!$G$7:$G$1206,GELIR_GIDER!$D$7:$D$1206,"Gider",GELIR_GIDER!$H$7:$H$1206,$B12,GELIR_GIDER!$I$7:$I$1206,"Evet"))</f>
        <v/>
      </c>
      <c r="I12" s="116">
        <f>IF($B12="","",SUMIFS(VIRMAN!$F$7:$F$406,VIRMAN!$E$7:$E$406,$B12))</f>
        <v/>
      </c>
      <c r="J12" s="116">
        <f>IF($B12="","",SUMIFS(VIRMAN!$F$7:$F$406,VIRMAN!$D$7:$D$406,$B12))</f>
        <v/>
      </c>
      <c r="K12" s="116">
        <f>IF($B12="","",$E12+$F12+$G12-$H12+$I12-$J12)</f>
        <v/>
      </c>
      <c r="L12" s="6" t="n"/>
      <c r="M12" s="6" t="n"/>
    </row>
    <row r="13">
      <c r="A13" s="6" t="n"/>
      <c r="B13" s="108" t="n"/>
      <c r="C13" s="107" t="n"/>
      <c r="D13" s="107" t="n"/>
      <c r="E13" s="115" t="n"/>
      <c r="F13" s="116">
        <f>IF($B13="","",SUMIFS(TAHSILAT!$F$7:$F$1506,TAHSILAT!$G$7:$G$1506,$B13))</f>
        <v/>
      </c>
      <c r="G13" s="116">
        <f>IF($B13="","",SUMIFS(GELIR_GIDER!$G$7:$G$1206,GELIR_GIDER!$D$7:$D$1206,"Gelir",GELIR_GIDER!$H$7:$H$1206,$B13,GELIR_GIDER!$I$7:$I$1206,"Evet"))</f>
        <v/>
      </c>
      <c r="H13" s="116">
        <f>IF($B13="","",SUMIFS(GELIR_GIDER!$G$7:$G$1206,GELIR_GIDER!$D$7:$D$1206,"Gider",GELIR_GIDER!$H$7:$H$1206,$B13,GELIR_GIDER!$I$7:$I$1206,"Evet"))</f>
        <v/>
      </c>
      <c r="I13" s="116">
        <f>IF($B13="","",SUMIFS(VIRMAN!$F$7:$F$406,VIRMAN!$E$7:$E$406,$B13))</f>
        <v/>
      </c>
      <c r="J13" s="116">
        <f>IF($B13="","",SUMIFS(VIRMAN!$F$7:$F$406,VIRMAN!$D$7:$D$406,$B13))</f>
        <v/>
      </c>
      <c r="K13" s="116">
        <f>IF($B13="","",$E13+$F13+$G13-$H13+$I13-$J13)</f>
        <v/>
      </c>
      <c r="L13" s="6" t="n"/>
      <c r="M13" s="6" t="n"/>
    </row>
    <row r="14">
      <c r="A14" s="6" t="n"/>
      <c r="B14" s="108" t="n"/>
      <c r="C14" s="107" t="n"/>
      <c r="D14" s="107" t="n"/>
      <c r="E14" s="115" t="n"/>
      <c r="F14" s="116">
        <f>IF($B14="","",SUMIFS(TAHSILAT!$F$7:$F$1506,TAHSILAT!$G$7:$G$1506,$B14))</f>
        <v/>
      </c>
      <c r="G14" s="116">
        <f>IF($B14="","",SUMIFS(GELIR_GIDER!$G$7:$G$1206,GELIR_GIDER!$D$7:$D$1206,"Gelir",GELIR_GIDER!$H$7:$H$1206,$B14,GELIR_GIDER!$I$7:$I$1206,"Evet"))</f>
        <v/>
      </c>
      <c r="H14" s="116">
        <f>IF($B14="","",SUMIFS(GELIR_GIDER!$G$7:$G$1206,GELIR_GIDER!$D$7:$D$1206,"Gider",GELIR_GIDER!$H$7:$H$1206,$B14,GELIR_GIDER!$I$7:$I$1206,"Evet"))</f>
        <v/>
      </c>
      <c r="I14" s="116">
        <f>IF($B14="","",SUMIFS(VIRMAN!$F$7:$F$406,VIRMAN!$E$7:$E$406,$B14))</f>
        <v/>
      </c>
      <c r="J14" s="116">
        <f>IF($B14="","",SUMIFS(VIRMAN!$F$7:$F$406,VIRMAN!$D$7:$D$406,$B14))</f>
        <v/>
      </c>
      <c r="K14" s="116">
        <f>IF($B14="","",$E14+$F14+$G14-$H14+$I14-$J14)</f>
        <v/>
      </c>
      <c r="L14" s="6" t="n"/>
      <c r="M14" s="6" t="n"/>
    </row>
    <row r="15">
      <c r="A15" s="6" t="n"/>
      <c r="B15" s="108" t="n"/>
      <c r="C15" s="107" t="n"/>
      <c r="D15" s="107" t="n"/>
      <c r="E15" s="115" t="n"/>
      <c r="F15" s="116">
        <f>IF($B15="","",SUMIFS(TAHSILAT!$F$7:$F$1506,TAHSILAT!$G$7:$G$1506,$B15))</f>
        <v/>
      </c>
      <c r="G15" s="116">
        <f>IF($B15="","",SUMIFS(GELIR_GIDER!$G$7:$G$1206,GELIR_GIDER!$D$7:$D$1206,"Gelir",GELIR_GIDER!$H$7:$H$1206,$B15,GELIR_GIDER!$I$7:$I$1206,"Evet"))</f>
        <v/>
      </c>
      <c r="H15" s="116">
        <f>IF($B15="","",SUMIFS(GELIR_GIDER!$G$7:$G$1206,GELIR_GIDER!$D$7:$D$1206,"Gider",GELIR_GIDER!$H$7:$H$1206,$B15,GELIR_GIDER!$I$7:$I$1206,"Evet"))</f>
        <v/>
      </c>
      <c r="I15" s="116">
        <f>IF($B15="","",SUMIFS(VIRMAN!$F$7:$F$406,VIRMAN!$E$7:$E$406,$B15))</f>
        <v/>
      </c>
      <c r="J15" s="116">
        <f>IF($B15="","",SUMIFS(VIRMAN!$F$7:$F$406,VIRMAN!$D$7:$D$406,$B15))</f>
        <v/>
      </c>
      <c r="K15" s="116">
        <f>IF($B15="","",$E15+$F15+$G15-$H15+$I15-$J15)</f>
        <v/>
      </c>
      <c r="L15" s="6" t="n"/>
      <c r="M15" s="6" t="n"/>
    </row>
    <row r="16">
      <c r="A16" s="6" t="n"/>
      <c r="B16" s="108" t="n"/>
      <c r="C16" s="107" t="n"/>
      <c r="D16" s="107" t="n"/>
      <c r="E16" s="115" t="n"/>
      <c r="F16" s="116">
        <f>IF($B16="","",SUMIFS(TAHSILAT!$F$7:$F$1506,TAHSILAT!$G$7:$G$1506,$B16))</f>
        <v/>
      </c>
      <c r="G16" s="116">
        <f>IF($B16="","",SUMIFS(GELIR_GIDER!$G$7:$G$1206,GELIR_GIDER!$D$7:$D$1206,"Gelir",GELIR_GIDER!$H$7:$H$1206,$B16,GELIR_GIDER!$I$7:$I$1206,"Evet"))</f>
        <v/>
      </c>
      <c r="H16" s="116">
        <f>IF($B16="","",SUMIFS(GELIR_GIDER!$G$7:$G$1206,GELIR_GIDER!$D$7:$D$1206,"Gider",GELIR_GIDER!$H$7:$H$1206,$B16,GELIR_GIDER!$I$7:$I$1206,"Evet"))</f>
        <v/>
      </c>
      <c r="I16" s="116">
        <f>IF($B16="","",SUMIFS(VIRMAN!$F$7:$F$406,VIRMAN!$E$7:$E$406,$B16))</f>
        <v/>
      </c>
      <c r="J16" s="116">
        <f>IF($B16="","",SUMIFS(VIRMAN!$F$7:$F$406,VIRMAN!$D$7:$D$406,$B16))</f>
        <v/>
      </c>
      <c r="K16" s="116">
        <f>IF($B16="","",$E16+$F16+$G16-$H16+$I16-$J16)</f>
        <v/>
      </c>
      <c r="L16" s="6" t="n"/>
      <c r="M16" s="6" t="n"/>
    </row>
    <row r="17">
      <c r="A17" s="6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6" t="n"/>
      <c r="M17" s="6" t="n"/>
    </row>
    <row r="18" ht="28" customHeight="1">
      <c r="A18" s="6" t="n"/>
      <c r="B18" s="101" t="inlineStr">
        <is>
          <t>TOPLAM NAKİT POZİSYONU</t>
        </is>
      </c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24">
        <f>SUM($K$7:$K$16)</f>
        <v/>
      </c>
      <c r="L18" s="6" t="n"/>
      <c r="M18" s="6" t="n"/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6" t="n"/>
      <c r="M19" s="6" t="n"/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6" t="n"/>
      <c r="M20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2">
    <mergeCell ref="A2:L2"/>
    <mergeCell ref="A1:L1"/>
  </mergeCells>
  <conditionalFormatting sqref="K7:K16">
    <cfRule type="cellIs" priority="1" operator="lessThan" dxfId="9">
      <formula>0</formula>
    </cfRule>
  </conditionalFormatting>
  <dataValidations count="2">
    <dataValidation sqref="C7:C16" showDropDown="0" showInputMessage="0" showErrorMessage="1" allowBlank="1" errorTitle="Geçersiz tür" error="Kasa veya Banka seçin." type="list">
      <formula1>"Kasa,Banka"</formula1>
    </dataValidation>
    <dataValidation sqref="D7:D16" showDropDown="0" showInputMessage="0" showErrorMessage="1" allowBlank="1" errorTitle="Geçersiz durum" error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7E22CE"/>
    <outlinePr summaryBelow="1" summaryRight="1"/>
    <pageSetUpPr fitToPage="1"/>
  </sheetPr>
  <dimension ref="A1:V44"/>
  <sheetViews>
    <sheetView showGridLines="0" tabSelected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5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14" customWidth="1" min="11" max="11"/>
    <col width="16" customWidth="1" min="12" max="12"/>
    <col width="15" customWidth="1" min="13" max="13"/>
    <col width="15" customWidth="1" min="14" max="14"/>
    <col width="12" customWidth="1" min="15" max="15"/>
    <col width="15" customWidth="1" min="16" max="16"/>
    <col width="15" customWidth="1" min="17" max="17"/>
    <col width="15" customWidth="1" min="18" max="18"/>
    <col width="17" customWidth="1" min="19" max="19"/>
    <col width="14" customWidth="1" min="20" max="20"/>
    <col width="2.4" customWidth="1" min="21" max="21"/>
    <col width="2.4" customWidth="1" min="22" max="22"/>
  </cols>
  <sheetData>
    <row r="1" ht="38" customHeight="1">
      <c r="A1" s="1" t="inlineStr">
        <is>
          <t>NECATİBEY OFİS YÖNETİM SİSTEMİ   │   AY SONU KAPANIŞI VE ORTAK PAY DAĞITIMI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45" t="n"/>
      <c r="V1" s="45" t="n"/>
    </row>
    <row r="2" ht="22" customHeight="1">
      <c r="A2" s="4" t="inlineStr">
        <is>
          <t>Tahakkuk kârı ile nakit kâr ayrı hesaplanır │ Dağıtım yalnız nakit kârdan yapılır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46" t="n"/>
      <c r="V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</row>
    <row r="4" ht="20" customHeight="1">
      <c r="A4" s="6" t="n"/>
      <c r="B4" s="47">
        <f>HYPERLINK("#PANO!A1","←  PANO")</f>
        <v/>
      </c>
      <c r="C4" s="6" t="n"/>
      <c r="D4" s="98">
        <f>HYPERLINK("#SISTEM!A1","Sistem")</f>
        <v/>
      </c>
      <c r="E4" s="6" t="n"/>
      <c r="F4" s="98">
        <f>HYPERLINK("#HESAPLAR!A1","Hesaplar")</f>
        <v/>
      </c>
      <c r="G4" s="6" t="n"/>
      <c r="H4" s="99" t="inlineStr">
        <is>
          <t>Sarı hücreler veri girişidir. Beyaz hücreler sistem tarafından hesaplanır ve kilitlidir. Yalnız sarı sütunlar (dağıtım bilgisi) elle girilir.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 ht="26" customHeight="1">
      <c r="A5" s="6" t="n"/>
      <c r="B5" s="101" t="inlineStr">
        <is>
          <t>36 AYLIK TOPLAM</t>
        </is>
      </c>
      <c r="C5" s="103">
        <f>SUM(C7:C42)</f>
        <v/>
      </c>
      <c r="D5" s="103">
        <f>SUM(D7:D42)</f>
        <v/>
      </c>
      <c r="E5" s="103">
        <f>SUM(E7:E42)</f>
        <v/>
      </c>
      <c r="F5" s="103">
        <f>SUM(F7:F42)</f>
        <v/>
      </c>
      <c r="G5" s="103">
        <f>SUM(G7:G42)</f>
        <v/>
      </c>
      <c r="H5" s="103">
        <f>SUM(H7:H42)</f>
        <v/>
      </c>
      <c r="I5" s="103">
        <f>SUM(I7:I42)</f>
        <v/>
      </c>
      <c r="J5" s="100" t="n"/>
      <c r="K5" s="100" t="n"/>
      <c r="L5" s="103">
        <f>SUM(L7:L42)</f>
        <v/>
      </c>
      <c r="M5" s="103">
        <f>SUM(M7:M42)</f>
        <v/>
      </c>
      <c r="N5" s="103">
        <f>SUM(N7:N42)</f>
        <v/>
      </c>
      <c r="O5" s="100" t="n"/>
      <c r="P5" s="100" t="n"/>
      <c r="Q5" s="100" t="n"/>
      <c r="R5" s="100" t="n"/>
      <c r="S5" s="100" t="n"/>
      <c r="T5" s="100" t="n"/>
      <c r="U5" s="6" t="n"/>
      <c r="V5" s="6" t="n"/>
    </row>
    <row r="6" ht="40" customHeight="1">
      <c r="A6" s="6" t="n"/>
      <c r="B6" s="104" t="inlineStr">
        <is>
          <t>Ay</t>
        </is>
      </c>
      <c r="C6" s="106" t="inlineStr">
        <is>
          <t>Tahakkuk Geliri</t>
        </is>
      </c>
      <c r="D6" s="106" t="inlineStr">
        <is>
          <t>Müşteri Tahsilatı</t>
        </is>
      </c>
      <c r="E6" s="106" t="inlineStr">
        <is>
          <t>Diğer Gelir</t>
        </is>
      </c>
      <c r="F6" s="106" t="inlineStr">
        <is>
          <t>Toplam Nakit Giriş</t>
        </is>
      </c>
      <c r="G6" s="106" t="inlineStr">
        <is>
          <t>Gerçekleşmiş Gider</t>
        </is>
      </c>
      <c r="H6" s="106" t="inlineStr">
        <is>
          <t>Tahakkuk Sonucu</t>
        </is>
      </c>
      <c r="I6" s="106" t="inlineStr">
        <is>
          <t>Nakit Kâr</t>
        </is>
      </c>
      <c r="J6" s="104" t="inlineStr">
        <is>
          <t>Tahsilat Oranı</t>
        </is>
      </c>
      <c r="K6" s="106" t="inlineStr">
        <is>
          <t>Kasa Tamponu</t>
        </is>
      </c>
      <c r="L6" s="106" t="inlineStr">
        <is>
          <t>Dağıtılabilir Kâr</t>
        </is>
      </c>
      <c r="M6" s="106" t="inlineStr">
        <is>
          <t>Ortak 1 Payı</t>
        </is>
      </c>
      <c r="N6" s="106" t="inlineStr">
        <is>
          <t>Ortak 2 Payı</t>
        </is>
      </c>
      <c r="O6" s="104" t="inlineStr">
        <is>
          <t>Dağıtıldı mı?</t>
        </is>
      </c>
      <c r="P6" s="106" t="inlineStr">
        <is>
          <t>Ortak 1 Ödeme</t>
        </is>
      </c>
      <c r="Q6" s="106" t="inlineStr">
        <is>
          <t>Ortak 2 Ödeme</t>
        </is>
      </c>
      <c r="R6" s="106" t="inlineStr">
        <is>
          <t>Kalan</t>
        </is>
      </c>
      <c r="S6" s="104" t="inlineStr">
        <is>
          <t>Dönem Durumu</t>
        </is>
      </c>
      <c r="T6" s="104" t="inlineStr">
        <is>
          <t>Kontrol</t>
        </is>
      </c>
      <c r="U6" s="6" t="n"/>
      <c r="V6" s="6" t="n"/>
    </row>
    <row r="7">
      <c r="A7" s="6" t="n"/>
      <c r="B7" s="119" t="n">
        <v>46023</v>
      </c>
      <c r="C7" s="125">
        <f>SUMPRODUCT(IF(UCRETLER!$F$7:$F$406="",0,UCRETLER!$F$7:$F$406)*IF(UCRETLER!$B$7:$B$406="",0,IF(IF(IF(UCRETLER!$E$7:$E$406="",999999,UCRETLER!$E$7:$E$406)&gt;EOMONTH($B7,0),EOMONTH($B7,0),IF(UCRETLER!$E$7:$E$406="",999999,UCRETLER!$E$7:$E$406))&lt;IF(UCRETLER!$D$7:$D$406="",999999,UCRETLER!$D$7:$D$406),0,INT((IF(IF(UCRETLER!$E$7:$E$406="",999999,UCRETLER!$E$7:$E$406)&gt;EOMONTH($B7,0),EOMONTH($B7,0),IF(UCRETLER!$E$7:$E$406="",999999,UCRETLER!$E$7:$E$406))-IF(UCRETLER!$D$7:$D$406="",999999,UCRETLER!$D$7:$D$406))/7)+1)-IF(IF(IF(UCRETLER!$E$7:$E$406="",999999,UCRETLER!$E$7:$E$406)&gt;$B7-1,$B7-1,IF(UCRETLER!$E$7:$E$406="",999999,UCRETLER!$E$7:$E$406))&lt;IF(UCRETLER!$D$7:$D$406="",999999,UCRETLER!$D$7:$D$406),0,INT((IF(IF(UCRETLER!$E$7:$E$406="",999999,UCRETLER!$E$7:$E$406)&gt;$B7-1,$B7-1,IF(UCRETLER!$E$7:$E$406="",999999,UCRETLER!$E$7:$E$406))-IF(UCRETLER!$D$7:$D$406="",999999,UCRETLER!$D$7:$D$406))/7)+1)))</f>
        <v/>
      </c>
      <c r="D7" s="125">
        <f>SUMIFS(TAHSILAT!$F$7:$F$1506,TAHSILAT!$E$7:$E$1506,"&gt;="&amp;$B7,TAHSILAT!$E$7:$E$1506,"&lt;"&amp;EDATE($B7,1))</f>
        <v/>
      </c>
      <c r="E7" s="125">
        <f>SUMIFS(GELIR_GIDER!$G$7:$G$1206,GELIR_GIDER!$D$7:$D$1206,"Gelir",GELIR_GIDER!$C$7:$C$1206,"&gt;="&amp;$B7,GELIR_GIDER!$C$7:$C$1206,"&lt;"&amp;EDATE($B7,1),GELIR_GIDER!$I$7:$I$1206,"Evet")</f>
        <v/>
      </c>
      <c r="F7" s="125">
        <f>$D7+$E7</f>
        <v/>
      </c>
      <c r="G7" s="125">
        <f>SUMIFS(GELIR_GIDER!$G$7:$G$1206,GELIR_GIDER!$D$7:$D$1206,"Gider",GELIR_GIDER!$C$7:$C$1206,"&gt;="&amp;$B7,GELIR_GIDER!$C$7:$C$1206,"&lt;"&amp;EDATE($B7,1),GELIR_GIDER!$I$7:$I$1206,"Evet")</f>
        <v/>
      </c>
      <c r="H7" s="125">
        <f>$C7+$E7-$G7</f>
        <v/>
      </c>
      <c r="I7" s="125">
        <f>$F7-$G7</f>
        <v/>
      </c>
      <c r="J7" s="122">
        <f>IFERROR($D7/$C7,0)</f>
        <v/>
      </c>
      <c r="K7" s="125">
        <f>SISTEM!$C$13</f>
        <v/>
      </c>
      <c r="L7" s="125">
        <f>MAX(0,$I7-$K7)</f>
        <v/>
      </c>
      <c r="M7" s="125">
        <f>$L7*SISTEM!$C$11</f>
        <v/>
      </c>
      <c r="N7" s="125">
        <f>$L7*SISTEM!$C$12</f>
        <v/>
      </c>
      <c r="O7" s="107" t="n"/>
      <c r="P7" s="126" t="n"/>
      <c r="Q7" s="126" t="n"/>
      <c r="R7" s="125">
        <f>MAX(0,$L7-$P7-$Q7)</f>
        <v/>
      </c>
      <c r="S7" s="112">
        <f>IF($B7&gt;=DATE(YEAR(TODAY()),MONTH(TODAY()),1),"AÇIK",IF(COUNTIF(SISTEM!$F$23:$F$50,"KALDI")=0,"KAPANABİLİR","KONTROL GEREKİR"))</f>
        <v/>
      </c>
      <c r="T7" s="112">
        <f>IF(ABS($L7-$M7-$N7)&lt;0.01,IF(AND($O7="Evet",ABS($R7)&lt;0.01),"KAPANDI","AÇIK"),"PAY HATASI")</f>
        <v/>
      </c>
      <c r="U7" s="6" t="n"/>
      <c r="V7" s="6" t="n"/>
    </row>
    <row r="8">
      <c r="A8" s="6" t="n"/>
      <c r="B8" s="119" t="n">
        <v>46054</v>
      </c>
      <c r="C8" s="125">
        <f>SUMPRODUCT(IF(UCRETLER!$F$7:$F$406="",0,UCRETLER!$F$7:$F$406)*IF(UCRETLER!$B$7:$B$406="",0,IF(IF(IF(UCRETLER!$E$7:$E$406="",999999,UCRETLER!$E$7:$E$406)&gt;EOMONTH($B8,0),EOMONTH($B8,0),IF(UCRETLER!$E$7:$E$406="",999999,UCRETLER!$E$7:$E$406))&lt;IF(UCRETLER!$D$7:$D$406="",999999,UCRETLER!$D$7:$D$406),0,INT((IF(IF(UCRETLER!$E$7:$E$406="",999999,UCRETLER!$E$7:$E$406)&gt;EOMONTH($B8,0),EOMONTH($B8,0),IF(UCRETLER!$E$7:$E$406="",999999,UCRETLER!$E$7:$E$406))-IF(UCRETLER!$D$7:$D$406="",999999,UCRETLER!$D$7:$D$406))/7)+1)-IF(IF(IF(UCRETLER!$E$7:$E$406="",999999,UCRETLER!$E$7:$E$406)&gt;$B8-1,$B8-1,IF(UCRETLER!$E$7:$E$406="",999999,UCRETLER!$E$7:$E$406))&lt;IF(UCRETLER!$D$7:$D$406="",999999,UCRETLER!$D$7:$D$406),0,INT((IF(IF(UCRETLER!$E$7:$E$406="",999999,UCRETLER!$E$7:$E$406)&gt;$B8-1,$B8-1,IF(UCRETLER!$E$7:$E$406="",999999,UCRETLER!$E$7:$E$406))-IF(UCRETLER!$D$7:$D$406="",999999,UCRETLER!$D$7:$D$406))/7)+1)))</f>
        <v/>
      </c>
      <c r="D8" s="125">
        <f>SUMIFS(TAHSILAT!$F$7:$F$1506,TAHSILAT!$E$7:$E$1506,"&gt;="&amp;$B8,TAHSILAT!$E$7:$E$1506,"&lt;"&amp;EDATE($B8,1))</f>
        <v/>
      </c>
      <c r="E8" s="125">
        <f>SUMIFS(GELIR_GIDER!$G$7:$G$1206,GELIR_GIDER!$D$7:$D$1206,"Gelir",GELIR_GIDER!$C$7:$C$1206,"&gt;="&amp;$B8,GELIR_GIDER!$C$7:$C$1206,"&lt;"&amp;EDATE($B8,1),GELIR_GIDER!$I$7:$I$1206,"Evet")</f>
        <v/>
      </c>
      <c r="F8" s="125">
        <f>$D8+$E8</f>
        <v/>
      </c>
      <c r="G8" s="125">
        <f>SUMIFS(GELIR_GIDER!$G$7:$G$1206,GELIR_GIDER!$D$7:$D$1206,"Gider",GELIR_GIDER!$C$7:$C$1206,"&gt;="&amp;$B8,GELIR_GIDER!$C$7:$C$1206,"&lt;"&amp;EDATE($B8,1),GELIR_GIDER!$I$7:$I$1206,"Evet")</f>
        <v/>
      </c>
      <c r="H8" s="125">
        <f>$C8+$E8-$G8</f>
        <v/>
      </c>
      <c r="I8" s="125">
        <f>$F8-$G8</f>
        <v/>
      </c>
      <c r="J8" s="122">
        <f>IFERROR($D8/$C8,0)</f>
        <v/>
      </c>
      <c r="K8" s="125">
        <f>SISTEM!$C$13</f>
        <v/>
      </c>
      <c r="L8" s="125">
        <f>MAX(0,$I8-$K8)</f>
        <v/>
      </c>
      <c r="M8" s="125">
        <f>$L8*SISTEM!$C$11</f>
        <v/>
      </c>
      <c r="N8" s="125">
        <f>$L8*SISTEM!$C$12</f>
        <v/>
      </c>
      <c r="O8" s="107" t="n"/>
      <c r="P8" s="126" t="n"/>
      <c r="Q8" s="126" t="n"/>
      <c r="R8" s="125">
        <f>MAX(0,$L8-$P8-$Q8)</f>
        <v/>
      </c>
      <c r="S8" s="112">
        <f>IF($B8&gt;=DATE(YEAR(TODAY()),MONTH(TODAY()),1),"AÇIK",IF(COUNTIF(SISTEM!$F$23:$F$50,"KALDI")=0,"KAPANABİLİR","KONTROL GEREKİR"))</f>
        <v/>
      </c>
      <c r="T8" s="112">
        <f>IF(ABS($L8-$M8-$N8)&lt;0.01,IF(AND($O8="Evet",ABS($R8)&lt;0.01),"KAPANDI","AÇIK"),"PAY HATASI")</f>
        <v/>
      </c>
      <c r="U8" s="6" t="n"/>
      <c r="V8" s="6" t="n"/>
    </row>
    <row r="9">
      <c r="A9" s="6" t="n"/>
      <c r="B9" s="119" t="n">
        <v>46082</v>
      </c>
      <c r="C9" s="125">
        <f>SUMPRODUCT(IF(UCRETLER!$F$7:$F$406="",0,UCRETLER!$F$7:$F$406)*IF(UCRETLER!$B$7:$B$406="",0,IF(IF(IF(UCRETLER!$E$7:$E$406="",999999,UCRETLER!$E$7:$E$406)&gt;EOMONTH($B9,0),EOMONTH($B9,0),IF(UCRETLER!$E$7:$E$406="",999999,UCRETLER!$E$7:$E$406))&lt;IF(UCRETLER!$D$7:$D$406="",999999,UCRETLER!$D$7:$D$406),0,INT((IF(IF(UCRETLER!$E$7:$E$406="",999999,UCRETLER!$E$7:$E$406)&gt;EOMONTH($B9,0),EOMONTH($B9,0),IF(UCRETLER!$E$7:$E$406="",999999,UCRETLER!$E$7:$E$406))-IF(UCRETLER!$D$7:$D$406="",999999,UCRETLER!$D$7:$D$406))/7)+1)-IF(IF(IF(UCRETLER!$E$7:$E$406="",999999,UCRETLER!$E$7:$E$406)&gt;$B9-1,$B9-1,IF(UCRETLER!$E$7:$E$406="",999999,UCRETLER!$E$7:$E$406))&lt;IF(UCRETLER!$D$7:$D$406="",999999,UCRETLER!$D$7:$D$406),0,INT((IF(IF(UCRETLER!$E$7:$E$406="",999999,UCRETLER!$E$7:$E$406)&gt;$B9-1,$B9-1,IF(UCRETLER!$E$7:$E$406="",999999,UCRETLER!$E$7:$E$406))-IF(UCRETLER!$D$7:$D$406="",999999,UCRETLER!$D$7:$D$406))/7)+1)))</f>
        <v/>
      </c>
      <c r="D9" s="125">
        <f>SUMIFS(TAHSILAT!$F$7:$F$1506,TAHSILAT!$E$7:$E$1506,"&gt;="&amp;$B9,TAHSILAT!$E$7:$E$1506,"&lt;"&amp;EDATE($B9,1))</f>
        <v/>
      </c>
      <c r="E9" s="125">
        <f>SUMIFS(GELIR_GIDER!$G$7:$G$1206,GELIR_GIDER!$D$7:$D$1206,"Gelir",GELIR_GIDER!$C$7:$C$1206,"&gt;="&amp;$B9,GELIR_GIDER!$C$7:$C$1206,"&lt;"&amp;EDATE($B9,1),GELIR_GIDER!$I$7:$I$1206,"Evet")</f>
        <v/>
      </c>
      <c r="F9" s="125">
        <f>$D9+$E9</f>
        <v/>
      </c>
      <c r="G9" s="125">
        <f>SUMIFS(GELIR_GIDER!$G$7:$G$1206,GELIR_GIDER!$D$7:$D$1206,"Gider",GELIR_GIDER!$C$7:$C$1206,"&gt;="&amp;$B9,GELIR_GIDER!$C$7:$C$1206,"&lt;"&amp;EDATE($B9,1),GELIR_GIDER!$I$7:$I$1206,"Evet")</f>
        <v/>
      </c>
      <c r="H9" s="125">
        <f>$C9+$E9-$G9</f>
        <v/>
      </c>
      <c r="I9" s="125">
        <f>$F9-$G9</f>
        <v/>
      </c>
      <c r="J9" s="122">
        <f>IFERROR($D9/$C9,0)</f>
        <v/>
      </c>
      <c r="K9" s="125">
        <f>SISTEM!$C$13</f>
        <v/>
      </c>
      <c r="L9" s="125">
        <f>MAX(0,$I9-$K9)</f>
        <v/>
      </c>
      <c r="M9" s="125">
        <f>$L9*SISTEM!$C$11</f>
        <v/>
      </c>
      <c r="N9" s="125">
        <f>$L9*SISTEM!$C$12</f>
        <v/>
      </c>
      <c r="O9" s="107" t="n"/>
      <c r="P9" s="126" t="n"/>
      <c r="Q9" s="126" t="n"/>
      <c r="R9" s="125">
        <f>MAX(0,$L9-$P9-$Q9)</f>
        <v/>
      </c>
      <c r="S9" s="112">
        <f>IF($B9&gt;=DATE(YEAR(TODAY()),MONTH(TODAY()),1),"AÇIK",IF(COUNTIF(SISTEM!$F$23:$F$50,"KALDI")=0,"KAPANABİLİR","KONTROL GEREKİR"))</f>
        <v/>
      </c>
      <c r="T9" s="112">
        <f>IF(ABS($L9-$M9-$N9)&lt;0.01,IF(AND($O9="Evet",ABS($R9)&lt;0.01),"KAPANDI","AÇIK"),"PAY HATASI")</f>
        <v/>
      </c>
      <c r="U9" s="6" t="n"/>
      <c r="V9" s="6" t="n"/>
    </row>
    <row r="10">
      <c r="A10" s="6" t="n"/>
      <c r="B10" s="119" t="n">
        <v>46113</v>
      </c>
      <c r="C10" s="125">
        <f>SUMPRODUCT(IF(UCRETLER!$F$7:$F$406="",0,UCRETLER!$F$7:$F$406)*IF(UCRETLER!$B$7:$B$406="",0,IF(IF(IF(UCRETLER!$E$7:$E$406="",999999,UCRETLER!$E$7:$E$406)&gt;EOMONTH($B10,0),EOMONTH($B10,0),IF(UCRETLER!$E$7:$E$406="",999999,UCRETLER!$E$7:$E$406))&lt;IF(UCRETLER!$D$7:$D$406="",999999,UCRETLER!$D$7:$D$406),0,INT((IF(IF(UCRETLER!$E$7:$E$406="",999999,UCRETLER!$E$7:$E$406)&gt;EOMONTH($B10,0),EOMONTH($B10,0),IF(UCRETLER!$E$7:$E$406="",999999,UCRETLER!$E$7:$E$406))-IF(UCRETLER!$D$7:$D$406="",999999,UCRETLER!$D$7:$D$406))/7)+1)-IF(IF(IF(UCRETLER!$E$7:$E$406="",999999,UCRETLER!$E$7:$E$406)&gt;$B10-1,$B10-1,IF(UCRETLER!$E$7:$E$406="",999999,UCRETLER!$E$7:$E$406))&lt;IF(UCRETLER!$D$7:$D$406="",999999,UCRETLER!$D$7:$D$406),0,INT((IF(IF(UCRETLER!$E$7:$E$406="",999999,UCRETLER!$E$7:$E$406)&gt;$B10-1,$B10-1,IF(UCRETLER!$E$7:$E$406="",999999,UCRETLER!$E$7:$E$406))-IF(UCRETLER!$D$7:$D$406="",999999,UCRETLER!$D$7:$D$406))/7)+1)))</f>
        <v/>
      </c>
      <c r="D10" s="125">
        <f>SUMIFS(TAHSILAT!$F$7:$F$1506,TAHSILAT!$E$7:$E$1506,"&gt;="&amp;$B10,TAHSILAT!$E$7:$E$1506,"&lt;"&amp;EDATE($B10,1))</f>
        <v/>
      </c>
      <c r="E10" s="125">
        <f>SUMIFS(GELIR_GIDER!$G$7:$G$1206,GELIR_GIDER!$D$7:$D$1206,"Gelir",GELIR_GIDER!$C$7:$C$1206,"&gt;="&amp;$B10,GELIR_GIDER!$C$7:$C$1206,"&lt;"&amp;EDATE($B10,1),GELIR_GIDER!$I$7:$I$1206,"Evet")</f>
        <v/>
      </c>
      <c r="F10" s="125">
        <f>$D10+$E10</f>
        <v/>
      </c>
      <c r="G10" s="125">
        <f>SUMIFS(GELIR_GIDER!$G$7:$G$1206,GELIR_GIDER!$D$7:$D$1206,"Gider",GELIR_GIDER!$C$7:$C$1206,"&gt;="&amp;$B10,GELIR_GIDER!$C$7:$C$1206,"&lt;"&amp;EDATE($B10,1),GELIR_GIDER!$I$7:$I$1206,"Evet")</f>
        <v/>
      </c>
      <c r="H10" s="125">
        <f>$C10+$E10-$G10</f>
        <v/>
      </c>
      <c r="I10" s="125">
        <f>$F10-$G10</f>
        <v/>
      </c>
      <c r="J10" s="122">
        <f>IFERROR($D10/$C10,0)</f>
        <v/>
      </c>
      <c r="K10" s="125">
        <f>SISTEM!$C$13</f>
        <v/>
      </c>
      <c r="L10" s="125">
        <f>MAX(0,$I10-$K10)</f>
        <v/>
      </c>
      <c r="M10" s="125">
        <f>$L10*SISTEM!$C$11</f>
        <v/>
      </c>
      <c r="N10" s="125">
        <f>$L10*SISTEM!$C$12</f>
        <v/>
      </c>
      <c r="O10" s="107" t="n"/>
      <c r="P10" s="126" t="n"/>
      <c r="Q10" s="126" t="n"/>
      <c r="R10" s="125">
        <f>MAX(0,$L10-$P10-$Q10)</f>
        <v/>
      </c>
      <c r="S10" s="112">
        <f>IF($B10&gt;=DATE(YEAR(TODAY()),MONTH(TODAY()),1),"AÇIK",IF(COUNTIF(SISTEM!$F$23:$F$50,"KALDI")=0,"KAPANABİLİR","KONTROL GEREKİR"))</f>
        <v/>
      </c>
      <c r="T10" s="112">
        <f>IF(ABS($L10-$M10-$N10)&lt;0.01,IF(AND($O10="Evet",ABS($R10)&lt;0.01),"KAPANDI","AÇIK"),"PAY HATASI")</f>
        <v/>
      </c>
      <c r="U10" s="6" t="n"/>
      <c r="V10" s="6" t="n"/>
    </row>
    <row r="11">
      <c r="A11" s="6" t="n"/>
      <c r="B11" s="119" t="n">
        <v>46143</v>
      </c>
      <c r="C11" s="125">
        <f>SUMPRODUCT(IF(UCRETLER!$F$7:$F$406="",0,UCRETLER!$F$7:$F$406)*IF(UCRETLER!$B$7:$B$406="",0,IF(IF(IF(UCRETLER!$E$7:$E$406="",999999,UCRETLER!$E$7:$E$406)&gt;EOMONTH($B11,0),EOMONTH($B11,0),IF(UCRETLER!$E$7:$E$406="",999999,UCRETLER!$E$7:$E$406))&lt;IF(UCRETLER!$D$7:$D$406="",999999,UCRETLER!$D$7:$D$406),0,INT((IF(IF(UCRETLER!$E$7:$E$406="",999999,UCRETLER!$E$7:$E$406)&gt;EOMONTH($B11,0),EOMONTH($B11,0),IF(UCRETLER!$E$7:$E$406="",999999,UCRETLER!$E$7:$E$406))-IF(UCRETLER!$D$7:$D$406="",999999,UCRETLER!$D$7:$D$406))/7)+1)-IF(IF(IF(UCRETLER!$E$7:$E$406="",999999,UCRETLER!$E$7:$E$406)&gt;$B11-1,$B11-1,IF(UCRETLER!$E$7:$E$406="",999999,UCRETLER!$E$7:$E$406))&lt;IF(UCRETLER!$D$7:$D$406="",999999,UCRETLER!$D$7:$D$406),0,INT((IF(IF(UCRETLER!$E$7:$E$406="",999999,UCRETLER!$E$7:$E$406)&gt;$B11-1,$B11-1,IF(UCRETLER!$E$7:$E$406="",999999,UCRETLER!$E$7:$E$406))-IF(UCRETLER!$D$7:$D$406="",999999,UCRETLER!$D$7:$D$406))/7)+1)))</f>
        <v/>
      </c>
      <c r="D11" s="125">
        <f>SUMIFS(TAHSILAT!$F$7:$F$1506,TAHSILAT!$E$7:$E$1506,"&gt;="&amp;$B11,TAHSILAT!$E$7:$E$1506,"&lt;"&amp;EDATE($B11,1))</f>
        <v/>
      </c>
      <c r="E11" s="125">
        <f>SUMIFS(GELIR_GIDER!$G$7:$G$1206,GELIR_GIDER!$D$7:$D$1206,"Gelir",GELIR_GIDER!$C$7:$C$1206,"&gt;="&amp;$B11,GELIR_GIDER!$C$7:$C$1206,"&lt;"&amp;EDATE($B11,1),GELIR_GIDER!$I$7:$I$1206,"Evet")</f>
        <v/>
      </c>
      <c r="F11" s="125">
        <f>$D11+$E11</f>
        <v/>
      </c>
      <c r="G11" s="125">
        <f>SUMIFS(GELIR_GIDER!$G$7:$G$1206,GELIR_GIDER!$D$7:$D$1206,"Gider",GELIR_GIDER!$C$7:$C$1206,"&gt;="&amp;$B11,GELIR_GIDER!$C$7:$C$1206,"&lt;"&amp;EDATE($B11,1),GELIR_GIDER!$I$7:$I$1206,"Evet")</f>
        <v/>
      </c>
      <c r="H11" s="125">
        <f>$C11+$E11-$G11</f>
        <v/>
      </c>
      <c r="I11" s="125">
        <f>$F11-$G11</f>
        <v/>
      </c>
      <c r="J11" s="122">
        <f>IFERROR($D11/$C11,0)</f>
        <v/>
      </c>
      <c r="K11" s="125">
        <f>SISTEM!$C$13</f>
        <v/>
      </c>
      <c r="L11" s="125">
        <f>MAX(0,$I11-$K11)</f>
        <v/>
      </c>
      <c r="M11" s="125">
        <f>$L11*SISTEM!$C$11</f>
        <v/>
      </c>
      <c r="N11" s="125">
        <f>$L11*SISTEM!$C$12</f>
        <v/>
      </c>
      <c r="O11" s="107" t="n"/>
      <c r="P11" s="126" t="n"/>
      <c r="Q11" s="126" t="n"/>
      <c r="R11" s="125">
        <f>MAX(0,$L11-$P11-$Q11)</f>
        <v/>
      </c>
      <c r="S11" s="112">
        <f>IF($B11&gt;=DATE(YEAR(TODAY()),MONTH(TODAY()),1),"AÇIK",IF(COUNTIF(SISTEM!$F$23:$F$50,"KALDI")=0,"KAPANABİLİR","KONTROL GEREKİR"))</f>
        <v/>
      </c>
      <c r="T11" s="112">
        <f>IF(ABS($L11-$M11-$N11)&lt;0.01,IF(AND($O11="Evet",ABS($R11)&lt;0.01),"KAPANDI","AÇIK"),"PAY HATASI")</f>
        <v/>
      </c>
      <c r="U11" s="6" t="n"/>
      <c r="V11" s="6" t="n"/>
    </row>
    <row r="12">
      <c r="A12" s="6" t="n"/>
      <c r="B12" s="119" t="n">
        <v>46174</v>
      </c>
      <c r="C12" s="125">
        <f>SUMPRODUCT(IF(UCRETLER!$F$7:$F$406="",0,UCRETLER!$F$7:$F$406)*IF(UCRETLER!$B$7:$B$406="",0,IF(IF(IF(UCRETLER!$E$7:$E$406="",999999,UCRETLER!$E$7:$E$406)&gt;EOMONTH($B12,0),EOMONTH($B12,0),IF(UCRETLER!$E$7:$E$406="",999999,UCRETLER!$E$7:$E$406))&lt;IF(UCRETLER!$D$7:$D$406="",999999,UCRETLER!$D$7:$D$406),0,INT((IF(IF(UCRETLER!$E$7:$E$406="",999999,UCRETLER!$E$7:$E$406)&gt;EOMONTH($B12,0),EOMONTH($B12,0),IF(UCRETLER!$E$7:$E$406="",999999,UCRETLER!$E$7:$E$406))-IF(UCRETLER!$D$7:$D$406="",999999,UCRETLER!$D$7:$D$406))/7)+1)-IF(IF(IF(UCRETLER!$E$7:$E$406="",999999,UCRETLER!$E$7:$E$406)&gt;$B12-1,$B12-1,IF(UCRETLER!$E$7:$E$406="",999999,UCRETLER!$E$7:$E$406))&lt;IF(UCRETLER!$D$7:$D$406="",999999,UCRETLER!$D$7:$D$406),0,INT((IF(IF(UCRETLER!$E$7:$E$406="",999999,UCRETLER!$E$7:$E$406)&gt;$B12-1,$B12-1,IF(UCRETLER!$E$7:$E$406="",999999,UCRETLER!$E$7:$E$406))-IF(UCRETLER!$D$7:$D$406="",999999,UCRETLER!$D$7:$D$406))/7)+1)))</f>
        <v/>
      </c>
      <c r="D12" s="125">
        <f>SUMIFS(TAHSILAT!$F$7:$F$1506,TAHSILAT!$E$7:$E$1506,"&gt;="&amp;$B12,TAHSILAT!$E$7:$E$1506,"&lt;"&amp;EDATE($B12,1))</f>
        <v/>
      </c>
      <c r="E12" s="125">
        <f>SUMIFS(GELIR_GIDER!$G$7:$G$1206,GELIR_GIDER!$D$7:$D$1206,"Gelir",GELIR_GIDER!$C$7:$C$1206,"&gt;="&amp;$B12,GELIR_GIDER!$C$7:$C$1206,"&lt;"&amp;EDATE($B12,1),GELIR_GIDER!$I$7:$I$1206,"Evet")</f>
        <v/>
      </c>
      <c r="F12" s="125">
        <f>$D12+$E12</f>
        <v/>
      </c>
      <c r="G12" s="125">
        <f>SUMIFS(GELIR_GIDER!$G$7:$G$1206,GELIR_GIDER!$D$7:$D$1206,"Gider",GELIR_GIDER!$C$7:$C$1206,"&gt;="&amp;$B12,GELIR_GIDER!$C$7:$C$1206,"&lt;"&amp;EDATE($B12,1),GELIR_GIDER!$I$7:$I$1206,"Evet")</f>
        <v/>
      </c>
      <c r="H12" s="125">
        <f>$C12+$E12-$G12</f>
        <v/>
      </c>
      <c r="I12" s="125">
        <f>$F12-$G12</f>
        <v/>
      </c>
      <c r="J12" s="122">
        <f>IFERROR($D12/$C12,0)</f>
        <v/>
      </c>
      <c r="K12" s="125">
        <f>SISTEM!$C$13</f>
        <v/>
      </c>
      <c r="L12" s="125">
        <f>MAX(0,$I12-$K12)</f>
        <v/>
      </c>
      <c r="M12" s="125">
        <f>$L12*SISTEM!$C$11</f>
        <v/>
      </c>
      <c r="N12" s="125">
        <f>$L12*SISTEM!$C$12</f>
        <v/>
      </c>
      <c r="O12" s="107" t="n"/>
      <c r="P12" s="126" t="n"/>
      <c r="Q12" s="126" t="n"/>
      <c r="R12" s="125">
        <f>MAX(0,$L12-$P12-$Q12)</f>
        <v/>
      </c>
      <c r="S12" s="112">
        <f>IF($B12&gt;=DATE(YEAR(TODAY()),MONTH(TODAY()),1),"AÇIK",IF(COUNTIF(SISTEM!$F$23:$F$50,"KALDI")=0,"KAPANABİLİR","KONTROL GEREKİR"))</f>
        <v/>
      </c>
      <c r="T12" s="112">
        <f>IF(ABS($L12-$M12-$N12)&lt;0.01,IF(AND($O12="Evet",ABS($R12)&lt;0.01),"KAPANDI","AÇIK"),"PAY HATASI")</f>
        <v/>
      </c>
      <c r="U12" s="6" t="n"/>
      <c r="V12" s="6" t="n"/>
    </row>
    <row r="13">
      <c r="A13" s="6" t="n"/>
      <c r="B13" s="119" t="n">
        <v>46204</v>
      </c>
      <c r="C13" s="125">
        <f>SUMPRODUCT(IF(UCRETLER!$F$7:$F$406="",0,UCRETLER!$F$7:$F$406)*IF(UCRETLER!$B$7:$B$406="",0,IF(IF(IF(UCRETLER!$E$7:$E$406="",999999,UCRETLER!$E$7:$E$406)&gt;EOMONTH($B13,0),EOMONTH($B13,0),IF(UCRETLER!$E$7:$E$406="",999999,UCRETLER!$E$7:$E$406))&lt;IF(UCRETLER!$D$7:$D$406="",999999,UCRETLER!$D$7:$D$406),0,INT((IF(IF(UCRETLER!$E$7:$E$406="",999999,UCRETLER!$E$7:$E$406)&gt;EOMONTH($B13,0),EOMONTH($B13,0),IF(UCRETLER!$E$7:$E$406="",999999,UCRETLER!$E$7:$E$406))-IF(UCRETLER!$D$7:$D$406="",999999,UCRETLER!$D$7:$D$406))/7)+1)-IF(IF(IF(UCRETLER!$E$7:$E$406="",999999,UCRETLER!$E$7:$E$406)&gt;$B13-1,$B13-1,IF(UCRETLER!$E$7:$E$406="",999999,UCRETLER!$E$7:$E$406))&lt;IF(UCRETLER!$D$7:$D$406="",999999,UCRETLER!$D$7:$D$406),0,INT((IF(IF(UCRETLER!$E$7:$E$406="",999999,UCRETLER!$E$7:$E$406)&gt;$B13-1,$B13-1,IF(UCRETLER!$E$7:$E$406="",999999,UCRETLER!$E$7:$E$406))-IF(UCRETLER!$D$7:$D$406="",999999,UCRETLER!$D$7:$D$406))/7)+1)))</f>
        <v/>
      </c>
      <c r="D13" s="125">
        <f>SUMIFS(TAHSILAT!$F$7:$F$1506,TAHSILAT!$E$7:$E$1506,"&gt;="&amp;$B13,TAHSILAT!$E$7:$E$1506,"&lt;"&amp;EDATE($B13,1))</f>
        <v/>
      </c>
      <c r="E13" s="125">
        <f>SUMIFS(GELIR_GIDER!$G$7:$G$1206,GELIR_GIDER!$D$7:$D$1206,"Gelir",GELIR_GIDER!$C$7:$C$1206,"&gt;="&amp;$B13,GELIR_GIDER!$C$7:$C$1206,"&lt;"&amp;EDATE($B13,1),GELIR_GIDER!$I$7:$I$1206,"Evet")</f>
        <v/>
      </c>
      <c r="F13" s="125">
        <f>$D13+$E13</f>
        <v/>
      </c>
      <c r="G13" s="125">
        <f>SUMIFS(GELIR_GIDER!$G$7:$G$1206,GELIR_GIDER!$D$7:$D$1206,"Gider",GELIR_GIDER!$C$7:$C$1206,"&gt;="&amp;$B13,GELIR_GIDER!$C$7:$C$1206,"&lt;"&amp;EDATE($B13,1),GELIR_GIDER!$I$7:$I$1206,"Evet")</f>
        <v/>
      </c>
      <c r="H13" s="125">
        <f>$C13+$E13-$G13</f>
        <v/>
      </c>
      <c r="I13" s="125">
        <f>$F13-$G13</f>
        <v/>
      </c>
      <c r="J13" s="122">
        <f>IFERROR($D13/$C13,0)</f>
        <v/>
      </c>
      <c r="K13" s="125">
        <f>SISTEM!$C$13</f>
        <v/>
      </c>
      <c r="L13" s="125">
        <f>MAX(0,$I13-$K13)</f>
        <v/>
      </c>
      <c r="M13" s="125">
        <f>$L13*SISTEM!$C$11</f>
        <v/>
      </c>
      <c r="N13" s="125">
        <f>$L13*SISTEM!$C$12</f>
        <v/>
      </c>
      <c r="O13" s="107" t="n"/>
      <c r="P13" s="126" t="n"/>
      <c r="Q13" s="126" t="n"/>
      <c r="R13" s="125">
        <f>MAX(0,$L13-$P13-$Q13)</f>
        <v/>
      </c>
      <c r="S13" s="112">
        <f>IF($B13&gt;=DATE(YEAR(TODAY()),MONTH(TODAY()),1),"AÇIK",IF(COUNTIF(SISTEM!$F$23:$F$50,"KALDI")=0,"KAPANABİLİR","KONTROL GEREKİR"))</f>
        <v/>
      </c>
      <c r="T13" s="112">
        <f>IF(ABS($L13-$M13-$N13)&lt;0.01,IF(AND($O13="Evet",ABS($R13)&lt;0.01),"KAPANDI","AÇIK"),"PAY HATASI")</f>
        <v/>
      </c>
      <c r="U13" s="6" t="n"/>
      <c r="V13" s="6" t="n"/>
    </row>
    <row r="14">
      <c r="A14" s="6" t="n"/>
      <c r="B14" s="119" t="n">
        <v>46235</v>
      </c>
      <c r="C14" s="125">
        <f>SUMPRODUCT(IF(UCRETLER!$F$7:$F$406="",0,UCRETLER!$F$7:$F$406)*IF(UCRETLER!$B$7:$B$406="",0,IF(IF(IF(UCRETLER!$E$7:$E$406="",999999,UCRETLER!$E$7:$E$406)&gt;EOMONTH($B14,0),EOMONTH($B14,0),IF(UCRETLER!$E$7:$E$406="",999999,UCRETLER!$E$7:$E$406))&lt;IF(UCRETLER!$D$7:$D$406="",999999,UCRETLER!$D$7:$D$406),0,INT((IF(IF(UCRETLER!$E$7:$E$406="",999999,UCRETLER!$E$7:$E$406)&gt;EOMONTH($B14,0),EOMONTH($B14,0),IF(UCRETLER!$E$7:$E$406="",999999,UCRETLER!$E$7:$E$406))-IF(UCRETLER!$D$7:$D$406="",999999,UCRETLER!$D$7:$D$406))/7)+1)-IF(IF(IF(UCRETLER!$E$7:$E$406="",999999,UCRETLER!$E$7:$E$406)&gt;$B14-1,$B14-1,IF(UCRETLER!$E$7:$E$406="",999999,UCRETLER!$E$7:$E$406))&lt;IF(UCRETLER!$D$7:$D$406="",999999,UCRETLER!$D$7:$D$406),0,INT((IF(IF(UCRETLER!$E$7:$E$406="",999999,UCRETLER!$E$7:$E$406)&gt;$B14-1,$B14-1,IF(UCRETLER!$E$7:$E$406="",999999,UCRETLER!$E$7:$E$406))-IF(UCRETLER!$D$7:$D$406="",999999,UCRETLER!$D$7:$D$406))/7)+1)))</f>
        <v/>
      </c>
      <c r="D14" s="125">
        <f>SUMIFS(TAHSILAT!$F$7:$F$1506,TAHSILAT!$E$7:$E$1506,"&gt;="&amp;$B14,TAHSILAT!$E$7:$E$1506,"&lt;"&amp;EDATE($B14,1))</f>
        <v/>
      </c>
      <c r="E14" s="125">
        <f>SUMIFS(GELIR_GIDER!$G$7:$G$1206,GELIR_GIDER!$D$7:$D$1206,"Gelir",GELIR_GIDER!$C$7:$C$1206,"&gt;="&amp;$B14,GELIR_GIDER!$C$7:$C$1206,"&lt;"&amp;EDATE($B14,1),GELIR_GIDER!$I$7:$I$1206,"Evet")</f>
        <v/>
      </c>
      <c r="F14" s="125">
        <f>$D14+$E14</f>
        <v/>
      </c>
      <c r="G14" s="125">
        <f>SUMIFS(GELIR_GIDER!$G$7:$G$1206,GELIR_GIDER!$D$7:$D$1206,"Gider",GELIR_GIDER!$C$7:$C$1206,"&gt;="&amp;$B14,GELIR_GIDER!$C$7:$C$1206,"&lt;"&amp;EDATE($B14,1),GELIR_GIDER!$I$7:$I$1206,"Evet")</f>
        <v/>
      </c>
      <c r="H14" s="125">
        <f>$C14+$E14-$G14</f>
        <v/>
      </c>
      <c r="I14" s="125">
        <f>$F14-$G14</f>
        <v/>
      </c>
      <c r="J14" s="122">
        <f>IFERROR($D14/$C14,0)</f>
        <v/>
      </c>
      <c r="K14" s="125">
        <f>SISTEM!$C$13</f>
        <v/>
      </c>
      <c r="L14" s="125">
        <f>MAX(0,$I14-$K14)</f>
        <v/>
      </c>
      <c r="M14" s="125">
        <f>$L14*SISTEM!$C$11</f>
        <v/>
      </c>
      <c r="N14" s="125">
        <f>$L14*SISTEM!$C$12</f>
        <v/>
      </c>
      <c r="O14" s="107" t="n"/>
      <c r="P14" s="126" t="n"/>
      <c r="Q14" s="126" t="n"/>
      <c r="R14" s="125">
        <f>MAX(0,$L14-$P14-$Q14)</f>
        <v/>
      </c>
      <c r="S14" s="112">
        <f>IF($B14&gt;=DATE(YEAR(TODAY()),MONTH(TODAY()),1),"AÇIK",IF(COUNTIF(SISTEM!$F$23:$F$50,"KALDI")=0,"KAPANABİLİR","KONTROL GEREKİR"))</f>
        <v/>
      </c>
      <c r="T14" s="112">
        <f>IF(ABS($L14-$M14-$N14)&lt;0.01,IF(AND($O14="Evet",ABS($R14)&lt;0.01),"KAPANDI","AÇIK"),"PAY HATASI")</f>
        <v/>
      </c>
      <c r="U14" s="6" t="n"/>
      <c r="V14" s="6" t="n"/>
    </row>
    <row r="15">
      <c r="A15" s="6" t="n"/>
      <c r="B15" s="119" t="n">
        <v>46266</v>
      </c>
      <c r="C15" s="125">
        <f>SUMPRODUCT(IF(UCRETLER!$F$7:$F$406="",0,UCRETLER!$F$7:$F$406)*IF(UCRETLER!$B$7:$B$406="",0,IF(IF(IF(UCRETLER!$E$7:$E$406="",999999,UCRETLER!$E$7:$E$406)&gt;EOMONTH($B15,0),EOMONTH($B15,0),IF(UCRETLER!$E$7:$E$406="",999999,UCRETLER!$E$7:$E$406))&lt;IF(UCRETLER!$D$7:$D$406="",999999,UCRETLER!$D$7:$D$406),0,INT((IF(IF(UCRETLER!$E$7:$E$406="",999999,UCRETLER!$E$7:$E$406)&gt;EOMONTH($B15,0),EOMONTH($B15,0),IF(UCRETLER!$E$7:$E$406="",999999,UCRETLER!$E$7:$E$406))-IF(UCRETLER!$D$7:$D$406="",999999,UCRETLER!$D$7:$D$406))/7)+1)-IF(IF(IF(UCRETLER!$E$7:$E$406="",999999,UCRETLER!$E$7:$E$406)&gt;$B15-1,$B15-1,IF(UCRETLER!$E$7:$E$406="",999999,UCRETLER!$E$7:$E$406))&lt;IF(UCRETLER!$D$7:$D$406="",999999,UCRETLER!$D$7:$D$406),0,INT((IF(IF(UCRETLER!$E$7:$E$406="",999999,UCRETLER!$E$7:$E$406)&gt;$B15-1,$B15-1,IF(UCRETLER!$E$7:$E$406="",999999,UCRETLER!$E$7:$E$406))-IF(UCRETLER!$D$7:$D$406="",999999,UCRETLER!$D$7:$D$406))/7)+1)))</f>
        <v/>
      </c>
      <c r="D15" s="125">
        <f>SUMIFS(TAHSILAT!$F$7:$F$1506,TAHSILAT!$E$7:$E$1506,"&gt;="&amp;$B15,TAHSILAT!$E$7:$E$1506,"&lt;"&amp;EDATE($B15,1))</f>
        <v/>
      </c>
      <c r="E15" s="125">
        <f>SUMIFS(GELIR_GIDER!$G$7:$G$1206,GELIR_GIDER!$D$7:$D$1206,"Gelir",GELIR_GIDER!$C$7:$C$1206,"&gt;="&amp;$B15,GELIR_GIDER!$C$7:$C$1206,"&lt;"&amp;EDATE($B15,1),GELIR_GIDER!$I$7:$I$1206,"Evet")</f>
        <v/>
      </c>
      <c r="F15" s="125">
        <f>$D15+$E15</f>
        <v/>
      </c>
      <c r="G15" s="125">
        <f>SUMIFS(GELIR_GIDER!$G$7:$G$1206,GELIR_GIDER!$D$7:$D$1206,"Gider",GELIR_GIDER!$C$7:$C$1206,"&gt;="&amp;$B15,GELIR_GIDER!$C$7:$C$1206,"&lt;"&amp;EDATE($B15,1),GELIR_GIDER!$I$7:$I$1206,"Evet")</f>
        <v/>
      </c>
      <c r="H15" s="125">
        <f>$C15+$E15-$G15</f>
        <v/>
      </c>
      <c r="I15" s="125">
        <f>$F15-$G15</f>
        <v/>
      </c>
      <c r="J15" s="122">
        <f>IFERROR($D15/$C15,0)</f>
        <v/>
      </c>
      <c r="K15" s="125">
        <f>SISTEM!$C$13</f>
        <v/>
      </c>
      <c r="L15" s="125">
        <f>MAX(0,$I15-$K15)</f>
        <v/>
      </c>
      <c r="M15" s="125">
        <f>$L15*SISTEM!$C$11</f>
        <v/>
      </c>
      <c r="N15" s="125">
        <f>$L15*SISTEM!$C$12</f>
        <v/>
      </c>
      <c r="O15" s="107" t="n"/>
      <c r="P15" s="126" t="n"/>
      <c r="Q15" s="126" t="n"/>
      <c r="R15" s="125">
        <f>MAX(0,$L15-$P15-$Q15)</f>
        <v/>
      </c>
      <c r="S15" s="112">
        <f>IF($B15&gt;=DATE(YEAR(TODAY()),MONTH(TODAY()),1),"AÇIK",IF(COUNTIF(SISTEM!$F$23:$F$50,"KALDI")=0,"KAPANABİLİR","KONTROL GEREKİR"))</f>
        <v/>
      </c>
      <c r="T15" s="112">
        <f>IF(ABS($L15-$M15-$N15)&lt;0.01,IF(AND($O15="Evet",ABS($R15)&lt;0.01),"KAPANDI","AÇIK"),"PAY HATASI")</f>
        <v/>
      </c>
      <c r="U15" s="6" t="n"/>
      <c r="V15" s="6" t="n"/>
    </row>
    <row r="16">
      <c r="A16" s="6" t="n"/>
      <c r="B16" s="119" t="n">
        <v>46296</v>
      </c>
      <c r="C16" s="125">
        <f>SUMPRODUCT(IF(UCRETLER!$F$7:$F$406="",0,UCRETLER!$F$7:$F$406)*IF(UCRETLER!$B$7:$B$406="",0,IF(IF(IF(UCRETLER!$E$7:$E$406="",999999,UCRETLER!$E$7:$E$406)&gt;EOMONTH($B16,0),EOMONTH($B16,0),IF(UCRETLER!$E$7:$E$406="",999999,UCRETLER!$E$7:$E$406))&lt;IF(UCRETLER!$D$7:$D$406="",999999,UCRETLER!$D$7:$D$406),0,INT((IF(IF(UCRETLER!$E$7:$E$406="",999999,UCRETLER!$E$7:$E$406)&gt;EOMONTH($B16,0),EOMONTH($B16,0),IF(UCRETLER!$E$7:$E$406="",999999,UCRETLER!$E$7:$E$406))-IF(UCRETLER!$D$7:$D$406="",999999,UCRETLER!$D$7:$D$406))/7)+1)-IF(IF(IF(UCRETLER!$E$7:$E$406="",999999,UCRETLER!$E$7:$E$406)&gt;$B16-1,$B16-1,IF(UCRETLER!$E$7:$E$406="",999999,UCRETLER!$E$7:$E$406))&lt;IF(UCRETLER!$D$7:$D$406="",999999,UCRETLER!$D$7:$D$406),0,INT((IF(IF(UCRETLER!$E$7:$E$406="",999999,UCRETLER!$E$7:$E$406)&gt;$B16-1,$B16-1,IF(UCRETLER!$E$7:$E$406="",999999,UCRETLER!$E$7:$E$406))-IF(UCRETLER!$D$7:$D$406="",999999,UCRETLER!$D$7:$D$406))/7)+1)))</f>
        <v/>
      </c>
      <c r="D16" s="125">
        <f>SUMIFS(TAHSILAT!$F$7:$F$1506,TAHSILAT!$E$7:$E$1506,"&gt;="&amp;$B16,TAHSILAT!$E$7:$E$1506,"&lt;"&amp;EDATE($B16,1))</f>
        <v/>
      </c>
      <c r="E16" s="125">
        <f>SUMIFS(GELIR_GIDER!$G$7:$G$1206,GELIR_GIDER!$D$7:$D$1206,"Gelir",GELIR_GIDER!$C$7:$C$1206,"&gt;="&amp;$B16,GELIR_GIDER!$C$7:$C$1206,"&lt;"&amp;EDATE($B16,1),GELIR_GIDER!$I$7:$I$1206,"Evet")</f>
        <v/>
      </c>
      <c r="F16" s="125">
        <f>$D16+$E16</f>
        <v/>
      </c>
      <c r="G16" s="125">
        <f>SUMIFS(GELIR_GIDER!$G$7:$G$1206,GELIR_GIDER!$D$7:$D$1206,"Gider",GELIR_GIDER!$C$7:$C$1206,"&gt;="&amp;$B16,GELIR_GIDER!$C$7:$C$1206,"&lt;"&amp;EDATE($B16,1),GELIR_GIDER!$I$7:$I$1206,"Evet")</f>
        <v/>
      </c>
      <c r="H16" s="125">
        <f>$C16+$E16-$G16</f>
        <v/>
      </c>
      <c r="I16" s="125">
        <f>$F16-$G16</f>
        <v/>
      </c>
      <c r="J16" s="122">
        <f>IFERROR($D16/$C16,0)</f>
        <v/>
      </c>
      <c r="K16" s="125">
        <f>SISTEM!$C$13</f>
        <v/>
      </c>
      <c r="L16" s="125">
        <f>MAX(0,$I16-$K16)</f>
        <v/>
      </c>
      <c r="M16" s="125">
        <f>$L16*SISTEM!$C$11</f>
        <v/>
      </c>
      <c r="N16" s="125">
        <f>$L16*SISTEM!$C$12</f>
        <v/>
      </c>
      <c r="O16" s="107" t="n"/>
      <c r="P16" s="126" t="n"/>
      <c r="Q16" s="126" t="n"/>
      <c r="R16" s="125">
        <f>MAX(0,$L16-$P16-$Q16)</f>
        <v/>
      </c>
      <c r="S16" s="112">
        <f>IF($B16&gt;=DATE(YEAR(TODAY()),MONTH(TODAY()),1),"AÇIK",IF(COUNTIF(SISTEM!$F$23:$F$50,"KALDI")=0,"KAPANABİLİR","KONTROL GEREKİR"))</f>
        <v/>
      </c>
      <c r="T16" s="112">
        <f>IF(ABS($L16-$M16-$N16)&lt;0.01,IF(AND($O16="Evet",ABS($R16)&lt;0.01),"KAPANDI","AÇIK"),"PAY HATASI")</f>
        <v/>
      </c>
      <c r="U16" s="6" t="n"/>
      <c r="V16" s="6" t="n"/>
    </row>
    <row r="17">
      <c r="A17" s="6" t="n"/>
      <c r="B17" s="119" t="n">
        <v>46327</v>
      </c>
      <c r="C17" s="125">
        <f>SUMPRODUCT(IF(UCRETLER!$F$7:$F$406="",0,UCRETLER!$F$7:$F$406)*IF(UCRETLER!$B$7:$B$406="",0,IF(IF(IF(UCRETLER!$E$7:$E$406="",999999,UCRETLER!$E$7:$E$406)&gt;EOMONTH($B17,0),EOMONTH($B17,0),IF(UCRETLER!$E$7:$E$406="",999999,UCRETLER!$E$7:$E$406))&lt;IF(UCRETLER!$D$7:$D$406="",999999,UCRETLER!$D$7:$D$406),0,INT((IF(IF(UCRETLER!$E$7:$E$406="",999999,UCRETLER!$E$7:$E$406)&gt;EOMONTH($B17,0),EOMONTH($B17,0),IF(UCRETLER!$E$7:$E$406="",999999,UCRETLER!$E$7:$E$406))-IF(UCRETLER!$D$7:$D$406="",999999,UCRETLER!$D$7:$D$406))/7)+1)-IF(IF(IF(UCRETLER!$E$7:$E$406="",999999,UCRETLER!$E$7:$E$406)&gt;$B17-1,$B17-1,IF(UCRETLER!$E$7:$E$406="",999999,UCRETLER!$E$7:$E$406))&lt;IF(UCRETLER!$D$7:$D$406="",999999,UCRETLER!$D$7:$D$406),0,INT((IF(IF(UCRETLER!$E$7:$E$406="",999999,UCRETLER!$E$7:$E$406)&gt;$B17-1,$B17-1,IF(UCRETLER!$E$7:$E$406="",999999,UCRETLER!$E$7:$E$406))-IF(UCRETLER!$D$7:$D$406="",999999,UCRETLER!$D$7:$D$406))/7)+1)))</f>
        <v/>
      </c>
      <c r="D17" s="125">
        <f>SUMIFS(TAHSILAT!$F$7:$F$1506,TAHSILAT!$E$7:$E$1506,"&gt;="&amp;$B17,TAHSILAT!$E$7:$E$1506,"&lt;"&amp;EDATE($B17,1))</f>
        <v/>
      </c>
      <c r="E17" s="125">
        <f>SUMIFS(GELIR_GIDER!$G$7:$G$1206,GELIR_GIDER!$D$7:$D$1206,"Gelir",GELIR_GIDER!$C$7:$C$1206,"&gt;="&amp;$B17,GELIR_GIDER!$C$7:$C$1206,"&lt;"&amp;EDATE($B17,1),GELIR_GIDER!$I$7:$I$1206,"Evet")</f>
        <v/>
      </c>
      <c r="F17" s="125">
        <f>$D17+$E17</f>
        <v/>
      </c>
      <c r="G17" s="125">
        <f>SUMIFS(GELIR_GIDER!$G$7:$G$1206,GELIR_GIDER!$D$7:$D$1206,"Gider",GELIR_GIDER!$C$7:$C$1206,"&gt;="&amp;$B17,GELIR_GIDER!$C$7:$C$1206,"&lt;"&amp;EDATE($B17,1),GELIR_GIDER!$I$7:$I$1206,"Evet")</f>
        <v/>
      </c>
      <c r="H17" s="125">
        <f>$C17+$E17-$G17</f>
        <v/>
      </c>
      <c r="I17" s="125">
        <f>$F17-$G17</f>
        <v/>
      </c>
      <c r="J17" s="122">
        <f>IFERROR($D17/$C17,0)</f>
        <v/>
      </c>
      <c r="K17" s="125">
        <f>SISTEM!$C$13</f>
        <v/>
      </c>
      <c r="L17" s="125">
        <f>MAX(0,$I17-$K17)</f>
        <v/>
      </c>
      <c r="M17" s="125">
        <f>$L17*SISTEM!$C$11</f>
        <v/>
      </c>
      <c r="N17" s="125">
        <f>$L17*SISTEM!$C$12</f>
        <v/>
      </c>
      <c r="O17" s="107" t="n"/>
      <c r="P17" s="126" t="n"/>
      <c r="Q17" s="126" t="n"/>
      <c r="R17" s="125">
        <f>MAX(0,$L17-$P17-$Q17)</f>
        <v/>
      </c>
      <c r="S17" s="112">
        <f>IF($B17&gt;=DATE(YEAR(TODAY()),MONTH(TODAY()),1),"AÇIK",IF(COUNTIF(SISTEM!$F$23:$F$50,"KALDI")=0,"KAPANABİLİR","KONTROL GEREKİR"))</f>
        <v/>
      </c>
      <c r="T17" s="112">
        <f>IF(ABS($L17-$M17-$N17)&lt;0.01,IF(AND($O17="Evet",ABS($R17)&lt;0.01),"KAPANDI","AÇIK"),"PAY HATASI")</f>
        <v/>
      </c>
      <c r="U17" s="6" t="n"/>
      <c r="V17" s="6" t="n"/>
    </row>
    <row r="18">
      <c r="A18" s="6" t="n"/>
      <c r="B18" s="119" t="n">
        <v>46357</v>
      </c>
      <c r="C18" s="125">
        <f>SUMPRODUCT(IF(UCRETLER!$F$7:$F$406="",0,UCRETLER!$F$7:$F$406)*IF(UCRETLER!$B$7:$B$406="",0,IF(IF(IF(UCRETLER!$E$7:$E$406="",999999,UCRETLER!$E$7:$E$406)&gt;EOMONTH($B18,0),EOMONTH($B18,0),IF(UCRETLER!$E$7:$E$406="",999999,UCRETLER!$E$7:$E$406))&lt;IF(UCRETLER!$D$7:$D$406="",999999,UCRETLER!$D$7:$D$406),0,INT((IF(IF(UCRETLER!$E$7:$E$406="",999999,UCRETLER!$E$7:$E$406)&gt;EOMONTH($B18,0),EOMONTH($B18,0),IF(UCRETLER!$E$7:$E$406="",999999,UCRETLER!$E$7:$E$406))-IF(UCRETLER!$D$7:$D$406="",999999,UCRETLER!$D$7:$D$406))/7)+1)-IF(IF(IF(UCRETLER!$E$7:$E$406="",999999,UCRETLER!$E$7:$E$406)&gt;$B18-1,$B18-1,IF(UCRETLER!$E$7:$E$406="",999999,UCRETLER!$E$7:$E$406))&lt;IF(UCRETLER!$D$7:$D$406="",999999,UCRETLER!$D$7:$D$406),0,INT((IF(IF(UCRETLER!$E$7:$E$406="",999999,UCRETLER!$E$7:$E$406)&gt;$B18-1,$B18-1,IF(UCRETLER!$E$7:$E$406="",999999,UCRETLER!$E$7:$E$406))-IF(UCRETLER!$D$7:$D$406="",999999,UCRETLER!$D$7:$D$406))/7)+1)))</f>
        <v/>
      </c>
      <c r="D18" s="125">
        <f>SUMIFS(TAHSILAT!$F$7:$F$1506,TAHSILAT!$E$7:$E$1506,"&gt;="&amp;$B18,TAHSILAT!$E$7:$E$1506,"&lt;"&amp;EDATE($B18,1))</f>
        <v/>
      </c>
      <c r="E18" s="125">
        <f>SUMIFS(GELIR_GIDER!$G$7:$G$1206,GELIR_GIDER!$D$7:$D$1206,"Gelir",GELIR_GIDER!$C$7:$C$1206,"&gt;="&amp;$B18,GELIR_GIDER!$C$7:$C$1206,"&lt;"&amp;EDATE($B18,1),GELIR_GIDER!$I$7:$I$1206,"Evet")</f>
        <v/>
      </c>
      <c r="F18" s="125">
        <f>$D18+$E18</f>
        <v/>
      </c>
      <c r="G18" s="125">
        <f>SUMIFS(GELIR_GIDER!$G$7:$G$1206,GELIR_GIDER!$D$7:$D$1206,"Gider",GELIR_GIDER!$C$7:$C$1206,"&gt;="&amp;$B18,GELIR_GIDER!$C$7:$C$1206,"&lt;"&amp;EDATE($B18,1),GELIR_GIDER!$I$7:$I$1206,"Evet")</f>
        <v/>
      </c>
      <c r="H18" s="125">
        <f>$C18+$E18-$G18</f>
        <v/>
      </c>
      <c r="I18" s="125">
        <f>$F18-$G18</f>
        <v/>
      </c>
      <c r="J18" s="122">
        <f>IFERROR($D18/$C18,0)</f>
        <v/>
      </c>
      <c r="K18" s="125">
        <f>SISTEM!$C$13</f>
        <v/>
      </c>
      <c r="L18" s="125">
        <f>MAX(0,$I18-$K18)</f>
        <v/>
      </c>
      <c r="M18" s="125">
        <f>$L18*SISTEM!$C$11</f>
        <v/>
      </c>
      <c r="N18" s="125">
        <f>$L18*SISTEM!$C$12</f>
        <v/>
      </c>
      <c r="O18" s="107" t="n"/>
      <c r="P18" s="126" t="n"/>
      <c r="Q18" s="126" t="n"/>
      <c r="R18" s="125">
        <f>MAX(0,$L18-$P18-$Q18)</f>
        <v/>
      </c>
      <c r="S18" s="112">
        <f>IF($B18&gt;=DATE(YEAR(TODAY()),MONTH(TODAY()),1),"AÇIK",IF(COUNTIF(SISTEM!$F$23:$F$50,"KALDI")=0,"KAPANABİLİR","KONTROL GEREKİR"))</f>
        <v/>
      </c>
      <c r="T18" s="112">
        <f>IF(ABS($L18-$M18-$N18)&lt;0.01,IF(AND($O18="Evet",ABS($R18)&lt;0.01),"KAPANDI","AÇIK"),"PAY HATASI")</f>
        <v/>
      </c>
      <c r="U18" s="6" t="n"/>
      <c r="V18" s="6" t="n"/>
    </row>
    <row r="19">
      <c r="A19" s="6" t="n"/>
      <c r="B19" s="119" t="n">
        <v>46388</v>
      </c>
      <c r="C19" s="125">
        <f>SUMPRODUCT(IF(UCRETLER!$F$7:$F$406="",0,UCRETLER!$F$7:$F$406)*IF(UCRETLER!$B$7:$B$406="",0,IF(IF(IF(UCRETLER!$E$7:$E$406="",999999,UCRETLER!$E$7:$E$406)&gt;EOMONTH($B19,0),EOMONTH($B19,0),IF(UCRETLER!$E$7:$E$406="",999999,UCRETLER!$E$7:$E$406))&lt;IF(UCRETLER!$D$7:$D$406="",999999,UCRETLER!$D$7:$D$406),0,INT((IF(IF(UCRETLER!$E$7:$E$406="",999999,UCRETLER!$E$7:$E$406)&gt;EOMONTH($B19,0),EOMONTH($B19,0),IF(UCRETLER!$E$7:$E$406="",999999,UCRETLER!$E$7:$E$406))-IF(UCRETLER!$D$7:$D$406="",999999,UCRETLER!$D$7:$D$406))/7)+1)-IF(IF(IF(UCRETLER!$E$7:$E$406="",999999,UCRETLER!$E$7:$E$406)&gt;$B19-1,$B19-1,IF(UCRETLER!$E$7:$E$406="",999999,UCRETLER!$E$7:$E$406))&lt;IF(UCRETLER!$D$7:$D$406="",999999,UCRETLER!$D$7:$D$406),0,INT((IF(IF(UCRETLER!$E$7:$E$406="",999999,UCRETLER!$E$7:$E$406)&gt;$B19-1,$B19-1,IF(UCRETLER!$E$7:$E$406="",999999,UCRETLER!$E$7:$E$406))-IF(UCRETLER!$D$7:$D$406="",999999,UCRETLER!$D$7:$D$406))/7)+1)))</f>
        <v/>
      </c>
      <c r="D19" s="125">
        <f>SUMIFS(TAHSILAT!$F$7:$F$1506,TAHSILAT!$E$7:$E$1506,"&gt;="&amp;$B19,TAHSILAT!$E$7:$E$1506,"&lt;"&amp;EDATE($B19,1))</f>
        <v/>
      </c>
      <c r="E19" s="125">
        <f>SUMIFS(GELIR_GIDER!$G$7:$G$1206,GELIR_GIDER!$D$7:$D$1206,"Gelir",GELIR_GIDER!$C$7:$C$1206,"&gt;="&amp;$B19,GELIR_GIDER!$C$7:$C$1206,"&lt;"&amp;EDATE($B19,1),GELIR_GIDER!$I$7:$I$1206,"Evet")</f>
        <v/>
      </c>
      <c r="F19" s="125">
        <f>$D19+$E19</f>
        <v/>
      </c>
      <c r="G19" s="125">
        <f>SUMIFS(GELIR_GIDER!$G$7:$G$1206,GELIR_GIDER!$D$7:$D$1206,"Gider",GELIR_GIDER!$C$7:$C$1206,"&gt;="&amp;$B19,GELIR_GIDER!$C$7:$C$1206,"&lt;"&amp;EDATE($B19,1),GELIR_GIDER!$I$7:$I$1206,"Evet")</f>
        <v/>
      </c>
      <c r="H19" s="125">
        <f>$C19+$E19-$G19</f>
        <v/>
      </c>
      <c r="I19" s="125">
        <f>$F19-$G19</f>
        <v/>
      </c>
      <c r="J19" s="122">
        <f>IFERROR($D19/$C19,0)</f>
        <v/>
      </c>
      <c r="K19" s="125">
        <f>SISTEM!$C$13</f>
        <v/>
      </c>
      <c r="L19" s="125">
        <f>MAX(0,$I19-$K19)</f>
        <v/>
      </c>
      <c r="M19" s="125">
        <f>$L19*SISTEM!$C$11</f>
        <v/>
      </c>
      <c r="N19" s="125">
        <f>$L19*SISTEM!$C$12</f>
        <v/>
      </c>
      <c r="O19" s="107" t="n"/>
      <c r="P19" s="126" t="n"/>
      <c r="Q19" s="126" t="n"/>
      <c r="R19" s="125">
        <f>MAX(0,$L19-$P19-$Q19)</f>
        <v/>
      </c>
      <c r="S19" s="112">
        <f>IF($B19&gt;=DATE(YEAR(TODAY()),MONTH(TODAY()),1),"AÇIK",IF(COUNTIF(SISTEM!$F$23:$F$50,"KALDI")=0,"KAPANABİLİR","KONTROL GEREKİR"))</f>
        <v/>
      </c>
      <c r="T19" s="112">
        <f>IF(ABS($L19-$M19-$N19)&lt;0.01,IF(AND($O19="Evet",ABS($R19)&lt;0.01),"KAPANDI","AÇIK"),"PAY HATASI")</f>
        <v/>
      </c>
      <c r="U19" s="6" t="n"/>
      <c r="V19" s="6" t="n"/>
    </row>
    <row r="20">
      <c r="A20" s="6" t="n"/>
      <c r="B20" s="119" t="n">
        <v>46419</v>
      </c>
      <c r="C20" s="125">
        <f>SUMPRODUCT(IF(UCRETLER!$F$7:$F$406="",0,UCRETLER!$F$7:$F$406)*IF(UCRETLER!$B$7:$B$406="",0,IF(IF(IF(UCRETLER!$E$7:$E$406="",999999,UCRETLER!$E$7:$E$406)&gt;EOMONTH($B20,0),EOMONTH($B20,0),IF(UCRETLER!$E$7:$E$406="",999999,UCRETLER!$E$7:$E$406))&lt;IF(UCRETLER!$D$7:$D$406="",999999,UCRETLER!$D$7:$D$406),0,INT((IF(IF(UCRETLER!$E$7:$E$406="",999999,UCRETLER!$E$7:$E$406)&gt;EOMONTH($B20,0),EOMONTH($B20,0),IF(UCRETLER!$E$7:$E$406="",999999,UCRETLER!$E$7:$E$406))-IF(UCRETLER!$D$7:$D$406="",999999,UCRETLER!$D$7:$D$406))/7)+1)-IF(IF(IF(UCRETLER!$E$7:$E$406="",999999,UCRETLER!$E$7:$E$406)&gt;$B20-1,$B20-1,IF(UCRETLER!$E$7:$E$406="",999999,UCRETLER!$E$7:$E$406))&lt;IF(UCRETLER!$D$7:$D$406="",999999,UCRETLER!$D$7:$D$406),0,INT((IF(IF(UCRETLER!$E$7:$E$406="",999999,UCRETLER!$E$7:$E$406)&gt;$B20-1,$B20-1,IF(UCRETLER!$E$7:$E$406="",999999,UCRETLER!$E$7:$E$406))-IF(UCRETLER!$D$7:$D$406="",999999,UCRETLER!$D$7:$D$406))/7)+1)))</f>
        <v/>
      </c>
      <c r="D20" s="125">
        <f>SUMIFS(TAHSILAT!$F$7:$F$1506,TAHSILAT!$E$7:$E$1506,"&gt;="&amp;$B20,TAHSILAT!$E$7:$E$1506,"&lt;"&amp;EDATE($B20,1))</f>
        <v/>
      </c>
      <c r="E20" s="125">
        <f>SUMIFS(GELIR_GIDER!$G$7:$G$1206,GELIR_GIDER!$D$7:$D$1206,"Gelir",GELIR_GIDER!$C$7:$C$1206,"&gt;="&amp;$B20,GELIR_GIDER!$C$7:$C$1206,"&lt;"&amp;EDATE($B20,1),GELIR_GIDER!$I$7:$I$1206,"Evet")</f>
        <v/>
      </c>
      <c r="F20" s="125">
        <f>$D20+$E20</f>
        <v/>
      </c>
      <c r="G20" s="125">
        <f>SUMIFS(GELIR_GIDER!$G$7:$G$1206,GELIR_GIDER!$D$7:$D$1206,"Gider",GELIR_GIDER!$C$7:$C$1206,"&gt;="&amp;$B20,GELIR_GIDER!$C$7:$C$1206,"&lt;"&amp;EDATE($B20,1),GELIR_GIDER!$I$7:$I$1206,"Evet")</f>
        <v/>
      </c>
      <c r="H20" s="125">
        <f>$C20+$E20-$G20</f>
        <v/>
      </c>
      <c r="I20" s="125">
        <f>$F20-$G20</f>
        <v/>
      </c>
      <c r="J20" s="122">
        <f>IFERROR($D20/$C20,0)</f>
        <v/>
      </c>
      <c r="K20" s="125">
        <f>SISTEM!$C$13</f>
        <v/>
      </c>
      <c r="L20" s="125">
        <f>MAX(0,$I20-$K20)</f>
        <v/>
      </c>
      <c r="M20" s="125">
        <f>$L20*SISTEM!$C$11</f>
        <v/>
      </c>
      <c r="N20" s="125">
        <f>$L20*SISTEM!$C$12</f>
        <v/>
      </c>
      <c r="O20" s="107" t="n"/>
      <c r="P20" s="126" t="n"/>
      <c r="Q20" s="126" t="n"/>
      <c r="R20" s="125">
        <f>MAX(0,$L20-$P20-$Q20)</f>
        <v/>
      </c>
      <c r="S20" s="112">
        <f>IF($B20&gt;=DATE(YEAR(TODAY()),MONTH(TODAY()),1),"AÇIK",IF(COUNTIF(SISTEM!$F$23:$F$50,"KALDI")=0,"KAPANABİLİR","KONTROL GEREKİR"))</f>
        <v/>
      </c>
      <c r="T20" s="112">
        <f>IF(ABS($L20-$M20-$N20)&lt;0.01,IF(AND($O20="Evet",ABS($R20)&lt;0.01),"KAPANDI","AÇIK"),"PAY HATASI")</f>
        <v/>
      </c>
      <c r="U20" s="6" t="n"/>
      <c r="V20" s="6" t="n"/>
    </row>
    <row r="21">
      <c r="A21" s="6" t="n"/>
      <c r="B21" s="119" t="n">
        <v>46447</v>
      </c>
      <c r="C21" s="125">
        <f>SUMPRODUCT(IF(UCRETLER!$F$7:$F$406="",0,UCRETLER!$F$7:$F$406)*IF(UCRETLER!$B$7:$B$406="",0,IF(IF(IF(UCRETLER!$E$7:$E$406="",999999,UCRETLER!$E$7:$E$406)&gt;EOMONTH($B21,0),EOMONTH($B21,0),IF(UCRETLER!$E$7:$E$406="",999999,UCRETLER!$E$7:$E$406))&lt;IF(UCRETLER!$D$7:$D$406="",999999,UCRETLER!$D$7:$D$406),0,INT((IF(IF(UCRETLER!$E$7:$E$406="",999999,UCRETLER!$E$7:$E$406)&gt;EOMONTH($B21,0),EOMONTH($B21,0),IF(UCRETLER!$E$7:$E$406="",999999,UCRETLER!$E$7:$E$406))-IF(UCRETLER!$D$7:$D$406="",999999,UCRETLER!$D$7:$D$406))/7)+1)-IF(IF(IF(UCRETLER!$E$7:$E$406="",999999,UCRETLER!$E$7:$E$406)&gt;$B21-1,$B21-1,IF(UCRETLER!$E$7:$E$406="",999999,UCRETLER!$E$7:$E$406))&lt;IF(UCRETLER!$D$7:$D$406="",999999,UCRETLER!$D$7:$D$406),0,INT((IF(IF(UCRETLER!$E$7:$E$406="",999999,UCRETLER!$E$7:$E$406)&gt;$B21-1,$B21-1,IF(UCRETLER!$E$7:$E$406="",999999,UCRETLER!$E$7:$E$406))-IF(UCRETLER!$D$7:$D$406="",999999,UCRETLER!$D$7:$D$406))/7)+1)))</f>
        <v/>
      </c>
      <c r="D21" s="125">
        <f>SUMIFS(TAHSILAT!$F$7:$F$1506,TAHSILAT!$E$7:$E$1506,"&gt;="&amp;$B21,TAHSILAT!$E$7:$E$1506,"&lt;"&amp;EDATE($B21,1))</f>
        <v/>
      </c>
      <c r="E21" s="125">
        <f>SUMIFS(GELIR_GIDER!$G$7:$G$1206,GELIR_GIDER!$D$7:$D$1206,"Gelir",GELIR_GIDER!$C$7:$C$1206,"&gt;="&amp;$B21,GELIR_GIDER!$C$7:$C$1206,"&lt;"&amp;EDATE($B21,1),GELIR_GIDER!$I$7:$I$1206,"Evet")</f>
        <v/>
      </c>
      <c r="F21" s="125">
        <f>$D21+$E21</f>
        <v/>
      </c>
      <c r="G21" s="125">
        <f>SUMIFS(GELIR_GIDER!$G$7:$G$1206,GELIR_GIDER!$D$7:$D$1206,"Gider",GELIR_GIDER!$C$7:$C$1206,"&gt;="&amp;$B21,GELIR_GIDER!$C$7:$C$1206,"&lt;"&amp;EDATE($B21,1),GELIR_GIDER!$I$7:$I$1206,"Evet")</f>
        <v/>
      </c>
      <c r="H21" s="125">
        <f>$C21+$E21-$G21</f>
        <v/>
      </c>
      <c r="I21" s="125">
        <f>$F21-$G21</f>
        <v/>
      </c>
      <c r="J21" s="122">
        <f>IFERROR($D21/$C21,0)</f>
        <v/>
      </c>
      <c r="K21" s="125">
        <f>SISTEM!$C$13</f>
        <v/>
      </c>
      <c r="L21" s="125">
        <f>MAX(0,$I21-$K21)</f>
        <v/>
      </c>
      <c r="M21" s="125">
        <f>$L21*SISTEM!$C$11</f>
        <v/>
      </c>
      <c r="N21" s="125">
        <f>$L21*SISTEM!$C$12</f>
        <v/>
      </c>
      <c r="O21" s="107" t="n"/>
      <c r="P21" s="126" t="n"/>
      <c r="Q21" s="126" t="n"/>
      <c r="R21" s="125">
        <f>MAX(0,$L21-$P21-$Q21)</f>
        <v/>
      </c>
      <c r="S21" s="112">
        <f>IF($B21&gt;=DATE(YEAR(TODAY()),MONTH(TODAY()),1),"AÇIK",IF(COUNTIF(SISTEM!$F$23:$F$50,"KALDI")=0,"KAPANABİLİR","KONTROL GEREKİR"))</f>
        <v/>
      </c>
      <c r="T21" s="112">
        <f>IF(ABS($L21-$M21-$N21)&lt;0.01,IF(AND($O21="Evet",ABS($R21)&lt;0.01),"KAPANDI","AÇIK"),"PAY HATASI")</f>
        <v/>
      </c>
      <c r="U21" s="6" t="n"/>
      <c r="V21" s="6" t="n"/>
    </row>
    <row r="22">
      <c r="A22" s="6" t="n"/>
      <c r="B22" s="119" t="n">
        <v>46478</v>
      </c>
      <c r="C22" s="125">
        <f>SUMPRODUCT(IF(UCRETLER!$F$7:$F$406="",0,UCRETLER!$F$7:$F$406)*IF(UCRETLER!$B$7:$B$406="",0,IF(IF(IF(UCRETLER!$E$7:$E$406="",999999,UCRETLER!$E$7:$E$406)&gt;EOMONTH($B22,0),EOMONTH($B22,0),IF(UCRETLER!$E$7:$E$406="",999999,UCRETLER!$E$7:$E$406))&lt;IF(UCRETLER!$D$7:$D$406="",999999,UCRETLER!$D$7:$D$406),0,INT((IF(IF(UCRETLER!$E$7:$E$406="",999999,UCRETLER!$E$7:$E$406)&gt;EOMONTH($B22,0),EOMONTH($B22,0),IF(UCRETLER!$E$7:$E$406="",999999,UCRETLER!$E$7:$E$406))-IF(UCRETLER!$D$7:$D$406="",999999,UCRETLER!$D$7:$D$406))/7)+1)-IF(IF(IF(UCRETLER!$E$7:$E$406="",999999,UCRETLER!$E$7:$E$406)&gt;$B22-1,$B22-1,IF(UCRETLER!$E$7:$E$406="",999999,UCRETLER!$E$7:$E$406))&lt;IF(UCRETLER!$D$7:$D$406="",999999,UCRETLER!$D$7:$D$406),0,INT((IF(IF(UCRETLER!$E$7:$E$406="",999999,UCRETLER!$E$7:$E$406)&gt;$B22-1,$B22-1,IF(UCRETLER!$E$7:$E$406="",999999,UCRETLER!$E$7:$E$406))-IF(UCRETLER!$D$7:$D$406="",999999,UCRETLER!$D$7:$D$406))/7)+1)))</f>
        <v/>
      </c>
      <c r="D22" s="125">
        <f>SUMIFS(TAHSILAT!$F$7:$F$1506,TAHSILAT!$E$7:$E$1506,"&gt;="&amp;$B22,TAHSILAT!$E$7:$E$1506,"&lt;"&amp;EDATE($B22,1))</f>
        <v/>
      </c>
      <c r="E22" s="125">
        <f>SUMIFS(GELIR_GIDER!$G$7:$G$1206,GELIR_GIDER!$D$7:$D$1206,"Gelir",GELIR_GIDER!$C$7:$C$1206,"&gt;="&amp;$B22,GELIR_GIDER!$C$7:$C$1206,"&lt;"&amp;EDATE($B22,1),GELIR_GIDER!$I$7:$I$1206,"Evet")</f>
        <v/>
      </c>
      <c r="F22" s="125">
        <f>$D22+$E22</f>
        <v/>
      </c>
      <c r="G22" s="125">
        <f>SUMIFS(GELIR_GIDER!$G$7:$G$1206,GELIR_GIDER!$D$7:$D$1206,"Gider",GELIR_GIDER!$C$7:$C$1206,"&gt;="&amp;$B22,GELIR_GIDER!$C$7:$C$1206,"&lt;"&amp;EDATE($B22,1),GELIR_GIDER!$I$7:$I$1206,"Evet")</f>
        <v/>
      </c>
      <c r="H22" s="125">
        <f>$C22+$E22-$G22</f>
        <v/>
      </c>
      <c r="I22" s="125">
        <f>$F22-$G22</f>
        <v/>
      </c>
      <c r="J22" s="122">
        <f>IFERROR($D22/$C22,0)</f>
        <v/>
      </c>
      <c r="K22" s="125">
        <f>SISTEM!$C$13</f>
        <v/>
      </c>
      <c r="L22" s="125">
        <f>MAX(0,$I22-$K22)</f>
        <v/>
      </c>
      <c r="M22" s="125">
        <f>$L22*SISTEM!$C$11</f>
        <v/>
      </c>
      <c r="N22" s="125">
        <f>$L22*SISTEM!$C$12</f>
        <v/>
      </c>
      <c r="O22" s="107" t="n"/>
      <c r="P22" s="126" t="n"/>
      <c r="Q22" s="126" t="n"/>
      <c r="R22" s="125">
        <f>MAX(0,$L22-$P22-$Q22)</f>
        <v/>
      </c>
      <c r="S22" s="112">
        <f>IF($B22&gt;=DATE(YEAR(TODAY()),MONTH(TODAY()),1),"AÇIK",IF(COUNTIF(SISTEM!$F$23:$F$50,"KALDI")=0,"KAPANABİLİR","KONTROL GEREKİR"))</f>
        <v/>
      </c>
      <c r="T22" s="112">
        <f>IF(ABS($L22-$M22-$N22)&lt;0.01,IF(AND($O22="Evet",ABS($R22)&lt;0.01),"KAPANDI","AÇIK"),"PAY HATASI")</f>
        <v/>
      </c>
      <c r="U22" s="6" t="n"/>
      <c r="V22" s="6" t="n"/>
    </row>
    <row r="23">
      <c r="A23" s="6" t="n"/>
      <c r="B23" s="119" t="n">
        <v>46508</v>
      </c>
      <c r="C23" s="125">
        <f>SUMPRODUCT(IF(UCRETLER!$F$7:$F$406="",0,UCRETLER!$F$7:$F$406)*IF(UCRETLER!$B$7:$B$406="",0,IF(IF(IF(UCRETLER!$E$7:$E$406="",999999,UCRETLER!$E$7:$E$406)&gt;EOMONTH($B23,0),EOMONTH($B23,0),IF(UCRETLER!$E$7:$E$406="",999999,UCRETLER!$E$7:$E$406))&lt;IF(UCRETLER!$D$7:$D$406="",999999,UCRETLER!$D$7:$D$406),0,INT((IF(IF(UCRETLER!$E$7:$E$406="",999999,UCRETLER!$E$7:$E$406)&gt;EOMONTH($B23,0),EOMONTH($B23,0),IF(UCRETLER!$E$7:$E$406="",999999,UCRETLER!$E$7:$E$406))-IF(UCRETLER!$D$7:$D$406="",999999,UCRETLER!$D$7:$D$406))/7)+1)-IF(IF(IF(UCRETLER!$E$7:$E$406="",999999,UCRETLER!$E$7:$E$406)&gt;$B23-1,$B23-1,IF(UCRETLER!$E$7:$E$406="",999999,UCRETLER!$E$7:$E$406))&lt;IF(UCRETLER!$D$7:$D$406="",999999,UCRETLER!$D$7:$D$406),0,INT((IF(IF(UCRETLER!$E$7:$E$406="",999999,UCRETLER!$E$7:$E$406)&gt;$B23-1,$B23-1,IF(UCRETLER!$E$7:$E$406="",999999,UCRETLER!$E$7:$E$406))-IF(UCRETLER!$D$7:$D$406="",999999,UCRETLER!$D$7:$D$406))/7)+1)))</f>
        <v/>
      </c>
      <c r="D23" s="125">
        <f>SUMIFS(TAHSILAT!$F$7:$F$1506,TAHSILAT!$E$7:$E$1506,"&gt;="&amp;$B23,TAHSILAT!$E$7:$E$1506,"&lt;"&amp;EDATE($B23,1))</f>
        <v/>
      </c>
      <c r="E23" s="125">
        <f>SUMIFS(GELIR_GIDER!$G$7:$G$1206,GELIR_GIDER!$D$7:$D$1206,"Gelir",GELIR_GIDER!$C$7:$C$1206,"&gt;="&amp;$B23,GELIR_GIDER!$C$7:$C$1206,"&lt;"&amp;EDATE($B23,1),GELIR_GIDER!$I$7:$I$1206,"Evet")</f>
        <v/>
      </c>
      <c r="F23" s="125">
        <f>$D23+$E23</f>
        <v/>
      </c>
      <c r="G23" s="125">
        <f>SUMIFS(GELIR_GIDER!$G$7:$G$1206,GELIR_GIDER!$D$7:$D$1206,"Gider",GELIR_GIDER!$C$7:$C$1206,"&gt;="&amp;$B23,GELIR_GIDER!$C$7:$C$1206,"&lt;"&amp;EDATE($B23,1),GELIR_GIDER!$I$7:$I$1206,"Evet")</f>
        <v/>
      </c>
      <c r="H23" s="125">
        <f>$C23+$E23-$G23</f>
        <v/>
      </c>
      <c r="I23" s="125">
        <f>$F23-$G23</f>
        <v/>
      </c>
      <c r="J23" s="122">
        <f>IFERROR($D23/$C23,0)</f>
        <v/>
      </c>
      <c r="K23" s="125">
        <f>SISTEM!$C$13</f>
        <v/>
      </c>
      <c r="L23" s="125">
        <f>MAX(0,$I23-$K23)</f>
        <v/>
      </c>
      <c r="M23" s="125">
        <f>$L23*SISTEM!$C$11</f>
        <v/>
      </c>
      <c r="N23" s="125">
        <f>$L23*SISTEM!$C$12</f>
        <v/>
      </c>
      <c r="O23" s="107" t="n"/>
      <c r="P23" s="126" t="n"/>
      <c r="Q23" s="126" t="n"/>
      <c r="R23" s="125">
        <f>MAX(0,$L23-$P23-$Q23)</f>
        <v/>
      </c>
      <c r="S23" s="112">
        <f>IF($B23&gt;=DATE(YEAR(TODAY()),MONTH(TODAY()),1),"AÇIK",IF(COUNTIF(SISTEM!$F$23:$F$50,"KALDI")=0,"KAPANABİLİR","KONTROL GEREKİR"))</f>
        <v/>
      </c>
      <c r="T23" s="112">
        <f>IF(ABS($L23-$M23-$N23)&lt;0.01,IF(AND($O23="Evet",ABS($R23)&lt;0.01),"KAPANDI","AÇIK"),"PAY HATASI")</f>
        <v/>
      </c>
      <c r="U23" s="6" t="n"/>
      <c r="V23" s="6" t="n"/>
    </row>
    <row r="24">
      <c r="A24" s="6" t="n"/>
      <c r="B24" s="119" t="n">
        <v>46539</v>
      </c>
      <c r="C24" s="125">
        <f>SUMPRODUCT(IF(UCRETLER!$F$7:$F$406="",0,UCRETLER!$F$7:$F$406)*IF(UCRETLER!$B$7:$B$406="",0,IF(IF(IF(UCRETLER!$E$7:$E$406="",999999,UCRETLER!$E$7:$E$406)&gt;EOMONTH($B24,0),EOMONTH($B24,0),IF(UCRETLER!$E$7:$E$406="",999999,UCRETLER!$E$7:$E$406))&lt;IF(UCRETLER!$D$7:$D$406="",999999,UCRETLER!$D$7:$D$406),0,INT((IF(IF(UCRETLER!$E$7:$E$406="",999999,UCRETLER!$E$7:$E$406)&gt;EOMONTH($B24,0),EOMONTH($B24,0),IF(UCRETLER!$E$7:$E$406="",999999,UCRETLER!$E$7:$E$406))-IF(UCRETLER!$D$7:$D$406="",999999,UCRETLER!$D$7:$D$406))/7)+1)-IF(IF(IF(UCRETLER!$E$7:$E$406="",999999,UCRETLER!$E$7:$E$406)&gt;$B24-1,$B24-1,IF(UCRETLER!$E$7:$E$406="",999999,UCRETLER!$E$7:$E$406))&lt;IF(UCRETLER!$D$7:$D$406="",999999,UCRETLER!$D$7:$D$406),0,INT((IF(IF(UCRETLER!$E$7:$E$406="",999999,UCRETLER!$E$7:$E$406)&gt;$B24-1,$B24-1,IF(UCRETLER!$E$7:$E$406="",999999,UCRETLER!$E$7:$E$406))-IF(UCRETLER!$D$7:$D$406="",999999,UCRETLER!$D$7:$D$406))/7)+1)))</f>
        <v/>
      </c>
      <c r="D24" s="125">
        <f>SUMIFS(TAHSILAT!$F$7:$F$1506,TAHSILAT!$E$7:$E$1506,"&gt;="&amp;$B24,TAHSILAT!$E$7:$E$1506,"&lt;"&amp;EDATE($B24,1))</f>
        <v/>
      </c>
      <c r="E24" s="125">
        <f>SUMIFS(GELIR_GIDER!$G$7:$G$1206,GELIR_GIDER!$D$7:$D$1206,"Gelir",GELIR_GIDER!$C$7:$C$1206,"&gt;="&amp;$B24,GELIR_GIDER!$C$7:$C$1206,"&lt;"&amp;EDATE($B24,1),GELIR_GIDER!$I$7:$I$1206,"Evet")</f>
        <v/>
      </c>
      <c r="F24" s="125">
        <f>$D24+$E24</f>
        <v/>
      </c>
      <c r="G24" s="125">
        <f>SUMIFS(GELIR_GIDER!$G$7:$G$1206,GELIR_GIDER!$D$7:$D$1206,"Gider",GELIR_GIDER!$C$7:$C$1206,"&gt;="&amp;$B24,GELIR_GIDER!$C$7:$C$1206,"&lt;"&amp;EDATE($B24,1),GELIR_GIDER!$I$7:$I$1206,"Evet")</f>
        <v/>
      </c>
      <c r="H24" s="125">
        <f>$C24+$E24-$G24</f>
        <v/>
      </c>
      <c r="I24" s="125">
        <f>$F24-$G24</f>
        <v/>
      </c>
      <c r="J24" s="122">
        <f>IFERROR($D24/$C24,0)</f>
        <v/>
      </c>
      <c r="K24" s="125">
        <f>SISTEM!$C$13</f>
        <v/>
      </c>
      <c r="L24" s="125">
        <f>MAX(0,$I24-$K24)</f>
        <v/>
      </c>
      <c r="M24" s="125">
        <f>$L24*SISTEM!$C$11</f>
        <v/>
      </c>
      <c r="N24" s="125">
        <f>$L24*SISTEM!$C$12</f>
        <v/>
      </c>
      <c r="O24" s="107" t="n"/>
      <c r="P24" s="126" t="n"/>
      <c r="Q24" s="126" t="n"/>
      <c r="R24" s="125">
        <f>MAX(0,$L24-$P24-$Q24)</f>
        <v/>
      </c>
      <c r="S24" s="112">
        <f>IF($B24&gt;=DATE(YEAR(TODAY()),MONTH(TODAY()),1),"AÇIK",IF(COUNTIF(SISTEM!$F$23:$F$50,"KALDI")=0,"KAPANABİLİR","KONTROL GEREKİR"))</f>
        <v/>
      </c>
      <c r="T24" s="112">
        <f>IF(ABS($L24-$M24-$N24)&lt;0.01,IF(AND($O24="Evet",ABS($R24)&lt;0.01),"KAPANDI","AÇIK"),"PAY HATASI")</f>
        <v/>
      </c>
      <c r="U24" s="6" t="n"/>
      <c r="V24" s="6" t="n"/>
    </row>
    <row r="25">
      <c r="A25" s="6" t="n"/>
      <c r="B25" s="119" t="n">
        <v>46569</v>
      </c>
      <c r="C25" s="125">
        <f>SUMPRODUCT(IF(UCRETLER!$F$7:$F$406="",0,UCRETLER!$F$7:$F$406)*IF(UCRETLER!$B$7:$B$406="",0,IF(IF(IF(UCRETLER!$E$7:$E$406="",999999,UCRETLER!$E$7:$E$406)&gt;EOMONTH($B25,0),EOMONTH($B25,0),IF(UCRETLER!$E$7:$E$406="",999999,UCRETLER!$E$7:$E$406))&lt;IF(UCRETLER!$D$7:$D$406="",999999,UCRETLER!$D$7:$D$406),0,INT((IF(IF(UCRETLER!$E$7:$E$406="",999999,UCRETLER!$E$7:$E$406)&gt;EOMONTH($B25,0),EOMONTH($B25,0),IF(UCRETLER!$E$7:$E$406="",999999,UCRETLER!$E$7:$E$406))-IF(UCRETLER!$D$7:$D$406="",999999,UCRETLER!$D$7:$D$406))/7)+1)-IF(IF(IF(UCRETLER!$E$7:$E$406="",999999,UCRETLER!$E$7:$E$406)&gt;$B25-1,$B25-1,IF(UCRETLER!$E$7:$E$406="",999999,UCRETLER!$E$7:$E$406))&lt;IF(UCRETLER!$D$7:$D$406="",999999,UCRETLER!$D$7:$D$406),0,INT((IF(IF(UCRETLER!$E$7:$E$406="",999999,UCRETLER!$E$7:$E$406)&gt;$B25-1,$B25-1,IF(UCRETLER!$E$7:$E$406="",999999,UCRETLER!$E$7:$E$406))-IF(UCRETLER!$D$7:$D$406="",999999,UCRETLER!$D$7:$D$406))/7)+1)))</f>
        <v/>
      </c>
      <c r="D25" s="125">
        <f>SUMIFS(TAHSILAT!$F$7:$F$1506,TAHSILAT!$E$7:$E$1506,"&gt;="&amp;$B25,TAHSILAT!$E$7:$E$1506,"&lt;"&amp;EDATE($B25,1))</f>
        <v/>
      </c>
      <c r="E25" s="125">
        <f>SUMIFS(GELIR_GIDER!$G$7:$G$1206,GELIR_GIDER!$D$7:$D$1206,"Gelir",GELIR_GIDER!$C$7:$C$1206,"&gt;="&amp;$B25,GELIR_GIDER!$C$7:$C$1206,"&lt;"&amp;EDATE($B25,1),GELIR_GIDER!$I$7:$I$1206,"Evet")</f>
        <v/>
      </c>
      <c r="F25" s="125">
        <f>$D25+$E25</f>
        <v/>
      </c>
      <c r="G25" s="125">
        <f>SUMIFS(GELIR_GIDER!$G$7:$G$1206,GELIR_GIDER!$D$7:$D$1206,"Gider",GELIR_GIDER!$C$7:$C$1206,"&gt;="&amp;$B25,GELIR_GIDER!$C$7:$C$1206,"&lt;"&amp;EDATE($B25,1),GELIR_GIDER!$I$7:$I$1206,"Evet")</f>
        <v/>
      </c>
      <c r="H25" s="125">
        <f>$C25+$E25-$G25</f>
        <v/>
      </c>
      <c r="I25" s="125">
        <f>$F25-$G25</f>
        <v/>
      </c>
      <c r="J25" s="122">
        <f>IFERROR($D25/$C25,0)</f>
        <v/>
      </c>
      <c r="K25" s="125">
        <f>SISTEM!$C$13</f>
        <v/>
      </c>
      <c r="L25" s="125">
        <f>MAX(0,$I25-$K25)</f>
        <v/>
      </c>
      <c r="M25" s="125">
        <f>$L25*SISTEM!$C$11</f>
        <v/>
      </c>
      <c r="N25" s="125">
        <f>$L25*SISTEM!$C$12</f>
        <v/>
      </c>
      <c r="O25" s="107" t="n"/>
      <c r="P25" s="126" t="n"/>
      <c r="Q25" s="126" t="n"/>
      <c r="R25" s="125">
        <f>MAX(0,$L25-$P25-$Q25)</f>
        <v/>
      </c>
      <c r="S25" s="112">
        <f>IF($B25&gt;=DATE(YEAR(TODAY()),MONTH(TODAY()),1),"AÇIK",IF(COUNTIF(SISTEM!$F$23:$F$50,"KALDI")=0,"KAPANABİLİR","KONTROL GEREKİR"))</f>
        <v/>
      </c>
      <c r="T25" s="112">
        <f>IF(ABS($L25-$M25-$N25)&lt;0.01,IF(AND($O25="Evet",ABS($R25)&lt;0.01),"KAPANDI","AÇIK"),"PAY HATASI")</f>
        <v/>
      </c>
      <c r="U25" s="6" t="n"/>
      <c r="V25" s="6" t="n"/>
    </row>
    <row r="26">
      <c r="A26" s="6" t="n"/>
      <c r="B26" s="119" t="n">
        <v>46600</v>
      </c>
      <c r="C26" s="125">
        <f>SUMPRODUCT(IF(UCRETLER!$F$7:$F$406="",0,UCRETLER!$F$7:$F$406)*IF(UCRETLER!$B$7:$B$406="",0,IF(IF(IF(UCRETLER!$E$7:$E$406="",999999,UCRETLER!$E$7:$E$406)&gt;EOMONTH($B26,0),EOMONTH($B26,0),IF(UCRETLER!$E$7:$E$406="",999999,UCRETLER!$E$7:$E$406))&lt;IF(UCRETLER!$D$7:$D$406="",999999,UCRETLER!$D$7:$D$406),0,INT((IF(IF(UCRETLER!$E$7:$E$406="",999999,UCRETLER!$E$7:$E$406)&gt;EOMONTH($B26,0),EOMONTH($B26,0),IF(UCRETLER!$E$7:$E$406="",999999,UCRETLER!$E$7:$E$406))-IF(UCRETLER!$D$7:$D$406="",999999,UCRETLER!$D$7:$D$406))/7)+1)-IF(IF(IF(UCRETLER!$E$7:$E$406="",999999,UCRETLER!$E$7:$E$406)&gt;$B26-1,$B26-1,IF(UCRETLER!$E$7:$E$406="",999999,UCRETLER!$E$7:$E$406))&lt;IF(UCRETLER!$D$7:$D$406="",999999,UCRETLER!$D$7:$D$406),0,INT((IF(IF(UCRETLER!$E$7:$E$406="",999999,UCRETLER!$E$7:$E$406)&gt;$B26-1,$B26-1,IF(UCRETLER!$E$7:$E$406="",999999,UCRETLER!$E$7:$E$406))-IF(UCRETLER!$D$7:$D$406="",999999,UCRETLER!$D$7:$D$406))/7)+1)))</f>
        <v/>
      </c>
      <c r="D26" s="125">
        <f>SUMIFS(TAHSILAT!$F$7:$F$1506,TAHSILAT!$E$7:$E$1506,"&gt;="&amp;$B26,TAHSILAT!$E$7:$E$1506,"&lt;"&amp;EDATE($B26,1))</f>
        <v/>
      </c>
      <c r="E26" s="125">
        <f>SUMIFS(GELIR_GIDER!$G$7:$G$1206,GELIR_GIDER!$D$7:$D$1206,"Gelir",GELIR_GIDER!$C$7:$C$1206,"&gt;="&amp;$B26,GELIR_GIDER!$C$7:$C$1206,"&lt;"&amp;EDATE($B26,1),GELIR_GIDER!$I$7:$I$1206,"Evet")</f>
        <v/>
      </c>
      <c r="F26" s="125">
        <f>$D26+$E26</f>
        <v/>
      </c>
      <c r="G26" s="125">
        <f>SUMIFS(GELIR_GIDER!$G$7:$G$1206,GELIR_GIDER!$D$7:$D$1206,"Gider",GELIR_GIDER!$C$7:$C$1206,"&gt;="&amp;$B26,GELIR_GIDER!$C$7:$C$1206,"&lt;"&amp;EDATE($B26,1),GELIR_GIDER!$I$7:$I$1206,"Evet")</f>
        <v/>
      </c>
      <c r="H26" s="125">
        <f>$C26+$E26-$G26</f>
        <v/>
      </c>
      <c r="I26" s="125">
        <f>$F26-$G26</f>
        <v/>
      </c>
      <c r="J26" s="122">
        <f>IFERROR($D26/$C26,0)</f>
        <v/>
      </c>
      <c r="K26" s="125">
        <f>SISTEM!$C$13</f>
        <v/>
      </c>
      <c r="L26" s="125">
        <f>MAX(0,$I26-$K26)</f>
        <v/>
      </c>
      <c r="M26" s="125">
        <f>$L26*SISTEM!$C$11</f>
        <v/>
      </c>
      <c r="N26" s="125">
        <f>$L26*SISTEM!$C$12</f>
        <v/>
      </c>
      <c r="O26" s="107" t="n"/>
      <c r="P26" s="126" t="n"/>
      <c r="Q26" s="126" t="n"/>
      <c r="R26" s="125">
        <f>MAX(0,$L26-$P26-$Q26)</f>
        <v/>
      </c>
      <c r="S26" s="112">
        <f>IF($B26&gt;=DATE(YEAR(TODAY()),MONTH(TODAY()),1),"AÇIK",IF(COUNTIF(SISTEM!$F$23:$F$50,"KALDI")=0,"KAPANABİLİR","KONTROL GEREKİR"))</f>
        <v/>
      </c>
      <c r="T26" s="112">
        <f>IF(ABS($L26-$M26-$N26)&lt;0.01,IF(AND($O26="Evet",ABS($R26)&lt;0.01),"KAPANDI","AÇIK"),"PAY HATASI")</f>
        <v/>
      </c>
      <c r="U26" s="6" t="n"/>
      <c r="V26" s="6" t="n"/>
    </row>
    <row r="27">
      <c r="A27" s="6" t="n"/>
      <c r="B27" s="119" t="n">
        <v>46631</v>
      </c>
      <c r="C27" s="125">
        <f>SUMPRODUCT(IF(UCRETLER!$F$7:$F$406="",0,UCRETLER!$F$7:$F$406)*IF(UCRETLER!$B$7:$B$406="",0,IF(IF(IF(UCRETLER!$E$7:$E$406="",999999,UCRETLER!$E$7:$E$406)&gt;EOMONTH($B27,0),EOMONTH($B27,0),IF(UCRETLER!$E$7:$E$406="",999999,UCRETLER!$E$7:$E$406))&lt;IF(UCRETLER!$D$7:$D$406="",999999,UCRETLER!$D$7:$D$406),0,INT((IF(IF(UCRETLER!$E$7:$E$406="",999999,UCRETLER!$E$7:$E$406)&gt;EOMONTH($B27,0),EOMONTH($B27,0),IF(UCRETLER!$E$7:$E$406="",999999,UCRETLER!$E$7:$E$406))-IF(UCRETLER!$D$7:$D$406="",999999,UCRETLER!$D$7:$D$406))/7)+1)-IF(IF(IF(UCRETLER!$E$7:$E$406="",999999,UCRETLER!$E$7:$E$406)&gt;$B27-1,$B27-1,IF(UCRETLER!$E$7:$E$406="",999999,UCRETLER!$E$7:$E$406))&lt;IF(UCRETLER!$D$7:$D$406="",999999,UCRETLER!$D$7:$D$406),0,INT((IF(IF(UCRETLER!$E$7:$E$406="",999999,UCRETLER!$E$7:$E$406)&gt;$B27-1,$B27-1,IF(UCRETLER!$E$7:$E$406="",999999,UCRETLER!$E$7:$E$406))-IF(UCRETLER!$D$7:$D$406="",999999,UCRETLER!$D$7:$D$406))/7)+1)))</f>
        <v/>
      </c>
      <c r="D27" s="125">
        <f>SUMIFS(TAHSILAT!$F$7:$F$1506,TAHSILAT!$E$7:$E$1506,"&gt;="&amp;$B27,TAHSILAT!$E$7:$E$1506,"&lt;"&amp;EDATE($B27,1))</f>
        <v/>
      </c>
      <c r="E27" s="125">
        <f>SUMIFS(GELIR_GIDER!$G$7:$G$1206,GELIR_GIDER!$D$7:$D$1206,"Gelir",GELIR_GIDER!$C$7:$C$1206,"&gt;="&amp;$B27,GELIR_GIDER!$C$7:$C$1206,"&lt;"&amp;EDATE($B27,1),GELIR_GIDER!$I$7:$I$1206,"Evet")</f>
        <v/>
      </c>
      <c r="F27" s="125">
        <f>$D27+$E27</f>
        <v/>
      </c>
      <c r="G27" s="125">
        <f>SUMIFS(GELIR_GIDER!$G$7:$G$1206,GELIR_GIDER!$D$7:$D$1206,"Gider",GELIR_GIDER!$C$7:$C$1206,"&gt;="&amp;$B27,GELIR_GIDER!$C$7:$C$1206,"&lt;"&amp;EDATE($B27,1),GELIR_GIDER!$I$7:$I$1206,"Evet")</f>
        <v/>
      </c>
      <c r="H27" s="125">
        <f>$C27+$E27-$G27</f>
        <v/>
      </c>
      <c r="I27" s="125">
        <f>$F27-$G27</f>
        <v/>
      </c>
      <c r="J27" s="122">
        <f>IFERROR($D27/$C27,0)</f>
        <v/>
      </c>
      <c r="K27" s="125">
        <f>SISTEM!$C$13</f>
        <v/>
      </c>
      <c r="L27" s="125">
        <f>MAX(0,$I27-$K27)</f>
        <v/>
      </c>
      <c r="M27" s="125">
        <f>$L27*SISTEM!$C$11</f>
        <v/>
      </c>
      <c r="N27" s="125">
        <f>$L27*SISTEM!$C$12</f>
        <v/>
      </c>
      <c r="O27" s="107" t="n"/>
      <c r="P27" s="126" t="n"/>
      <c r="Q27" s="126" t="n"/>
      <c r="R27" s="125">
        <f>MAX(0,$L27-$P27-$Q27)</f>
        <v/>
      </c>
      <c r="S27" s="112">
        <f>IF($B27&gt;=DATE(YEAR(TODAY()),MONTH(TODAY()),1),"AÇIK",IF(COUNTIF(SISTEM!$F$23:$F$50,"KALDI")=0,"KAPANABİLİR","KONTROL GEREKİR"))</f>
        <v/>
      </c>
      <c r="T27" s="112">
        <f>IF(ABS($L27-$M27-$N27)&lt;0.01,IF(AND($O27="Evet",ABS($R27)&lt;0.01),"KAPANDI","AÇIK"),"PAY HATASI")</f>
        <v/>
      </c>
      <c r="U27" s="6" t="n"/>
      <c r="V27" s="6" t="n"/>
    </row>
    <row r="28">
      <c r="A28" s="6" t="n"/>
      <c r="B28" s="119" t="n">
        <v>46661</v>
      </c>
      <c r="C28" s="125">
        <f>SUMPRODUCT(IF(UCRETLER!$F$7:$F$406="",0,UCRETLER!$F$7:$F$406)*IF(UCRETLER!$B$7:$B$406="",0,IF(IF(IF(UCRETLER!$E$7:$E$406="",999999,UCRETLER!$E$7:$E$406)&gt;EOMONTH($B28,0),EOMONTH($B28,0),IF(UCRETLER!$E$7:$E$406="",999999,UCRETLER!$E$7:$E$406))&lt;IF(UCRETLER!$D$7:$D$406="",999999,UCRETLER!$D$7:$D$406),0,INT((IF(IF(UCRETLER!$E$7:$E$406="",999999,UCRETLER!$E$7:$E$406)&gt;EOMONTH($B28,0),EOMONTH($B28,0),IF(UCRETLER!$E$7:$E$406="",999999,UCRETLER!$E$7:$E$406))-IF(UCRETLER!$D$7:$D$406="",999999,UCRETLER!$D$7:$D$406))/7)+1)-IF(IF(IF(UCRETLER!$E$7:$E$406="",999999,UCRETLER!$E$7:$E$406)&gt;$B28-1,$B28-1,IF(UCRETLER!$E$7:$E$406="",999999,UCRETLER!$E$7:$E$406))&lt;IF(UCRETLER!$D$7:$D$406="",999999,UCRETLER!$D$7:$D$406),0,INT((IF(IF(UCRETLER!$E$7:$E$406="",999999,UCRETLER!$E$7:$E$406)&gt;$B28-1,$B28-1,IF(UCRETLER!$E$7:$E$406="",999999,UCRETLER!$E$7:$E$406))-IF(UCRETLER!$D$7:$D$406="",999999,UCRETLER!$D$7:$D$406))/7)+1)))</f>
        <v/>
      </c>
      <c r="D28" s="125">
        <f>SUMIFS(TAHSILAT!$F$7:$F$1506,TAHSILAT!$E$7:$E$1506,"&gt;="&amp;$B28,TAHSILAT!$E$7:$E$1506,"&lt;"&amp;EDATE($B28,1))</f>
        <v/>
      </c>
      <c r="E28" s="125">
        <f>SUMIFS(GELIR_GIDER!$G$7:$G$1206,GELIR_GIDER!$D$7:$D$1206,"Gelir",GELIR_GIDER!$C$7:$C$1206,"&gt;="&amp;$B28,GELIR_GIDER!$C$7:$C$1206,"&lt;"&amp;EDATE($B28,1),GELIR_GIDER!$I$7:$I$1206,"Evet")</f>
        <v/>
      </c>
      <c r="F28" s="125">
        <f>$D28+$E28</f>
        <v/>
      </c>
      <c r="G28" s="125">
        <f>SUMIFS(GELIR_GIDER!$G$7:$G$1206,GELIR_GIDER!$D$7:$D$1206,"Gider",GELIR_GIDER!$C$7:$C$1206,"&gt;="&amp;$B28,GELIR_GIDER!$C$7:$C$1206,"&lt;"&amp;EDATE($B28,1),GELIR_GIDER!$I$7:$I$1206,"Evet")</f>
        <v/>
      </c>
      <c r="H28" s="125">
        <f>$C28+$E28-$G28</f>
        <v/>
      </c>
      <c r="I28" s="125">
        <f>$F28-$G28</f>
        <v/>
      </c>
      <c r="J28" s="122">
        <f>IFERROR($D28/$C28,0)</f>
        <v/>
      </c>
      <c r="K28" s="125">
        <f>SISTEM!$C$13</f>
        <v/>
      </c>
      <c r="L28" s="125">
        <f>MAX(0,$I28-$K28)</f>
        <v/>
      </c>
      <c r="M28" s="125">
        <f>$L28*SISTEM!$C$11</f>
        <v/>
      </c>
      <c r="N28" s="125">
        <f>$L28*SISTEM!$C$12</f>
        <v/>
      </c>
      <c r="O28" s="107" t="n"/>
      <c r="P28" s="126" t="n"/>
      <c r="Q28" s="126" t="n"/>
      <c r="R28" s="125">
        <f>MAX(0,$L28-$P28-$Q28)</f>
        <v/>
      </c>
      <c r="S28" s="112">
        <f>IF($B28&gt;=DATE(YEAR(TODAY()),MONTH(TODAY()),1),"AÇIK",IF(COUNTIF(SISTEM!$F$23:$F$50,"KALDI")=0,"KAPANABİLİR","KONTROL GEREKİR"))</f>
        <v/>
      </c>
      <c r="T28" s="112">
        <f>IF(ABS($L28-$M28-$N28)&lt;0.01,IF(AND($O28="Evet",ABS($R28)&lt;0.01),"KAPANDI","AÇIK"),"PAY HATASI")</f>
        <v/>
      </c>
      <c r="U28" s="6" t="n"/>
      <c r="V28" s="6" t="n"/>
    </row>
    <row r="29">
      <c r="A29" s="6" t="n"/>
      <c r="B29" s="119" t="n">
        <v>46692</v>
      </c>
      <c r="C29" s="125">
        <f>SUMPRODUCT(IF(UCRETLER!$F$7:$F$406="",0,UCRETLER!$F$7:$F$406)*IF(UCRETLER!$B$7:$B$406="",0,IF(IF(IF(UCRETLER!$E$7:$E$406="",999999,UCRETLER!$E$7:$E$406)&gt;EOMONTH($B29,0),EOMONTH($B29,0),IF(UCRETLER!$E$7:$E$406="",999999,UCRETLER!$E$7:$E$406))&lt;IF(UCRETLER!$D$7:$D$406="",999999,UCRETLER!$D$7:$D$406),0,INT((IF(IF(UCRETLER!$E$7:$E$406="",999999,UCRETLER!$E$7:$E$406)&gt;EOMONTH($B29,0),EOMONTH($B29,0),IF(UCRETLER!$E$7:$E$406="",999999,UCRETLER!$E$7:$E$406))-IF(UCRETLER!$D$7:$D$406="",999999,UCRETLER!$D$7:$D$406))/7)+1)-IF(IF(IF(UCRETLER!$E$7:$E$406="",999999,UCRETLER!$E$7:$E$406)&gt;$B29-1,$B29-1,IF(UCRETLER!$E$7:$E$406="",999999,UCRETLER!$E$7:$E$406))&lt;IF(UCRETLER!$D$7:$D$406="",999999,UCRETLER!$D$7:$D$406),0,INT((IF(IF(UCRETLER!$E$7:$E$406="",999999,UCRETLER!$E$7:$E$406)&gt;$B29-1,$B29-1,IF(UCRETLER!$E$7:$E$406="",999999,UCRETLER!$E$7:$E$406))-IF(UCRETLER!$D$7:$D$406="",999999,UCRETLER!$D$7:$D$406))/7)+1)))</f>
        <v/>
      </c>
      <c r="D29" s="125">
        <f>SUMIFS(TAHSILAT!$F$7:$F$1506,TAHSILAT!$E$7:$E$1506,"&gt;="&amp;$B29,TAHSILAT!$E$7:$E$1506,"&lt;"&amp;EDATE($B29,1))</f>
        <v/>
      </c>
      <c r="E29" s="125">
        <f>SUMIFS(GELIR_GIDER!$G$7:$G$1206,GELIR_GIDER!$D$7:$D$1206,"Gelir",GELIR_GIDER!$C$7:$C$1206,"&gt;="&amp;$B29,GELIR_GIDER!$C$7:$C$1206,"&lt;"&amp;EDATE($B29,1),GELIR_GIDER!$I$7:$I$1206,"Evet")</f>
        <v/>
      </c>
      <c r="F29" s="125">
        <f>$D29+$E29</f>
        <v/>
      </c>
      <c r="G29" s="125">
        <f>SUMIFS(GELIR_GIDER!$G$7:$G$1206,GELIR_GIDER!$D$7:$D$1206,"Gider",GELIR_GIDER!$C$7:$C$1206,"&gt;="&amp;$B29,GELIR_GIDER!$C$7:$C$1206,"&lt;"&amp;EDATE($B29,1),GELIR_GIDER!$I$7:$I$1206,"Evet")</f>
        <v/>
      </c>
      <c r="H29" s="125">
        <f>$C29+$E29-$G29</f>
        <v/>
      </c>
      <c r="I29" s="125">
        <f>$F29-$G29</f>
        <v/>
      </c>
      <c r="J29" s="122">
        <f>IFERROR($D29/$C29,0)</f>
        <v/>
      </c>
      <c r="K29" s="125">
        <f>SISTEM!$C$13</f>
        <v/>
      </c>
      <c r="L29" s="125">
        <f>MAX(0,$I29-$K29)</f>
        <v/>
      </c>
      <c r="M29" s="125">
        <f>$L29*SISTEM!$C$11</f>
        <v/>
      </c>
      <c r="N29" s="125">
        <f>$L29*SISTEM!$C$12</f>
        <v/>
      </c>
      <c r="O29" s="107" t="n"/>
      <c r="P29" s="126" t="n"/>
      <c r="Q29" s="126" t="n"/>
      <c r="R29" s="125">
        <f>MAX(0,$L29-$P29-$Q29)</f>
        <v/>
      </c>
      <c r="S29" s="112">
        <f>IF($B29&gt;=DATE(YEAR(TODAY()),MONTH(TODAY()),1),"AÇIK",IF(COUNTIF(SISTEM!$F$23:$F$50,"KALDI")=0,"KAPANABİLİR","KONTROL GEREKİR"))</f>
        <v/>
      </c>
      <c r="T29" s="112">
        <f>IF(ABS($L29-$M29-$N29)&lt;0.01,IF(AND($O29="Evet",ABS($R29)&lt;0.01),"KAPANDI","AÇIK"),"PAY HATASI")</f>
        <v/>
      </c>
      <c r="U29" s="6" t="n"/>
      <c r="V29" s="6" t="n"/>
    </row>
    <row r="30">
      <c r="A30" s="6" t="n"/>
      <c r="B30" s="119" t="n">
        <v>46722</v>
      </c>
      <c r="C30" s="125">
        <f>SUMPRODUCT(IF(UCRETLER!$F$7:$F$406="",0,UCRETLER!$F$7:$F$406)*IF(UCRETLER!$B$7:$B$406="",0,IF(IF(IF(UCRETLER!$E$7:$E$406="",999999,UCRETLER!$E$7:$E$406)&gt;EOMONTH($B30,0),EOMONTH($B30,0),IF(UCRETLER!$E$7:$E$406="",999999,UCRETLER!$E$7:$E$406))&lt;IF(UCRETLER!$D$7:$D$406="",999999,UCRETLER!$D$7:$D$406),0,INT((IF(IF(UCRETLER!$E$7:$E$406="",999999,UCRETLER!$E$7:$E$406)&gt;EOMONTH($B30,0),EOMONTH($B30,0),IF(UCRETLER!$E$7:$E$406="",999999,UCRETLER!$E$7:$E$406))-IF(UCRETLER!$D$7:$D$406="",999999,UCRETLER!$D$7:$D$406))/7)+1)-IF(IF(IF(UCRETLER!$E$7:$E$406="",999999,UCRETLER!$E$7:$E$406)&gt;$B30-1,$B30-1,IF(UCRETLER!$E$7:$E$406="",999999,UCRETLER!$E$7:$E$406))&lt;IF(UCRETLER!$D$7:$D$406="",999999,UCRETLER!$D$7:$D$406),0,INT((IF(IF(UCRETLER!$E$7:$E$406="",999999,UCRETLER!$E$7:$E$406)&gt;$B30-1,$B30-1,IF(UCRETLER!$E$7:$E$406="",999999,UCRETLER!$E$7:$E$406))-IF(UCRETLER!$D$7:$D$406="",999999,UCRETLER!$D$7:$D$406))/7)+1)))</f>
        <v/>
      </c>
      <c r="D30" s="125">
        <f>SUMIFS(TAHSILAT!$F$7:$F$1506,TAHSILAT!$E$7:$E$1506,"&gt;="&amp;$B30,TAHSILAT!$E$7:$E$1506,"&lt;"&amp;EDATE($B30,1))</f>
        <v/>
      </c>
      <c r="E30" s="125">
        <f>SUMIFS(GELIR_GIDER!$G$7:$G$1206,GELIR_GIDER!$D$7:$D$1206,"Gelir",GELIR_GIDER!$C$7:$C$1206,"&gt;="&amp;$B30,GELIR_GIDER!$C$7:$C$1206,"&lt;"&amp;EDATE($B30,1),GELIR_GIDER!$I$7:$I$1206,"Evet")</f>
        <v/>
      </c>
      <c r="F30" s="125">
        <f>$D30+$E30</f>
        <v/>
      </c>
      <c r="G30" s="125">
        <f>SUMIFS(GELIR_GIDER!$G$7:$G$1206,GELIR_GIDER!$D$7:$D$1206,"Gider",GELIR_GIDER!$C$7:$C$1206,"&gt;="&amp;$B30,GELIR_GIDER!$C$7:$C$1206,"&lt;"&amp;EDATE($B30,1),GELIR_GIDER!$I$7:$I$1206,"Evet")</f>
        <v/>
      </c>
      <c r="H30" s="125">
        <f>$C30+$E30-$G30</f>
        <v/>
      </c>
      <c r="I30" s="125">
        <f>$F30-$G30</f>
        <v/>
      </c>
      <c r="J30" s="122">
        <f>IFERROR($D30/$C30,0)</f>
        <v/>
      </c>
      <c r="K30" s="125">
        <f>SISTEM!$C$13</f>
        <v/>
      </c>
      <c r="L30" s="125">
        <f>MAX(0,$I30-$K30)</f>
        <v/>
      </c>
      <c r="M30" s="125">
        <f>$L30*SISTEM!$C$11</f>
        <v/>
      </c>
      <c r="N30" s="125">
        <f>$L30*SISTEM!$C$12</f>
        <v/>
      </c>
      <c r="O30" s="107" t="n"/>
      <c r="P30" s="126" t="n"/>
      <c r="Q30" s="126" t="n"/>
      <c r="R30" s="125">
        <f>MAX(0,$L30-$P30-$Q30)</f>
        <v/>
      </c>
      <c r="S30" s="112">
        <f>IF($B30&gt;=DATE(YEAR(TODAY()),MONTH(TODAY()),1),"AÇIK",IF(COUNTIF(SISTEM!$F$23:$F$50,"KALDI")=0,"KAPANABİLİR","KONTROL GEREKİR"))</f>
        <v/>
      </c>
      <c r="T30" s="112">
        <f>IF(ABS($L30-$M30-$N30)&lt;0.01,IF(AND($O30="Evet",ABS($R30)&lt;0.01),"KAPANDI","AÇIK"),"PAY HATASI")</f>
        <v/>
      </c>
      <c r="U30" s="6" t="n"/>
      <c r="V30" s="6" t="n"/>
    </row>
    <row r="31">
      <c r="A31" s="6" t="n"/>
      <c r="B31" s="119" t="n">
        <v>46753</v>
      </c>
      <c r="C31" s="125">
        <f>SUMPRODUCT(IF(UCRETLER!$F$7:$F$406="",0,UCRETLER!$F$7:$F$406)*IF(UCRETLER!$B$7:$B$406="",0,IF(IF(IF(UCRETLER!$E$7:$E$406="",999999,UCRETLER!$E$7:$E$406)&gt;EOMONTH($B31,0),EOMONTH($B31,0),IF(UCRETLER!$E$7:$E$406="",999999,UCRETLER!$E$7:$E$406))&lt;IF(UCRETLER!$D$7:$D$406="",999999,UCRETLER!$D$7:$D$406),0,INT((IF(IF(UCRETLER!$E$7:$E$406="",999999,UCRETLER!$E$7:$E$406)&gt;EOMONTH($B31,0),EOMONTH($B31,0),IF(UCRETLER!$E$7:$E$406="",999999,UCRETLER!$E$7:$E$406))-IF(UCRETLER!$D$7:$D$406="",999999,UCRETLER!$D$7:$D$406))/7)+1)-IF(IF(IF(UCRETLER!$E$7:$E$406="",999999,UCRETLER!$E$7:$E$406)&gt;$B31-1,$B31-1,IF(UCRETLER!$E$7:$E$406="",999999,UCRETLER!$E$7:$E$406))&lt;IF(UCRETLER!$D$7:$D$406="",999999,UCRETLER!$D$7:$D$406),0,INT((IF(IF(UCRETLER!$E$7:$E$406="",999999,UCRETLER!$E$7:$E$406)&gt;$B31-1,$B31-1,IF(UCRETLER!$E$7:$E$406="",999999,UCRETLER!$E$7:$E$406))-IF(UCRETLER!$D$7:$D$406="",999999,UCRETLER!$D$7:$D$406))/7)+1)))</f>
        <v/>
      </c>
      <c r="D31" s="125">
        <f>SUMIFS(TAHSILAT!$F$7:$F$1506,TAHSILAT!$E$7:$E$1506,"&gt;="&amp;$B31,TAHSILAT!$E$7:$E$1506,"&lt;"&amp;EDATE($B31,1))</f>
        <v/>
      </c>
      <c r="E31" s="125">
        <f>SUMIFS(GELIR_GIDER!$G$7:$G$1206,GELIR_GIDER!$D$7:$D$1206,"Gelir",GELIR_GIDER!$C$7:$C$1206,"&gt;="&amp;$B31,GELIR_GIDER!$C$7:$C$1206,"&lt;"&amp;EDATE($B31,1),GELIR_GIDER!$I$7:$I$1206,"Evet")</f>
        <v/>
      </c>
      <c r="F31" s="125">
        <f>$D31+$E31</f>
        <v/>
      </c>
      <c r="G31" s="125">
        <f>SUMIFS(GELIR_GIDER!$G$7:$G$1206,GELIR_GIDER!$D$7:$D$1206,"Gider",GELIR_GIDER!$C$7:$C$1206,"&gt;="&amp;$B31,GELIR_GIDER!$C$7:$C$1206,"&lt;"&amp;EDATE($B31,1),GELIR_GIDER!$I$7:$I$1206,"Evet")</f>
        <v/>
      </c>
      <c r="H31" s="125">
        <f>$C31+$E31-$G31</f>
        <v/>
      </c>
      <c r="I31" s="125">
        <f>$F31-$G31</f>
        <v/>
      </c>
      <c r="J31" s="122">
        <f>IFERROR($D31/$C31,0)</f>
        <v/>
      </c>
      <c r="K31" s="125">
        <f>SISTEM!$C$13</f>
        <v/>
      </c>
      <c r="L31" s="125">
        <f>MAX(0,$I31-$K31)</f>
        <v/>
      </c>
      <c r="M31" s="125">
        <f>$L31*SISTEM!$C$11</f>
        <v/>
      </c>
      <c r="N31" s="125">
        <f>$L31*SISTEM!$C$12</f>
        <v/>
      </c>
      <c r="O31" s="107" t="n"/>
      <c r="P31" s="126" t="n"/>
      <c r="Q31" s="126" t="n"/>
      <c r="R31" s="125">
        <f>MAX(0,$L31-$P31-$Q31)</f>
        <v/>
      </c>
      <c r="S31" s="112">
        <f>IF($B31&gt;=DATE(YEAR(TODAY()),MONTH(TODAY()),1),"AÇIK",IF(COUNTIF(SISTEM!$F$23:$F$50,"KALDI")=0,"KAPANABİLİR","KONTROL GEREKİR"))</f>
        <v/>
      </c>
      <c r="T31" s="112">
        <f>IF(ABS($L31-$M31-$N31)&lt;0.01,IF(AND($O31="Evet",ABS($R31)&lt;0.01),"KAPANDI","AÇIK"),"PAY HATASI")</f>
        <v/>
      </c>
      <c r="U31" s="6" t="n"/>
      <c r="V31" s="6" t="n"/>
    </row>
    <row r="32">
      <c r="A32" s="6" t="n"/>
      <c r="B32" s="119" t="n">
        <v>46784</v>
      </c>
      <c r="C32" s="125">
        <f>SUMPRODUCT(IF(UCRETLER!$F$7:$F$406="",0,UCRETLER!$F$7:$F$406)*IF(UCRETLER!$B$7:$B$406="",0,IF(IF(IF(UCRETLER!$E$7:$E$406="",999999,UCRETLER!$E$7:$E$406)&gt;EOMONTH($B32,0),EOMONTH($B32,0),IF(UCRETLER!$E$7:$E$406="",999999,UCRETLER!$E$7:$E$406))&lt;IF(UCRETLER!$D$7:$D$406="",999999,UCRETLER!$D$7:$D$406),0,INT((IF(IF(UCRETLER!$E$7:$E$406="",999999,UCRETLER!$E$7:$E$406)&gt;EOMONTH($B32,0),EOMONTH($B32,0),IF(UCRETLER!$E$7:$E$406="",999999,UCRETLER!$E$7:$E$406))-IF(UCRETLER!$D$7:$D$406="",999999,UCRETLER!$D$7:$D$406))/7)+1)-IF(IF(IF(UCRETLER!$E$7:$E$406="",999999,UCRETLER!$E$7:$E$406)&gt;$B32-1,$B32-1,IF(UCRETLER!$E$7:$E$406="",999999,UCRETLER!$E$7:$E$406))&lt;IF(UCRETLER!$D$7:$D$406="",999999,UCRETLER!$D$7:$D$406),0,INT((IF(IF(UCRETLER!$E$7:$E$406="",999999,UCRETLER!$E$7:$E$406)&gt;$B32-1,$B32-1,IF(UCRETLER!$E$7:$E$406="",999999,UCRETLER!$E$7:$E$406))-IF(UCRETLER!$D$7:$D$406="",999999,UCRETLER!$D$7:$D$406))/7)+1)))</f>
        <v/>
      </c>
      <c r="D32" s="125">
        <f>SUMIFS(TAHSILAT!$F$7:$F$1506,TAHSILAT!$E$7:$E$1506,"&gt;="&amp;$B32,TAHSILAT!$E$7:$E$1506,"&lt;"&amp;EDATE($B32,1))</f>
        <v/>
      </c>
      <c r="E32" s="125">
        <f>SUMIFS(GELIR_GIDER!$G$7:$G$1206,GELIR_GIDER!$D$7:$D$1206,"Gelir",GELIR_GIDER!$C$7:$C$1206,"&gt;="&amp;$B32,GELIR_GIDER!$C$7:$C$1206,"&lt;"&amp;EDATE($B32,1),GELIR_GIDER!$I$7:$I$1206,"Evet")</f>
        <v/>
      </c>
      <c r="F32" s="125">
        <f>$D32+$E32</f>
        <v/>
      </c>
      <c r="G32" s="125">
        <f>SUMIFS(GELIR_GIDER!$G$7:$G$1206,GELIR_GIDER!$D$7:$D$1206,"Gider",GELIR_GIDER!$C$7:$C$1206,"&gt;="&amp;$B32,GELIR_GIDER!$C$7:$C$1206,"&lt;"&amp;EDATE($B32,1),GELIR_GIDER!$I$7:$I$1206,"Evet")</f>
        <v/>
      </c>
      <c r="H32" s="125">
        <f>$C32+$E32-$G32</f>
        <v/>
      </c>
      <c r="I32" s="125">
        <f>$F32-$G32</f>
        <v/>
      </c>
      <c r="J32" s="122">
        <f>IFERROR($D32/$C32,0)</f>
        <v/>
      </c>
      <c r="K32" s="125">
        <f>SISTEM!$C$13</f>
        <v/>
      </c>
      <c r="L32" s="125">
        <f>MAX(0,$I32-$K32)</f>
        <v/>
      </c>
      <c r="M32" s="125">
        <f>$L32*SISTEM!$C$11</f>
        <v/>
      </c>
      <c r="N32" s="125">
        <f>$L32*SISTEM!$C$12</f>
        <v/>
      </c>
      <c r="O32" s="107" t="n"/>
      <c r="P32" s="126" t="n"/>
      <c r="Q32" s="126" t="n"/>
      <c r="R32" s="125">
        <f>MAX(0,$L32-$P32-$Q32)</f>
        <v/>
      </c>
      <c r="S32" s="112">
        <f>IF($B32&gt;=DATE(YEAR(TODAY()),MONTH(TODAY()),1),"AÇIK",IF(COUNTIF(SISTEM!$F$23:$F$50,"KALDI")=0,"KAPANABİLİR","KONTROL GEREKİR"))</f>
        <v/>
      </c>
      <c r="T32" s="112">
        <f>IF(ABS($L32-$M32-$N32)&lt;0.01,IF(AND($O32="Evet",ABS($R32)&lt;0.01),"KAPANDI","AÇIK"),"PAY HATASI")</f>
        <v/>
      </c>
      <c r="U32" s="6" t="n"/>
      <c r="V32" s="6" t="n"/>
    </row>
    <row r="33">
      <c r="A33" s="6" t="n"/>
      <c r="B33" s="119" t="n">
        <v>46813</v>
      </c>
      <c r="C33" s="125">
        <f>SUMPRODUCT(IF(UCRETLER!$F$7:$F$406="",0,UCRETLER!$F$7:$F$406)*IF(UCRETLER!$B$7:$B$406="",0,IF(IF(IF(UCRETLER!$E$7:$E$406="",999999,UCRETLER!$E$7:$E$406)&gt;EOMONTH($B33,0),EOMONTH($B33,0),IF(UCRETLER!$E$7:$E$406="",999999,UCRETLER!$E$7:$E$406))&lt;IF(UCRETLER!$D$7:$D$406="",999999,UCRETLER!$D$7:$D$406),0,INT((IF(IF(UCRETLER!$E$7:$E$406="",999999,UCRETLER!$E$7:$E$406)&gt;EOMONTH($B33,0),EOMONTH($B33,0),IF(UCRETLER!$E$7:$E$406="",999999,UCRETLER!$E$7:$E$406))-IF(UCRETLER!$D$7:$D$406="",999999,UCRETLER!$D$7:$D$406))/7)+1)-IF(IF(IF(UCRETLER!$E$7:$E$406="",999999,UCRETLER!$E$7:$E$406)&gt;$B33-1,$B33-1,IF(UCRETLER!$E$7:$E$406="",999999,UCRETLER!$E$7:$E$406))&lt;IF(UCRETLER!$D$7:$D$406="",999999,UCRETLER!$D$7:$D$406),0,INT((IF(IF(UCRETLER!$E$7:$E$406="",999999,UCRETLER!$E$7:$E$406)&gt;$B33-1,$B33-1,IF(UCRETLER!$E$7:$E$406="",999999,UCRETLER!$E$7:$E$406))-IF(UCRETLER!$D$7:$D$406="",999999,UCRETLER!$D$7:$D$406))/7)+1)))</f>
        <v/>
      </c>
      <c r="D33" s="125">
        <f>SUMIFS(TAHSILAT!$F$7:$F$1506,TAHSILAT!$E$7:$E$1506,"&gt;="&amp;$B33,TAHSILAT!$E$7:$E$1506,"&lt;"&amp;EDATE($B33,1))</f>
        <v/>
      </c>
      <c r="E33" s="125">
        <f>SUMIFS(GELIR_GIDER!$G$7:$G$1206,GELIR_GIDER!$D$7:$D$1206,"Gelir",GELIR_GIDER!$C$7:$C$1206,"&gt;="&amp;$B33,GELIR_GIDER!$C$7:$C$1206,"&lt;"&amp;EDATE($B33,1),GELIR_GIDER!$I$7:$I$1206,"Evet")</f>
        <v/>
      </c>
      <c r="F33" s="125">
        <f>$D33+$E33</f>
        <v/>
      </c>
      <c r="G33" s="125">
        <f>SUMIFS(GELIR_GIDER!$G$7:$G$1206,GELIR_GIDER!$D$7:$D$1206,"Gider",GELIR_GIDER!$C$7:$C$1206,"&gt;="&amp;$B33,GELIR_GIDER!$C$7:$C$1206,"&lt;"&amp;EDATE($B33,1),GELIR_GIDER!$I$7:$I$1206,"Evet")</f>
        <v/>
      </c>
      <c r="H33" s="125">
        <f>$C33+$E33-$G33</f>
        <v/>
      </c>
      <c r="I33" s="125">
        <f>$F33-$G33</f>
        <v/>
      </c>
      <c r="J33" s="122">
        <f>IFERROR($D33/$C33,0)</f>
        <v/>
      </c>
      <c r="K33" s="125">
        <f>SISTEM!$C$13</f>
        <v/>
      </c>
      <c r="L33" s="125">
        <f>MAX(0,$I33-$K33)</f>
        <v/>
      </c>
      <c r="M33" s="125">
        <f>$L33*SISTEM!$C$11</f>
        <v/>
      </c>
      <c r="N33" s="125">
        <f>$L33*SISTEM!$C$12</f>
        <v/>
      </c>
      <c r="O33" s="107" t="n"/>
      <c r="P33" s="126" t="n"/>
      <c r="Q33" s="126" t="n"/>
      <c r="R33" s="125">
        <f>MAX(0,$L33-$P33-$Q33)</f>
        <v/>
      </c>
      <c r="S33" s="112">
        <f>IF($B33&gt;=DATE(YEAR(TODAY()),MONTH(TODAY()),1),"AÇIK",IF(COUNTIF(SISTEM!$F$23:$F$50,"KALDI")=0,"KAPANABİLİR","KONTROL GEREKİR"))</f>
        <v/>
      </c>
      <c r="T33" s="112">
        <f>IF(ABS($L33-$M33-$N33)&lt;0.01,IF(AND($O33="Evet",ABS($R33)&lt;0.01),"KAPANDI","AÇIK"),"PAY HATASI")</f>
        <v/>
      </c>
      <c r="U33" s="6" t="n"/>
      <c r="V33" s="6" t="n"/>
    </row>
    <row r="34">
      <c r="A34" s="6" t="n"/>
      <c r="B34" s="119" t="n">
        <v>46844</v>
      </c>
      <c r="C34" s="125">
        <f>SUMPRODUCT(IF(UCRETLER!$F$7:$F$406="",0,UCRETLER!$F$7:$F$406)*IF(UCRETLER!$B$7:$B$406="",0,IF(IF(IF(UCRETLER!$E$7:$E$406="",999999,UCRETLER!$E$7:$E$406)&gt;EOMONTH($B34,0),EOMONTH($B34,0),IF(UCRETLER!$E$7:$E$406="",999999,UCRETLER!$E$7:$E$406))&lt;IF(UCRETLER!$D$7:$D$406="",999999,UCRETLER!$D$7:$D$406),0,INT((IF(IF(UCRETLER!$E$7:$E$406="",999999,UCRETLER!$E$7:$E$406)&gt;EOMONTH($B34,0),EOMONTH($B34,0),IF(UCRETLER!$E$7:$E$406="",999999,UCRETLER!$E$7:$E$406))-IF(UCRETLER!$D$7:$D$406="",999999,UCRETLER!$D$7:$D$406))/7)+1)-IF(IF(IF(UCRETLER!$E$7:$E$406="",999999,UCRETLER!$E$7:$E$406)&gt;$B34-1,$B34-1,IF(UCRETLER!$E$7:$E$406="",999999,UCRETLER!$E$7:$E$406))&lt;IF(UCRETLER!$D$7:$D$406="",999999,UCRETLER!$D$7:$D$406),0,INT((IF(IF(UCRETLER!$E$7:$E$406="",999999,UCRETLER!$E$7:$E$406)&gt;$B34-1,$B34-1,IF(UCRETLER!$E$7:$E$406="",999999,UCRETLER!$E$7:$E$406))-IF(UCRETLER!$D$7:$D$406="",999999,UCRETLER!$D$7:$D$406))/7)+1)))</f>
        <v/>
      </c>
      <c r="D34" s="125">
        <f>SUMIFS(TAHSILAT!$F$7:$F$1506,TAHSILAT!$E$7:$E$1506,"&gt;="&amp;$B34,TAHSILAT!$E$7:$E$1506,"&lt;"&amp;EDATE($B34,1))</f>
        <v/>
      </c>
      <c r="E34" s="125">
        <f>SUMIFS(GELIR_GIDER!$G$7:$G$1206,GELIR_GIDER!$D$7:$D$1206,"Gelir",GELIR_GIDER!$C$7:$C$1206,"&gt;="&amp;$B34,GELIR_GIDER!$C$7:$C$1206,"&lt;"&amp;EDATE($B34,1),GELIR_GIDER!$I$7:$I$1206,"Evet")</f>
        <v/>
      </c>
      <c r="F34" s="125">
        <f>$D34+$E34</f>
        <v/>
      </c>
      <c r="G34" s="125">
        <f>SUMIFS(GELIR_GIDER!$G$7:$G$1206,GELIR_GIDER!$D$7:$D$1206,"Gider",GELIR_GIDER!$C$7:$C$1206,"&gt;="&amp;$B34,GELIR_GIDER!$C$7:$C$1206,"&lt;"&amp;EDATE($B34,1),GELIR_GIDER!$I$7:$I$1206,"Evet")</f>
        <v/>
      </c>
      <c r="H34" s="125">
        <f>$C34+$E34-$G34</f>
        <v/>
      </c>
      <c r="I34" s="125">
        <f>$F34-$G34</f>
        <v/>
      </c>
      <c r="J34" s="122">
        <f>IFERROR($D34/$C34,0)</f>
        <v/>
      </c>
      <c r="K34" s="125">
        <f>SISTEM!$C$13</f>
        <v/>
      </c>
      <c r="L34" s="125">
        <f>MAX(0,$I34-$K34)</f>
        <v/>
      </c>
      <c r="M34" s="125">
        <f>$L34*SISTEM!$C$11</f>
        <v/>
      </c>
      <c r="N34" s="125">
        <f>$L34*SISTEM!$C$12</f>
        <v/>
      </c>
      <c r="O34" s="107" t="n"/>
      <c r="P34" s="126" t="n"/>
      <c r="Q34" s="126" t="n"/>
      <c r="R34" s="125">
        <f>MAX(0,$L34-$P34-$Q34)</f>
        <v/>
      </c>
      <c r="S34" s="112">
        <f>IF($B34&gt;=DATE(YEAR(TODAY()),MONTH(TODAY()),1),"AÇIK",IF(COUNTIF(SISTEM!$F$23:$F$50,"KALDI")=0,"KAPANABİLİR","KONTROL GEREKİR"))</f>
        <v/>
      </c>
      <c r="T34" s="112">
        <f>IF(ABS($L34-$M34-$N34)&lt;0.01,IF(AND($O34="Evet",ABS($R34)&lt;0.01),"KAPANDI","AÇIK"),"PAY HATASI")</f>
        <v/>
      </c>
      <c r="U34" s="6" t="n"/>
      <c r="V34" s="6" t="n"/>
    </row>
    <row r="35">
      <c r="A35" s="6" t="n"/>
      <c r="B35" s="119" t="n">
        <v>46874</v>
      </c>
      <c r="C35" s="125">
        <f>SUMPRODUCT(IF(UCRETLER!$F$7:$F$406="",0,UCRETLER!$F$7:$F$406)*IF(UCRETLER!$B$7:$B$406="",0,IF(IF(IF(UCRETLER!$E$7:$E$406="",999999,UCRETLER!$E$7:$E$406)&gt;EOMONTH($B35,0),EOMONTH($B35,0),IF(UCRETLER!$E$7:$E$406="",999999,UCRETLER!$E$7:$E$406))&lt;IF(UCRETLER!$D$7:$D$406="",999999,UCRETLER!$D$7:$D$406),0,INT((IF(IF(UCRETLER!$E$7:$E$406="",999999,UCRETLER!$E$7:$E$406)&gt;EOMONTH($B35,0),EOMONTH($B35,0),IF(UCRETLER!$E$7:$E$406="",999999,UCRETLER!$E$7:$E$406))-IF(UCRETLER!$D$7:$D$406="",999999,UCRETLER!$D$7:$D$406))/7)+1)-IF(IF(IF(UCRETLER!$E$7:$E$406="",999999,UCRETLER!$E$7:$E$406)&gt;$B35-1,$B35-1,IF(UCRETLER!$E$7:$E$406="",999999,UCRETLER!$E$7:$E$406))&lt;IF(UCRETLER!$D$7:$D$406="",999999,UCRETLER!$D$7:$D$406),0,INT((IF(IF(UCRETLER!$E$7:$E$406="",999999,UCRETLER!$E$7:$E$406)&gt;$B35-1,$B35-1,IF(UCRETLER!$E$7:$E$406="",999999,UCRETLER!$E$7:$E$406))-IF(UCRETLER!$D$7:$D$406="",999999,UCRETLER!$D$7:$D$406))/7)+1)))</f>
        <v/>
      </c>
      <c r="D35" s="125">
        <f>SUMIFS(TAHSILAT!$F$7:$F$1506,TAHSILAT!$E$7:$E$1506,"&gt;="&amp;$B35,TAHSILAT!$E$7:$E$1506,"&lt;"&amp;EDATE($B35,1))</f>
        <v/>
      </c>
      <c r="E35" s="125">
        <f>SUMIFS(GELIR_GIDER!$G$7:$G$1206,GELIR_GIDER!$D$7:$D$1206,"Gelir",GELIR_GIDER!$C$7:$C$1206,"&gt;="&amp;$B35,GELIR_GIDER!$C$7:$C$1206,"&lt;"&amp;EDATE($B35,1),GELIR_GIDER!$I$7:$I$1206,"Evet")</f>
        <v/>
      </c>
      <c r="F35" s="125">
        <f>$D35+$E35</f>
        <v/>
      </c>
      <c r="G35" s="125">
        <f>SUMIFS(GELIR_GIDER!$G$7:$G$1206,GELIR_GIDER!$D$7:$D$1206,"Gider",GELIR_GIDER!$C$7:$C$1206,"&gt;="&amp;$B35,GELIR_GIDER!$C$7:$C$1206,"&lt;"&amp;EDATE($B35,1),GELIR_GIDER!$I$7:$I$1206,"Evet")</f>
        <v/>
      </c>
      <c r="H35" s="125">
        <f>$C35+$E35-$G35</f>
        <v/>
      </c>
      <c r="I35" s="125">
        <f>$F35-$G35</f>
        <v/>
      </c>
      <c r="J35" s="122">
        <f>IFERROR($D35/$C35,0)</f>
        <v/>
      </c>
      <c r="K35" s="125">
        <f>SISTEM!$C$13</f>
        <v/>
      </c>
      <c r="L35" s="125">
        <f>MAX(0,$I35-$K35)</f>
        <v/>
      </c>
      <c r="M35" s="125">
        <f>$L35*SISTEM!$C$11</f>
        <v/>
      </c>
      <c r="N35" s="125">
        <f>$L35*SISTEM!$C$12</f>
        <v/>
      </c>
      <c r="O35" s="107" t="n"/>
      <c r="P35" s="126" t="n"/>
      <c r="Q35" s="126" t="n"/>
      <c r="R35" s="125">
        <f>MAX(0,$L35-$P35-$Q35)</f>
        <v/>
      </c>
      <c r="S35" s="112">
        <f>IF($B35&gt;=DATE(YEAR(TODAY()),MONTH(TODAY()),1),"AÇIK",IF(COUNTIF(SISTEM!$F$23:$F$50,"KALDI")=0,"KAPANABİLİR","KONTROL GEREKİR"))</f>
        <v/>
      </c>
      <c r="T35" s="112">
        <f>IF(ABS($L35-$M35-$N35)&lt;0.01,IF(AND($O35="Evet",ABS($R35)&lt;0.01),"KAPANDI","AÇIK"),"PAY HATASI")</f>
        <v/>
      </c>
      <c r="U35" s="6" t="n"/>
      <c r="V35" s="6" t="n"/>
    </row>
    <row r="36">
      <c r="A36" s="6" t="n"/>
      <c r="B36" s="119" t="n">
        <v>46905</v>
      </c>
      <c r="C36" s="125">
        <f>SUMPRODUCT(IF(UCRETLER!$F$7:$F$406="",0,UCRETLER!$F$7:$F$406)*IF(UCRETLER!$B$7:$B$406="",0,IF(IF(IF(UCRETLER!$E$7:$E$406="",999999,UCRETLER!$E$7:$E$406)&gt;EOMONTH($B36,0),EOMONTH($B36,0),IF(UCRETLER!$E$7:$E$406="",999999,UCRETLER!$E$7:$E$406))&lt;IF(UCRETLER!$D$7:$D$406="",999999,UCRETLER!$D$7:$D$406),0,INT((IF(IF(UCRETLER!$E$7:$E$406="",999999,UCRETLER!$E$7:$E$406)&gt;EOMONTH($B36,0),EOMONTH($B36,0),IF(UCRETLER!$E$7:$E$406="",999999,UCRETLER!$E$7:$E$406))-IF(UCRETLER!$D$7:$D$406="",999999,UCRETLER!$D$7:$D$406))/7)+1)-IF(IF(IF(UCRETLER!$E$7:$E$406="",999999,UCRETLER!$E$7:$E$406)&gt;$B36-1,$B36-1,IF(UCRETLER!$E$7:$E$406="",999999,UCRETLER!$E$7:$E$406))&lt;IF(UCRETLER!$D$7:$D$406="",999999,UCRETLER!$D$7:$D$406),0,INT((IF(IF(UCRETLER!$E$7:$E$406="",999999,UCRETLER!$E$7:$E$406)&gt;$B36-1,$B36-1,IF(UCRETLER!$E$7:$E$406="",999999,UCRETLER!$E$7:$E$406))-IF(UCRETLER!$D$7:$D$406="",999999,UCRETLER!$D$7:$D$406))/7)+1)))</f>
        <v/>
      </c>
      <c r="D36" s="125">
        <f>SUMIFS(TAHSILAT!$F$7:$F$1506,TAHSILAT!$E$7:$E$1506,"&gt;="&amp;$B36,TAHSILAT!$E$7:$E$1506,"&lt;"&amp;EDATE($B36,1))</f>
        <v/>
      </c>
      <c r="E36" s="125">
        <f>SUMIFS(GELIR_GIDER!$G$7:$G$1206,GELIR_GIDER!$D$7:$D$1206,"Gelir",GELIR_GIDER!$C$7:$C$1206,"&gt;="&amp;$B36,GELIR_GIDER!$C$7:$C$1206,"&lt;"&amp;EDATE($B36,1),GELIR_GIDER!$I$7:$I$1206,"Evet")</f>
        <v/>
      </c>
      <c r="F36" s="125">
        <f>$D36+$E36</f>
        <v/>
      </c>
      <c r="G36" s="125">
        <f>SUMIFS(GELIR_GIDER!$G$7:$G$1206,GELIR_GIDER!$D$7:$D$1206,"Gider",GELIR_GIDER!$C$7:$C$1206,"&gt;="&amp;$B36,GELIR_GIDER!$C$7:$C$1206,"&lt;"&amp;EDATE($B36,1),GELIR_GIDER!$I$7:$I$1206,"Evet")</f>
        <v/>
      </c>
      <c r="H36" s="125">
        <f>$C36+$E36-$G36</f>
        <v/>
      </c>
      <c r="I36" s="125">
        <f>$F36-$G36</f>
        <v/>
      </c>
      <c r="J36" s="122">
        <f>IFERROR($D36/$C36,0)</f>
        <v/>
      </c>
      <c r="K36" s="125">
        <f>SISTEM!$C$13</f>
        <v/>
      </c>
      <c r="L36" s="125">
        <f>MAX(0,$I36-$K36)</f>
        <v/>
      </c>
      <c r="M36" s="125">
        <f>$L36*SISTEM!$C$11</f>
        <v/>
      </c>
      <c r="N36" s="125">
        <f>$L36*SISTEM!$C$12</f>
        <v/>
      </c>
      <c r="O36" s="107" t="n"/>
      <c r="P36" s="126" t="n"/>
      <c r="Q36" s="126" t="n"/>
      <c r="R36" s="125">
        <f>MAX(0,$L36-$P36-$Q36)</f>
        <v/>
      </c>
      <c r="S36" s="112">
        <f>IF($B36&gt;=DATE(YEAR(TODAY()),MONTH(TODAY()),1),"AÇIK",IF(COUNTIF(SISTEM!$F$23:$F$50,"KALDI")=0,"KAPANABİLİR","KONTROL GEREKİR"))</f>
        <v/>
      </c>
      <c r="T36" s="112">
        <f>IF(ABS($L36-$M36-$N36)&lt;0.01,IF(AND($O36="Evet",ABS($R36)&lt;0.01),"KAPANDI","AÇIK"),"PAY HATASI")</f>
        <v/>
      </c>
      <c r="U36" s="6" t="n"/>
      <c r="V36" s="6" t="n"/>
    </row>
    <row r="37">
      <c r="A37" s="6" t="n"/>
      <c r="B37" s="119" t="n">
        <v>46935</v>
      </c>
      <c r="C37" s="125">
        <f>SUMPRODUCT(IF(UCRETLER!$F$7:$F$406="",0,UCRETLER!$F$7:$F$406)*IF(UCRETLER!$B$7:$B$406="",0,IF(IF(IF(UCRETLER!$E$7:$E$406="",999999,UCRETLER!$E$7:$E$406)&gt;EOMONTH($B37,0),EOMONTH($B37,0),IF(UCRETLER!$E$7:$E$406="",999999,UCRETLER!$E$7:$E$406))&lt;IF(UCRETLER!$D$7:$D$406="",999999,UCRETLER!$D$7:$D$406),0,INT((IF(IF(UCRETLER!$E$7:$E$406="",999999,UCRETLER!$E$7:$E$406)&gt;EOMONTH($B37,0),EOMONTH($B37,0),IF(UCRETLER!$E$7:$E$406="",999999,UCRETLER!$E$7:$E$406))-IF(UCRETLER!$D$7:$D$406="",999999,UCRETLER!$D$7:$D$406))/7)+1)-IF(IF(IF(UCRETLER!$E$7:$E$406="",999999,UCRETLER!$E$7:$E$406)&gt;$B37-1,$B37-1,IF(UCRETLER!$E$7:$E$406="",999999,UCRETLER!$E$7:$E$406))&lt;IF(UCRETLER!$D$7:$D$406="",999999,UCRETLER!$D$7:$D$406),0,INT((IF(IF(UCRETLER!$E$7:$E$406="",999999,UCRETLER!$E$7:$E$406)&gt;$B37-1,$B37-1,IF(UCRETLER!$E$7:$E$406="",999999,UCRETLER!$E$7:$E$406))-IF(UCRETLER!$D$7:$D$406="",999999,UCRETLER!$D$7:$D$406))/7)+1)))</f>
        <v/>
      </c>
      <c r="D37" s="125">
        <f>SUMIFS(TAHSILAT!$F$7:$F$1506,TAHSILAT!$E$7:$E$1506,"&gt;="&amp;$B37,TAHSILAT!$E$7:$E$1506,"&lt;"&amp;EDATE($B37,1))</f>
        <v/>
      </c>
      <c r="E37" s="125">
        <f>SUMIFS(GELIR_GIDER!$G$7:$G$1206,GELIR_GIDER!$D$7:$D$1206,"Gelir",GELIR_GIDER!$C$7:$C$1206,"&gt;="&amp;$B37,GELIR_GIDER!$C$7:$C$1206,"&lt;"&amp;EDATE($B37,1),GELIR_GIDER!$I$7:$I$1206,"Evet")</f>
        <v/>
      </c>
      <c r="F37" s="125">
        <f>$D37+$E37</f>
        <v/>
      </c>
      <c r="G37" s="125">
        <f>SUMIFS(GELIR_GIDER!$G$7:$G$1206,GELIR_GIDER!$D$7:$D$1206,"Gider",GELIR_GIDER!$C$7:$C$1206,"&gt;="&amp;$B37,GELIR_GIDER!$C$7:$C$1206,"&lt;"&amp;EDATE($B37,1),GELIR_GIDER!$I$7:$I$1206,"Evet")</f>
        <v/>
      </c>
      <c r="H37" s="125">
        <f>$C37+$E37-$G37</f>
        <v/>
      </c>
      <c r="I37" s="125">
        <f>$F37-$G37</f>
        <v/>
      </c>
      <c r="J37" s="122">
        <f>IFERROR($D37/$C37,0)</f>
        <v/>
      </c>
      <c r="K37" s="125">
        <f>SISTEM!$C$13</f>
        <v/>
      </c>
      <c r="L37" s="125">
        <f>MAX(0,$I37-$K37)</f>
        <v/>
      </c>
      <c r="M37" s="125">
        <f>$L37*SISTEM!$C$11</f>
        <v/>
      </c>
      <c r="N37" s="125">
        <f>$L37*SISTEM!$C$12</f>
        <v/>
      </c>
      <c r="O37" s="107" t="n"/>
      <c r="P37" s="126" t="n"/>
      <c r="Q37" s="126" t="n"/>
      <c r="R37" s="125">
        <f>MAX(0,$L37-$P37-$Q37)</f>
        <v/>
      </c>
      <c r="S37" s="112">
        <f>IF($B37&gt;=DATE(YEAR(TODAY()),MONTH(TODAY()),1),"AÇIK",IF(COUNTIF(SISTEM!$F$23:$F$50,"KALDI")=0,"KAPANABİLİR","KONTROL GEREKİR"))</f>
        <v/>
      </c>
      <c r="T37" s="112">
        <f>IF(ABS($L37-$M37-$N37)&lt;0.01,IF(AND($O37="Evet",ABS($R37)&lt;0.01),"KAPANDI","AÇIK"),"PAY HATASI")</f>
        <v/>
      </c>
      <c r="U37" s="6" t="n"/>
      <c r="V37" s="6" t="n"/>
    </row>
    <row r="38">
      <c r="A38" s="6" t="n"/>
      <c r="B38" s="119" t="n">
        <v>46966</v>
      </c>
      <c r="C38" s="125">
        <f>SUMPRODUCT(IF(UCRETLER!$F$7:$F$406="",0,UCRETLER!$F$7:$F$406)*IF(UCRETLER!$B$7:$B$406="",0,IF(IF(IF(UCRETLER!$E$7:$E$406="",999999,UCRETLER!$E$7:$E$406)&gt;EOMONTH($B38,0),EOMONTH($B38,0),IF(UCRETLER!$E$7:$E$406="",999999,UCRETLER!$E$7:$E$406))&lt;IF(UCRETLER!$D$7:$D$406="",999999,UCRETLER!$D$7:$D$406),0,INT((IF(IF(UCRETLER!$E$7:$E$406="",999999,UCRETLER!$E$7:$E$406)&gt;EOMONTH($B38,0),EOMONTH($B38,0),IF(UCRETLER!$E$7:$E$406="",999999,UCRETLER!$E$7:$E$406))-IF(UCRETLER!$D$7:$D$406="",999999,UCRETLER!$D$7:$D$406))/7)+1)-IF(IF(IF(UCRETLER!$E$7:$E$406="",999999,UCRETLER!$E$7:$E$406)&gt;$B38-1,$B38-1,IF(UCRETLER!$E$7:$E$406="",999999,UCRETLER!$E$7:$E$406))&lt;IF(UCRETLER!$D$7:$D$406="",999999,UCRETLER!$D$7:$D$406),0,INT((IF(IF(UCRETLER!$E$7:$E$406="",999999,UCRETLER!$E$7:$E$406)&gt;$B38-1,$B38-1,IF(UCRETLER!$E$7:$E$406="",999999,UCRETLER!$E$7:$E$406))-IF(UCRETLER!$D$7:$D$406="",999999,UCRETLER!$D$7:$D$406))/7)+1)))</f>
        <v/>
      </c>
      <c r="D38" s="125">
        <f>SUMIFS(TAHSILAT!$F$7:$F$1506,TAHSILAT!$E$7:$E$1506,"&gt;="&amp;$B38,TAHSILAT!$E$7:$E$1506,"&lt;"&amp;EDATE($B38,1))</f>
        <v/>
      </c>
      <c r="E38" s="125">
        <f>SUMIFS(GELIR_GIDER!$G$7:$G$1206,GELIR_GIDER!$D$7:$D$1206,"Gelir",GELIR_GIDER!$C$7:$C$1206,"&gt;="&amp;$B38,GELIR_GIDER!$C$7:$C$1206,"&lt;"&amp;EDATE($B38,1),GELIR_GIDER!$I$7:$I$1206,"Evet")</f>
        <v/>
      </c>
      <c r="F38" s="125">
        <f>$D38+$E38</f>
        <v/>
      </c>
      <c r="G38" s="125">
        <f>SUMIFS(GELIR_GIDER!$G$7:$G$1206,GELIR_GIDER!$D$7:$D$1206,"Gider",GELIR_GIDER!$C$7:$C$1206,"&gt;="&amp;$B38,GELIR_GIDER!$C$7:$C$1206,"&lt;"&amp;EDATE($B38,1),GELIR_GIDER!$I$7:$I$1206,"Evet")</f>
        <v/>
      </c>
      <c r="H38" s="125">
        <f>$C38+$E38-$G38</f>
        <v/>
      </c>
      <c r="I38" s="125">
        <f>$F38-$G38</f>
        <v/>
      </c>
      <c r="J38" s="122">
        <f>IFERROR($D38/$C38,0)</f>
        <v/>
      </c>
      <c r="K38" s="125">
        <f>SISTEM!$C$13</f>
        <v/>
      </c>
      <c r="L38" s="125">
        <f>MAX(0,$I38-$K38)</f>
        <v/>
      </c>
      <c r="M38" s="125">
        <f>$L38*SISTEM!$C$11</f>
        <v/>
      </c>
      <c r="N38" s="125">
        <f>$L38*SISTEM!$C$12</f>
        <v/>
      </c>
      <c r="O38" s="107" t="n"/>
      <c r="P38" s="126" t="n"/>
      <c r="Q38" s="126" t="n"/>
      <c r="R38" s="125">
        <f>MAX(0,$L38-$P38-$Q38)</f>
        <v/>
      </c>
      <c r="S38" s="112">
        <f>IF($B38&gt;=DATE(YEAR(TODAY()),MONTH(TODAY()),1),"AÇIK",IF(COUNTIF(SISTEM!$F$23:$F$50,"KALDI")=0,"KAPANABİLİR","KONTROL GEREKİR"))</f>
        <v/>
      </c>
      <c r="T38" s="112">
        <f>IF(ABS($L38-$M38-$N38)&lt;0.01,IF(AND($O38="Evet",ABS($R38)&lt;0.01),"KAPANDI","AÇIK"),"PAY HATASI")</f>
        <v/>
      </c>
      <c r="U38" s="6" t="n"/>
      <c r="V38" s="6" t="n"/>
    </row>
    <row r="39">
      <c r="A39" s="6" t="n"/>
      <c r="B39" s="119" t="n">
        <v>46997</v>
      </c>
      <c r="C39" s="125">
        <f>SUMPRODUCT(IF(UCRETLER!$F$7:$F$406="",0,UCRETLER!$F$7:$F$406)*IF(UCRETLER!$B$7:$B$406="",0,IF(IF(IF(UCRETLER!$E$7:$E$406="",999999,UCRETLER!$E$7:$E$406)&gt;EOMONTH($B39,0),EOMONTH($B39,0),IF(UCRETLER!$E$7:$E$406="",999999,UCRETLER!$E$7:$E$406))&lt;IF(UCRETLER!$D$7:$D$406="",999999,UCRETLER!$D$7:$D$406),0,INT((IF(IF(UCRETLER!$E$7:$E$406="",999999,UCRETLER!$E$7:$E$406)&gt;EOMONTH($B39,0),EOMONTH($B39,0),IF(UCRETLER!$E$7:$E$406="",999999,UCRETLER!$E$7:$E$406))-IF(UCRETLER!$D$7:$D$406="",999999,UCRETLER!$D$7:$D$406))/7)+1)-IF(IF(IF(UCRETLER!$E$7:$E$406="",999999,UCRETLER!$E$7:$E$406)&gt;$B39-1,$B39-1,IF(UCRETLER!$E$7:$E$406="",999999,UCRETLER!$E$7:$E$406))&lt;IF(UCRETLER!$D$7:$D$406="",999999,UCRETLER!$D$7:$D$406),0,INT((IF(IF(UCRETLER!$E$7:$E$406="",999999,UCRETLER!$E$7:$E$406)&gt;$B39-1,$B39-1,IF(UCRETLER!$E$7:$E$406="",999999,UCRETLER!$E$7:$E$406))-IF(UCRETLER!$D$7:$D$406="",999999,UCRETLER!$D$7:$D$406))/7)+1)))</f>
        <v/>
      </c>
      <c r="D39" s="125">
        <f>SUMIFS(TAHSILAT!$F$7:$F$1506,TAHSILAT!$E$7:$E$1506,"&gt;="&amp;$B39,TAHSILAT!$E$7:$E$1506,"&lt;"&amp;EDATE($B39,1))</f>
        <v/>
      </c>
      <c r="E39" s="125">
        <f>SUMIFS(GELIR_GIDER!$G$7:$G$1206,GELIR_GIDER!$D$7:$D$1206,"Gelir",GELIR_GIDER!$C$7:$C$1206,"&gt;="&amp;$B39,GELIR_GIDER!$C$7:$C$1206,"&lt;"&amp;EDATE($B39,1),GELIR_GIDER!$I$7:$I$1206,"Evet")</f>
        <v/>
      </c>
      <c r="F39" s="125">
        <f>$D39+$E39</f>
        <v/>
      </c>
      <c r="G39" s="125">
        <f>SUMIFS(GELIR_GIDER!$G$7:$G$1206,GELIR_GIDER!$D$7:$D$1206,"Gider",GELIR_GIDER!$C$7:$C$1206,"&gt;="&amp;$B39,GELIR_GIDER!$C$7:$C$1206,"&lt;"&amp;EDATE($B39,1),GELIR_GIDER!$I$7:$I$1206,"Evet")</f>
        <v/>
      </c>
      <c r="H39" s="125">
        <f>$C39+$E39-$G39</f>
        <v/>
      </c>
      <c r="I39" s="125">
        <f>$F39-$G39</f>
        <v/>
      </c>
      <c r="J39" s="122">
        <f>IFERROR($D39/$C39,0)</f>
        <v/>
      </c>
      <c r="K39" s="125">
        <f>SISTEM!$C$13</f>
        <v/>
      </c>
      <c r="L39" s="125">
        <f>MAX(0,$I39-$K39)</f>
        <v/>
      </c>
      <c r="M39" s="125">
        <f>$L39*SISTEM!$C$11</f>
        <v/>
      </c>
      <c r="N39" s="125">
        <f>$L39*SISTEM!$C$12</f>
        <v/>
      </c>
      <c r="O39" s="107" t="n"/>
      <c r="P39" s="126" t="n"/>
      <c r="Q39" s="126" t="n"/>
      <c r="R39" s="125">
        <f>MAX(0,$L39-$P39-$Q39)</f>
        <v/>
      </c>
      <c r="S39" s="112">
        <f>IF($B39&gt;=DATE(YEAR(TODAY()),MONTH(TODAY()),1),"AÇIK",IF(COUNTIF(SISTEM!$F$23:$F$50,"KALDI")=0,"KAPANABİLİR","KONTROL GEREKİR"))</f>
        <v/>
      </c>
      <c r="T39" s="112">
        <f>IF(ABS($L39-$M39-$N39)&lt;0.01,IF(AND($O39="Evet",ABS($R39)&lt;0.01),"KAPANDI","AÇIK"),"PAY HATASI")</f>
        <v/>
      </c>
      <c r="U39" s="6" t="n"/>
      <c r="V39" s="6" t="n"/>
    </row>
    <row r="40">
      <c r="A40" s="6" t="n"/>
      <c r="B40" s="119" t="n">
        <v>47027</v>
      </c>
      <c r="C40" s="125">
        <f>SUMPRODUCT(IF(UCRETLER!$F$7:$F$406="",0,UCRETLER!$F$7:$F$406)*IF(UCRETLER!$B$7:$B$406="",0,IF(IF(IF(UCRETLER!$E$7:$E$406="",999999,UCRETLER!$E$7:$E$406)&gt;EOMONTH($B40,0),EOMONTH($B40,0),IF(UCRETLER!$E$7:$E$406="",999999,UCRETLER!$E$7:$E$406))&lt;IF(UCRETLER!$D$7:$D$406="",999999,UCRETLER!$D$7:$D$406),0,INT((IF(IF(UCRETLER!$E$7:$E$406="",999999,UCRETLER!$E$7:$E$406)&gt;EOMONTH($B40,0),EOMONTH($B40,0),IF(UCRETLER!$E$7:$E$406="",999999,UCRETLER!$E$7:$E$406))-IF(UCRETLER!$D$7:$D$406="",999999,UCRETLER!$D$7:$D$406))/7)+1)-IF(IF(IF(UCRETLER!$E$7:$E$406="",999999,UCRETLER!$E$7:$E$406)&gt;$B40-1,$B40-1,IF(UCRETLER!$E$7:$E$406="",999999,UCRETLER!$E$7:$E$406))&lt;IF(UCRETLER!$D$7:$D$406="",999999,UCRETLER!$D$7:$D$406),0,INT((IF(IF(UCRETLER!$E$7:$E$406="",999999,UCRETLER!$E$7:$E$406)&gt;$B40-1,$B40-1,IF(UCRETLER!$E$7:$E$406="",999999,UCRETLER!$E$7:$E$406))-IF(UCRETLER!$D$7:$D$406="",999999,UCRETLER!$D$7:$D$406))/7)+1)))</f>
        <v/>
      </c>
      <c r="D40" s="125">
        <f>SUMIFS(TAHSILAT!$F$7:$F$1506,TAHSILAT!$E$7:$E$1506,"&gt;="&amp;$B40,TAHSILAT!$E$7:$E$1506,"&lt;"&amp;EDATE($B40,1))</f>
        <v/>
      </c>
      <c r="E40" s="125">
        <f>SUMIFS(GELIR_GIDER!$G$7:$G$1206,GELIR_GIDER!$D$7:$D$1206,"Gelir",GELIR_GIDER!$C$7:$C$1206,"&gt;="&amp;$B40,GELIR_GIDER!$C$7:$C$1206,"&lt;"&amp;EDATE($B40,1),GELIR_GIDER!$I$7:$I$1206,"Evet")</f>
        <v/>
      </c>
      <c r="F40" s="125">
        <f>$D40+$E40</f>
        <v/>
      </c>
      <c r="G40" s="125">
        <f>SUMIFS(GELIR_GIDER!$G$7:$G$1206,GELIR_GIDER!$D$7:$D$1206,"Gider",GELIR_GIDER!$C$7:$C$1206,"&gt;="&amp;$B40,GELIR_GIDER!$C$7:$C$1206,"&lt;"&amp;EDATE($B40,1),GELIR_GIDER!$I$7:$I$1206,"Evet")</f>
        <v/>
      </c>
      <c r="H40" s="125">
        <f>$C40+$E40-$G40</f>
        <v/>
      </c>
      <c r="I40" s="125">
        <f>$F40-$G40</f>
        <v/>
      </c>
      <c r="J40" s="122">
        <f>IFERROR($D40/$C40,0)</f>
        <v/>
      </c>
      <c r="K40" s="125">
        <f>SISTEM!$C$13</f>
        <v/>
      </c>
      <c r="L40" s="125">
        <f>MAX(0,$I40-$K40)</f>
        <v/>
      </c>
      <c r="M40" s="125">
        <f>$L40*SISTEM!$C$11</f>
        <v/>
      </c>
      <c r="N40" s="125">
        <f>$L40*SISTEM!$C$12</f>
        <v/>
      </c>
      <c r="O40" s="107" t="n"/>
      <c r="P40" s="126" t="n"/>
      <c r="Q40" s="126" t="n"/>
      <c r="R40" s="125">
        <f>MAX(0,$L40-$P40-$Q40)</f>
        <v/>
      </c>
      <c r="S40" s="112">
        <f>IF($B40&gt;=DATE(YEAR(TODAY()),MONTH(TODAY()),1),"AÇIK",IF(COUNTIF(SISTEM!$F$23:$F$50,"KALDI")=0,"KAPANABİLİR","KONTROL GEREKİR"))</f>
        <v/>
      </c>
      <c r="T40" s="112">
        <f>IF(ABS($L40-$M40-$N40)&lt;0.01,IF(AND($O40="Evet",ABS($R40)&lt;0.01),"KAPANDI","AÇIK"),"PAY HATASI")</f>
        <v/>
      </c>
      <c r="U40" s="6" t="n"/>
      <c r="V40" s="6" t="n"/>
    </row>
    <row r="41">
      <c r="A41" s="6" t="n"/>
      <c r="B41" s="119" t="n">
        <v>47058</v>
      </c>
      <c r="C41" s="125">
        <f>SUMPRODUCT(IF(UCRETLER!$F$7:$F$406="",0,UCRETLER!$F$7:$F$406)*IF(UCRETLER!$B$7:$B$406="",0,IF(IF(IF(UCRETLER!$E$7:$E$406="",999999,UCRETLER!$E$7:$E$406)&gt;EOMONTH($B41,0),EOMONTH($B41,0),IF(UCRETLER!$E$7:$E$406="",999999,UCRETLER!$E$7:$E$406))&lt;IF(UCRETLER!$D$7:$D$406="",999999,UCRETLER!$D$7:$D$406),0,INT((IF(IF(UCRETLER!$E$7:$E$406="",999999,UCRETLER!$E$7:$E$406)&gt;EOMONTH($B41,0),EOMONTH($B41,0),IF(UCRETLER!$E$7:$E$406="",999999,UCRETLER!$E$7:$E$406))-IF(UCRETLER!$D$7:$D$406="",999999,UCRETLER!$D$7:$D$406))/7)+1)-IF(IF(IF(UCRETLER!$E$7:$E$406="",999999,UCRETLER!$E$7:$E$406)&gt;$B41-1,$B41-1,IF(UCRETLER!$E$7:$E$406="",999999,UCRETLER!$E$7:$E$406))&lt;IF(UCRETLER!$D$7:$D$406="",999999,UCRETLER!$D$7:$D$406),0,INT((IF(IF(UCRETLER!$E$7:$E$406="",999999,UCRETLER!$E$7:$E$406)&gt;$B41-1,$B41-1,IF(UCRETLER!$E$7:$E$406="",999999,UCRETLER!$E$7:$E$406))-IF(UCRETLER!$D$7:$D$406="",999999,UCRETLER!$D$7:$D$406))/7)+1)))</f>
        <v/>
      </c>
      <c r="D41" s="125">
        <f>SUMIFS(TAHSILAT!$F$7:$F$1506,TAHSILAT!$E$7:$E$1506,"&gt;="&amp;$B41,TAHSILAT!$E$7:$E$1506,"&lt;"&amp;EDATE($B41,1))</f>
        <v/>
      </c>
      <c r="E41" s="125">
        <f>SUMIFS(GELIR_GIDER!$G$7:$G$1206,GELIR_GIDER!$D$7:$D$1206,"Gelir",GELIR_GIDER!$C$7:$C$1206,"&gt;="&amp;$B41,GELIR_GIDER!$C$7:$C$1206,"&lt;"&amp;EDATE($B41,1),GELIR_GIDER!$I$7:$I$1206,"Evet")</f>
        <v/>
      </c>
      <c r="F41" s="125">
        <f>$D41+$E41</f>
        <v/>
      </c>
      <c r="G41" s="125">
        <f>SUMIFS(GELIR_GIDER!$G$7:$G$1206,GELIR_GIDER!$D$7:$D$1206,"Gider",GELIR_GIDER!$C$7:$C$1206,"&gt;="&amp;$B41,GELIR_GIDER!$C$7:$C$1206,"&lt;"&amp;EDATE($B41,1),GELIR_GIDER!$I$7:$I$1206,"Evet")</f>
        <v/>
      </c>
      <c r="H41" s="125">
        <f>$C41+$E41-$G41</f>
        <v/>
      </c>
      <c r="I41" s="125">
        <f>$F41-$G41</f>
        <v/>
      </c>
      <c r="J41" s="122">
        <f>IFERROR($D41/$C41,0)</f>
        <v/>
      </c>
      <c r="K41" s="125">
        <f>SISTEM!$C$13</f>
        <v/>
      </c>
      <c r="L41" s="125">
        <f>MAX(0,$I41-$K41)</f>
        <v/>
      </c>
      <c r="M41" s="125">
        <f>$L41*SISTEM!$C$11</f>
        <v/>
      </c>
      <c r="N41" s="125">
        <f>$L41*SISTEM!$C$12</f>
        <v/>
      </c>
      <c r="O41" s="107" t="n"/>
      <c r="P41" s="126" t="n"/>
      <c r="Q41" s="126" t="n"/>
      <c r="R41" s="125">
        <f>MAX(0,$L41-$P41-$Q41)</f>
        <v/>
      </c>
      <c r="S41" s="112">
        <f>IF($B41&gt;=DATE(YEAR(TODAY()),MONTH(TODAY()),1),"AÇIK",IF(COUNTIF(SISTEM!$F$23:$F$50,"KALDI")=0,"KAPANABİLİR","KONTROL GEREKİR"))</f>
        <v/>
      </c>
      <c r="T41" s="112">
        <f>IF(ABS($L41-$M41-$N41)&lt;0.01,IF(AND($O41="Evet",ABS($R41)&lt;0.01),"KAPANDI","AÇIK"),"PAY HATASI")</f>
        <v/>
      </c>
      <c r="U41" s="6" t="n"/>
      <c r="V41" s="6" t="n"/>
    </row>
    <row r="42">
      <c r="A42" s="6" t="n"/>
      <c r="B42" s="119" t="n">
        <v>47088</v>
      </c>
      <c r="C42" s="125">
        <f>SUMPRODUCT(IF(UCRETLER!$F$7:$F$406="",0,UCRETLER!$F$7:$F$406)*IF(UCRETLER!$B$7:$B$406="",0,IF(IF(IF(UCRETLER!$E$7:$E$406="",999999,UCRETLER!$E$7:$E$406)&gt;EOMONTH($B42,0),EOMONTH($B42,0),IF(UCRETLER!$E$7:$E$406="",999999,UCRETLER!$E$7:$E$406))&lt;IF(UCRETLER!$D$7:$D$406="",999999,UCRETLER!$D$7:$D$406),0,INT((IF(IF(UCRETLER!$E$7:$E$406="",999999,UCRETLER!$E$7:$E$406)&gt;EOMONTH($B42,0),EOMONTH($B42,0),IF(UCRETLER!$E$7:$E$406="",999999,UCRETLER!$E$7:$E$406))-IF(UCRETLER!$D$7:$D$406="",999999,UCRETLER!$D$7:$D$406))/7)+1)-IF(IF(IF(UCRETLER!$E$7:$E$406="",999999,UCRETLER!$E$7:$E$406)&gt;$B42-1,$B42-1,IF(UCRETLER!$E$7:$E$406="",999999,UCRETLER!$E$7:$E$406))&lt;IF(UCRETLER!$D$7:$D$406="",999999,UCRETLER!$D$7:$D$406),0,INT((IF(IF(UCRETLER!$E$7:$E$406="",999999,UCRETLER!$E$7:$E$406)&gt;$B42-1,$B42-1,IF(UCRETLER!$E$7:$E$406="",999999,UCRETLER!$E$7:$E$406))-IF(UCRETLER!$D$7:$D$406="",999999,UCRETLER!$D$7:$D$406))/7)+1)))</f>
        <v/>
      </c>
      <c r="D42" s="125">
        <f>SUMIFS(TAHSILAT!$F$7:$F$1506,TAHSILAT!$E$7:$E$1506,"&gt;="&amp;$B42,TAHSILAT!$E$7:$E$1506,"&lt;"&amp;EDATE($B42,1))</f>
        <v/>
      </c>
      <c r="E42" s="125">
        <f>SUMIFS(GELIR_GIDER!$G$7:$G$1206,GELIR_GIDER!$D$7:$D$1206,"Gelir",GELIR_GIDER!$C$7:$C$1206,"&gt;="&amp;$B42,GELIR_GIDER!$C$7:$C$1206,"&lt;"&amp;EDATE($B42,1),GELIR_GIDER!$I$7:$I$1206,"Evet")</f>
        <v/>
      </c>
      <c r="F42" s="125">
        <f>$D42+$E42</f>
        <v/>
      </c>
      <c r="G42" s="125">
        <f>SUMIFS(GELIR_GIDER!$G$7:$G$1206,GELIR_GIDER!$D$7:$D$1206,"Gider",GELIR_GIDER!$C$7:$C$1206,"&gt;="&amp;$B42,GELIR_GIDER!$C$7:$C$1206,"&lt;"&amp;EDATE($B42,1),GELIR_GIDER!$I$7:$I$1206,"Evet")</f>
        <v/>
      </c>
      <c r="H42" s="125">
        <f>$C42+$E42-$G42</f>
        <v/>
      </c>
      <c r="I42" s="125">
        <f>$F42-$G42</f>
        <v/>
      </c>
      <c r="J42" s="122">
        <f>IFERROR($D42/$C42,0)</f>
        <v/>
      </c>
      <c r="K42" s="125">
        <f>SISTEM!$C$13</f>
        <v/>
      </c>
      <c r="L42" s="125">
        <f>MAX(0,$I42-$K42)</f>
        <v/>
      </c>
      <c r="M42" s="125">
        <f>$L42*SISTEM!$C$11</f>
        <v/>
      </c>
      <c r="N42" s="125">
        <f>$L42*SISTEM!$C$12</f>
        <v/>
      </c>
      <c r="O42" s="107" t="n"/>
      <c r="P42" s="126" t="n"/>
      <c r="Q42" s="126" t="n"/>
      <c r="R42" s="125">
        <f>MAX(0,$L42-$P42-$Q42)</f>
        <v/>
      </c>
      <c r="S42" s="112">
        <f>IF($B42&gt;=DATE(YEAR(TODAY()),MONTH(TODAY()),1),"AÇIK",IF(COUNTIF(SISTEM!$F$23:$F$50,"KALDI")=0,"KAPANABİLİR","KONTROL GEREKİR"))</f>
        <v/>
      </c>
      <c r="T42" s="112">
        <f>IF(ABS($L42-$M42-$N42)&lt;0.01,IF(AND($O42="Evet",ABS($R42)&lt;0.01),"KAPANDI","AÇIK"),"PAY HATASI")</f>
        <v/>
      </c>
      <c r="U42" s="6" t="n"/>
      <c r="V42" s="6" t="n"/>
    </row>
    <row r="43">
      <c r="A43" s="6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6" t="n"/>
      <c r="V43" s="6" t="n"/>
    </row>
    <row r="44">
      <c r="A44" s="6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6" t="n"/>
      <c r="V44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T42"/>
  <mergeCells count="2">
    <mergeCell ref="A1:T1"/>
    <mergeCell ref="A2:T2"/>
  </mergeCells>
  <conditionalFormatting sqref="S7:S42">
    <cfRule type="expression" priority="1" dxfId="7" stopIfTrue="1">
      <formula>EXACT($S7,"AÇIK")</formula>
    </cfRule>
    <cfRule type="expression" priority="2" dxfId="3" stopIfTrue="1">
      <formula>EXACT($S7,"KAPANABİLİR")</formula>
    </cfRule>
    <cfRule type="expression" priority="3" dxfId="4" stopIfTrue="1">
      <formula>EXACT($S7,"KONTROL GEREKİR")</formula>
    </cfRule>
  </conditionalFormatting>
  <conditionalFormatting sqref="T7:T42">
    <cfRule type="expression" priority="4" dxfId="3" stopIfTrue="1">
      <formula>EXACT($T7,"KAPANDI")</formula>
    </cfRule>
    <cfRule type="expression" priority="5" dxfId="6" stopIfTrue="1">
      <formula>EXACT($T7,"AÇIK")</formula>
    </cfRule>
    <cfRule type="expression" priority="6" dxfId="5" stopIfTrue="1">
      <formula>EXACT($T7,"PAY HATASI")</formula>
    </cfRule>
  </conditionalFormatting>
  <conditionalFormatting sqref="I7:I42">
    <cfRule type="cellIs" priority="7" operator="lessThan" dxfId="8">
      <formula>0</formula>
    </cfRule>
  </conditionalFormatting>
  <dataValidations count="1">
    <dataValidation sqref="O7:O42" showDropDown="0" showInputMessage="0" showErrorMessage="1" allowBlank="1" errorTitle="Geçersiz değer" error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1:O52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30" customWidth="1" min="2" max="2"/>
    <col width="12" customWidth="1" min="3" max="3"/>
    <col width="16" customWidth="1" min="4" max="4"/>
    <col width="16" customWidth="1" min="5" max="5"/>
    <col width="14" customWidth="1" min="6" max="6"/>
    <col width="46" customWidth="1" min="7" max="7"/>
    <col width="20" customWidth="1" min="8" max="8"/>
    <col width="28" customWidth="1" min="11" max="11"/>
    <col width="12" customWidth="1" min="12" max="12"/>
    <col width="12" customWidth="1" min="13" max="13"/>
    <col width="2.4" customWidth="1" min="14" max="14"/>
    <col width="2.4" customWidth="1" min="15" max="15"/>
  </cols>
  <sheetData>
    <row r="1" ht="38" customHeight="1">
      <c r="A1" s="1" t="inlineStr">
        <is>
          <t>NECATİBEY OFİS YÖNETİM SİSTEMİ   │   SİSTEM AYARLARI VE KONTROL MERKEZİ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45" t="n"/>
      <c r="O1" s="45" t="n"/>
    </row>
    <row r="2" ht="22" customHeight="1">
      <c r="A2" s="4" t="inlineStr">
        <is>
          <t>Sistem kendi kendini denetler │ KALDI görülen bir satır varken ay kapatılmaz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3" t="n"/>
      <c r="N2" s="46" t="n"/>
      <c r="O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3" t="n"/>
      <c r="N3" s="6" t="n"/>
      <c r="O3" s="6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3" t="n"/>
      <c r="N4" s="6" t="n"/>
      <c r="O4" s="6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6" t="n"/>
      <c r="O5" s="6" t="n"/>
    </row>
    <row r="6" ht="24" customHeight="1">
      <c r="A6" s="6" t="n"/>
      <c r="B6" s="127" t="inlineStr">
        <is>
          <t>SİSTEM PARAMETRELERİ</t>
        </is>
      </c>
      <c r="C6" s="128" t="n"/>
      <c r="D6" s="128" t="n"/>
      <c r="E6" s="128" t="n"/>
      <c r="F6" s="128" t="n"/>
      <c r="G6" s="3" t="n"/>
      <c r="H6" s="3" t="n"/>
      <c r="I6" s="3" t="n"/>
      <c r="J6" s="3" t="n"/>
      <c r="K6" s="127" t="inlineStr">
        <is>
          <t>GİDER / GELİR KATEGORİLERİ</t>
        </is>
      </c>
      <c r="L6" s="128" t="n"/>
      <c r="M6" s="128" t="n"/>
      <c r="N6" s="6" t="n"/>
      <c r="O6" s="6" t="n"/>
    </row>
    <row r="7" ht="24" customHeight="1">
      <c r="A7" s="6" t="n"/>
      <c r="B7" s="113" t="inlineStr">
        <is>
          <t>Ofis Adı</t>
        </is>
      </c>
      <c r="C7" s="107" t="inlineStr">
        <is>
          <t>Necatibey Muhasebe Ofisi</t>
        </is>
      </c>
      <c r="D7" s="113" t="inlineStr">
        <is>
          <t>Rapor başlıklarında kullanılır</t>
        </is>
      </c>
      <c r="E7" s="113" t="inlineStr">
        <is>
          <t>Değiştirilebilir</t>
        </is>
      </c>
      <c r="F7" s="3" t="n"/>
      <c r="G7" s="3" t="n"/>
      <c r="H7" s="3" t="n"/>
      <c r="I7" s="3" t="n"/>
      <c r="J7" s="3" t="n"/>
      <c r="K7" s="129" t="inlineStr">
        <is>
          <t>Kategori</t>
        </is>
      </c>
      <c r="L7" s="129" t="inlineStr">
        <is>
          <t>Tür</t>
        </is>
      </c>
      <c r="M7" s="129" t="inlineStr">
        <is>
          <t>Durum</t>
        </is>
      </c>
      <c r="N7" s="6" t="n"/>
      <c r="O7" s="6" t="n"/>
    </row>
    <row r="8" ht="24" customHeight="1">
      <c r="A8" s="6" t="n"/>
      <c r="B8" s="113" t="inlineStr">
        <is>
          <t>Tahakkuk Günü</t>
        </is>
      </c>
      <c r="C8" s="107" t="inlineStr">
        <is>
          <t>Cumartesi</t>
        </is>
      </c>
      <c r="D8" s="113" t="inlineStr">
        <is>
          <t>Haftalık ücret Cumartesi tahakkuk eder</t>
        </is>
      </c>
      <c r="E8" s="113" t="inlineStr">
        <is>
          <t>Sabit</t>
        </is>
      </c>
      <c r="F8" s="3" t="n"/>
      <c r="G8" s="3" t="n"/>
      <c r="H8" s="3" t="n"/>
      <c r="I8" s="3" t="n"/>
      <c r="J8" s="3" t="n"/>
      <c r="K8" s="108" t="inlineStr">
        <is>
          <t>Ofis Kirası</t>
        </is>
      </c>
      <c r="L8" s="107" t="inlineStr">
        <is>
          <t>Gider</t>
        </is>
      </c>
      <c r="M8" s="107" t="inlineStr">
        <is>
          <t>Aktif</t>
        </is>
      </c>
      <c r="N8" s="6" t="n"/>
      <c r="O8" s="6" t="n"/>
    </row>
    <row r="9" ht="24" customHeight="1">
      <c r="A9" s="6" t="n"/>
      <c r="B9" s="113" t="inlineStr">
        <is>
          <t>Ortak 1 Adı</t>
        </is>
      </c>
      <c r="C9" s="107" t="inlineStr">
        <is>
          <t>Ortak 1</t>
        </is>
      </c>
      <c r="D9" s="113" t="inlineStr">
        <is>
          <t>Birinci ortağın adı</t>
        </is>
      </c>
      <c r="E9" s="113" t="inlineStr">
        <is>
          <t>Değiştirilebilir</t>
        </is>
      </c>
      <c r="F9" s="3" t="n"/>
      <c r="G9" s="3" t="n"/>
      <c r="H9" s="3" t="n"/>
      <c r="I9" s="3" t="n"/>
      <c r="J9" s="3" t="n"/>
      <c r="K9" s="108" t="inlineStr">
        <is>
          <t>Personel</t>
        </is>
      </c>
      <c r="L9" s="107" t="inlineStr">
        <is>
          <t>Gider</t>
        </is>
      </c>
      <c r="M9" s="107" t="inlineStr">
        <is>
          <t>Aktif</t>
        </is>
      </c>
      <c r="N9" s="6" t="n"/>
      <c r="O9" s="6" t="n"/>
    </row>
    <row r="10" ht="24" customHeight="1">
      <c r="A10" s="6" t="n"/>
      <c r="B10" s="113" t="inlineStr">
        <is>
          <t>Ortak 2 Adı</t>
        </is>
      </c>
      <c r="C10" s="107" t="inlineStr">
        <is>
          <t>Ortak 2</t>
        </is>
      </c>
      <c r="D10" s="113" t="inlineStr">
        <is>
          <t>İkinci ortağın adı</t>
        </is>
      </c>
      <c r="E10" s="113" t="inlineStr">
        <is>
          <t>Değiştirilebilir</t>
        </is>
      </c>
      <c r="F10" s="3" t="n"/>
      <c r="G10" s="3" t="n"/>
      <c r="H10" s="3" t="n"/>
      <c r="I10" s="3" t="n"/>
      <c r="J10" s="3" t="n"/>
      <c r="K10" s="108" t="inlineStr">
        <is>
          <t>Elektrik / Su / Doğalgaz</t>
        </is>
      </c>
      <c r="L10" s="107" t="inlineStr">
        <is>
          <t>Gider</t>
        </is>
      </c>
      <c r="M10" s="107" t="inlineStr">
        <is>
          <t>Aktif</t>
        </is>
      </c>
      <c r="N10" s="6" t="n"/>
      <c r="O10" s="6" t="n"/>
    </row>
    <row r="11" ht="24" customHeight="1">
      <c r="A11" s="6" t="n"/>
      <c r="B11" s="113" t="inlineStr">
        <is>
          <t>Ortak 1 Payı</t>
        </is>
      </c>
      <c r="C11" s="130" t="n">
        <v>0.5</v>
      </c>
      <c r="D11" s="113" t="inlineStr">
        <is>
          <t>Aylık dağıtılabilir kâr payı</t>
        </is>
      </c>
      <c r="E11" s="113" t="inlineStr">
        <is>
          <t>Toplam %100 olmalı</t>
        </is>
      </c>
      <c r="F11" s="3" t="n"/>
      <c r="G11" s="3" t="n"/>
      <c r="H11" s="3" t="n"/>
      <c r="I11" s="3" t="n"/>
      <c r="J11" s="3" t="n"/>
      <c r="K11" s="108" t="inlineStr">
        <is>
          <t>Telefon / İnternet</t>
        </is>
      </c>
      <c r="L11" s="107" t="inlineStr">
        <is>
          <t>Gider</t>
        </is>
      </c>
      <c r="M11" s="107" t="inlineStr">
        <is>
          <t>Aktif</t>
        </is>
      </c>
      <c r="N11" s="6" t="n"/>
      <c r="O11" s="6" t="n"/>
    </row>
    <row r="12" ht="24" customHeight="1">
      <c r="A12" s="6" t="n"/>
      <c r="B12" s="113" t="inlineStr">
        <is>
          <t>Ortak 2 Payı</t>
        </is>
      </c>
      <c r="C12" s="130" t="n">
        <v>0.5</v>
      </c>
      <c r="D12" s="113" t="inlineStr">
        <is>
          <t>Aylık dağıtılabilir kâr payı</t>
        </is>
      </c>
      <c r="E12" s="113" t="inlineStr">
        <is>
          <t>Toplam %100 olmalı</t>
        </is>
      </c>
      <c r="F12" s="3" t="n"/>
      <c r="G12" s="3" t="n"/>
      <c r="H12" s="3" t="n"/>
      <c r="I12" s="3" t="n"/>
      <c r="J12" s="3" t="n"/>
      <c r="K12" s="108" t="inlineStr">
        <is>
          <t>Kırtasiye</t>
        </is>
      </c>
      <c r="L12" s="107" t="inlineStr">
        <is>
          <t>Gider</t>
        </is>
      </c>
      <c r="M12" s="107" t="inlineStr">
        <is>
          <t>Aktif</t>
        </is>
      </c>
      <c r="N12" s="6" t="n"/>
      <c r="O12" s="6" t="n"/>
    </row>
    <row r="13" ht="24" customHeight="1">
      <c r="A13" s="6" t="n"/>
      <c r="B13" s="113" t="inlineStr">
        <is>
          <t>Kasa Tamponu</t>
        </is>
      </c>
      <c r="C13" s="110" t="n">
        <v>0</v>
      </c>
      <c r="D13" s="113" t="inlineStr">
        <is>
          <t>Dağıtım öncesi ofiste kalacak nakit</t>
        </is>
      </c>
      <c r="E13" s="113" t="inlineStr">
        <is>
          <t>TL</t>
        </is>
      </c>
      <c r="F13" s="3" t="n"/>
      <c r="G13" s="3" t="n"/>
      <c r="H13" s="3" t="n"/>
      <c r="I13" s="3" t="n"/>
      <c r="J13" s="3" t="n"/>
      <c r="K13" s="108" t="inlineStr">
        <is>
          <t>Vergi / Harç</t>
        </is>
      </c>
      <c r="L13" s="107" t="inlineStr">
        <is>
          <t>Gider</t>
        </is>
      </c>
      <c r="M13" s="107" t="inlineStr">
        <is>
          <t>Aktif</t>
        </is>
      </c>
      <c r="N13" s="6" t="n"/>
      <c r="O13" s="6" t="n"/>
    </row>
    <row r="14" ht="24" customHeight="1">
      <c r="A14" s="6" t="n"/>
      <c r="B14" s="113" t="inlineStr">
        <is>
          <t>Kâr Paylaşım Esası</t>
        </is>
      </c>
      <c r="C14" s="107" t="inlineStr">
        <is>
          <t>Nakit</t>
        </is>
      </c>
      <c r="D14" s="113" t="inlineStr">
        <is>
          <t>Yalnız tahsil edilmiş gelirden ödenmiş gider düşer</t>
        </is>
      </c>
      <c r="E14" s="113" t="inlineStr">
        <is>
          <t>Sabit</t>
        </is>
      </c>
      <c r="F14" s="3" t="n"/>
      <c r="G14" s="3" t="n"/>
      <c r="H14" s="3" t="n"/>
      <c r="I14" s="3" t="n"/>
      <c r="J14" s="3" t="n"/>
      <c r="K14" s="108" t="inlineStr">
        <is>
          <t>Yazılım / Abonelik</t>
        </is>
      </c>
      <c r="L14" s="107" t="inlineStr">
        <is>
          <t>Gider</t>
        </is>
      </c>
      <c r="M14" s="107" t="inlineStr">
        <is>
          <t>Aktif</t>
        </is>
      </c>
      <c r="N14" s="6" t="n"/>
      <c r="O14" s="6" t="n"/>
    </row>
    <row r="15" ht="24" customHeight="1">
      <c r="A15" s="6" t="n"/>
      <c r="B15" s="113" t="inlineStr">
        <is>
          <t>Borç Kapatma Sırası</t>
        </is>
      </c>
      <c r="C15" s="107" t="inlineStr">
        <is>
          <t>En Eski Borçtan Başla</t>
        </is>
      </c>
      <c r="D15" s="113" t="inlineStr">
        <is>
          <t>Ödeme önce en eski açık borç kapatır</t>
        </is>
      </c>
      <c r="E15" s="113" t="inlineStr">
        <is>
          <t>Otomatik</t>
        </is>
      </c>
      <c r="F15" s="3" t="n"/>
      <c r="G15" s="3" t="n"/>
      <c r="H15" s="3" t="n"/>
      <c r="I15" s="3" t="n"/>
      <c r="J15" s="3" t="n"/>
      <c r="K15" s="108" t="inlineStr">
        <is>
          <t>Ulaşım</t>
        </is>
      </c>
      <c r="L15" s="107" t="inlineStr">
        <is>
          <t>Gider</t>
        </is>
      </c>
      <c r="M15" s="107" t="inlineStr">
        <is>
          <t>Aktif</t>
        </is>
      </c>
      <c r="N15" s="6" t="n"/>
      <c r="O15" s="6" t="n"/>
    </row>
    <row r="16" ht="24" customHeight="1">
      <c r="A16" s="6" t="n"/>
      <c r="B16" s="113" t="inlineStr">
        <is>
          <t>Para Birimi</t>
        </is>
      </c>
      <c r="C16" s="107" t="inlineStr">
        <is>
          <t>TL</t>
        </is>
      </c>
      <c r="D16" s="113" t="inlineStr">
        <is>
          <t>Temel raporlama para birimi</t>
        </is>
      </c>
      <c r="E16" s="113" t="inlineStr">
        <is>
          <t>Sabit</t>
        </is>
      </c>
      <c r="F16" s="3" t="n"/>
      <c r="G16" s="3" t="n"/>
      <c r="H16" s="3" t="n"/>
      <c r="I16" s="3" t="n"/>
      <c r="J16" s="3" t="n"/>
      <c r="K16" s="108" t="inlineStr">
        <is>
          <t>Temsil / Ağırlama</t>
        </is>
      </c>
      <c r="L16" s="107" t="inlineStr">
        <is>
          <t>Gider</t>
        </is>
      </c>
      <c r="M16" s="107" t="inlineStr">
        <is>
          <t>Aktif</t>
        </is>
      </c>
      <c r="N16" s="6" t="n"/>
      <c r="O16" s="6" t="n"/>
    </row>
    <row r="17" ht="24" customHeight="1">
      <c r="A17" s="6" t="n"/>
      <c r="B17" s="113" t="inlineStr">
        <is>
          <t>Rapor Tarihi</t>
        </is>
      </c>
      <c r="C17" s="131">
        <f>TODAY()</f>
        <v/>
      </c>
      <c r="D17" s="113" t="inlineStr">
        <is>
          <t>Bugünün tarihi</t>
        </is>
      </c>
      <c r="E17" s="113" t="inlineStr">
        <is>
          <t>Otomatik</t>
        </is>
      </c>
      <c r="F17" s="3" t="n"/>
      <c r="G17" s="3" t="n"/>
      <c r="H17" s="3" t="n"/>
      <c r="I17" s="3" t="n"/>
      <c r="J17" s="3" t="n"/>
      <c r="K17" s="108" t="inlineStr">
        <is>
          <t>Demirbaş</t>
        </is>
      </c>
      <c r="L17" s="107" t="inlineStr">
        <is>
          <t>Gider</t>
        </is>
      </c>
      <c r="M17" s="107" t="inlineStr">
        <is>
          <t>Aktif</t>
        </is>
      </c>
      <c r="N17" s="6" t="n"/>
      <c r="O17" s="6" t="n"/>
    </row>
    <row r="18">
      <c r="A18" s="6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108" t="inlineStr">
        <is>
          <t>Diğer Gider</t>
        </is>
      </c>
      <c r="L18" s="107" t="inlineStr">
        <is>
          <t>Gider</t>
        </is>
      </c>
      <c r="M18" s="107" t="inlineStr">
        <is>
          <t>Aktif</t>
        </is>
      </c>
      <c r="N18" s="6" t="n"/>
      <c r="O18" s="6" t="n"/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108" t="inlineStr">
        <is>
          <t>Diğer Hizmet Geliri</t>
        </is>
      </c>
      <c r="L19" s="107" t="inlineStr">
        <is>
          <t>Gelir</t>
        </is>
      </c>
      <c r="M19" s="107" t="inlineStr">
        <is>
          <t>Aktif</t>
        </is>
      </c>
      <c r="N19" s="6" t="n"/>
      <c r="O19" s="6" t="n"/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108" t="inlineStr">
        <is>
          <t>Danışmanlık Geliri</t>
        </is>
      </c>
      <c r="L20" s="107" t="inlineStr">
        <is>
          <t>Gelir</t>
        </is>
      </c>
      <c r="M20" s="107" t="inlineStr">
        <is>
          <t>Aktif</t>
        </is>
      </c>
      <c r="N20" s="6" t="n"/>
      <c r="O20" s="6" t="n"/>
    </row>
    <row r="21" ht="24" customHeight="1">
      <c r="A21" s="6" t="n"/>
      <c r="B21" s="127" t="inlineStr">
        <is>
          <t>SİSTEM KONTROL MERKEZİ</t>
        </is>
      </c>
      <c r="C21" s="128" t="n"/>
      <c r="D21" s="128" t="n"/>
      <c r="E21" s="128" t="n"/>
      <c r="F21" s="128" t="n"/>
      <c r="G21" s="128" t="n"/>
      <c r="H21" s="128" t="n"/>
      <c r="I21" s="128" t="n"/>
      <c r="J21" s="3" t="n"/>
      <c r="K21" s="108" t="inlineStr">
        <is>
          <t>Diğer Gelir</t>
        </is>
      </c>
      <c r="L21" s="107" t="inlineStr">
        <is>
          <t>Gelir</t>
        </is>
      </c>
      <c r="M21" s="107" t="inlineStr">
        <is>
          <t>Aktif</t>
        </is>
      </c>
      <c r="N21" s="6" t="n"/>
      <c r="O21" s="6" t="n"/>
    </row>
    <row r="22" ht="28" customHeight="1">
      <c r="A22" s="6" t="n"/>
      <c r="B22" s="129" t="inlineStr">
        <is>
          <t>Kontrol</t>
        </is>
      </c>
      <c r="C22" s="129" t="inlineStr">
        <is>
          <t>Önem</t>
        </is>
      </c>
      <c r="D22" s="129" t="inlineStr">
        <is>
          <t>Beklenen</t>
        </is>
      </c>
      <c r="E22" s="129" t="inlineStr">
        <is>
          <t>Gerçek</t>
        </is>
      </c>
      <c r="F22" s="129" t="inlineStr">
        <is>
          <t>Sonuç</t>
        </is>
      </c>
      <c r="G22" s="129" t="inlineStr">
        <is>
          <t>Açıklama</t>
        </is>
      </c>
      <c r="H22" s="129" t="inlineStr">
        <is>
          <t>İlgili Ekran</t>
        </is>
      </c>
      <c r="I22" s="3" t="n"/>
      <c r="J22" s="3" t="n"/>
      <c r="K22" s="132" t="n"/>
      <c r="L22" s="132" t="n"/>
      <c r="M22" s="132" t="n"/>
      <c r="N22" s="6" t="n"/>
      <c r="O22" s="6" t="n"/>
    </row>
    <row r="23" ht="23" customHeight="1">
      <c r="A23" s="6" t="n"/>
      <c r="B23" s="113" t="inlineStr">
        <is>
          <t>Ortak pay toplamı</t>
        </is>
      </c>
      <c r="C23" s="112" t="inlineStr">
        <is>
          <t>KRİTİK</t>
        </is>
      </c>
      <c r="D23" s="112" t="inlineStr">
        <is>
          <t>%100</t>
        </is>
      </c>
      <c r="E23" s="122">
        <f>SISTEM!$C$11+SISTEM!$C$12</f>
        <v/>
      </c>
      <c r="F23" s="112">
        <f>IF(ABS($E23-1)&lt;0.000001,"GEÇTİ","KALDI")</f>
        <v/>
      </c>
      <c r="G23" s="113" t="inlineStr">
        <is>
          <t>İki ortağın payı %100 etmeli</t>
        </is>
      </c>
      <c r="H23" s="133">
        <f>HYPERLINK("#SISTEM!A1","SISTEM")</f>
        <v/>
      </c>
      <c r="I23" s="3" t="n"/>
      <c r="J23" s="3" t="n"/>
      <c r="K23" s="132" t="n"/>
      <c r="L23" s="132" t="n"/>
      <c r="M23" s="132" t="n"/>
      <c r="N23" s="6" t="n"/>
      <c r="O23" s="6" t="n"/>
    </row>
    <row r="24" ht="23" customHeight="1">
      <c r="A24" s="6" t="n"/>
      <c r="B24" s="113" t="inlineStr">
        <is>
          <t>Ücret dönemi hatası</t>
        </is>
      </c>
      <c r="C24" s="112" t="inlineStr">
        <is>
          <t>KRİTİK</t>
        </is>
      </c>
      <c r="D24" s="112" t="inlineStr">
        <is>
          <t>0</t>
        </is>
      </c>
      <c r="E24" s="120">
        <f>COUNTIFS(UCRETLER!$G$7:$G$406,"Aktif",UCRETLER!$M$7:$M$406,"HATA")</f>
        <v/>
      </c>
      <c r="F24" s="112">
        <f>IF($E24=0,"GEÇTİ","KALDI")</f>
        <v/>
      </c>
      <c r="G24" s="113" t="inlineStr">
        <is>
          <t>Cumartesi / ücret / dönem kontrolü</t>
        </is>
      </c>
      <c r="H24" s="133">
        <f>HYPERLINK("#UCRETLER!A1","UCRETLER")</f>
        <v/>
      </c>
      <c r="I24" s="3" t="n"/>
      <c r="J24" s="3" t="n"/>
      <c r="K24" s="132" t="n"/>
      <c r="L24" s="132" t="n"/>
      <c r="M24" s="132" t="n"/>
      <c r="N24" s="6" t="n"/>
      <c r="O24" s="6" t="n"/>
    </row>
    <row r="25" ht="23" customHeight="1">
      <c r="A25" s="6" t="n"/>
      <c r="B25" s="113" t="inlineStr">
        <is>
          <t>Aktif müşteri ücretsiz</t>
        </is>
      </c>
      <c r="C25" s="112" t="inlineStr">
        <is>
          <t>KRİTİK</t>
        </is>
      </c>
      <c r="D25" s="112" t="inlineStr">
        <is>
          <t>0</t>
        </is>
      </c>
      <c r="E25" s="120">
        <f>COUNTIFS(MUSTERILER!$D$7:$D$106,"Aktif",MUSTERILER!$O$7:$O$106,"HAYIR")</f>
        <v/>
      </c>
      <c r="F25" s="112">
        <f>IF($E25=0,"GEÇTİ","KALDI")</f>
        <v/>
      </c>
      <c r="G25" s="113" t="inlineStr">
        <is>
          <t>Aktif müşterinin aktif ücret tanımı olmalı</t>
        </is>
      </c>
      <c r="H25" s="133">
        <f>HYPERLINK("#MUSTERILER!A1","MUSTERILER")</f>
        <v/>
      </c>
      <c r="I25" s="3" t="n"/>
      <c r="J25" s="3" t="n"/>
      <c r="K25" s="132" t="n"/>
      <c r="L25" s="132" t="n"/>
      <c r="M25" s="132" t="n"/>
      <c r="N25" s="6" t="n"/>
      <c r="O25" s="6" t="n"/>
    </row>
    <row r="26" ht="23" customHeight="1">
      <c r="A26" s="6" t="n"/>
      <c r="B26" s="113" t="inlineStr">
        <is>
          <t>Müşteri no tekrarı</t>
        </is>
      </c>
      <c r="C26" s="112" t="inlineStr">
        <is>
          <t>KRİTİK</t>
        </is>
      </c>
      <c r="D26" s="112" t="inlineStr">
        <is>
          <t>0</t>
        </is>
      </c>
      <c r="E26" s="120">
        <f>SUMPRODUCT((MUSTERILER!$B$7:$B$106&lt;&gt;"")*(COUNTIF(MUSTERILER!$B$7:$B$106,MUSTERILER!$B$7:$B$106&amp;"")&gt;1))</f>
        <v/>
      </c>
      <c r="F26" s="112">
        <f>IF($E26=0,"GEÇTİ","KALDI")</f>
        <v/>
      </c>
      <c r="G26" s="113" t="inlineStr">
        <is>
          <t>Müşteri numarası tekil olmalı</t>
        </is>
      </c>
      <c r="H26" s="133">
        <f>HYPERLINK("#MUSTERILER!A1","MUSTERILER")</f>
        <v/>
      </c>
      <c r="I26" s="3" t="n"/>
      <c r="J26" s="3" t="n"/>
      <c r="K26" s="132" t="n"/>
      <c r="L26" s="132" t="n"/>
      <c r="M26" s="132" t="n"/>
      <c r="N26" s="6" t="n"/>
      <c r="O26" s="6" t="n"/>
    </row>
    <row r="27" ht="23" customHeight="1">
      <c r="A27" s="6" t="n"/>
      <c r="B27" s="113" t="inlineStr">
        <is>
          <t>Müşteri adı tekrarı</t>
        </is>
      </c>
      <c r="C27" s="112" t="inlineStr">
        <is>
          <t>YÜKSEK</t>
        </is>
      </c>
      <c r="D27" s="112" t="inlineStr">
        <is>
          <t>0</t>
        </is>
      </c>
      <c r="E27" s="120">
        <f>SUMPRODUCT((MUSTERILER!$C$7:$C$106&lt;&gt;"")*(COUNTIF(MUSTERILER!$C$7:$C$106,MUSTERILER!$C$7:$C$106&amp;"")&gt;1))</f>
        <v/>
      </c>
      <c r="F27" s="112">
        <f>IF($E27=0,"GEÇTİ","KALDI")</f>
        <v/>
      </c>
      <c r="G27" s="113" t="inlineStr">
        <is>
          <t>Hızlı kart seçimi için adlar tekil olmalı</t>
        </is>
      </c>
      <c r="H27" s="133">
        <f>HYPERLINK("#MUSTERILER!A1","MUSTERILER")</f>
        <v/>
      </c>
      <c r="I27" s="3" t="n"/>
      <c r="J27" s="3" t="n"/>
      <c r="K27" s="132" t="n"/>
      <c r="L27" s="132" t="n"/>
      <c r="M27" s="132" t="n"/>
      <c r="N27" s="6" t="n"/>
      <c r="O27" s="6" t="n"/>
    </row>
    <row r="28" ht="23" customHeight="1">
      <c r="A28" s="6" t="n"/>
      <c r="B28" s="113" t="inlineStr">
        <is>
          <t>Devir tarihi eksik</t>
        </is>
      </c>
      <c r="C28" s="112" t="inlineStr">
        <is>
          <t>YÜKSEK</t>
        </is>
      </c>
      <c r="D28" s="112" t="inlineStr">
        <is>
          <t>0</t>
        </is>
      </c>
      <c r="E28" s="120">
        <f>COUNTIFS(MUSTERILER!$J$7:$J$106,"&gt;0",MUSTERILER!$K$7:$K$106,"")</f>
        <v/>
      </c>
      <c r="F28" s="112">
        <f>IF($E28=0,"GEÇTİ","KALDI")</f>
        <v/>
      </c>
      <c r="G28" s="113" t="inlineStr">
        <is>
          <t>Tarihi olmayan devir 29+ gün sayılır</t>
        </is>
      </c>
      <c r="H28" s="133">
        <f>HYPERLINK("#MUSTERILER!A1","MUSTERILER")</f>
        <v/>
      </c>
      <c r="I28" s="3" t="n"/>
      <c r="J28" s="3" t="n"/>
      <c r="K28" s="132" t="n"/>
      <c r="L28" s="132" t="n"/>
      <c r="M28" s="132" t="n"/>
      <c r="N28" s="6" t="n"/>
      <c r="O28" s="6" t="n"/>
    </row>
    <row r="29" ht="23" customHeight="1">
      <c r="A29" s="6" t="n"/>
      <c r="B29" s="113" t="inlineStr">
        <is>
          <t>Müşteri kaydı eksik</t>
        </is>
      </c>
      <c r="C29" s="112" t="inlineStr">
        <is>
          <t>ORTA</t>
        </is>
      </c>
      <c r="D29" s="112" t="inlineStr">
        <is>
          <t>0</t>
        </is>
      </c>
      <c r="E29" s="120">
        <f>COUNTIF(MUSTERILER!$P$7:$P$106,"EKSİK")</f>
        <v/>
      </c>
      <c r="F29" s="112">
        <f>IF($E29=0,"GEÇTİ","KALDI")</f>
        <v/>
      </c>
      <c r="G29" s="113" t="inlineStr">
        <is>
          <t>Unvan ve durum zorunlu</t>
        </is>
      </c>
      <c r="H29" s="133">
        <f>HYPERLINK("#MUSTERILER!A1","MUSTERILER")</f>
        <v/>
      </c>
      <c r="I29" s="3" t="n"/>
      <c r="J29" s="3" t="n"/>
      <c r="K29" s="132" t="n"/>
      <c r="L29" s="132" t="n"/>
      <c r="M29" s="132" t="n"/>
      <c r="N29" s="6" t="n"/>
      <c r="O29" s="6" t="n"/>
    </row>
    <row r="30" ht="23" customHeight="1">
      <c r="A30" s="6" t="n"/>
      <c r="B30" s="113" t="inlineStr">
        <is>
          <t>Eksik tahsilat kaydı</t>
        </is>
      </c>
      <c r="C30" s="112" t="inlineStr">
        <is>
          <t>YÜKSEK</t>
        </is>
      </c>
      <c r="D30" s="112" t="inlineStr">
        <is>
          <t>0</t>
        </is>
      </c>
      <c r="E30" s="120">
        <f>COUNTIF(TAHSILAT!$M$7:$M$1506,"EKSİK")</f>
        <v/>
      </c>
      <c r="F30" s="112">
        <f>IF($E30=0,"GEÇTİ","KALDI")</f>
        <v/>
      </c>
      <c r="G30" s="113" t="inlineStr">
        <is>
          <t>Tarih, tutar ve hesap zorunlu</t>
        </is>
      </c>
      <c r="H30" s="133">
        <f>HYPERLINK("#TAHSILAT!A1","TAHSILAT")</f>
        <v/>
      </c>
      <c r="I30" s="3" t="n"/>
      <c r="J30" s="3" t="n"/>
      <c r="K30" s="132" t="n"/>
      <c r="L30" s="132" t="n"/>
      <c r="M30" s="132" t="n"/>
      <c r="N30" s="6" t="n"/>
      <c r="O30" s="6" t="n"/>
    </row>
    <row r="31" ht="23" customHeight="1">
      <c r="A31" s="6" t="n"/>
      <c r="B31" s="113" t="inlineStr">
        <is>
          <t>Tanımsız müşteriye tahsilat</t>
        </is>
      </c>
      <c r="C31" s="112" t="inlineStr">
        <is>
          <t>KRİTİK</t>
        </is>
      </c>
      <c r="D31" s="112" t="inlineStr">
        <is>
          <t>0</t>
        </is>
      </c>
      <c r="E31" s="120">
        <f>COUNTIF(TAHSILAT!$M$7:$M$1506,"HATA")</f>
        <v/>
      </c>
      <c r="F31" s="112">
        <f>IF($E31=0,"GEÇTİ","KALDI")</f>
        <v/>
      </c>
      <c r="G31" s="113" t="inlineStr">
        <is>
          <t>Tahsilat müşteri numarası ana listede olmalı</t>
        </is>
      </c>
      <c r="H31" s="133">
        <f>HYPERLINK("#TAHSILAT!A1","TAHSILAT")</f>
        <v/>
      </c>
      <c r="I31" s="3" t="n"/>
      <c r="J31" s="3" t="n"/>
      <c r="K31" s="132" t="n"/>
      <c r="L31" s="132" t="n"/>
      <c r="M31" s="132" t="n"/>
      <c r="N31" s="6" t="n"/>
      <c r="O31" s="6" t="n"/>
    </row>
    <row r="32" ht="23" customHeight="1">
      <c r="A32" s="6" t="n"/>
      <c r="B32" s="113" t="inlineStr">
        <is>
          <t>İleri tarihli tahsilat</t>
        </is>
      </c>
      <c r="C32" s="112" t="inlineStr">
        <is>
          <t>YÜKSEK</t>
        </is>
      </c>
      <c r="D32" s="112" t="inlineStr">
        <is>
          <t>0</t>
        </is>
      </c>
      <c r="E32" s="120">
        <f>COUNTIF(TAHSILAT!$M$7:$M$1506,"İLERİ TARİH")</f>
        <v/>
      </c>
      <c r="F32" s="112">
        <f>IF($E32=0,"GEÇTİ","KALDI")</f>
        <v/>
      </c>
      <c r="G32" s="113" t="inlineStr">
        <is>
          <t>Yanlışlıkla ileri tarih girilmesini yakalar</t>
        </is>
      </c>
      <c r="H32" s="133">
        <f>HYPERLINK("#TAHSILAT!A1","TAHSILAT")</f>
        <v/>
      </c>
      <c r="I32" s="3" t="n"/>
      <c r="J32" s="3" t="n"/>
      <c r="K32" s="132" t="n"/>
      <c r="L32" s="132" t="n"/>
      <c r="M32" s="132" t="n"/>
      <c r="N32" s="6" t="n"/>
      <c r="O32" s="6" t="n"/>
    </row>
    <row r="33" ht="23" customHeight="1">
      <c r="A33" s="6" t="n"/>
      <c r="B33" s="113" t="inlineStr">
        <is>
          <t>Sıfır / negatif tahsilat</t>
        </is>
      </c>
      <c r="C33" s="112" t="inlineStr">
        <is>
          <t>KRİTİK</t>
        </is>
      </c>
      <c r="D33" s="112" t="inlineStr">
        <is>
          <t>0</t>
        </is>
      </c>
      <c r="E33" s="120">
        <f>COUNTIFS(TAHSILAT!$C$7:$C$1506,"&lt;&gt;",TAHSILAT!$F$7:$F$1506,"&lt;=0")</f>
        <v/>
      </c>
      <c r="F33" s="112">
        <f>IF($E33=0,"GEÇTİ","KALDI")</f>
        <v/>
      </c>
      <c r="G33" s="113" t="inlineStr">
        <is>
          <t>Tahsilat tutarı sıfırdan büyük olmalı</t>
        </is>
      </c>
      <c r="H33" s="133">
        <f>HYPERLINK("#TAHSILAT!A1","TAHSILAT")</f>
        <v/>
      </c>
      <c r="I33" s="3" t="n"/>
      <c r="J33" s="3" t="n"/>
      <c r="K33" s="132" t="n"/>
      <c r="L33" s="132" t="n"/>
      <c r="M33" s="132" t="n"/>
      <c r="N33" s="6" t="n"/>
      <c r="O33" s="6" t="n"/>
    </row>
    <row r="34" ht="23" customHeight="1">
      <c r="A34" s="6" t="n"/>
      <c r="B34" s="113" t="inlineStr">
        <is>
          <t>Tanımsız hesaba tahsilat</t>
        </is>
      </c>
      <c r="C34" s="112" t="inlineStr">
        <is>
          <t>KRİTİK</t>
        </is>
      </c>
      <c r="D34" s="112" t="inlineStr">
        <is>
          <t>0</t>
        </is>
      </c>
      <c r="E34" s="120">
        <f>SUMPRODUCT((TAHSILAT!$G$7:$G$1506&lt;&gt;"")*(COUNTIF(HESAPLAR!$B$7:$B$16,TAHSILAT!$G$7:$G$1506&amp;"")=0))</f>
        <v/>
      </c>
      <c r="F34" s="112">
        <f>IF($E34=0,"GEÇTİ","KALDI")</f>
        <v/>
      </c>
      <c r="G34" s="113" t="inlineStr">
        <is>
          <t>Kasa/banka adı hesap listesinde olmalı</t>
        </is>
      </c>
      <c r="H34" s="133">
        <f>HYPERLINK("#HESAPLAR!A1","HESAPLAR")</f>
        <v/>
      </c>
      <c r="I34" s="3" t="n"/>
      <c r="J34" s="3" t="n"/>
      <c r="K34" s="132" t="n"/>
      <c r="L34" s="132" t="n"/>
      <c r="M34" s="132" t="n"/>
      <c r="N34" s="6" t="n"/>
      <c r="O34" s="6" t="n"/>
    </row>
    <row r="35" ht="23" customHeight="1">
      <c r="A35" s="6" t="n"/>
      <c r="B35" s="113" t="inlineStr">
        <is>
          <t>Eksik gelir/gider kaydı</t>
        </is>
      </c>
      <c r="C35" s="112" t="inlineStr">
        <is>
          <t>YÜKSEK</t>
        </is>
      </c>
      <c r="D35" s="112" t="inlineStr">
        <is>
          <t>0</t>
        </is>
      </c>
      <c r="E35" s="120">
        <f>COUNTIF(GELIR_GIDER!$M$7:$M$1206,"EKSİK")</f>
        <v/>
      </c>
      <c r="F35" s="112">
        <f>IF($E35=0,"GEÇTİ","KALDI")</f>
        <v/>
      </c>
      <c r="G35" s="113" t="inlineStr">
        <is>
          <t>Faaliyet kaydı tam olmalı</t>
        </is>
      </c>
      <c r="H35" s="133">
        <f>HYPERLINK("#GELIR_GIDER!A1","GELIR_GIDER")</f>
        <v/>
      </c>
      <c r="I35" s="3" t="n"/>
      <c r="J35" s="3" t="n"/>
      <c r="K35" s="132" t="n"/>
      <c r="L35" s="132" t="n"/>
      <c r="M35" s="132" t="n"/>
      <c r="N35" s="6" t="n"/>
      <c r="O35" s="6" t="n"/>
    </row>
    <row r="36" ht="23" customHeight="1">
      <c r="A36" s="6" t="n"/>
      <c r="B36" s="113" t="inlineStr">
        <is>
          <t>Sıfır / negatif gelir-gider</t>
        </is>
      </c>
      <c r="C36" s="112" t="inlineStr">
        <is>
          <t>YÜKSEK</t>
        </is>
      </c>
      <c r="D36" s="112" t="inlineStr">
        <is>
          <t>0</t>
        </is>
      </c>
      <c r="E36" s="120">
        <f>COUNTIFS(GELIR_GIDER!$D$7:$D$1206,"&lt;&gt;",GELIR_GIDER!$G$7:$G$1206,"&lt;=0")</f>
        <v/>
      </c>
      <c r="F36" s="112">
        <f>IF($E36=0,"GEÇTİ","KALDI")</f>
        <v/>
      </c>
      <c r="G36" s="113" t="inlineStr">
        <is>
          <t>Tutar sıfırdan büyük olmalı</t>
        </is>
      </c>
      <c r="H36" s="133">
        <f>HYPERLINK("#GELIR_GIDER!A1","GELIR_GIDER")</f>
        <v/>
      </c>
      <c r="I36" s="3" t="n"/>
      <c r="J36" s="3" t="n"/>
      <c r="K36" s="132" t="n"/>
      <c r="L36" s="132" t="n"/>
      <c r="M36" s="132" t="n"/>
      <c r="N36" s="6" t="n"/>
      <c r="O36" s="6" t="n"/>
    </row>
    <row r="37" ht="23" customHeight="1">
      <c r="A37" s="6" t="n"/>
      <c r="B37" s="113" t="inlineStr">
        <is>
          <t>Hatalı virman</t>
        </is>
      </c>
      <c r="C37" s="112" t="inlineStr">
        <is>
          <t>KRİTİK</t>
        </is>
      </c>
      <c r="D37" s="112" t="inlineStr">
        <is>
          <t>0</t>
        </is>
      </c>
      <c r="E37" s="120">
        <f>COUNTIF(VIRMAN!$J$7:$J$406,"HATA")</f>
        <v/>
      </c>
      <c r="F37" s="112">
        <f>IF($E37=0,"GEÇTİ","KALDI")</f>
        <v/>
      </c>
      <c r="G37" s="113" t="inlineStr">
        <is>
          <t>Çıkan ve giren hesap aynı olamaz</t>
        </is>
      </c>
      <c r="H37" s="133">
        <f>HYPERLINK("#VIRMAN!A1","VIRMAN")</f>
        <v/>
      </c>
      <c r="I37" s="3" t="n"/>
      <c r="J37" s="3" t="n"/>
      <c r="K37" s="132" t="n"/>
      <c r="L37" s="132" t="n"/>
      <c r="M37" s="132" t="n"/>
      <c r="N37" s="6" t="n"/>
      <c r="O37" s="6" t="n"/>
    </row>
    <row r="38" ht="23" customHeight="1">
      <c r="A38" s="6" t="n"/>
      <c r="B38" s="113" t="inlineStr">
        <is>
          <t>Cari matematik kontrolü</t>
        </is>
      </c>
      <c r="C38" s="112" t="inlineStr">
        <is>
          <t>KRİTİK</t>
        </is>
      </c>
      <c r="D38" s="112" t="inlineStr">
        <is>
          <t>0</t>
        </is>
      </c>
      <c r="E38" s="120">
        <f>COUNTIF(MUSTERI_360!$U$7:$U$106,"İNCELE")</f>
        <v/>
      </c>
      <c r="F38" s="112">
        <f>IF($E38=0,"GEÇTİ","KALDI")</f>
        <v/>
      </c>
      <c r="G38" s="113" t="inlineStr">
        <is>
          <t>Bakiye = yaş kovaları toplamı</t>
        </is>
      </c>
      <c r="H38" s="133">
        <f>HYPERLINK("#MUSTERI_360!A1","MUSTERI_360")</f>
        <v/>
      </c>
      <c r="I38" s="3" t="n"/>
      <c r="J38" s="3" t="n"/>
      <c r="K38" s="3" t="n"/>
      <c r="L38" s="3" t="n"/>
      <c r="M38" s="3" t="n"/>
      <c r="N38" s="6" t="n"/>
      <c r="O38" s="6" t="n"/>
    </row>
    <row r="39" ht="23" customHeight="1">
      <c r="A39" s="6" t="n"/>
      <c r="B39" s="113" t="inlineStr">
        <is>
          <t>Tahsilat mutabakatı</t>
        </is>
      </c>
      <c r="C39" s="112" t="inlineStr">
        <is>
          <t>KRİTİK</t>
        </is>
      </c>
      <c r="D39" s="112" t="inlineStr">
        <is>
          <t>0,00 TL</t>
        </is>
      </c>
      <c r="E39" s="134">
        <f>ABS(SUM(TAHSILAT!$F$7:$F$1506)-SUM(MUSTERI_360!$H$7:$H$106))</f>
        <v/>
      </c>
      <c r="F39" s="112">
        <f>IF($E39&lt;0.01,"GEÇTİ","KALDI")</f>
        <v/>
      </c>
      <c r="G39" s="113" t="inlineStr">
        <is>
          <t>Defter toplamı = cari tahsilat toplamı</t>
        </is>
      </c>
      <c r="H39" s="133">
        <f>HYPERLINK("#TAHSILAT!A1","TAHSILAT")</f>
        <v/>
      </c>
      <c r="I39" s="3" t="n"/>
      <c r="J39" s="3" t="n"/>
      <c r="K39" s="3" t="n"/>
      <c r="L39" s="3" t="n"/>
      <c r="M39" s="3" t="n"/>
      <c r="N39" s="6" t="n"/>
      <c r="O39" s="6" t="n"/>
    </row>
    <row r="40" ht="23" customHeight="1">
      <c r="A40" s="6" t="n"/>
      <c r="B40" s="113" t="inlineStr">
        <is>
          <t>Yaşlandırma mutabakatı</t>
        </is>
      </c>
      <c r="C40" s="112" t="inlineStr">
        <is>
          <t>KRİTİK</t>
        </is>
      </c>
      <c r="D40" s="112" t="inlineStr">
        <is>
          <t>0,00 TL</t>
        </is>
      </c>
      <c r="E40" s="134">
        <f>ABS(SUM(MUSTERI_360!$I$7:$I$106)-SUM(MUSTERI_360!$J$7:$J$106)-SUM(MUSTERI_360!$K$7:$K$106)-SUM(MUSTERI_360!$L$7:$L$106)-SUM(MUSTERI_360!$M$7:$M$106))</f>
        <v/>
      </c>
      <c r="F40" s="112">
        <f>IF($E40&lt;0.01,"GEÇTİ","KALDI")</f>
        <v/>
      </c>
      <c r="G40" s="113" t="inlineStr">
        <is>
          <t>Toplam alacak = yaş kovaları toplamı</t>
        </is>
      </c>
      <c r="H40" s="133">
        <f>HYPERLINK("#MUSTERI_360!A1","MUSTERI_360")</f>
        <v/>
      </c>
      <c r="I40" s="3" t="n"/>
      <c r="J40" s="3" t="n"/>
      <c r="K40" s="3" t="n"/>
      <c r="L40" s="3" t="n"/>
      <c r="M40" s="3" t="n"/>
      <c r="N40" s="6" t="n"/>
      <c r="O40" s="6" t="n"/>
    </row>
    <row r="41" ht="23" customHeight="1">
      <c r="A41" s="6" t="n"/>
      <c r="B41" s="113" t="inlineStr">
        <is>
          <t>Kasa toplam denklemi</t>
        </is>
      </c>
      <c r="C41" s="112" t="inlineStr">
        <is>
          <t>KRİTİK</t>
        </is>
      </c>
      <c r="D41" s="112" t="inlineStr">
        <is>
          <t>0,00 TL</t>
        </is>
      </c>
      <c r="E41" s="134">
        <f>ABS(SUM(HESAPLAR!$K$7:$K$16)-HESAPLAR!$K$18)</f>
        <v/>
      </c>
      <c r="F41" s="112">
        <f>IF($E41&lt;0.01,"GEÇTİ","KALDI")</f>
        <v/>
      </c>
      <c r="G41" s="113" t="inlineStr">
        <is>
          <t>Hesap satırları toplamı = genel toplam</t>
        </is>
      </c>
      <c r="H41" s="133">
        <f>HYPERLINK("#HESAPLAR!A1","HESAPLAR")</f>
        <v/>
      </c>
      <c r="I41" s="3" t="n"/>
      <c r="J41" s="3" t="n"/>
      <c r="K41" s="3" t="n"/>
      <c r="L41" s="3" t="n"/>
      <c r="M41" s="3" t="n"/>
      <c r="N41" s="6" t="n"/>
      <c r="O41" s="6" t="n"/>
    </row>
    <row r="42" ht="23" customHeight="1">
      <c r="A42" s="6" t="n"/>
      <c r="B42" s="113" t="inlineStr">
        <is>
          <t>Negatif hesap bakiyesi</t>
        </is>
      </c>
      <c r="C42" s="112" t="inlineStr">
        <is>
          <t>ORTA</t>
        </is>
      </c>
      <c r="D42" s="112" t="inlineStr">
        <is>
          <t>0</t>
        </is>
      </c>
      <c r="E42" s="120">
        <f>COUNTIF(HESAPLAR!$K$7:$K$16,"&lt;0")</f>
        <v/>
      </c>
      <c r="F42" s="112">
        <f>IF($E42=0,"GEÇTİ","KALDI")</f>
        <v/>
      </c>
      <c r="G42" s="113" t="inlineStr">
        <is>
          <t>Bakiyesi eksiye düşen hesap incelenmeli</t>
        </is>
      </c>
      <c r="H42" s="133">
        <f>HYPERLINK("#HESAPLAR!A1","HESAPLAR")</f>
        <v/>
      </c>
      <c r="I42" s="3" t="n"/>
      <c r="J42" s="3" t="n"/>
      <c r="K42" s="3" t="n"/>
      <c r="L42" s="3" t="n"/>
      <c r="M42" s="3" t="n"/>
      <c r="N42" s="6" t="n"/>
      <c r="O42" s="6" t="n"/>
    </row>
    <row r="43" ht="23" customHeight="1">
      <c r="A43" s="6" t="n"/>
      <c r="B43" s="113" t="inlineStr">
        <is>
          <t>Ortak pay dağıtım hatası</t>
        </is>
      </c>
      <c r="C43" s="112" t="inlineStr">
        <is>
          <t>KRİTİK</t>
        </is>
      </c>
      <c r="D43" s="112" t="inlineStr">
        <is>
          <t>0</t>
        </is>
      </c>
      <c r="E43" s="120">
        <f>COUNTIF(AY_SONU!$T$7:$T$42,"PAY HATASI")</f>
        <v/>
      </c>
      <c r="F43" s="112">
        <f>IF($E43=0,"GEÇTİ","KALDI")</f>
        <v/>
      </c>
      <c r="G43" s="113" t="inlineStr">
        <is>
          <t>Dağıtılan pay toplamı tutmalı</t>
        </is>
      </c>
      <c r="H43" s="133">
        <f>HYPERLINK("#AY_SONU!A1","AY_SONU")</f>
        <v/>
      </c>
      <c r="I43" s="3" t="n"/>
      <c r="J43" s="3" t="n"/>
      <c r="K43" s="3" t="n"/>
      <c r="L43" s="3" t="n"/>
      <c r="M43" s="3" t="n"/>
      <c r="N43" s="6" t="n"/>
      <c r="O43" s="6" t="n"/>
    </row>
    <row r="44" ht="23" customHeight="1">
      <c r="A44" s="6" t="n"/>
      <c r="B44" s="113" t="inlineStr">
        <is>
          <t>Aktivitede tanımsız müşteri</t>
        </is>
      </c>
      <c r="C44" s="112" t="inlineStr">
        <is>
          <t>KRİTİK</t>
        </is>
      </c>
      <c r="D44" s="112" t="inlineStr">
        <is>
          <t>0</t>
        </is>
      </c>
      <c r="E44" s="120">
        <f>COUNTIF(AKTIVITE!$Q$7:$Q$1006,"HATA")</f>
        <v/>
      </c>
      <c r="F44" s="112">
        <f>IF($E44=0,"GEÇTİ","KALDI")</f>
        <v/>
      </c>
      <c r="G44" s="113" t="inlineStr">
        <is>
          <t>İş/görüşme ana müşteri kartıyla eşleşmeli</t>
        </is>
      </c>
      <c r="H44" s="133">
        <f>HYPERLINK("#AKTIVITE!A1","AKTIVITE")</f>
        <v/>
      </c>
      <c r="I44" s="3" t="n"/>
      <c r="J44" s="3" t="n"/>
      <c r="K44" s="3" t="n"/>
      <c r="L44" s="3" t="n"/>
      <c r="M44" s="3" t="n"/>
      <c r="N44" s="6" t="n"/>
      <c r="O44" s="6" t="n"/>
    </row>
    <row r="45" ht="23" customHeight="1">
      <c r="A45" s="6" t="n"/>
      <c r="B45" s="113" t="inlineStr">
        <is>
          <t>Aktivitede eksik son tarih</t>
        </is>
      </c>
      <c r="C45" s="112" t="inlineStr">
        <is>
          <t>YÜKSEK</t>
        </is>
      </c>
      <c r="D45" s="112" t="inlineStr">
        <is>
          <t>0</t>
        </is>
      </c>
      <c r="E45" s="120">
        <f>COUNTIF(AKTIVITE!$Q$7:$Q$1006,"TARİH EKSİK")</f>
        <v/>
      </c>
      <c r="F45" s="112">
        <f>IF($E45=0,"GEÇTİ","KALDI")</f>
        <v/>
      </c>
      <c r="G45" s="113" t="inlineStr">
        <is>
          <t>Açık işin son tarihi olmalı</t>
        </is>
      </c>
      <c r="H45" s="133">
        <f>HYPERLINK("#AKTIVITE!A1","AKTIVITE")</f>
        <v/>
      </c>
      <c r="I45" s="3" t="n"/>
      <c r="J45" s="3" t="n"/>
      <c r="K45" s="3" t="n"/>
      <c r="L45" s="3" t="n"/>
      <c r="M45" s="3" t="n"/>
      <c r="N45" s="6" t="n"/>
      <c r="O45" s="6" t="n"/>
    </row>
    <row r="46" ht="23" customHeight="1">
      <c r="A46" s="6" t="n"/>
      <c r="B46" s="113" t="inlineStr">
        <is>
          <t>Sonraki işlem eksik</t>
        </is>
      </c>
      <c r="C46" s="112" t="inlineStr">
        <is>
          <t>YÜKSEK</t>
        </is>
      </c>
      <c r="D46" s="112" t="inlineStr">
        <is>
          <t>0</t>
        </is>
      </c>
      <c r="E46" s="120">
        <f>COUNTIF(AKTIVITE!$Q$7:$Q$1006,"SONRAKİ İŞLEM EKSİK")</f>
        <v/>
      </c>
      <c r="F46" s="112">
        <f>IF($E46=0,"GEÇTİ","KALDI")</f>
        <v/>
      </c>
      <c r="G46" s="113" t="inlineStr">
        <is>
          <t>Görüşmeden sonra adım tanımlanmalı</t>
        </is>
      </c>
      <c r="H46" s="133">
        <f>HYPERLINK("#AKTIVITE!A1","AKTIVITE")</f>
        <v/>
      </c>
      <c r="I46" s="3" t="n"/>
      <c r="J46" s="3" t="n"/>
      <c r="K46" s="3" t="n"/>
      <c r="L46" s="3" t="n"/>
      <c r="M46" s="3" t="n"/>
      <c r="N46" s="6" t="n"/>
      <c r="O46" s="6" t="n"/>
    </row>
    <row r="47" ht="23" customHeight="1">
      <c r="A47" s="6" t="n"/>
      <c r="B47" s="113" t="inlineStr">
        <is>
          <t>Gecikmiş müşteri işi</t>
        </is>
      </c>
      <c r="C47" s="112" t="inlineStr">
        <is>
          <t>BİLGİ</t>
        </is>
      </c>
      <c r="D47" s="112" t="inlineStr">
        <is>
          <t>İzle</t>
        </is>
      </c>
      <c r="E47" s="120">
        <f>COUNTIF(AKTIVITE!$Q$7:$Q$1006,"GECİKMİŞ")</f>
        <v/>
      </c>
      <c r="F47" s="112">
        <f>"BİLGİ"</f>
        <v/>
      </c>
      <c r="G47" s="113" t="inlineStr">
        <is>
          <t>Son tarihi geçmiş açık işler</t>
        </is>
      </c>
      <c r="H47" s="133">
        <f>HYPERLINK("#AKTIVITE!A1","AKTIVITE")</f>
        <v/>
      </c>
      <c r="I47" s="3" t="n"/>
      <c r="J47" s="3" t="n"/>
      <c r="K47" s="3" t="n"/>
      <c r="L47" s="3" t="n"/>
      <c r="M47" s="3" t="n"/>
      <c r="N47" s="6" t="n"/>
      <c r="O47" s="6" t="n"/>
    </row>
    <row r="48" ht="23" customHeight="1">
      <c r="A48" s="6" t="n"/>
      <c r="B48" s="113" t="inlineStr">
        <is>
          <t>Bugün yapılacak iş</t>
        </is>
      </c>
      <c r="C48" s="112" t="inlineStr">
        <is>
          <t>BİLGİ</t>
        </is>
      </c>
      <c r="D48" s="112" t="inlineStr">
        <is>
          <t>İzle</t>
        </is>
      </c>
      <c r="E48" s="120">
        <f>COUNTIF(AKTIVITE!$Q$7:$Q$1006,"BUGÜN")</f>
        <v/>
      </c>
      <c r="F48" s="112">
        <f>"BİLGİ"</f>
        <v/>
      </c>
      <c r="G48" s="113" t="inlineStr">
        <is>
          <t>Bugün tamamlanması gereken işler</t>
        </is>
      </c>
      <c r="H48" s="133">
        <f>HYPERLINK("#AKTIVITE!A1","AKTIVITE")</f>
        <v/>
      </c>
      <c r="I48" s="3" t="n"/>
      <c r="J48" s="3" t="n"/>
      <c r="K48" s="3" t="n"/>
      <c r="L48" s="3" t="n"/>
      <c r="M48" s="3" t="n"/>
      <c r="N48" s="6" t="n"/>
      <c r="O48" s="6" t="n"/>
    </row>
    <row r="49" ht="23" customHeight="1">
      <c r="A49" s="6" t="n"/>
      <c r="B49" s="113" t="inlineStr">
        <is>
          <t>29+ gün alacaklı müşteri</t>
        </is>
      </c>
      <c r="C49" s="112" t="inlineStr">
        <is>
          <t>BİLGİ</t>
        </is>
      </c>
      <c r="D49" s="112" t="inlineStr">
        <is>
          <t>İzle</t>
        </is>
      </c>
      <c r="E49" s="120">
        <f>COUNTIF(MUSTERI_360!$P$7:$P$106,"KRİTİK")</f>
        <v/>
      </c>
      <c r="F49" s="112">
        <f>"BİLGİ"</f>
        <v/>
      </c>
      <c r="G49" s="113" t="inlineStr">
        <is>
          <t>Kritik borç durumundaki müşteri sayısı</t>
        </is>
      </c>
      <c r="H49" s="133">
        <f>HYPERLINK("#MUSTERI_360!A1","MUSTERI_360")</f>
        <v/>
      </c>
      <c r="I49" s="3" t="n"/>
      <c r="J49" s="3" t="n"/>
      <c r="K49" s="3" t="n"/>
      <c r="L49" s="3" t="n"/>
      <c r="M49" s="3" t="n"/>
      <c r="N49" s="6" t="n"/>
      <c r="O49" s="6" t="n"/>
    </row>
    <row r="50" ht="23" customHeight="1">
      <c r="A50" s="6" t="n"/>
      <c r="B50" s="113" t="inlineStr">
        <is>
          <t>Toplam devir alacağı</t>
        </is>
      </c>
      <c r="C50" s="112" t="inlineStr">
        <is>
          <t>BİLGİ</t>
        </is>
      </c>
      <c r="D50" s="112" t="inlineStr">
        <is>
          <t>469.000 TL</t>
        </is>
      </c>
      <c r="E50" s="120">
        <f>SUM(MUSTERILER!$J$7:$J$106)</f>
        <v/>
      </c>
      <c r="F50" s="112">
        <f>"BİLGİ"</f>
        <v/>
      </c>
      <c r="G50" s="113" t="inlineStr">
        <is>
          <t>Eski dosyadan taşınan açılış alacağı</t>
        </is>
      </c>
      <c r="H50" s="133">
        <f>HYPERLINK("#MUSTERILER!A1","MUSTERILER")</f>
        <v/>
      </c>
      <c r="I50" s="3" t="n"/>
      <c r="J50" s="3" t="n"/>
      <c r="K50" s="3" t="n"/>
      <c r="L50" s="3" t="n"/>
      <c r="M50" s="3" t="n"/>
      <c r="N50" s="6" t="n"/>
      <c r="O50" s="6" t="n"/>
    </row>
    <row r="51">
      <c r="A51" s="6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6" t="n"/>
      <c r="O51" s="6" t="n"/>
    </row>
    <row r="52">
      <c r="A52" s="6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6" t="n"/>
      <c r="O52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5">
    <mergeCell ref="A2:L2"/>
    <mergeCell ref="B21:I21"/>
    <mergeCell ref="B6:F6"/>
    <mergeCell ref="K6:M6"/>
    <mergeCell ref="A1:L1"/>
  </mergeCells>
  <conditionalFormatting sqref="F23:F50">
    <cfRule type="expression" priority="1" dxfId="3" stopIfTrue="1">
      <formula>EXACT($F23,"GEÇTİ")</formula>
    </cfRule>
    <cfRule type="expression" priority="2" dxfId="5" stopIfTrue="1">
      <formula>EXACT($F23,"KALDI")</formula>
    </cfRule>
    <cfRule type="expression" priority="3" dxfId="7" stopIfTrue="1">
      <formula>EXACT($F23,"BİLGİ")</formula>
    </cfRule>
  </conditionalFormatting>
  <dataValidations count="2">
    <dataValidation sqref="L8:L37" showDropDown="0" showInputMessage="0" showErrorMessage="1" allowBlank="1" errorTitle="Geçersiz tür" error="Gelir veya Gider seçin." type="list">
      <formula1>"Gelir,Gider"</formula1>
    </dataValidation>
    <dataValidation sqref="M8:M37" showDropDown="0" showInputMessage="0" showErrorMessage="1" allowBlank="1" errorTitle="Geçersiz durum" error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Necatibey Muhasebe Ofisi</dc:creator>
  <dc:title xmlns:dc="http://purl.org/dc/elements/1.1/">Necatibey Ofis Yönetim Sistemi</dc:title>
  <dc:description xmlns:dc="http://purl.org/dc/elements/1.1/">Haftalık ücretle çalışan muhasebe ofisi için müşteri, tahakkuk, tahsilat, cari, kasa, aktivite, aylık kapanış ve ortak payı yönetim sistemi.</dc:description>
  <dcterms:created xmlns:dcterms="http://purl.org/dc/terms/" xmlns:xsi="http://www.w3.org/2001/XMLSchema-instance" xsi:type="dcterms:W3CDTF">2026-08-21T08:38:37Z</dcterms:created>
  <dcterms:modified xmlns:dcterms="http://purl.org/dc/terms/" xmlns:xsi="http://www.w3.org/2001/XMLSchema-instance" xsi:type="dcterms:W3CDTF">2026-08-21T08:38:43Z</dcterms:modified>
</cp:coreProperties>
</file>